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digsingh\Documents\Forecasts_Market Shares\2022\April 2022\29 April\763796\"/>
    </mc:Choice>
  </mc:AlternateContent>
  <xr:revisionPtr revIDLastSave="0" documentId="13_ncr:1_{6884966D-5F27-4B09-8C65-B0D669FC26AE}" xr6:coauthVersionLast="47" xr6:coauthVersionMax="47" xr10:uidLastSave="{00000000-0000-0000-0000-000000000000}"/>
  <bookViews>
    <workbookView xWindow="-110" yWindow="-110" windowWidth="19420" windowHeight="10420" xr2:uid="{F7375297-FF4F-4A2F-8468-08C24F738D9F}"/>
  </bookViews>
  <sheets>
    <sheet name="Contents" sheetId="2" r:id="rId1"/>
    <sheet name="Summary Tables" sheetId="3" r:id="rId2"/>
    <sheet name="Aggregatable Pivot" sheetId="4" r:id="rId3"/>
    <sheet name="Exchange Rates" sheetId="5" state="hidden" r:id="rId4"/>
    <sheet name="Data Structure" sheetId="9" r:id="rId5"/>
    <sheet name="Tips" sheetId="8" r:id="rId6"/>
    <sheet name="Currency" sheetId="6" state="hidden" r:id="rId7"/>
  </sheets>
  <externalReferences>
    <externalReference r:id="rId8"/>
    <externalReference r:id="rId9"/>
  </externalReferences>
  <definedNames>
    <definedName name="_2025__YR">Currency!$B$2</definedName>
    <definedName name="ClearGrowth">Currency!$S$1</definedName>
    <definedName name="ColLetter">Currency!$P$1</definedName>
    <definedName name="ColLetter2">Currency!$P$3</definedName>
    <definedName name="ColLkupNum">Currency!$O$1</definedName>
    <definedName name="ColLkupNum2" localSheetId="4">[1]Currency!$O$3</definedName>
    <definedName name="ColLkupNum2">Currency!$O$3</definedName>
    <definedName name="ColumnLookup" localSheetId="4">[1]Currency!$ES$1:$ET$26</definedName>
    <definedName name="ColumnLookup">Currency!$ES$1:$ET$26</definedName>
    <definedName name="CurrentXrateVintage">[2]Currencies!$G$5</definedName>
    <definedName name="Doc_ID">Currency!$F$6</definedName>
    <definedName name="EndY" localSheetId="4">[1]Currency!$B$8</definedName>
    <definedName name="EndY">Currency!$B$8</definedName>
    <definedName name="EndYear" localSheetId="4">[1]Currency!$B$2</definedName>
    <definedName name="EndYear">Currency!$B$2</definedName>
    <definedName name="ExVintage">Currency!$F$2</definedName>
    <definedName name="PreYearNum" localSheetId="4">[1]Currency!$B$4</definedName>
    <definedName name="PreYearNum">Currency!$B$4</definedName>
    <definedName name="_xlnm.Print_Area" localSheetId="0">Contents!$A$1:$M$62</definedName>
    <definedName name="_xlnm.Print_Area" localSheetId="1">'Summary Tables'!$A$1:$M$67</definedName>
    <definedName name="Source" localSheetId="4">[1]Currency!$F$3</definedName>
    <definedName name="Source">Currency!$F$3</definedName>
    <definedName name="StartY" localSheetId="4">[1]Currency!$B$7</definedName>
    <definedName name="StartY">Currency!$B$7</definedName>
    <definedName name="StartYear" localSheetId="4">[1]Currency!$B$1</definedName>
    <definedName name="StartYear">Currency!$B$1</definedName>
    <definedName name="Vintage" localSheetId="4">[1]Currency!$D$2</definedName>
    <definedName name="Vintage">Currency!$D$2</definedName>
  </definedNames>
  <calcPr calcId="191029"/>
  <pivotCaches>
    <pivotCache cacheId="0" r:id="rId10"/>
    <pivotCache cacheId="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 i="3" l="1"/>
  <c r="B25" i="3"/>
  <c r="C25" i="3"/>
  <c r="D25" i="3"/>
  <c r="E25" i="3"/>
  <c r="F25" i="3"/>
  <c r="G25" i="3"/>
  <c r="H25" i="3"/>
  <c r="A26" i="3"/>
  <c r="C26" i="3"/>
  <c r="D26" i="3"/>
  <c r="E26" i="3"/>
  <c r="F26" i="3"/>
  <c r="G26" i="3"/>
  <c r="H26" i="3"/>
  <c r="A27" i="3"/>
  <c r="C27" i="3"/>
  <c r="D27" i="3"/>
  <c r="E27" i="3"/>
  <c r="F27" i="3"/>
  <c r="G27" i="3"/>
  <c r="H27" i="3"/>
  <c r="A28" i="3"/>
  <c r="C28" i="3"/>
  <c r="D28" i="3"/>
  <c r="E28" i="3"/>
  <c r="F28" i="3"/>
  <c r="G28" i="3"/>
  <c r="H28" i="3"/>
  <c r="A29" i="3"/>
  <c r="C29" i="3"/>
  <c r="D29" i="3"/>
  <c r="E29" i="3"/>
  <c r="F29" i="3"/>
  <c r="G29" i="3"/>
  <c r="H29" i="3"/>
  <c r="I16" i="3"/>
  <c r="I40" i="3"/>
  <c r="I19" i="3"/>
  <c r="I42" i="3"/>
  <c r="I18" i="3"/>
  <c r="I44" i="3"/>
  <c r="I14" i="3"/>
  <c r="I45" i="3"/>
  <c r="I49" i="3"/>
  <c r="I15" i="3"/>
  <c r="I48" i="3"/>
  <c r="I47" i="3"/>
  <c r="I46" i="3"/>
  <c r="I43" i="3"/>
  <c r="I17" i="3"/>
  <c r="I41" i="3"/>
  <c r="B1" i="6" l="1"/>
  <c r="B2" i="6" s="1"/>
  <c r="H31" i="3" l="1"/>
  <c r="G31" i="3"/>
  <c r="F31" i="3"/>
  <c r="E31" i="3"/>
  <c r="D31" i="3"/>
  <c r="C31" i="3"/>
  <c r="A31" i="3"/>
  <c r="A50" i="3" l="1"/>
  <c r="H32" i="3"/>
  <c r="G32" i="3"/>
  <c r="F32" i="3"/>
  <c r="E32" i="3"/>
  <c r="D32" i="3"/>
  <c r="C32" i="3"/>
  <c r="H55" i="3" l="1"/>
  <c r="G55" i="3"/>
  <c r="F55" i="3"/>
  <c r="E55" i="3"/>
  <c r="D55" i="3"/>
  <c r="C55" i="3"/>
  <c r="B55" i="3"/>
  <c r="A30" i="3" l="1"/>
  <c r="F8" i="5" l="1"/>
  <c r="A8" i="4"/>
  <c r="A15" i="4"/>
  <c r="A33" i="3"/>
  <c r="A66" i="3"/>
  <c r="H65" i="3"/>
  <c r="G65" i="3"/>
  <c r="F65" i="3"/>
  <c r="E65" i="3"/>
  <c r="D65" i="3"/>
  <c r="C65" i="3"/>
  <c r="H63" i="3"/>
  <c r="G63" i="3"/>
  <c r="F63" i="3"/>
  <c r="E63" i="3"/>
  <c r="D63" i="3"/>
  <c r="C63" i="3"/>
  <c r="H62" i="3"/>
  <c r="G62" i="3"/>
  <c r="F62" i="3"/>
  <c r="E62" i="3"/>
  <c r="D62" i="3"/>
  <c r="C62" i="3"/>
  <c r="H61" i="3"/>
  <c r="G61" i="3"/>
  <c r="F61" i="3"/>
  <c r="E61" i="3"/>
  <c r="D61" i="3"/>
  <c r="C61" i="3"/>
  <c r="H60" i="3"/>
  <c r="G60" i="3"/>
  <c r="F60" i="3"/>
  <c r="E60" i="3"/>
  <c r="D60" i="3"/>
  <c r="C60" i="3"/>
  <c r="H59" i="3"/>
  <c r="G59" i="3"/>
  <c r="F59" i="3"/>
  <c r="E59" i="3"/>
  <c r="D59" i="3"/>
  <c r="C59" i="3"/>
  <c r="H58" i="3"/>
  <c r="G58" i="3"/>
  <c r="F58" i="3"/>
  <c r="E58" i="3"/>
  <c r="D58" i="3"/>
  <c r="C58" i="3"/>
  <c r="H57" i="3"/>
  <c r="G57" i="3"/>
  <c r="F57" i="3"/>
  <c r="E57" i="3"/>
  <c r="D57" i="3"/>
  <c r="C57" i="3"/>
  <c r="H56" i="3"/>
  <c r="G56" i="3"/>
  <c r="F56" i="3"/>
  <c r="E56" i="3"/>
  <c r="D56" i="3"/>
  <c r="C56" i="3"/>
  <c r="H64" i="3"/>
  <c r="G64" i="3"/>
  <c r="F64" i="3"/>
  <c r="E64" i="3"/>
  <c r="D64" i="3"/>
  <c r="C64" i="3"/>
  <c r="H30" i="3" l="1"/>
  <c r="G30" i="3"/>
  <c r="F30" i="3"/>
  <c r="E30" i="3"/>
  <c r="D30" i="3"/>
  <c r="C30" i="3"/>
  <c r="B5" i="6" l="1"/>
  <c r="B8" i="6" s="1"/>
  <c r="B4" i="6"/>
  <c r="B7" i="6" l="1"/>
  <c r="A20" i="2" s="1"/>
  <c r="I13" i="3"/>
  <c r="C4" i="4" l="1"/>
  <c r="B42" i="2"/>
  <c r="E7" i="3" s="1"/>
  <c r="A53" i="3" s="1"/>
  <c r="B40" i="2"/>
  <c r="E5" i="3" s="1"/>
  <c r="A23" i="3" s="1"/>
  <c r="B41" i="2"/>
  <c r="E6" i="3" s="1"/>
  <c r="A37" i="3" s="1"/>
  <c r="I38" i="3"/>
  <c r="I11" i="3"/>
  <c r="B39" i="2"/>
  <c r="E4" i="3" s="1"/>
  <c r="A10" i="3" s="1"/>
  <c r="B43" i="2" l="1"/>
  <c r="A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2000000}" keepAlive="1" name="GMSPRTARS1201 - Currency Cube" type="5" refreshedVersion="6" background="1" saveData="1">
    <dbPr connection="Provider=MSOLAP.8;Integrated Security=SSPI;Persist Security Info=True;Initial Catalog=Currency Exchange Rate - Quarterly;Data Source=GMSPRTARS1201;MDX Compatibility=1;Safety Options=2;MDX Missing Member Mode=Error;Update Isolation Level=2" command="Currency Exchange Rate"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GMSPRTARS1201 - Currency Cube"/>
    <s v="{[Vintage].[Vintage].&amp;[2019 Q3]}"/>
  </metadataStrings>
  <mdxMetadata count="1">
    <mdx n="0" f="s">
      <ms ns="1" c="0"/>
    </mdx>
  </mdxMetadata>
  <valueMetadata count="1">
    <bk>
      <rc t="1" v="0"/>
    </bk>
  </valueMetadata>
</metadata>
</file>

<file path=xl/sharedStrings.xml><?xml version="1.0" encoding="utf-8"?>
<sst xmlns="http://schemas.openxmlformats.org/spreadsheetml/2006/main" count="379" uniqueCount="272">
  <si>
    <t>Integrated/Discrete</t>
  </si>
  <si>
    <t>Device</t>
  </si>
  <si>
    <t>Application</t>
  </si>
  <si>
    <t>Application 2</t>
  </si>
  <si>
    <t>Application 3</t>
  </si>
  <si>
    <t>Measure</t>
  </si>
  <si>
    <t>Period</t>
  </si>
  <si>
    <t>2018 YR</t>
  </si>
  <si>
    <t>Compute</t>
  </si>
  <si>
    <t>External Monitor</t>
  </si>
  <si>
    <t>Semiconductor Revenue M$</t>
  </si>
  <si>
    <t>2019 YR</t>
  </si>
  <si>
    <t>2020 YR</t>
  </si>
  <si>
    <t>2021 YR</t>
  </si>
  <si>
    <t>2022 YR</t>
  </si>
  <si>
    <t>2023 YR</t>
  </si>
  <si>
    <t>2024 YR</t>
  </si>
  <si>
    <t>PC</t>
  </si>
  <si>
    <t>Graphics Cards</t>
  </si>
  <si>
    <t>Printer/Copier</t>
  </si>
  <si>
    <t>Server, 4 CPU sockets and over</t>
  </si>
  <si>
    <t>Server, 2 CPU socket</t>
  </si>
  <si>
    <t>Server, 1 CPU socket</t>
  </si>
  <si>
    <t>Smart Cards</t>
  </si>
  <si>
    <t>Solid-State ECB</t>
  </si>
  <si>
    <t>Storage Network Infrastructure</t>
  </si>
  <si>
    <t>Other Storage Media</t>
  </si>
  <si>
    <t>Digital Cordless</t>
  </si>
  <si>
    <t>Mobile Infrastructure - Base Station Equipment</t>
  </si>
  <si>
    <t>Wireless LAN Infrastructure</t>
  </si>
  <si>
    <t>Cellular Modems</t>
  </si>
  <si>
    <t>DSL Broadband Access</t>
  </si>
  <si>
    <t>Fiber Broadband Access</t>
  </si>
  <si>
    <t>Other Broadband Access</t>
  </si>
  <si>
    <t>Enterprise LAN</t>
  </si>
  <si>
    <t>Enterprise Telephony Equipment</t>
  </si>
  <si>
    <t>Enterprise WAN</t>
  </si>
  <si>
    <t>Optical Transport</t>
  </si>
  <si>
    <t>Service Provider Routers and Switches</t>
  </si>
  <si>
    <t>Appliances</t>
  </si>
  <si>
    <t>Digital Camcorder</t>
  </si>
  <si>
    <t>Digital Still Camera</t>
  </si>
  <si>
    <t>Portable Media Players</t>
  </si>
  <si>
    <t>TV, Standard</t>
  </si>
  <si>
    <t>TV, Smart</t>
  </si>
  <si>
    <t>Video Game Consoles</t>
  </si>
  <si>
    <t>Video Game Handhelds</t>
  </si>
  <si>
    <t>Wristbands</t>
  </si>
  <si>
    <t>Head Mounted Display</t>
  </si>
  <si>
    <t>Smart Watches</t>
  </si>
  <si>
    <t>Sports Watches</t>
  </si>
  <si>
    <t>Body</t>
  </si>
  <si>
    <t>Chassis</t>
  </si>
  <si>
    <t>EV/HEV</t>
  </si>
  <si>
    <t>Infotainment</t>
  </si>
  <si>
    <t>Instrument Cluster</t>
  </si>
  <si>
    <t>Powertrain</t>
  </si>
  <si>
    <t>Safety</t>
  </si>
  <si>
    <t>Aftermarket</t>
  </si>
  <si>
    <t>Commercial Amusement</t>
  </si>
  <si>
    <t>Automation</t>
  </si>
  <si>
    <t>Energy Management</t>
  </si>
  <si>
    <t>Solid-State Lighting</t>
  </si>
  <si>
    <t>Medical/Healthcare</t>
  </si>
  <si>
    <t>Test/Measurement</t>
  </si>
  <si>
    <t>Transportation</t>
  </si>
  <si>
    <t>Military/Civil Aerospace Electronics</t>
  </si>
  <si>
    <t>FPGA</t>
  </si>
  <si>
    <t>Grand Total</t>
  </si>
  <si>
    <t>Sum of Value</t>
  </si>
  <si>
    <t>NM</t>
  </si>
  <si>
    <t>Table of Contents</t>
  </si>
  <si>
    <t>Summary Tables Suitable for Printing</t>
  </si>
  <si>
    <t>Exchange Rates</t>
  </si>
  <si>
    <t>Data Segmentation and Structure</t>
  </si>
  <si>
    <t>List of Tables</t>
  </si>
  <si>
    <t>1-1</t>
  </si>
  <si>
    <t>1-2</t>
  </si>
  <si>
    <t>1-3</t>
  </si>
  <si>
    <t>1-4</t>
  </si>
  <si>
    <t>2-1</t>
  </si>
  <si>
    <t>5-1</t>
  </si>
  <si>
    <t>For More Information...</t>
  </si>
  <si>
    <t>Client Services/Analyst Inquiry</t>
  </si>
  <si>
    <t>inquiry@gartner.com</t>
  </si>
  <si>
    <t>Vendor Briefings</t>
  </si>
  <si>
    <t>Vendor.Briefings@gartner.com</t>
  </si>
  <si>
    <t>Worldwide via gartner.com:</t>
  </si>
  <si>
    <t>www.gartner.com</t>
  </si>
  <si>
    <t>Vintage</t>
  </si>
  <si>
    <t>E</t>
  </si>
  <si>
    <t>F</t>
  </si>
  <si>
    <t>Exchange Rate</t>
  </si>
  <si>
    <t>Currency</t>
  </si>
  <si>
    <t>2019 Q4</t>
  </si>
  <si>
    <t>Argentinian Peso</t>
  </si>
  <si>
    <t>Australian Dollar</t>
  </si>
  <si>
    <t>Belgium Franc</t>
  </si>
  <si>
    <t>Bolivar Fuerte</t>
  </si>
  <si>
    <t>Brazilian Real</t>
  </si>
  <si>
    <t>British Pound</t>
  </si>
  <si>
    <t>Bulgarian Lev</t>
  </si>
  <si>
    <t>Canadian Dollar</t>
  </si>
  <si>
    <t>Chilean Peso</t>
  </si>
  <si>
    <t>Chinese Renminbi</t>
  </si>
  <si>
    <t>Colombian Peso</t>
  </si>
  <si>
    <t>Czech Koruna</t>
  </si>
  <si>
    <t>Denmark Krone</t>
  </si>
  <si>
    <t>Drachma</t>
  </si>
  <si>
    <t>Escudo</t>
  </si>
  <si>
    <t>Euro</t>
  </si>
  <si>
    <t>French Franc</t>
  </si>
  <si>
    <t>German Mark</t>
  </si>
  <si>
    <t>Guilder</t>
  </si>
  <si>
    <t>Hong Kong Dollar</t>
  </si>
  <si>
    <t>Hryvna</t>
  </si>
  <si>
    <t>Hungarian Forint</t>
  </si>
  <si>
    <t>Indian Rupee</t>
  </si>
  <si>
    <t>Indonesian Rupiah</t>
  </si>
  <si>
    <t>Israeli New Shekel</t>
  </si>
  <si>
    <t>Japanese Yen</t>
  </si>
  <si>
    <t>Lira</t>
  </si>
  <si>
    <t>Malaysian Ringgit</t>
  </si>
  <si>
    <t>Markka</t>
  </si>
  <si>
    <t>Mexican Peso</t>
  </si>
  <si>
    <t>New Sol</t>
  </si>
  <si>
    <t>New Zealand Dollar</t>
  </si>
  <si>
    <t>Norway Krone</t>
  </si>
  <si>
    <t>Peseta</t>
  </si>
  <si>
    <t>Philippinian Peso</t>
  </si>
  <si>
    <t>Polish Zloty</t>
  </si>
  <si>
    <t>Punt</t>
  </si>
  <si>
    <t>Romanian Lev</t>
  </si>
  <si>
    <t>Russian Ruble</t>
  </si>
  <si>
    <t>Saudi Arabia Riyal</t>
  </si>
  <si>
    <t>Schilling</t>
  </si>
  <si>
    <t>Singapore Dollar</t>
  </si>
  <si>
    <t>Slovakian Koruna</t>
  </si>
  <si>
    <t>South Africa Rand</t>
  </si>
  <si>
    <t>South Korea Won</t>
  </si>
  <si>
    <t>Swedish Krona</t>
  </si>
  <si>
    <t>Swiss Franc</t>
  </si>
  <si>
    <t>Taiwan Dollar</t>
  </si>
  <si>
    <t>Thai Baht</t>
  </si>
  <si>
    <t>Turkish New Lira</t>
  </si>
  <si>
    <t>US Dollar</t>
  </si>
  <si>
    <t>StartYear</t>
  </si>
  <si>
    <t>EndYear</t>
  </si>
  <si>
    <t>Exchange Vintage</t>
  </si>
  <si>
    <t>xRate</t>
  </si>
  <si>
    <t>Output Currency</t>
  </si>
  <si>
    <t>Semi Growth</t>
  </si>
  <si>
    <t>Table 1-2</t>
  </si>
  <si>
    <t>Table 1-3</t>
  </si>
  <si>
    <t>Front Page</t>
  </si>
  <si>
    <t>Top</t>
  </si>
  <si>
    <t>Table 1-4</t>
  </si>
  <si>
    <t>(All)</t>
  </si>
  <si>
    <t>Table 2-1</t>
  </si>
  <si>
    <t>Table 5-1: Exchange Rates Used in Creating This Report</t>
  </si>
  <si>
    <t>Gartner Currency Vintage:</t>
  </si>
  <si>
    <t>(Front Page)</t>
  </si>
  <si>
    <t xml:space="preserve">Gartner reports revenue in both local currency and U.S. dollars. To do this, Gartner maintains a database of past and future monthly exchange rates that is updated monthly and averaged quarterly by quarter and year. Past rates are drawn from rates reported by the U.S. Federal Reserve Bank of New York and the Pacific Exchange Rate Service. Market forecasts assume the latest exchange rates, projected forward as a constant. Gartner expressly does not forecast future exchange rates. </t>
  </si>
  <si>
    <t>Electronic Equipment</t>
  </si>
  <si>
    <t xml:space="preserve">  Consumer Electronics</t>
  </si>
  <si>
    <t>Semiconductor Device Segmentation</t>
  </si>
  <si>
    <t>Semiconductor Revenue (M$): Revenue from the sales of semiconductor (based on electronic equipment production)</t>
  </si>
  <si>
    <t>Semiconductor Unts (K): Units from the sales of semiconductor (based on electronic equipment production)</t>
  </si>
  <si>
    <t>Overview</t>
  </si>
  <si>
    <t xml:space="preserve">A pivot table is a view into a database in which the underlying structure of the data determines how the pivot table behaves. To the extent possible, Gartner has standardized </t>
  </si>
  <si>
    <t>on a common look and feel for the pivot table in all our statistical deliverables, but due to the nature of the data, there will be slight differences between reports.</t>
  </si>
  <si>
    <t xml:space="preserve">Gartner has reformatted the enclosed pivot tables to show the most common view of the data, but clients are encouraged to manipulate the pivot tables </t>
  </si>
  <si>
    <t>to see the underlying data/content.</t>
  </si>
  <si>
    <t>Calculating Growth Rates</t>
  </si>
  <si>
    <t>Gartner uses the following calculation to calculate growth rates:</t>
  </si>
  <si>
    <t>In Excel, that calculation is:</t>
  </si>
  <si>
    <t>=((ending-value/beginning-value)^(1/number-of-years))-1</t>
  </si>
  <si>
    <t>Filtering Pivot Tables</t>
  </si>
  <si>
    <t xml:space="preserve">Useful views of the same data set are presented in several tabs. For any of these views, by using the down arrows to select a market segment, </t>
  </si>
  <si>
    <t>you can narrow the data displayed; for example, to a particular region.</t>
  </si>
  <si>
    <t>Examining What Data Is Available</t>
  </si>
  <si>
    <t>When you click inside the pivot table, right-click and choose "Show Field List" (or use pivot table toolbar).</t>
  </si>
  <si>
    <t>You will see a list of all data categories that can be displayed; bold entries are already in the present view.</t>
  </si>
  <si>
    <t>You can also drag fields into your view from the field list.</t>
  </si>
  <si>
    <t>a</t>
  </si>
  <si>
    <t>b</t>
  </si>
  <si>
    <t>c</t>
  </si>
  <si>
    <t>d</t>
  </si>
  <si>
    <t>e</t>
  </si>
  <si>
    <t>f</t>
  </si>
  <si>
    <t>Other Application Specific</t>
  </si>
  <si>
    <t>Integrated Baseband/Application Processor</t>
  </si>
  <si>
    <t>Discrete Application/Multimedia Processor</t>
  </si>
  <si>
    <t>Automotive Electronics</t>
  </si>
  <si>
    <t>Communications Electronics</t>
  </si>
  <si>
    <t>Consumer Electronics</t>
  </si>
  <si>
    <t>Industrial Electronics</t>
  </si>
  <si>
    <t>Microprocessor - Compute</t>
  </si>
  <si>
    <t>2025 YR</t>
  </si>
  <si>
    <t>Microprocessor - Embedded</t>
  </si>
  <si>
    <t>Microcontroller (8/16/32 bit)</t>
  </si>
  <si>
    <t>Discrete Graphics Processing Unit</t>
  </si>
  <si>
    <t>Digital Signal Processor</t>
  </si>
  <si>
    <t>Discrete Graphics Processing Units (GPU)</t>
  </si>
  <si>
    <t>Microcontroller 8/16/32-bit)</t>
  </si>
  <si>
    <t>Microprocessor Compute</t>
  </si>
  <si>
    <t>Microprocessor Embedded</t>
  </si>
  <si>
    <t>Semiconductor Devices</t>
  </si>
  <si>
    <t>Desk-Based PC</t>
  </si>
  <si>
    <t>Notebook</t>
  </si>
  <si>
    <t>Ultramobile Basic, Clamshell</t>
  </si>
  <si>
    <t>Ultramobile Premium, Clamshell</t>
  </si>
  <si>
    <t>Ultramobile Basic, Hybrid</t>
  </si>
  <si>
    <t>Ultramobile Premium, Hybrid</t>
  </si>
  <si>
    <t>Ultramobile Basic, Tablet</t>
  </si>
  <si>
    <t>Ultramobile Premium, Tablet</t>
  </si>
  <si>
    <t>Ultramobile Utility, Tablet</t>
  </si>
  <si>
    <t>Flash Cards</t>
  </si>
  <si>
    <t>USB Flash Drives</t>
  </si>
  <si>
    <t>Hard Disk Drive</t>
  </si>
  <si>
    <t>Solid-State Drives</t>
  </si>
  <si>
    <t>Other ECB (HDD/Hybrid)</t>
  </si>
  <si>
    <t>Other Storage Electronics</t>
  </si>
  <si>
    <t>Basic Smartphone</t>
  </si>
  <si>
    <t>Other Wireless Communications Electronics</t>
  </si>
  <si>
    <t>Smart Speakers</t>
  </si>
  <si>
    <t>Other Consumer Electronics</t>
  </si>
  <si>
    <t>Other Industrial Electronics</t>
  </si>
  <si>
    <t>Premium Smartphone</t>
  </si>
  <si>
    <t>Utility Smartphone</t>
  </si>
  <si>
    <t>Other Wired Communications Electronics</t>
  </si>
  <si>
    <t>Utility Traditional Phone</t>
  </si>
  <si>
    <t>Digital Set-Top Box, Cable</t>
  </si>
  <si>
    <t>Digital Set-Top Box, IP/Other</t>
  </si>
  <si>
    <t>Digital Set-Top Box, Satellite</t>
  </si>
  <si>
    <t>Digital Set-Top Box, Terrestrial</t>
  </si>
  <si>
    <t>base year</t>
  </si>
  <si>
    <t>end year</t>
  </si>
  <si>
    <t>Compute Electronics</t>
  </si>
  <si>
    <t>Storage Electronics</t>
  </si>
  <si>
    <t>Wireless Communications Electronics</t>
  </si>
  <si>
    <t>Wired Communications Electronics</t>
  </si>
  <si>
    <t>Servers</t>
  </si>
  <si>
    <t>Accelerator Cards</t>
  </si>
  <si>
    <t>Other Compute Electronics</t>
  </si>
  <si>
    <t>ADAS-ECU (Level-2+/3/4)</t>
  </si>
  <si>
    <t>Automotive HPC</t>
  </si>
  <si>
    <t>Surveillance</t>
  </si>
  <si>
    <t>Other Security</t>
  </si>
  <si>
    <t>Agriculture</t>
  </si>
  <si>
    <t>Hearable</t>
  </si>
  <si>
    <t>Semiconductor Forecast Worldwide  Revenue — by Semiconductor Device, 2017-2023 ($M)</t>
  </si>
  <si>
    <t>Table 1-1</t>
  </si>
  <si>
    <t>StartY</t>
  </si>
  <si>
    <t>EndY</t>
  </si>
  <si>
    <t>$J$16</t>
  </si>
  <si>
    <r>
      <rPr>
        <b/>
        <sz val="9"/>
        <color indexed="8"/>
        <rFont val="Calibri"/>
        <family val="2"/>
        <scheme val="minor"/>
      </rPr>
      <t>Final Device Forecast ($M)</t>
    </r>
    <r>
      <rPr>
        <sz val="11"/>
        <color theme="1"/>
        <rFont val="Calibri"/>
        <family val="2"/>
        <scheme val="minor"/>
      </rPr>
      <t xml:space="preserve"> = Semiconductor device revenue from sales (Aggregatable Pivot Table)</t>
    </r>
  </si>
  <si>
    <r>
      <rPr>
        <b/>
        <sz val="9"/>
        <rFont val="Calibri"/>
        <family val="2"/>
        <scheme val="minor"/>
      </rPr>
      <t>Device Units (K)</t>
    </r>
    <r>
      <rPr>
        <sz val="11"/>
        <color theme="1"/>
        <rFont val="Calibri"/>
        <family val="2"/>
        <scheme val="minor"/>
      </rPr>
      <t xml:space="preserve"> = The total number of units consumed for a given device (Aggregatable Pivot Table), and in the case of memory devices, gigabytes.</t>
    </r>
  </si>
  <si>
    <t>AI Semiconductor Forecast Data Segmentation</t>
  </si>
  <si>
    <t>All Applications</t>
  </si>
  <si>
    <t>DVD Player/Recorder</t>
  </si>
  <si>
    <t>Pivot Table for Analysis — AI Semiconductors</t>
  </si>
  <si>
    <t>ADAS-ECU (Level-0/1/2)</t>
  </si>
  <si>
    <t>ADAS-Sensors and Connectivity</t>
  </si>
  <si>
    <t>Doc ID #</t>
  </si>
  <si>
    <t>AI Semiconductor Pivot Table</t>
  </si>
  <si>
    <t>Tips</t>
  </si>
  <si>
    <t>Data Measures</t>
  </si>
  <si>
    <t>1Q22</t>
  </si>
  <si>
    <t>750xxx</t>
  </si>
  <si>
    <t>2026 YR</t>
  </si>
  <si>
    <t>Gartner (April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</si>
</sst>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_(* #,##0_);_(* \(#,##0\);_(* &quot;-&quot;??_);_(@_)"/>
  </numFmts>
  <fonts count="37" x14ac:knownFonts="1">
    <font>
      <sz val="11"/>
      <color theme="1"/>
      <name val="Calibri"/>
      <family val="2"/>
      <scheme val="minor"/>
    </font>
    <font>
      <sz val="11"/>
      <color theme="1"/>
      <name val="Calibri"/>
      <family val="2"/>
      <scheme val="minor"/>
    </font>
    <font>
      <b/>
      <sz val="11"/>
      <color theme="1"/>
      <name val="Calibri"/>
      <family val="2"/>
      <scheme val="minor"/>
    </font>
    <font>
      <b/>
      <sz val="10"/>
      <name val="Arial"/>
      <family val="2"/>
    </font>
    <font>
      <u/>
      <sz val="9"/>
      <color indexed="12"/>
      <name val="Arial"/>
      <family val="2"/>
    </font>
    <font>
      <sz val="9"/>
      <name val="Arial"/>
      <family val="2"/>
    </font>
    <font>
      <b/>
      <sz val="9"/>
      <name val="Arial"/>
      <family val="2"/>
    </font>
    <font>
      <b/>
      <sz val="16"/>
      <color indexed="62"/>
      <name val="Arial"/>
      <family val="2"/>
    </font>
    <font>
      <b/>
      <sz val="16"/>
      <color rgb="FF333399"/>
      <name val="Arial"/>
      <family val="2"/>
    </font>
    <font>
      <i/>
      <sz val="12"/>
      <color rgb="FFC0504D"/>
      <name val="Times New Roman"/>
      <family val="1"/>
    </font>
    <font>
      <sz val="9"/>
      <color rgb="FFFF0000"/>
      <name val="Arial"/>
      <family val="2"/>
    </font>
    <font>
      <sz val="10"/>
      <color theme="1"/>
      <name val="Calibri"/>
      <family val="2"/>
      <scheme val="minor"/>
    </font>
    <font>
      <b/>
      <i/>
      <sz val="11"/>
      <color theme="1"/>
      <name val="Calibri"/>
      <family val="2"/>
      <scheme val="minor"/>
    </font>
    <font>
      <sz val="10"/>
      <name val="Arial"/>
      <family val="2"/>
    </font>
    <font>
      <sz val="8"/>
      <name val="Arial"/>
      <family val="2"/>
    </font>
    <font>
      <b/>
      <sz val="11"/>
      <color rgb="FF0033CC"/>
      <name val="Calibri"/>
      <family val="2"/>
      <scheme val="minor"/>
    </font>
    <font>
      <u/>
      <sz val="10"/>
      <color indexed="12"/>
      <name val="Arial"/>
      <family val="2"/>
    </font>
    <font>
      <sz val="11"/>
      <color rgb="FF000000"/>
      <name val="Calibri"/>
      <family val="2"/>
    </font>
    <font>
      <sz val="11"/>
      <color rgb="FFFF0000"/>
      <name val="Calibri"/>
      <family val="2"/>
      <scheme val="minor"/>
    </font>
    <font>
      <b/>
      <sz val="16"/>
      <color indexed="62"/>
      <name val="Calibri"/>
      <family val="2"/>
      <scheme val="minor"/>
    </font>
    <font>
      <u/>
      <sz val="9"/>
      <color indexed="12"/>
      <name val="Calibri"/>
      <family val="2"/>
      <scheme val="minor"/>
    </font>
    <font>
      <sz val="9"/>
      <name val="Calibri"/>
      <family val="2"/>
      <scheme val="minor"/>
    </font>
    <font>
      <sz val="16"/>
      <color rgb="FF0033CC"/>
      <name val="Calibri"/>
      <family val="2"/>
      <scheme val="minor"/>
    </font>
    <font>
      <sz val="14"/>
      <color rgb="FF0033CC"/>
      <name val="Calibri"/>
      <family val="2"/>
      <scheme val="minor"/>
    </font>
    <font>
      <sz val="14"/>
      <color rgb="FF003399"/>
      <name val="Calibri"/>
      <family val="2"/>
      <scheme val="minor"/>
    </font>
    <font>
      <b/>
      <sz val="9"/>
      <color indexed="8"/>
      <name val="Calibri"/>
      <family val="2"/>
      <scheme val="minor"/>
    </font>
    <font>
      <b/>
      <sz val="9"/>
      <name val="Calibri"/>
      <family val="2"/>
      <scheme val="minor"/>
    </font>
    <font>
      <sz val="10"/>
      <name val="Calibri"/>
      <family val="2"/>
      <scheme val="minor"/>
    </font>
    <font>
      <u/>
      <sz val="12"/>
      <color indexed="12"/>
      <name val="Calibri"/>
      <family val="2"/>
      <scheme val="minor"/>
    </font>
    <font>
      <sz val="16"/>
      <color theme="1"/>
      <name val="Calibri"/>
      <family val="2"/>
      <scheme val="minor"/>
    </font>
    <font>
      <sz val="16"/>
      <name val="Calibri"/>
      <family val="2"/>
      <scheme val="minor"/>
    </font>
    <font>
      <b/>
      <sz val="11"/>
      <name val="Calibri"/>
      <family val="2"/>
      <scheme val="minor"/>
    </font>
    <font>
      <sz val="9"/>
      <color theme="1"/>
      <name val="Calibri"/>
      <family val="2"/>
      <scheme val="minor"/>
    </font>
    <font>
      <b/>
      <sz val="10"/>
      <color theme="1"/>
      <name val="Calibri"/>
      <family val="2"/>
      <scheme val="minor"/>
    </font>
    <font>
      <b/>
      <sz val="10"/>
      <name val="Calibri"/>
      <family val="2"/>
      <scheme val="minor"/>
    </font>
    <font>
      <sz val="9"/>
      <color theme="1"/>
      <name val="Arial"/>
      <family val="2"/>
    </font>
    <font>
      <b/>
      <sz val="16"/>
      <color theme="4" tint="-0.249977111117893"/>
      <name val="Arial"/>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39">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ck">
        <color rgb="FF0033CC"/>
      </left>
      <right/>
      <top style="thick">
        <color rgb="FF0033CC"/>
      </top>
      <bottom/>
      <diagonal/>
    </border>
    <border>
      <left/>
      <right/>
      <top style="thick">
        <color rgb="FF0033CC"/>
      </top>
      <bottom/>
      <diagonal/>
    </border>
    <border>
      <left/>
      <right style="thick">
        <color rgb="FF0033CC"/>
      </right>
      <top style="thick">
        <color rgb="FF0033CC"/>
      </top>
      <bottom/>
      <diagonal/>
    </border>
    <border>
      <left style="thick">
        <color rgb="FF0033CC"/>
      </left>
      <right/>
      <top/>
      <bottom/>
      <diagonal/>
    </border>
    <border>
      <left/>
      <right style="thick">
        <color rgb="FF0033CC"/>
      </right>
      <top/>
      <bottom/>
      <diagonal/>
    </border>
    <border>
      <left style="thick">
        <color rgb="FF0033CC"/>
      </left>
      <right/>
      <top/>
      <bottom style="thick">
        <color rgb="FF0033CC"/>
      </bottom>
      <diagonal/>
    </border>
    <border>
      <left/>
      <right/>
      <top/>
      <bottom style="thick">
        <color rgb="FF0033CC"/>
      </bottom>
      <diagonal/>
    </border>
    <border>
      <left/>
      <right style="thick">
        <color rgb="FF0033CC"/>
      </right>
      <top/>
      <bottom style="thick">
        <color rgb="FF0033CC"/>
      </bottom>
      <diagonal/>
    </border>
    <border>
      <left style="thick">
        <color rgb="FF0033CC"/>
      </left>
      <right/>
      <top/>
      <bottom style="thin">
        <color indexed="64"/>
      </bottom>
      <diagonal/>
    </border>
    <border>
      <left/>
      <right style="thick">
        <color rgb="FF0033CC"/>
      </right>
      <top/>
      <bottom style="thin">
        <color indexed="64"/>
      </bottom>
      <diagonal/>
    </border>
    <border>
      <left/>
      <right/>
      <top style="thin">
        <color theme="4" tint="0.39997558519241921"/>
      </top>
      <bottom/>
      <diagonal/>
    </border>
    <border>
      <left style="thick">
        <color rgb="FF0070C0"/>
      </left>
      <right/>
      <top style="thick">
        <color rgb="FF0070C0"/>
      </top>
      <bottom/>
      <diagonal/>
    </border>
    <border>
      <left/>
      <right/>
      <top style="thick">
        <color rgb="FF0070C0"/>
      </top>
      <bottom/>
      <diagonal/>
    </border>
    <border>
      <left style="thick">
        <color theme="4"/>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ck">
        <color theme="4"/>
      </left>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ck">
        <color theme="4"/>
      </left>
      <right/>
      <top/>
      <bottom style="thick">
        <color rgb="FF0070C0"/>
      </bottom>
      <diagonal/>
    </border>
    <border>
      <left/>
      <right style="thick">
        <color rgb="FF0070C0"/>
      </right>
      <top/>
      <bottom style="thick">
        <color rgb="FF0070C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1">
    <xf numFmtId="0" fontId="0" fillId="0" borderId="0"/>
    <xf numFmtId="9" fontId="1" fillId="0" borderId="0" applyFont="0" applyFill="0" applyBorder="0" applyAlignment="0" applyProtection="0"/>
    <xf numFmtId="0" fontId="4" fillId="0" borderId="0" applyNumberFormat="0" applyFill="0" applyBorder="0" applyAlignment="0" applyProtection="0">
      <alignment vertical="top"/>
      <protection locked="0"/>
    </xf>
    <xf numFmtId="49" fontId="5" fillId="0" borderId="0">
      <alignment horizontal="right"/>
    </xf>
    <xf numFmtId="3" fontId="6" fillId="0" borderId="0" applyNumberFormat="0"/>
    <xf numFmtId="3" fontId="7" fillId="0" borderId="0"/>
    <xf numFmtId="3" fontId="5" fillId="0" borderId="0"/>
    <xf numFmtId="3" fontId="5" fillId="0" borderId="0"/>
    <xf numFmtId="0" fontId="13" fillId="0" borderId="0"/>
    <xf numFmtId="3" fontId="14" fillId="0" borderId="0"/>
    <xf numFmtId="0" fontId="16" fillId="0" borderId="0" applyNumberFormat="0" applyFill="0" applyBorder="0" applyAlignment="0" applyProtection="0">
      <alignment vertical="top"/>
      <protection locked="0"/>
    </xf>
  </cellStyleXfs>
  <cellXfs count="172">
    <xf numFmtId="0" fontId="0" fillId="0" borderId="0" xfId="0"/>
    <xf numFmtId="0" fontId="0" fillId="0" borderId="0" xfId="0" applyNumberFormat="1"/>
    <xf numFmtId="0" fontId="0" fillId="0" borderId="0" xfId="0" pivotButton="1"/>
    <xf numFmtId="3" fontId="0" fillId="0" borderId="0" xfId="0" applyNumberFormat="1"/>
    <xf numFmtId="3" fontId="4" fillId="0" borderId="0" xfId="2" applyNumberFormat="1" applyAlignment="1" applyProtection="1"/>
    <xf numFmtId="49" fontId="5" fillId="0" borderId="0" xfId="3" applyNumberFormat="1" applyFont="1" applyAlignment="1">
      <alignment horizontal="right"/>
    </xf>
    <xf numFmtId="0" fontId="4" fillId="0" borderId="0" xfId="2" applyAlignment="1" applyProtection="1"/>
    <xf numFmtId="49" fontId="6" fillId="0" borderId="0" xfId="0" applyNumberFormat="1" applyFont="1" applyAlignment="1">
      <alignment horizontal="left"/>
    </xf>
    <xf numFmtId="49" fontId="6" fillId="0" borderId="0" xfId="4" applyNumberFormat="1" applyFont="1" applyAlignment="1">
      <alignment horizontal="left"/>
    </xf>
    <xf numFmtId="3" fontId="6" fillId="0" borderId="0" xfId="4"/>
    <xf numFmtId="49" fontId="5" fillId="0" borderId="0" xfId="0" applyNumberFormat="1" applyFont="1" applyAlignment="1">
      <alignment horizontal="right"/>
    </xf>
    <xf numFmtId="0" fontId="0" fillId="0" borderId="0" xfId="0" applyAlignment="1"/>
    <xf numFmtId="3" fontId="8" fillId="0" borderId="0" xfId="5" applyFont="1" applyAlignment="1">
      <alignment wrapText="1"/>
    </xf>
    <xf numFmtId="0" fontId="0" fillId="0" borderId="0" xfId="0" applyAlignment="1">
      <alignment wrapText="1"/>
    </xf>
    <xf numFmtId="0" fontId="9" fillId="0" borderId="0" xfId="0" applyFont="1"/>
    <xf numFmtId="3" fontId="4" fillId="0" borderId="0" xfId="2" applyNumberFormat="1" applyFont="1" applyAlignment="1" applyProtection="1"/>
    <xf numFmtId="0" fontId="6" fillId="0" borderId="0" xfId="0" applyFont="1"/>
    <xf numFmtId="49" fontId="5" fillId="0" borderId="0" xfId="3" quotePrefix="1" applyNumberFormat="1" applyFont="1" applyAlignment="1">
      <alignment horizontal="right"/>
    </xf>
    <xf numFmtId="0" fontId="4" fillId="0" borderId="0" xfId="2" applyAlignment="1" applyProtection="1">
      <alignment horizontal="left"/>
    </xf>
    <xf numFmtId="3" fontId="7" fillId="0" borderId="0" xfId="5"/>
    <xf numFmtId="0" fontId="10" fillId="0" borderId="0" xfId="0" applyFont="1"/>
    <xf numFmtId="3" fontId="4" fillId="0" borderId="0" xfId="2" quotePrefix="1" applyNumberFormat="1" applyAlignment="1" applyProtection="1">
      <alignment horizontal="right"/>
    </xf>
    <xf numFmtId="3" fontId="4" fillId="0" borderId="0" xfId="2" applyNumberFormat="1" applyAlignment="1" applyProtection="1">
      <alignment horizontal="right"/>
    </xf>
    <xf numFmtId="3" fontId="5" fillId="0" borderId="0" xfId="6"/>
    <xf numFmtId="0" fontId="7" fillId="0" borderId="0" xfId="0" applyFont="1" applyBorder="1"/>
    <xf numFmtId="0" fontId="0" fillId="0" borderId="1" xfId="0" applyBorder="1"/>
    <xf numFmtId="0" fontId="0" fillId="3" borderId="1" xfId="0" applyFill="1" applyBorder="1"/>
    <xf numFmtId="164" fontId="0" fillId="3" borderId="0" xfId="1" applyNumberFormat="1" applyFont="1" applyFill="1" applyBorder="1"/>
    <xf numFmtId="164" fontId="0" fillId="3" borderId="6" xfId="1" applyNumberFormat="1" applyFont="1" applyFill="1" applyBorder="1"/>
    <xf numFmtId="0" fontId="0" fillId="0" borderId="13" xfId="0" applyBorder="1"/>
    <xf numFmtId="3" fontId="5" fillId="0" borderId="0" xfId="7"/>
    <xf numFmtId="3" fontId="0" fillId="0" borderId="0" xfId="7" applyFont="1"/>
    <xf numFmtId="17" fontId="0" fillId="0" borderId="0" xfId="0" quotePrefix="1" applyNumberFormat="1"/>
    <xf numFmtId="0" fontId="0" fillId="0" borderId="0" xfId="0" applyAlignment="1">
      <alignment horizontal="right"/>
    </xf>
    <xf numFmtId="164" fontId="0" fillId="3" borderId="0" xfId="1" applyNumberFormat="1" applyFont="1" applyFill="1" applyBorder="1" applyAlignment="1">
      <alignment horizontal="right"/>
    </xf>
    <xf numFmtId="0" fontId="11" fillId="0" borderId="0" xfId="0" applyFont="1"/>
    <xf numFmtId="0" fontId="2" fillId="0" borderId="0" xfId="0" applyFont="1"/>
    <xf numFmtId="3" fontId="2" fillId="0" borderId="0" xfId="0" applyNumberFormat="1" applyFont="1"/>
    <xf numFmtId="0" fontId="0" fillId="0" borderId="4" xfId="0" applyBorder="1"/>
    <xf numFmtId="0" fontId="0" fillId="0" borderId="5" xfId="0" applyBorder="1"/>
    <xf numFmtId="3" fontId="0" fillId="0" borderId="0" xfId="0" applyNumberFormat="1" applyBorder="1"/>
    <xf numFmtId="3" fontId="0" fillId="0" borderId="6" xfId="0" applyNumberFormat="1" applyBorder="1"/>
    <xf numFmtId="0" fontId="0" fillId="0" borderId="7" xfId="0" applyBorder="1"/>
    <xf numFmtId="3" fontId="0" fillId="0" borderId="8" xfId="0" applyNumberFormat="1" applyBorder="1"/>
    <xf numFmtId="3" fontId="0" fillId="0" borderId="9" xfId="0" applyNumberFormat="1" applyBorder="1"/>
    <xf numFmtId="0" fontId="0" fillId="0" borderId="10" xfId="0" pivotButton="1" applyBorder="1"/>
    <xf numFmtId="0" fontId="0" fillId="0" borderId="12" xfId="0" applyBorder="1"/>
    <xf numFmtId="3" fontId="0" fillId="0" borderId="3" xfId="0" applyNumberFormat="1" applyBorder="1"/>
    <xf numFmtId="3" fontId="0" fillId="0" borderId="4" xfId="0" applyNumberFormat="1" applyBorder="1"/>
    <xf numFmtId="3" fontId="0" fillId="0" borderId="5" xfId="0" applyNumberFormat="1" applyBorder="1"/>
    <xf numFmtId="3" fontId="0" fillId="0" borderId="1" xfId="0" applyNumberFormat="1" applyBorder="1"/>
    <xf numFmtId="3" fontId="0" fillId="0" borderId="7" xfId="0" applyNumberFormat="1" applyBorder="1"/>
    <xf numFmtId="0" fontId="0" fillId="0" borderId="2" xfId="0" pivotButton="1" applyBorder="1"/>
    <xf numFmtId="0" fontId="0" fillId="0" borderId="10" xfId="0" applyBorder="1"/>
    <xf numFmtId="0" fontId="0" fillId="0" borderId="11" xfId="0" applyBorder="1"/>
    <xf numFmtId="0" fontId="12" fillId="0" borderId="0" xfId="0" applyFont="1"/>
    <xf numFmtId="0" fontId="2" fillId="0" borderId="0" xfId="0" applyFont="1" applyAlignment="1">
      <alignment horizontal="right"/>
    </xf>
    <xf numFmtId="165" fontId="0" fillId="0" borderId="0" xfId="0" applyNumberFormat="1" applyBorder="1"/>
    <xf numFmtId="166" fontId="6" fillId="2" borderId="0" xfId="0" applyNumberFormat="1" applyFont="1" applyFill="1" applyBorder="1"/>
    <xf numFmtId="166" fontId="0" fillId="2" borderId="0" xfId="8" applyNumberFormat="1" applyFont="1" applyFill="1" applyBorder="1"/>
    <xf numFmtId="0" fontId="6" fillId="2" borderId="0" xfId="8" applyFont="1" applyFill="1" applyAlignment="1">
      <alignment horizontal="right"/>
    </xf>
    <xf numFmtId="166" fontId="3" fillId="2" borderId="0" xfId="8" applyNumberFormat="1" applyFont="1" applyFill="1" applyBorder="1"/>
    <xf numFmtId="3" fontId="8" fillId="0" borderId="0" xfId="5" applyFont="1" applyAlignment="1">
      <alignment horizontal="left"/>
    </xf>
    <xf numFmtId="0" fontId="5" fillId="0" borderId="0" xfId="0" applyFont="1" applyBorder="1" applyAlignment="1">
      <alignment horizontal="right"/>
    </xf>
    <xf numFmtId="0" fontId="5" fillId="0" borderId="0" xfId="0" applyFont="1" applyBorder="1" applyAlignment="1">
      <alignment horizontal="right" wrapText="1"/>
    </xf>
    <xf numFmtId="0" fontId="5" fillId="0" borderId="0" xfId="0" applyFont="1" applyBorder="1"/>
    <xf numFmtId="3" fontId="4" fillId="0" borderId="0" xfId="2" applyNumberFormat="1" applyBorder="1" applyAlignment="1" applyProtection="1">
      <alignment horizontal="right"/>
    </xf>
    <xf numFmtId="0" fontId="13" fillId="2" borderId="0" xfId="8" applyFill="1"/>
    <xf numFmtId="165" fontId="0" fillId="0" borderId="6" xfId="0" applyNumberFormat="1" applyBorder="1"/>
    <xf numFmtId="165" fontId="0" fillId="0" borderId="8" xfId="0" applyNumberFormat="1" applyBorder="1"/>
    <xf numFmtId="165" fontId="0" fillId="0" borderId="9" xfId="0" applyNumberFormat="1" applyBorder="1"/>
    <xf numFmtId="0" fontId="2" fillId="0" borderId="3" xfId="0" applyFont="1" applyBorder="1"/>
    <xf numFmtId="0" fontId="2" fillId="0" borderId="7" xfId="0" applyFont="1" applyBorder="1"/>
    <xf numFmtId="0" fontId="2" fillId="0" borderId="8" xfId="0" applyFont="1" applyBorder="1"/>
    <xf numFmtId="0" fontId="2" fillId="0" borderId="9" xfId="0" applyFont="1" applyBorder="1"/>
    <xf numFmtId="3" fontId="7" fillId="0" borderId="0" xfId="5" applyFont="1"/>
    <xf numFmtId="0" fontId="3" fillId="0" borderId="0" xfId="0" applyNumberFormat="1" applyFont="1"/>
    <xf numFmtId="0" fontId="13" fillId="0" borderId="0" xfId="0" applyNumberFormat="1" applyFont="1"/>
    <xf numFmtId="0" fontId="16" fillId="0" borderId="0" xfId="10" applyAlignment="1" applyProtection="1">
      <alignment horizontal="left"/>
    </xf>
    <xf numFmtId="0" fontId="0" fillId="3" borderId="0" xfId="0" applyFill="1" applyBorder="1"/>
    <xf numFmtId="0" fontId="0" fillId="3" borderId="11" xfId="0" applyFill="1" applyBorder="1"/>
    <xf numFmtId="0" fontId="0" fillId="3" borderId="12" xfId="0" applyFill="1" applyBorder="1"/>
    <xf numFmtId="0" fontId="2" fillId="3" borderId="1" xfId="0" applyFont="1" applyFill="1" applyBorder="1"/>
    <xf numFmtId="0" fontId="4" fillId="3" borderId="0" xfId="2" applyFill="1" applyBorder="1" applyAlignment="1" applyProtection="1"/>
    <xf numFmtId="3" fontId="2" fillId="3" borderId="10" xfId="0" applyNumberFormat="1" applyFont="1" applyFill="1" applyBorder="1"/>
    <xf numFmtId="0" fontId="18" fillId="0" borderId="0" xfId="0" applyFont="1"/>
    <xf numFmtId="0" fontId="0" fillId="4" borderId="0" xfId="0" applyFill="1"/>
    <xf numFmtId="0" fontId="2" fillId="5" borderId="0" xfId="0" applyFont="1" applyFill="1"/>
    <xf numFmtId="0" fontId="2" fillId="5" borderId="24" xfId="0" applyFont="1" applyFill="1" applyBorder="1"/>
    <xf numFmtId="164" fontId="2" fillId="5" borderId="24" xfId="1" applyNumberFormat="1" applyFont="1" applyFill="1" applyBorder="1"/>
    <xf numFmtId="0" fontId="0" fillId="0" borderId="2" xfId="0" applyBorder="1"/>
    <xf numFmtId="3" fontId="4" fillId="0" borderId="0" xfId="2" applyNumberFormat="1" applyAlignment="1" applyProtection="1">
      <alignment horizontal="left"/>
    </xf>
    <xf numFmtId="3" fontId="19" fillId="0" borderId="15" xfId="5" applyFont="1" applyBorder="1"/>
    <xf numFmtId="3" fontId="19" fillId="0" borderId="16" xfId="5" applyFont="1" applyBorder="1"/>
    <xf numFmtId="3" fontId="19" fillId="0" borderId="0" xfId="5" applyFont="1"/>
    <xf numFmtId="3" fontId="19" fillId="0" borderId="17" xfId="5" applyFont="1" applyBorder="1"/>
    <xf numFmtId="3" fontId="20" fillId="0" borderId="0" xfId="2" applyNumberFormat="1" applyFont="1" applyBorder="1" applyAlignment="1" applyProtection="1">
      <alignment horizontal="right"/>
    </xf>
    <xf numFmtId="3" fontId="19" fillId="0" borderId="18" xfId="5" applyFont="1" applyBorder="1"/>
    <xf numFmtId="0" fontId="1" fillId="0" borderId="17" xfId="0" applyFont="1" applyBorder="1"/>
    <xf numFmtId="0" fontId="1" fillId="0" borderId="0" xfId="0" applyFont="1"/>
    <xf numFmtId="0" fontId="1" fillId="0" borderId="18" xfId="0" applyFont="1" applyBorder="1"/>
    <xf numFmtId="0" fontId="21" fillId="0" borderId="0" xfId="0" applyFont="1"/>
    <xf numFmtId="0" fontId="23" fillId="0" borderId="17" xfId="0" applyFont="1" applyBorder="1"/>
    <xf numFmtId="0" fontId="24" fillId="0" borderId="0" xfId="0" applyFont="1"/>
    <xf numFmtId="0" fontId="27" fillId="0" borderId="17" xfId="0" applyFont="1" applyBorder="1"/>
    <xf numFmtId="0" fontId="28" fillId="0" borderId="22" xfId="2" applyNumberFormat="1" applyFont="1" applyBorder="1" applyAlignment="1" applyProtection="1">
      <alignment horizontal="left"/>
    </xf>
    <xf numFmtId="0" fontId="29" fillId="0" borderId="0" xfId="0" applyFont="1"/>
    <xf numFmtId="0" fontId="29" fillId="0" borderId="18" xfId="0" applyFont="1" applyBorder="1"/>
    <xf numFmtId="0" fontId="30" fillId="0" borderId="0" xfId="0" applyFont="1"/>
    <xf numFmtId="0" fontId="1" fillId="0" borderId="19" xfId="0" applyFont="1" applyBorder="1"/>
    <xf numFmtId="0" fontId="1" fillId="0" borderId="20" xfId="0" applyFont="1" applyBorder="1"/>
    <xf numFmtId="0" fontId="1" fillId="0" borderId="21" xfId="0" applyFont="1" applyBorder="1"/>
    <xf numFmtId="0" fontId="1" fillId="0" borderId="28" xfId="0" applyFont="1" applyBorder="1"/>
    <xf numFmtId="0" fontId="21" fillId="0" borderId="29" xfId="0" applyFont="1" applyBorder="1"/>
    <xf numFmtId="0" fontId="21" fillId="0" borderId="30" xfId="0" applyFont="1" applyBorder="1"/>
    <xf numFmtId="0" fontId="26" fillId="0" borderId="0" xfId="0" applyFont="1"/>
    <xf numFmtId="0" fontId="1" fillId="0" borderId="31" xfId="0" applyFont="1" applyBorder="1"/>
    <xf numFmtId="0" fontId="31" fillId="0" borderId="29" xfId="0" applyFont="1" applyBorder="1"/>
    <xf numFmtId="0" fontId="27" fillId="0" borderId="0" xfId="0" applyFont="1"/>
    <xf numFmtId="10" fontId="31" fillId="0" borderId="29" xfId="0" applyNumberFormat="1" applyFont="1" applyBorder="1"/>
    <xf numFmtId="0" fontId="31" fillId="0" borderId="0" xfId="0" applyFont="1"/>
    <xf numFmtId="0" fontId="27" fillId="0" borderId="29" xfId="0" applyFont="1" applyBorder="1"/>
    <xf numFmtId="0" fontId="32" fillId="0" borderId="0" xfId="0" applyFont="1"/>
    <xf numFmtId="0" fontId="33" fillId="0" borderId="0" xfId="0" applyFont="1"/>
    <xf numFmtId="0" fontId="34" fillId="0" borderId="0" xfId="0" applyFont="1"/>
    <xf numFmtId="0" fontId="33" fillId="0" borderId="29" xfId="0" applyFont="1" applyBorder="1"/>
    <xf numFmtId="0" fontId="27" fillId="0" borderId="0" xfId="0" applyFont="1" applyAlignment="1">
      <alignment horizontal="left" indent="2"/>
    </xf>
    <xf numFmtId="0" fontId="21" fillId="0" borderId="31" xfId="0" applyFont="1" applyBorder="1"/>
    <xf numFmtId="0" fontId="21" fillId="0" borderId="32" xfId="0" applyFont="1" applyBorder="1"/>
    <xf numFmtId="0" fontId="21" fillId="0" borderId="33" xfId="0" applyFont="1" applyBorder="1"/>
    <xf numFmtId="0" fontId="27" fillId="0" borderId="33" xfId="0" applyFont="1" applyBorder="1"/>
    <xf numFmtId="0" fontId="11" fillId="0" borderId="33" xfId="0" applyFont="1" applyBorder="1"/>
    <xf numFmtId="0" fontId="21" fillId="0" borderId="34" xfId="0" applyFont="1" applyBorder="1"/>
    <xf numFmtId="0" fontId="21" fillId="0" borderId="35" xfId="0" applyFont="1" applyBorder="1"/>
    <xf numFmtId="0" fontId="0" fillId="0" borderId="36" xfId="0" applyBorder="1"/>
    <xf numFmtId="0" fontId="0" fillId="0" borderId="37" xfId="0" applyBorder="1"/>
    <xf numFmtId="0" fontId="0" fillId="0" borderId="38" xfId="0" applyBorder="1"/>
    <xf numFmtId="0" fontId="2" fillId="6" borderId="36" xfId="0" applyFont="1" applyFill="1" applyBorder="1"/>
    <xf numFmtId="0" fontId="2" fillId="6" borderId="37" xfId="0" applyFont="1" applyFill="1" applyBorder="1"/>
    <xf numFmtId="164" fontId="0" fillId="0" borderId="37" xfId="1" applyNumberFormat="1" applyFont="1" applyBorder="1"/>
    <xf numFmtId="164" fontId="2" fillId="6" borderId="38" xfId="1" applyNumberFormat="1" applyFont="1" applyFill="1" applyBorder="1"/>
    <xf numFmtId="0" fontId="0" fillId="3" borderId="8" xfId="0" applyFill="1" applyBorder="1"/>
    <xf numFmtId="0" fontId="5" fillId="0" borderId="0" xfId="7" applyNumberFormat="1"/>
    <xf numFmtId="49" fontId="5" fillId="0" borderId="0" xfId="3" applyFont="1">
      <alignment horizontal="right"/>
    </xf>
    <xf numFmtId="0" fontId="35" fillId="0" borderId="0" xfId="0" applyFont="1"/>
    <xf numFmtId="49" fontId="35" fillId="0" borderId="0" xfId="3" quotePrefix="1" applyNumberFormat="1" applyFont="1" applyAlignment="1">
      <alignment horizontal="right"/>
    </xf>
    <xf numFmtId="16" fontId="35" fillId="0" borderId="0" xfId="0" quotePrefix="1" applyNumberFormat="1" applyFont="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3" fontId="4" fillId="0" borderId="0" xfId="2" applyNumberFormat="1" applyAlignment="1" applyProtection="1">
      <alignment horizontal="left"/>
    </xf>
    <xf numFmtId="3" fontId="4" fillId="0" borderId="0" xfId="2" applyNumberFormat="1" applyAlignment="1" applyProtection="1"/>
    <xf numFmtId="3" fontId="8" fillId="0" borderId="0" xfId="5" applyFont="1" applyAlignment="1">
      <alignment wrapText="1"/>
    </xf>
    <xf numFmtId="0" fontId="0" fillId="0" borderId="0" xfId="0" applyAlignment="1">
      <alignment wrapText="1"/>
    </xf>
    <xf numFmtId="3" fontId="4" fillId="0" borderId="0" xfId="2" applyNumberFormat="1" applyBorder="1" applyAlignment="1" applyProtection="1"/>
    <xf numFmtId="3" fontId="4" fillId="2" borderId="0" xfId="2" applyNumberFormat="1" applyFill="1" applyAlignment="1" applyProtection="1"/>
    <xf numFmtId="3" fontId="4" fillId="0" borderId="0" xfId="2" applyNumberFormat="1" applyAlignment="1" applyProtection="1">
      <alignment horizontal="left"/>
    </xf>
    <xf numFmtId="3" fontId="5" fillId="2" borderId="0" xfId="9" applyFont="1" applyFill="1" applyAlignment="1">
      <alignment wrapText="1"/>
    </xf>
    <xf numFmtId="0" fontId="22" fillId="0" borderId="14" xfId="0" applyFont="1" applyBorder="1" applyAlignment="1">
      <alignment horizontal="center"/>
    </xf>
    <xf numFmtId="0" fontId="22" fillId="0" borderId="15" xfId="0" applyFont="1" applyBorder="1" applyAlignment="1">
      <alignment horizontal="center"/>
    </xf>
    <xf numFmtId="0" fontId="22" fillId="0" borderId="16" xfId="0" applyFont="1" applyBorder="1" applyAlignment="1">
      <alignment horizontal="center"/>
    </xf>
    <xf numFmtId="0" fontId="22" fillId="0" borderId="22" xfId="0" applyFont="1" applyBorder="1" applyAlignment="1">
      <alignment horizontal="center"/>
    </xf>
    <xf numFmtId="0" fontId="22" fillId="0" borderId="8" xfId="0" applyFont="1" applyBorder="1" applyAlignment="1">
      <alignment horizontal="center"/>
    </xf>
    <xf numFmtId="0" fontId="22" fillId="0" borderId="23" xfId="0" applyFont="1" applyBorder="1" applyAlignment="1">
      <alignment horizontal="center"/>
    </xf>
    <xf numFmtId="0" fontId="22" fillId="0" borderId="17" xfId="0" applyFont="1" applyBorder="1" applyAlignment="1">
      <alignment horizontal="center"/>
    </xf>
    <xf numFmtId="0" fontId="22" fillId="0" borderId="0" xfId="0" applyFont="1" applyAlignment="1">
      <alignment horizontal="center"/>
    </xf>
    <xf numFmtId="0" fontId="22" fillId="0" borderId="18" xfId="0" applyFont="1" applyBorder="1" applyAlignment="1">
      <alignment horizontal="center"/>
    </xf>
    <xf numFmtId="0" fontId="15" fillId="0" borderId="25" xfId="0" applyFont="1" applyBorder="1" applyAlignment="1">
      <alignment horizontal="center"/>
    </xf>
    <xf numFmtId="0" fontId="15" fillId="0" borderId="26" xfId="0" applyFont="1" applyBorder="1" applyAlignment="1">
      <alignment horizontal="center"/>
    </xf>
    <xf numFmtId="0" fontId="15" fillId="0" borderId="27" xfId="0" applyFont="1" applyBorder="1" applyAlignment="1">
      <alignment horizontal="center"/>
    </xf>
    <xf numFmtId="0" fontId="36" fillId="0" borderId="0" xfId="0" applyFont="1"/>
    <xf numFmtId="3" fontId="7" fillId="0" borderId="14" xfId="5" applyFont="1" applyBorder="1"/>
  </cellXfs>
  <cellStyles count="11">
    <cellStyle name="Hyperlink" xfId="2" builtinId="8"/>
    <cellStyle name="Hyperlink_Pivot_Table_Tips" xfId="10" xr:uid="{85484547-013D-4BA5-8D94-AF76C045B767}"/>
    <cellStyle name="Normal" xfId="0" builtinId="0"/>
    <cellStyle name="Normal 2" xfId="7" xr:uid="{C3FDB112-F324-40A4-B430-07510B5C7421}"/>
    <cellStyle name="Normal 2 2" xfId="8" xr:uid="{13E645C9-8B16-452B-B6B6-216F537F80DB}"/>
    <cellStyle name="Percent" xfId="1" builtinId="5"/>
    <cellStyle name="Ref Numbers" xfId="3" xr:uid="{93740596-A1DE-46CA-BEC9-8CF4BF7F91FB}"/>
    <cellStyle name="Source Line" xfId="9" xr:uid="{66DBB4F9-9DDC-46B3-A7D0-B16F85317EAD}"/>
    <cellStyle name="Style 1" xfId="6" xr:uid="{96A50207-0305-448D-8F11-6C40FBBCC97A}"/>
    <cellStyle name="Table Heading" xfId="4" xr:uid="{E1433ADD-FDC9-4084-9BEE-5FF294924CA6}"/>
    <cellStyle name="Title Line" xfId="5" xr:uid="{526AA4F0-BA75-475F-B395-A5100635DC4F}"/>
  </cellStyles>
  <dxfs count="16">
    <dxf>
      <alignment horizontal="right"/>
    </dxf>
    <dxf>
      <numFmt numFmtId="4" formatCode="#,##0.00"/>
    </dxf>
    <dxf>
      <numFmt numFmtId="3" formatCode="#,##0"/>
    </dxf>
    <dxf>
      <numFmt numFmtId="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www.gartner.com/en/about/ombuds/ombuds-guide" TargetMode="External"/><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292091</xdr:colOff>
      <xdr:row>18</xdr:row>
      <xdr:rowOff>21920</xdr:rowOff>
    </xdr:to>
    <xdr:pic>
      <xdr:nvPicPr>
        <xdr:cNvPr id="2" name="Picture 1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7814799" cy="2591628"/>
        </a:xfrm>
        <a:prstGeom prst="rect">
          <a:avLst/>
        </a:prstGeom>
        <a:noFill/>
        <a:ln w="9525">
          <a:noFill/>
          <a:miter lim="800000"/>
          <a:headEnd/>
          <a:tailEnd/>
        </a:ln>
      </xdr:spPr>
    </xdr:pic>
    <xdr:clientData/>
  </xdr:twoCellAnchor>
  <xdr:twoCellAnchor>
    <xdr:from>
      <xdr:col>0</xdr:col>
      <xdr:colOff>0</xdr:colOff>
      <xdr:row>51</xdr:row>
      <xdr:rowOff>123825</xdr:rowOff>
    </xdr:from>
    <xdr:to>
      <xdr:col>11</xdr:col>
      <xdr:colOff>168551</xdr:colOff>
      <xdr:row>59</xdr:row>
      <xdr:rowOff>43069</xdr:rowOff>
    </xdr:to>
    <xdr:sp macro="" textlink="">
      <xdr:nvSpPr>
        <xdr:cNvPr id="3" name="Text Box 7">
          <a:hlinkClick xmlns:r="http://schemas.openxmlformats.org/officeDocument/2006/relationships" r:id="rId2"/>
          <a:extLst>
            <a:ext uri="{FF2B5EF4-FFF2-40B4-BE49-F238E27FC236}">
              <a16:creationId xmlns:a16="http://schemas.microsoft.com/office/drawing/2014/main" id="{00000000-0008-0000-0000-000003000000}"/>
            </a:ext>
          </a:extLst>
        </xdr:cNvPr>
        <xdr:cNvSpPr txBox="1">
          <a:spLocks noChangeArrowheads="1"/>
        </xdr:cNvSpPr>
      </xdr:nvSpPr>
      <xdr:spPr bwMode="auto">
        <a:xfrm>
          <a:off x="0" y="10201275"/>
          <a:ext cx="7693301" cy="1443244"/>
        </a:xfrm>
        <a:prstGeom prst="rect">
          <a:avLst/>
        </a:prstGeom>
        <a:solidFill>
          <a:srgbClr val="FFFFFF"/>
        </a:solidFill>
        <a:ln w="9525">
          <a:noFill/>
          <a:miter lim="800000"/>
          <a:headEnd/>
          <a:tailEnd/>
        </a:ln>
      </xdr:spPr>
      <xdr:txBody>
        <a:bodyPr vertOverflow="clip" wrap="square" lIns="27432" tIns="22860" rIns="0" bIns="0" anchor="t"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800">
              <a:latin typeface="Arial" pitchFamily="34" charset="0"/>
              <a:ea typeface="+mn-ea"/>
              <a:cs typeface="Arial" pitchFamily="34" charset="0"/>
            </a:rPr>
            <a:t>© 2022 Gartner, Inc. and/or its affiliates. All rights reserved. Gartner is a registered trademark of Gartner, Inc. or its affiliates. This publication may not be reproduced or distributed in any form without Gartner’s prior written permission. The information contained in this publication has been obtained from sources believed to be reliable. Gartner disclaims all warranties as to the accuracy, completeness or adequacy of such information and shall have no liability for errors, omissions or inadequacies in such information. This publication consists of the opinions of Gartner’s research organization and should not be construed as statements of fact. The opinions expressed herein are subject to change without notice. Although Gartner research may include a discussion of related legal issues, Gartner does not provide legal advice or services and its research should not be construed or used as such. Gartner is a public company, and its shareholders may include firms and funds that have financial interests in entities covered in Gartner research. Gartner’s Board of Directors may include senior managers of these firms or funds. Gartner research is produced independently by its research organization without input or influence from these firms, funds or their managers. For further information on the independence and integrity of Gartner research, see “Guiding Principles on Independence and Objectivity” on its website</a:t>
          </a:r>
          <a:r>
            <a:rPr lang="en-US" sz="800" b="1">
              <a:latin typeface="Arial" pitchFamily="34" charset="0"/>
              <a:ea typeface="+mn-ea"/>
              <a:cs typeface="Arial" pitchFamily="34" charset="0"/>
            </a:rPr>
            <a:t>, </a:t>
          </a:r>
          <a:r>
            <a:rPr lang="en-US" sz="900" b="1" i="0" u="sng">
              <a:solidFill>
                <a:sysClr val="windowText" lastClr="000000"/>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https://www.gartner.com/en/about/ombuds/ombuds-guide</a:t>
          </a:r>
          <a:endParaRPr lang="en-US" sz="800" b="1">
            <a:solidFill>
              <a:sysClr val="windowText" lastClr="000000"/>
            </a:solidFill>
            <a:latin typeface="Arial" pitchFamily="34" charset="0"/>
            <a:ea typeface="+mn-ea"/>
            <a:cs typeface="Arial" pitchFamily="34" charset="0"/>
          </a:endParaRPr>
        </a:p>
      </xdr:txBody>
    </xdr:sp>
    <xdr:clientData/>
  </xdr:twoCellAnchor>
  <xdr:twoCellAnchor>
    <xdr:from>
      <xdr:col>0</xdr:col>
      <xdr:colOff>0</xdr:colOff>
      <xdr:row>51</xdr:row>
      <xdr:rowOff>57150</xdr:rowOff>
    </xdr:from>
    <xdr:to>
      <xdr:col>11</xdr:col>
      <xdr:colOff>285750</xdr:colOff>
      <xdr:row>51</xdr:row>
      <xdr:rowOff>57150</xdr:rowOff>
    </xdr:to>
    <xdr:sp macro="" textlink="">
      <xdr:nvSpPr>
        <xdr:cNvPr id="4" name="Line 6">
          <a:extLst>
            <a:ext uri="{FF2B5EF4-FFF2-40B4-BE49-F238E27FC236}">
              <a16:creationId xmlns:a16="http://schemas.microsoft.com/office/drawing/2014/main" id="{00000000-0008-0000-0000-000004000000}"/>
            </a:ext>
          </a:extLst>
        </xdr:cNvPr>
        <xdr:cNvSpPr>
          <a:spLocks noChangeShapeType="1"/>
        </xdr:cNvSpPr>
      </xdr:nvSpPr>
      <xdr:spPr bwMode="auto">
        <a:xfrm flipV="1">
          <a:off x="0" y="10134600"/>
          <a:ext cx="7810500" cy="0"/>
        </a:xfrm>
        <a:prstGeom prst="line">
          <a:avLst/>
        </a:prstGeom>
        <a:noFill/>
        <a:ln w="19050">
          <a:solidFill>
            <a:srgbClr val="000080"/>
          </a:solidFill>
          <a:round/>
          <a:headEnd/>
          <a:tailEnd/>
        </a:ln>
      </xdr:spPr>
    </xdr:sp>
    <xdr:clientData/>
  </xdr:twoCellAnchor>
  <xdr:twoCellAnchor>
    <xdr:from>
      <xdr:col>1</xdr:col>
      <xdr:colOff>0</xdr:colOff>
      <xdr:row>29</xdr:row>
      <xdr:rowOff>99391</xdr:rowOff>
    </xdr:from>
    <xdr:to>
      <xdr:col>11</xdr:col>
      <xdr:colOff>282851</xdr:colOff>
      <xdr:row>29</xdr:row>
      <xdr:rowOff>99391</xdr:rowOff>
    </xdr:to>
    <xdr:sp macro="" textlink="">
      <xdr:nvSpPr>
        <xdr:cNvPr id="5" name="Line 5">
          <a:extLst>
            <a:ext uri="{FF2B5EF4-FFF2-40B4-BE49-F238E27FC236}">
              <a16:creationId xmlns:a16="http://schemas.microsoft.com/office/drawing/2014/main" id="{00000000-0008-0000-0000-000005000000}"/>
            </a:ext>
          </a:extLst>
        </xdr:cNvPr>
        <xdr:cNvSpPr>
          <a:spLocks noChangeShapeType="1"/>
        </xdr:cNvSpPr>
      </xdr:nvSpPr>
      <xdr:spPr bwMode="auto">
        <a:xfrm flipV="1">
          <a:off x="1714500" y="4547566"/>
          <a:ext cx="6093101" cy="0"/>
        </a:xfrm>
        <a:prstGeom prst="line">
          <a:avLst/>
        </a:prstGeom>
        <a:noFill/>
        <a:ln w="19050">
          <a:solidFill>
            <a:srgbClr val="000080"/>
          </a:solidFill>
          <a:round/>
          <a:headEnd/>
          <a:tailEnd/>
        </a:ln>
      </xdr:spPr>
    </xdr:sp>
    <xdr:clientData/>
  </xdr:twoCellAnchor>
  <xdr:twoCellAnchor editAs="oneCell">
    <xdr:from>
      <xdr:col>0</xdr:col>
      <xdr:colOff>1807029</xdr:colOff>
      <xdr:row>20</xdr:row>
      <xdr:rowOff>103414</xdr:rowOff>
    </xdr:from>
    <xdr:to>
      <xdr:col>11</xdr:col>
      <xdr:colOff>228601</xdr:colOff>
      <xdr:row>29</xdr:row>
      <xdr:rowOff>48985</xdr:rowOff>
    </xdr:to>
    <xdr:sp macro="" textlink="">
      <xdr:nvSpPr>
        <xdr:cNvPr id="6" name="Text Box 1">
          <a:extLst>
            <a:ext uri="{FF2B5EF4-FFF2-40B4-BE49-F238E27FC236}">
              <a16:creationId xmlns:a16="http://schemas.microsoft.com/office/drawing/2014/main" id="{00000000-0008-0000-0000-000006000000}"/>
            </a:ext>
          </a:extLst>
        </xdr:cNvPr>
        <xdr:cNvSpPr txBox="1">
          <a:spLocks noChangeArrowheads="1"/>
        </xdr:cNvSpPr>
      </xdr:nvSpPr>
      <xdr:spPr bwMode="auto">
        <a:xfrm>
          <a:off x="1807029" y="3254828"/>
          <a:ext cx="6389915" cy="1431471"/>
        </a:xfrm>
        <a:prstGeom prst="rect">
          <a:avLst/>
        </a:prstGeom>
        <a:noFill/>
        <a:ln w="9525">
          <a:noFill/>
          <a:miter lim="800000"/>
          <a:headEnd/>
          <a:tailEnd/>
        </a:ln>
      </xdr:spPr>
      <xdr:txBody>
        <a:bodyPr vertOverflow="clip" wrap="square" lIns="27432" tIns="22860" rIns="0" bIns="0" anchor="t" upright="1"/>
        <a:lstStyle/>
        <a:p>
          <a:pPr rtl="0"/>
          <a:r>
            <a:rPr lang="en-US" sz="1100" b="1" i="0" baseline="0">
              <a:effectLst/>
              <a:latin typeface="+mn-lt"/>
              <a:ea typeface="+mn-ea"/>
              <a:cs typeface="+mn-cs"/>
            </a:rPr>
            <a:t>Summary: </a:t>
          </a:r>
          <a:r>
            <a:rPr lang="en-US" sz="1000" b="0" i="1" baseline="0">
              <a:effectLst/>
              <a:latin typeface="+mn-lt"/>
              <a:ea typeface="+mn-ea"/>
              <a:cs typeface="+mn-cs"/>
            </a:rPr>
            <a:t>The use of artificial intelligence techniques in data centers, edge computing and endpoint devices has created a market for semiconductor devices optimized for this market. Revenues from these AI semiconductors are forecast to be $86 billion by 2026 growing at a five year CAGR of 20%</a:t>
          </a:r>
        </a:p>
        <a:p>
          <a:pPr rtl="0"/>
          <a:endParaRPr lang="en-US" sz="1000" b="0" i="1" baseline="0">
            <a:effectLst/>
            <a:latin typeface="+mn-lt"/>
            <a:ea typeface="+mn-ea"/>
            <a:cs typeface="+mn-cs"/>
          </a:endParaRPr>
        </a:p>
        <a:p>
          <a:pPr rtl="0"/>
          <a:r>
            <a:rPr lang="en-US" sz="1000" b="0" i="1" baseline="0">
              <a:effectLst/>
              <a:latin typeface="+mn-lt"/>
              <a:ea typeface="+mn-ea"/>
              <a:cs typeface="+mn-cs"/>
            </a:rPr>
            <a:t>This data set provides a two-year history and a five-year forecast for semiconductor devices used to process artificial intellegence deep neural networks</a:t>
          </a:r>
        </a:p>
        <a:p>
          <a:pPr rtl="0"/>
          <a:r>
            <a:rPr lang="en-US" sz="1000" b="0" i="1" baseline="0">
              <a:effectLst/>
              <a:latin typeface="+mn-lt"/>
              <a:ea typeface="+mn-ea"/>
              <a:cs typeface="+mn-cs"/>
            </a:rPr>
            <a:t>.</a:t>
          </a:r>
          <a:endParaRPr lang="en-US" sz="1000">
            <a:effectLst/>
          </a:endParaRPr>
        </a:p>
        <a:p>
          <a:pPr algn="l" rtl="0">
            <a:defRPr sz="1000"/>
          </a:pPr>
          <a:endParaRPr lang="en-US" sz="900" b="0" i="1" u="none" strike="noStrike" baseline="0">
            <a:solidFill>
              <a:srgbClr val="000000"/>
            </a:solidFill>
            <a:latin typeface="Arial"/>
            <a:cs typeface="Arial"/>
          </a:endParaRPr>
        </a:p>
        <a:p>
          <a:pPr algn="l" rtl="0">
            <a:defRPr sz="1000"/>
          </a:pPr>
          <a:r>
            <a:rPr lang="en-US" sz="900" b="0" i="1" u="none" strike="noStrike" baseline="0">
              <a:solidFill>
                <a:srgbClr val="000000"/>
              </a:solidFill>
              <a:latin typeface="Arial" panose="020B0604020202020204" pitchFamily="34" charset="0"/>
              <a:cs typeface="Arial" panose="020B0604020202020204" pitchFamily="34" charset="0"/>
            </a:rPr>
            <a:t>By </a:t>
          </a:r>
          <a:r>
            <a:rPr lang="en-US" sz="900" b="0" i="1" baseline="0">
              <a:latin typeface="Arial" pitchFamily="34" charset="0"/>
              <a:ea typeface="+mn-ea"/>
              <a:cs typeface="Arial" pitchFamily="34" charset="0"/>
            </a:rPr>
            <a:t>Alan Priestley</a:t>
          </a:r>
          <a:endParaRPr lang="en-US" sz="900" b="0" i="1" u="none" strike="noStrike" baseline="0">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9</xdr:row>
          <xdr:rowOff>25400</xdr:rowOff>
        </xdr:from>
        <xdr:to>
          <xdr:col>5</xdr:col>
          <xdr:colOff>361950</xdr:colOff>
          <xdr:row>10</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Create Growth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361950</xdr:colOff>
          <xdr:row>9</xdr:row>
          <xdr:rowOff>12700</xdr:rowOff>
        </xdr:from>
        <xdr:to>
          <xdr:col>9</xdr:col>
          <xdr:colOff>95250</xdr:colOff>
          <xdr:row>10</xdr:row>
          <xdr:rowOff>88900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Clear Growth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1257300</xdr:colOff>
      <xdr:row>1</xdr:row>
      <xdr:rowOff>142875</xdr:rowOff>
    </xdr:from>
    <xdr:to>
      <xdr:col>10</xdr:col>
      <xdr:colOff>19050</xdr:colOff>
      <xdr:row>1</xdr:row>
      <xdr:rowOff>142875</xdr:rowOff>
    </xdr:to>
    <xdr:sp macro="" textlink="">
      <xdr:nvSpPr>
        <xdr:cNvPr id="2" name="Line 6">
          <a:extLst>
            <a:ext uri="{FF2B5EF4-FFF2-40B4-BE49-F238E27FC236}">
              <a16:creationId xmlns:a16="http://schemas.microsoft.com/office/drawing/2014/main" id="{00000000-0008-0000-0300-000002000000}"/>
            </a:ext>
          </a:extLst>
        </xdr:cNvPr>
        <xdr:cNvSpPr>
          <a:spLocks noChangeShapeType="1"/>
        </xdr:cNvSpPr>
      </xdr:nvSpPr>
      <xdr:spPr bwMode="auto">
        <a:xfrm>
          <a:off x="1257300" y="400050"/>
          <a:ext cx="7877175" cy="0"/>
        </a:xfrm>
        <a:prstGeom prst="line">
          <a:avLst/>
        </a:prstGeom>
        <a:noFill/>
        <a:ln w="19050">
          <a:solidFill>
            <a:srgbClr val="00008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171451</xdr:colOff>
      <xdr:row>3</xdr:row>
      <xdr:rowOff>219076</xdr:rowOff>
    </xdr:from>
    <xdr:to>
      <xdr:col>8</xdr:col>
      <xdr:colOff>166278</xdr:colOff>
      <xdr:row>7</xdr:row>
      <xdr:rowOff>66673</xdr:rowOff>
    </xdr:to>
    <xdr:sp macro="" textlink="">
      <xdr:nvSpPr>
        <xdr:cNvPr id="2" name="Text Box 62">
          <a:extLst>
            <a:ext uri="{FF2B5EF4-FFF2-40B4-BE49-F238E27FC236}">
              <a16:creationId xmlns:a16="http://schemas.microsoft.com/office/drawing/2014/main" id="{00000000-0008-0000-0400-000002000000}"/>
            </a:ext>
          </a:extLst>
        </xdr:cNvPr>
        <xdr:cNvSpPr txBox="1">
          <a:spLocks noChangeArrowheads="1"/>
        </xdr:cNvSpPr>
      </xdr:nvSpPr>
      <xdr:spPr bwMode="auto">
        <a:xfrm>
          <a:off x="173493" y="1011012"/>
          <a:ext cx="9432741" cy="674912"/>
        </a:xfrm>
        <a:prstGeom prst="rect">
          <a:avLst/>
        </a:prstGeom>
        <a:solidFill>
          <a:srgbClr val="FFFFFF"/>
        </a:solidFill>
        <a:ln w="9525">
          <a:solidFill>
            <a:srgbClr val="000000"/>
          </a:solidFill>
          <a:miter lim="800000"/>
          <a:headEnd/>
          <a:tailEnd/>
        </a:ln>
      </xdr:spPr>
      <xdr:txBody>
        <a:bodyPr vertOverflow="clip" wrap="square" lIns="27432" tIns="91440" rIns="0" bIns="0" anchor="t" upright="1"/>
        <a:lstStyle/>
        <a:p>
          <a:pPr algn="l" rtl="0">
            <a:lnSpc>
              <a:spcPts val="900"/>
            </a:lnSpc>
            <a:defRPr sz="1000"/>
          </a:pPr>
          <a:r>
            <a:rPr lang="en-US" sz="1000" b="0" i="0" u="none" strike="noStrike" baseline="0">
              <a:solidFill>
                <a:srgbClr val="000000"/>
              </a:solidFill>
              <a:latin typeface="Arial" panose="020B0604020202020204" pitchFamily="34" charset="0"/>
              <a:cs typeface="Arial" panose="020B0604020202020204" pitchFamily="34" charset="0"/>
            </a:rPr>
            <a:t>This document contains Gartner's semiconductor forecast. Gartner's semiconductor forecasts are based on electronic equipment factory production units, not unit shipments to end users. Although the two are related, they may differ significantly because of the lag between production and user demand and because of channel inventory. Please note that outside of Gartner's semiconductor research, "forecasts" refer to end-user shipments, not ex-factory production.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21</xdr:row>
      <xdr:rowOff>95250</xdr:rowOff>
    </xdr:from>
    <xdr:to>
      <xdr:col>4</xdr:col>
      <xdr:colOff>442233</xdr:colOff>
      <xdr:row>26</xdr:row>
      <xdr:rowOff>38100</xdr:rowOff>
    </xdr:to>
    <xdr:pic>
      <xdr:nvPicPr>
        <xdr:cNvPr id="2" name="Picture 5">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3552825"/>
          <a:ext cx="3333750" cy="895350"/>
        </a:xfrm>
        <a:prstGeom prst="rect">
          <a:avLst/>
        </a:prstGeom>
        <a:noFill/>
        <a:ln w="1">
          <a:noFill/>
          <a:miter lim="800000"/>
          <a:headEnd/>
          <a:tailEnd/>
        </a:ln>
      </xdr:spPr>
    </xdr:pic>
    <xdr:clientData/>
  </xdr:twoCellAnchor>
  <xdr:twoCellAnchor editAs="oneCell">
    <xdr:from>
      <xdr:col>0</xdr:col>
      <xdr:colOff>85725</xdr:colOff>
      <xdr:row>33</xdr:row>
      <xdr:rowOff>76200</xdr:rowOff>
    </xdr:from>
    <xdr:to>
      <xdr:col>2</xdr:col>
      <xdr:colOff>114300</xdr:colOff>
      <xdr:row>46</xdr:row>
      <xdr:rowOff>54429</xdr:rowOff>
    </xdr:to>
    <xdr:pic>
      <xdr:nvPicPr>
        <xdr:cNvPr id="3" name="Picture 6">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725" y="5391150"/>
          <a:ext cx="1695450" cy="2457450"/>
        </a:xfrm>
        <a:prstGeom prst="rect">
          <a:avLst/>
        </a:prstGeom>
        <a:noFill/>
        <a:ln w="1">
          <a:noFill/>
          <a:miter lim="800000"/>
          <a:headEnd/>
          <a:tailEnd/>
        </a:ln>
      </xdr:spPr>
    </xdr:pic>
    <xdr:clientData/>
  </xdr:twoCellAnchor>
  <xdr:twoCellAnchor editAs="oneCell">
    <xdr:from>
      <xdr:col>5</xdr:col>
      <xdr:colOff>447675</xdr:colOff>
      <xdr:row>12</xdr:row>
      <xdr:rowOff>47625</xdr:rowOff>
    </xdr:from>
    <xdr:to>
      <xdr:col>9</xdr:col>
      <xdr:colOff>132261</xdr:colOff>
      <xdr:row>15</xdr:row>
      <xdr:rowOff>114300</xdr:rowOff>
    </xdr:to>
    <xdr:pic>
      <xdr:nvPicPr>
        <xdr:cNvPr id="4" name="Picture 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943350" y="2047875"/>
          <a:ext cx="2625090" cy="638175"/>
        </a:xfrm>
        <a:prstGeom prst="rect">
          <a:avLst/>
        </a:prstGeom>
        <a:noFill/>
        <a:ln w="1">
          <a:solidFill>
            <a:srgbClr val="0000FF"/>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My%20Drive\Documents\Forecasts%20-%20WIP\Emerging%20Semis\1Q21\Published\AI_Semiconductor_Forecast_(74338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reilly/Documents/DQDMS%20Templates/New%20Database/OutputTools/Publications/4Q19/Semiconductor_Forecast_2019Q4_1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Tables"/>
      <sheetName val="Aggregatable Pivot"/>
      <sheetName val="Data Structure"/>
      <sheetName val="Pivot Table Tips"/>
      <sheetName val="Currency"/>
    </sheetNames>
    <sheetDataSet>
      <sheetData sheetId="0"/>
      <sheetData sheetId="1"/>
      <sheetData sheetId="2"/>
      <sheetData sheetId="3"/>
      <sheetData sheetId="4"/>
      <sheetData sheetId="5">
        <row r="1">
          <cell r="B1" t="str">
            <v>2019 YR</v>
          </cell>
          <cell r="ES1">
            <v>1</v>
          </cell>
          <cell r="ET1" t="str">
            <v>a</v>
          </cell>
        </row>
        <row r="2">
          <cell r="B2" t="str">
            <v>2025 YR</v>
          </cell>
          <cell r="D2" t="str">
            <v>1Q21</v>
          </cell>
          <cell r="ES2">
            <v>2</v>
          </cell>
          <cell r="ET2" t="str">
            <v>b</v>
          </cell>
        </row>
        <row r="3">
          <cell r="F3" t="str">
            <v>Gartner: April 2021</v>
          </cell>
          <cell r="O3">
            <v>2</v>
          </cell>
          <cell r="ES3">
            <v>3</v>
          </cell>
          <cell r="ET3" t="str">
            <v>c</v>
          </cell>
        </row>
        <row r="4">
          <cell r="B4" t="str">
            <v>2019</v>
          </cell>
          <cell r="ES4">
            <v>4</v>
          </cell>
          <cell r="ET4" t="str">
            <v>d</v>
          </cell>
        </row>
        <row r="5">
          <cell r="ES5">
            <v>5</v>
          </cell>
          <cell r="ET5" t="str">
            <v>e</v>
          </cell>
        </row>
        <row r="6">
          <cell r="ES6">
            <v>6</v>
          </cell>
          <cell r="ET6" t="str">
            <v>f</v>
          </cell>
        </row>
        <row r="7">
          <cell r="B7" t="str">
            <v>2019</v>
          </cell>
        </row>
        <row r="8">
          <cell r="B8" t="str">
            <v>2025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lication_Table"/>
      <sheetName val="Reference_Table"/>
      <sheetName val="Aggregatable_Table"/>
      <sheetName val="Contents"/>
      <sheetName val="Summary_Tables"/>
      <sheetName val="Aggregatable Pivot"/>
      <sheetName val="Application Pivot"/>
      <sheetName val="Summary_Tables_By_EE"/>
      <sheetName val="Reference Pivot"/>
      <sheetName val="ByAppRefPivot"/>
      <sheetName val="Reference Pivot (2)"/>
      <sheetName val="Exchange_Rates"/>
      <sheetName val="Data_Structure"/>
      <sheetName val="Pivot_Table_Tips"/>
      <sheetName val="Currencies"/>
      <sheetName val="Sheet1"/>
    </sheetNames>
    <sheetDataSet>
      <sheetData sheetId="0"/>
      <sheetData sheetId="1"/>
      <sheetData sheetId="2"/>
      <sheetData sheetId="3">
        <row r="53">
          <cell r="B53" t="str">
            <v>Semiconductor Forecast Worldwide  Revenue — by Semiconductor Device, 2017-2023 ($M)</v>
          </cell>
        </row>
      </sheetData>
      <sheetData sheetId="4"/>
      <sheetData sheetId="5"/>
      <sheetData sheetId="6"/>
      <sheetData sheetId="7"/>
      <sheetData sheetId="8"/>
      <sheetData sheetId="9"/>
      <sheetData sheetId="10"/>
      <sheetData sheetId="11"/>
      <sheetData sheetId="12"/>
      <sheetData sheetId="13"/>
      <sheetData sheetId="14">
        <row r="5">
          <cell r="G5" t="str" vm="1">
            <v>2019 Q3</v>
          </cell>
        </row>
      </sheetData>
      <sheetData sheetId="15"/>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G:\My%20Drive\Documents\Forecasts%20-%20WIP\AI%20Semi%20Forecast\2022%20-%20pub%20data\AI_Semiconductor_Forecast_2022_763796%20-%20linke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G:\My%20Drive\Documents\Forecasts%20-%20WIP\AI%20Semi%20Forecast\2022%20-%20pub%20data\AI_Semiconductor_Forecast_2022_763796%20-%20linked.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estley,Alan" refreshedDate="44678.428302083332" createdVersion="6" refreshedVersion="7" minRefreshableVersion="3" recordCount="20524" xr:uid="{B910A7BB-F5FA-4294-8817-451D072C2E3B}">
  <cacheSource type="worksheet">
    <worksheetSource ref="A1:H20525" sheet="Datasheet" r:id="rId2"/>
  </cacheSource>
  <cacheFields count="8">
    <cacheField name="Integrated/Discrete" numFmtId="0">
      <sharedItems count="2">
        <s v="Integrated AI"/>
        <s v="Discrete AI"/>
      </sharedItems>
    </cacheField>
    <cacheField name="Device" numFmtId="0">
      <sharedItems count="9">
        <s v="Microprocessor - Compute"/>
        <s v="Microprocessor - Embedded"/>
        <s v="Discrete Graphics Processing Unit"/>
        <s v="FPGA"/>
        <s v="Digital Signal Processor"/>
        <s v="Microcontroller (8/16/32 bit)"/>
        <s v="Integrated Baseband/Application Processor"/>
        <s v="Discrete Application/Multimedia Processor"/>
        <s v="Other Application Specific"/>
      </sharedItems>
    </cacheField>
    <cacheField name="Application" numFmtId="0">
      <sharedItems count="6">
        <s v="Compute Electronics"/>
        <s v="Storage Electronics"/>
        <s v="Communications Electronics"/>
        <s v="Automotive Electronics"/>
        <s v="Consumer Electronics"/>
        <s v="Industrial Electronics"/>
      </sharedItems>
    </cacheField>
    <cacheField name="Application 2" numFmtId="0">
      <sharedItems count="9">
        <s v="Compute"/>
        <s v="PC"/>
        <s v="Servers"/>
        <s v="Storage"/>
        <s v="Wireless Communications Electronics"/>
        <s v="Automotive Electronics"/>
        <s v="Wired Communications Electronics"/>
        <s v="Consumer Electronics"/>
        <s v="Industrial Electronics"/>
      </sharedItems>
    </cacheField>
    <cacheField name="Application 3" numFmtId="0">
      <sharedItems count="87">
        <s v="External Monitor"/>
        <s v="Graphics Cards"/>
        <s v="Desk-Based PC"/>
        <s v="Ultramobile Basic, Tablet"/>
        <s v="Ultramobile Utility, Tablet"/>
        <s v="Ultramobile Premium, Tablet"/>
        <s v="Ultramobile Basic, Clamshell"/>
        <s v="Ultramobile Premium, Clamshell"/>
        <s v="Ultramobile Basic, Hybrid"/>
        <s v="Ultramobile Premium, Hybrid"/>
        <s v="Notebook"/>
        <s v="Printer/Copier"/>
        <s v="Flash Cards"/>
        <s v="USB Flash Drives"/>
        <s v="Server, 4 CPU sockets and over"/>
        <s v="Server, 2 CPU socket"/>
        <s v="Server, 1 CPU socket"/>
        <s v="Smart Cards"/>
        <s v="Accelerator Cards"/>
        <s v="Solid-State ECB"/>
        <s v="Other ECB (HDD/Hybrid)"/>
        <s v="Storage Network Infrastructure"/>
        <s v="Hard Disk Drive"/>
        <s v="Solid-State Drives"/>
        <s v="Other Storage Media"/>
        <s v="Other Storage Electronics"/>
        <s v="Utility Traditional Phone"/>
        <s v="Basic Smartphone"/>
        <s v="Utility Smartphone"/>
        <s v="Premium Smartphone"/>
        <s v="ADAS-ECU (Level-2+/3/4)"/>
        <s v="Mobile Infrastructure - Base Station Equipment"/>
        <s v="Wireless LAN Infrastructure"/>
        <s v="Cellular Modems"/>
        <s v="Other Wireless Communications Electronics"/>
        <s v="DSL Broadband Access"/>
        <s v="Fiber Broadband Access"/>
        <s v="Other Broadband Access"/>
        <s v="Enterprise LAN"/>
        <s v="ADAS-ECU (Level-0/1/2)"/>
        <s v="Enterprise WAN"/>
        <s v="Optical Transport"/>
        <s v="Service Provider Routers and Switches"/>
        <s v="Other Wired Communications Electronics"/>
        <s v="Appliances"/>
        <s v="Digital Camcorder"/>
        <s v="Digital Set-Top Box, Cable"/>
        <s v="Digital Set-Top Box, Satellite"/>
        <s v="Digital Set-Top Box, Terrestrial"/>
        <s v="Digital Set-Top Box, IP/Other"/>
        <s v="Digital Still Camera"/>
        <s v="Agriculture"/>
        <s v="Automotive HPC"/>
        <s v="Surveillance"/>
        <s v="Portable Media Players"/>
        <s v="Smart Speakers"/>
        <s v="TV, Standard"/>
        <s v="TV, Smart"/>
        <s v="Video Game Consoles"/>
        <s v="Video Game Handhelds"/>
        <s v="Wristbands"/>
        <s v="Head Mounted Display"/>
        <s v="Smart Watches"/>
        <s v="Sports Watches"/>
        <s v="Other Consumer Electronics"/>
        <s v="ADAS-Sensors and Connectivity"/>
        <s v="Body"/>
        <s v="Chassis"/>
        <s v="EV/HEV"/>
        <s v="Infotainment"/>
        <s v="Instrument Cluster"/>
        <s v="Powertrain"/>
        <s v="Safety"/>
        <s v="Aftermarket"/>
        <s v="Commercial Amusement"/>
        <s v="Automation"/>
        <s v="Energy Management"/>
        <s v="Solid-State Lighting"/>
        <s v="Medical/Healthcare"/>
        <s v="Test/Measurement"/>
        <s v="Other Security"/>
        <s v="Transportation"/>
        <s v="Other Industrial Electronics"/>
        <s v="Military/Civil Aerospace Electronics"/>
        <s v="Other Compute Electronics"/>
        <s v="Hearable"/>
        <s v="DVD Player/Recorder"/>
      </sharedItems>
    </cacheField>
    <cacheField name="Measure" numFmtId="0">
      <sharedItems count="2">
        <s v="Semiconductor Revenue M$"/>
        <s v="Semiconductor Units K"/>
      </sharedItems>
    </cacheField>
    <cacheField name="Period" numFmtId="0">
      <sharedItems count="8">
        <s v="2020 YR"/>
        <s v="2021 YR"/>
        <s v="2022 YR"/>
        <s v="2023 YR"/>
        <s v="2024 YR"/>
        <s v="2025 YR"/>
        <s v="2026 YR"/>
        <s v="2019 YR" u="1"/>
      </sharedItems>
    </cacheField>
    <cacheField name="Value" numFmtId="0">
      <sharedItems containsSemiMixedTypes="0" containsString="0" containsNumber="1" minValue="-9.8204011020915214" maxValue="691592.9329781818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estley,Alan" refreshedDate="44678.428303703702" createdVersion="6" refreshedVersion="7" minRefreshableVersion="3" recordCount="10864" xr:uid="{97C78C9C-D35E-4FB7-9ED4-3703A3468947}">
  <cacheSource type="worksheet">
    <worksheetSource ref="A1:H10865" sheet="Datasheet" r:id="rId2"/>
  </cacheSource>
  <cacheFields count="8">
    <cacheField name="Integrated/Discrete" numFmtId="0">
      <sharedItems/>
    </cacheField>
    <cacheField name="Device" numFmtId="0">
      <sharedItems count="9">
        <s v="Microprocessor - Compute"/>
        <s v="Microprocessor - Embedded"/>
        <s v="Discrete Graphics Processing Unit"/>
        <s v="FPGA"/>
        <s v="Digital Signal Processor"/>
        <s v="Microcontroller (8/16/32 bit)"/>
        <s v="Integrated Baseband/Application Processor"/>
        <s v="Discrete Application/Multimedia Processor"/>
        <s v="Other Application Specific"/>
      </sharedItems>
    </cacheField>
    <cacheField name="Application" numFmtId="0">
      <sharedItems count="6">
        <s v="Compute Electronics"/>
        <s v="Storage Electronics"/>
        <s v="Communications Electronics"/>
        <s v="Automotive Electronics"/>
        <s v="Consumer Electronics"/>
        <s v="Industrial Electronics"/>
      </sharedItems>
    </cacheField>
    <cacheField name="Application 2" numFmtId="0">
      <sharedItems/>
    </cacheField>
    <cacheField name="Application 3" numFmtId="0">
      <sharedItems/>
    </cacheField>
    <cacheField name="Measure" numFmtId="0">
      <sharedItems/>
    </cacheField>
    <cacheField name="Period" numFmtId="0">
      <sharedItems count="8">
        <s v="2020 YR"/>
        <s v="2021 YR"/>
        <s v="2022 YR"/>
        <s v="2023 YR"/>
        <s v="2024 YR"/>
        <s v="2025 YR"/>
        <s v="2026 YR"/>
        <s v="2019 YR" u="1"/>
      </sharedItems>
    </cacheField>
    <cacheField name="Value" numFmtId="0">
      <sharedItems containsSemiMixedTypes="0" containsString="0" containsNumber="1" minValue="-9.17921087005477E-2" maxValue="18484.20431970786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24">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0"/>
  </r>
  <r>
    <x v="0"/>
    <x v="0"/>
    <x v="0"/>
    <x v="1"/>
    <x v="2"/>
    <x v="0"/>
    <x v="0"/>
    <n v="118.1117222535232"/>
  </r>
  <r>
    <x v="0"/>
    <x v="0"/>
    <x v="0"/>
    <x v="1"/>
    <x v="2"/>
    <x v="0"/>
    <x v="1"/>
    <n v="276.09905402573037"/>
  </r>
  <r>
    <x v="0"/>
    <x v="0"/>
    <x v="0"/>
    <x v="1"/>
    <x v="2"/>
    <x v="0"/>
    <x v="2"/>
    <n v="521.7137037146847"/>
  </r>
  <r>
    <x v="0"/>
    <x v="0"/>
    <x v="0"/>
    <x v="1"/>
    <x v="2"/>
    <x v="0"/>
    <x v="3"/>
    <n v="970.03807358601989"/>
  </r>
  <r>
    <x v="0"/>
    <x v="0"/>
    <x v="0"/>
    <x v="1"/>
    <x v="2"/>
    <x v="0"/>
    <x v="4"/>
    <n v="1438.3479441047066"/>
  </r>
  <r>
    <x v="0"/>
    <x v="0"/>
    <x v="0"/>
    <x v="1"/>
    <x v="2"/>
    <x v="0"/>
    <x v="5"/>
    <n v="1736.4517851323574"/>
  </r>
  <r>
    <x v="0"/>
    <x v="0"/>
    <x v="0"/>
    <x v="1"/>
    <x v="2"/>
    <x v="0"/>
    <x v="6"/>
    <n v="2062.1167080749087"/>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4"/>
    <x v="0"/>
    <x v="0"/>
    <n v="0"/>
  </r>
  <r>
    <x v="0"/>
    <x v="0"/>
    <x v="0"/>
    <x v="1"/>
    <x v="4"/>
    <x v="0"/>
    <x v="1"/>
    <n v="0"/>
  </r>
  <r>
    <x v="0"/>
    <x v="0"/>
    <x v="0"/>
    <x v="1"/>
    <x v="4"/>
    <x v="0"/>
    <x v="2"/>
    <n v="0"/>
  </r>
  <r>
    <x v="0"/>
    <x v="0"/>
    <x v="0"/>
    <x v="1"/>
    <x v="4"/>
    <x v="0"/>
    <x v="3"/>
    <n v="0"/>
  </r>
  <r>
    <x v="0"/>
    <x v="0"/>
    <x v="0"/>
    <x v="1"/>
    <x v="4"/>
    <x v="0"/>
    <x v="4"/>
    <n v="0"/>
  </r>
  <r>
    <x v="0"/>
    <x v="0"/>
    <x v="0"/>
    <x v="1"/>
    <x v="4"/>
    <x v="0"/>
    <x v="5"/>
    <n v="0"/>
  </r>
  <r>
    <x v="0"/>
    <x v="0"/>
    <x v="0"/>
    <x v="1"/>
    <x v="4"/>
    <x v="0"/>
    <x v="6"/>
    <n v="0"/>
  </r>
  <r>
    <x v="0"/>
    <x v="0"/>
    <x v="0"/>
    <x v="1"/>
    <x v="5"/>
    <x v="0"/>
    <x v="0"/>
    <n v="11.609516547225494"/>
  </r>
  <r>
    <x v="0"/>
    <x v="0"/>
    <x v="0"/>
    <x v="1"/>
    <x v="5"/>
    <x v="0"/>
    <x v="1"/>
    <n v="31.199136620927909"/>
  </r>
  <r>
    <x v="0"/>
    <x v="0"/>
    <x v="0"/>
    <x v="1"/>
    <x v="5"/>
    <x v="0"/>
    <x v="2"/>
    <n v="66.049354272347486"/>
  </r>
  <r>
    <x v="0"/>
    <x v="0"/>
    <x v="0"/>
    <x v="1"/>
    <x v="5"/>
    <x v="0"/>
    <x v="3"/>
    <n v="121.06490689810769"/>
  </r>
  <r>
    <x v="0"/>
    <x v="0"/>
    <x v="0"/>
    <x v="1"/>
    <x v="5"/>
    <x v="0"/>
    <x v="4"/>
    <n v="137.13861950880366"/>
  </r>
  <r>
    <x v="0"/>
    <x v="0"/>
    <x v="0"/>
    <x v="1"/>
    <x v="5"/>
    <x v="0"/>
    <x v="5"/>
    <n v="171.4042722789755"/>
  </r>
  <r>
    <x v="0"/>
    <x v="0"/>
    <x v="0"/>
    <x v="1"/>
    <x v="5"/>
    <x v="0"/>
    <x v="6"/>
    <n v="224.29988393402277"/>
  </r>
  <r>
    <x v="0"/>
    <x v="0"/>
    <x v="0"/>
    <x v="1"/>
    <x v="6"/>
    <x v="0"/>
    <x v="0"/>
    <n v="9.8150282284523538"/>
  </r>
  <r>
    <x v="0"/>
    <x v="0"/>
    <x v="0"/>
    <x v="1"/>
    <x v="6"/>
    <x v="0"/>
    <x v="1"/>
    <n v="15.754603152368908"/>
  </r>
  <r>
    <x v="0"/>
    <x v="0"/>
    <x v="0"/>
    <x v="1"/>
    <x v="6"/>
    <x v="0"/>
    <x v="2"/>
    <n v="24.353230539949863"/>
  </r>
  <r>
    <x v="0"/>
    <x v="0"/>
    <x v="0"/>
    <x v="1"/>
    <x v="6"/>
    <x v="0"/>
    <x v="3"/>
    <n v="40.005058282209561"/>
  </r>
  <r>
    <x v="0"/>
    <x v="0"/>
    <x v="0"/>
    <x v="1"/>
    <x v="6"/>
    <x v="0"/>
    <x v="4"/>
    <n v="52.649356766391065"/>
  </r>
  <r>
    <x v="0"/>
    <x v="0"/>
    <x v="0"/>
    <x v="1"/>
    <x v="6"/>
    <x v="0"/>
    <x v="5"/>
    <n v="77.167906566915647"/>
  </r>
  <r>
    <x v="0"/>
    <x v="0"/>
    <x v="0"/>
    <x v="1"/>
    <x v="6"/>
    <x v="0"/>
    <x v="6"/>
    <n v="111.89750179906254"/>
  </r>
  <r>
    <x v="0"/>
    <x v="0"/>
    <x v="0"/>
    <x v="1"/>
    <x v="7"/>
    <x v="0"/>
    <x v="0"/>
    <n v="202.90018684919261"/>
  </r>
  <r>
    <x v="0"/>
    <x v="0"/>
    <x v="0"/>
    <x v="1"/>
    <x v="7"/>
    <x v="0"/>
    <x v="1"/>
    <n v="418.12033940743515"/>
  </r>
  <r>
    <x v="0"/>
    <x v="0"/>
    <x v="0"/>
    <x v="1"/>
    <x v="7"/>
    <x v="0"/>
    <x v="2"/>
    <n v="783.21632634266814"/>
  </r>
  <r>
    <x v="0"/>
    <x v="0"/>
    <x v="0"/>
    <x v="1"/>
    <x v="7"/>
    <x v="0"/>
    <x v="3"/>
    <n v="1391.855864194549"/>
  </r>
  <r>
    <x v="0"/>
    <x v="0"/>
    <x v="0"/>
    <x v="1"/>
    <x v="7"/>
    <x v="0"/>
    <x v="4"/>
    <n v="1864.6674574365627"/>
  </r>
  <r>
    <x v="0"/>
    <x v="0"/>
    <x v="0"/>
    <x v="1"/>
    <x v="7"/>
    <x v="0"/>
    <x v="5"/>
    <n v="2293.0959902186241"/>
  </r>
  <r>
    <x v="0"/>
    <x v="0"/>
    <x v="0"/>
    <x v="1"/>
    <x v="7"/>
    <x v="0"/>
    <x v="6"/>
    <n v="2666.8263235736781"/>
  </r>
  <r>
    <x v="0"/>
    <x v="0"/>
    <x v="0"/>
    <x v="1"/>
    <x v="8"/>
    <x v="0"/>
    <x v="0"/>
    <n v="0"/>
  </r>
  <r>
    <x v="0"/>
    <x v="0"/>
    <x v="0"/>
    <x v="1"/>
    <x v="8"/>
    <x v="0"/>
    <x v="1"/>
    <n v="0"/>
  </r>
  <r>
    <x v="0"/>
    <x v="0"/>
    <x v="0"/>
    <x v="1"/>
    <x v="8"/>
    <x v="0"/>
    <x v="2"/>
    <n v="0"/>
  </r>
  <r>
    <x v="0"/>
    <x v="0"/>
    <x v="0"/>
    <x v="1"/>
    <x v="8"/>
    <x v="0"/>
    <x v="3"/>
    <n v="0"/>
  </r>
  <r>
    <x v="0"/>
    <x v="0"/>
    <x v="0"/>
    <x v="1"/>
    <x v="8"/>
    <x v="0"/>
    <x v="4"/>
    <n v="0"/>
  </r>
  <r>
    <x v="0"/>
    <x v="0"/>
    <x v="0"/>
    <x v="1"/>
    <x v="8"/>
    <x v="0"/>
    <x v="5"/>
    <n v="0"/>
  </r>
  <r>
    <x v="0"/>
    <x v="0"/>
    <x v="0"/>
    <x v="1"/>
    <x v="8"/>
    <x v="0"/>
    <x v="6"/>
    <n v="0"/>
  </r>
  <r>
    <x v="0"/>
    <x v="0"/>
    <x v="0"/>
    <x v="1"/>
    <x v="9"/>
    <x v="0"/>
    <x v="0"/>
    <n v="70.178206801587407"/>
  </r>
  <r>
    <x v="0"/>
    <x v="0"/>
    <x v="0"/>
    <x v="1"/>
    <x v="9"/>
    <x v="0"/>
    <x v="1"/>
    <n v="137.94929249676676"/>
  </r>
  <r>
    <x v="0"/>
    <x v="0"/>
    <x v="0"/>
    <x v="1"/>
    <x v="9"/>
    <x v="0"/>
    <x v="2"/>
    <n v="240.97917487322368"/>
  </r>
  <r>
    <x v="0"/>
    <x v="0"/>
    <x v="0"/>
    <x v="1"/>
    <x v="9"/>
    <x v="0"/>
    <x v="3"/>
    <n v="368.2948672757056"/>
  </r>
  <r>
    <x v="0"/>
    <x v="0"/>
    <x v="0"/>
    <x v="1"/>
    <x v="9"/>
    <x v="0"/>
    <x v="4"/>
    <n v="401.26795687664304"/>
  </r>
  <r>
    <x v="0"/>
    <x v="0"/>
    <x v="0"/>
    <x v="1"/>
    <x v="9"/>
    <x v="0"/>
    <x v="5"/>
    <n v="484.74615836048628"/>
  </r>
  <r>
    <x v="0"/>
    <x v="0"/>
    <x v="0"/>
    <x v="1"/>
    <x v="9"/>
    <x v="0"/>
    <x v="6"/>
    <n v="522.89033836802071"/>
  </r>
  <r>
    <x v="0"/>
    <x v="0"/>
    <x v="0"/>
    <x v="1"/>
    <x v="10"/>
    <x v="0"/>
    <x v="0"/>
    <n v="98.668292594897963"/>
  </r>
  <r>
    <x v="0"/>
    <x v="0"/>
    <x v="0"/>
    <x v="1"/>
    <x v="10"/>
    <x v="0"/>
    <x v="1"/>
    <n v="243.9049326685392"/>
  </r>
  <r>
    <x v="0"/>
    <x v="0"/>
    <x v="0"/>
    <x v="1"/>
    <x v="10"/>
    <x v="0"/>
    <x v="2"/>
    <n v="449.39329275439627"/>
  </r>
  <r>
    <x v="0"/>
    <x v="0"/>
    <x v="0"/>
    <x v="1"/>
    <x v="10"/>
    <x v="0"/>
    <x v="3"/>
    <n v="833.32110352265863"/>
  </r>
  <r>
    <x v="0"/>
    <x v="0"/>
    <x v="0"/>
    <x v="1"/>
    <x v="10"/>
    <x v="0"/>
    <x v="4"/>
    <n v="1256.0583347328791"/>
  </r>
  <r>
    <x v="0"/>
    <x v="0"/>
    <x v="0"/>
    <x v="1"/>
    <x v="10"/>
    <x v="0"/>
    <x v="5"/>
    <n v="1536.3835102022936"/>
  </r>
  <r>
    <x v="0"/>
    <x v="0"/>
    <x v="0"/>
    <x v="1"/>
    <x v="10"/>
    <x v="0"/>
    <x v="6"/>
    <n v="1811.0726661396734"/>
  </r>
  <r>
    <x v="0"/>
    <x v="0"/>
    <x v="0"/>
    <x v="0"/>
    <x v="11"/>
    <x v="0"/>
    <x v="0"/>
    <n v="0"/>
  </r>
  <r>
    <x v="0"/>
    <x v="0"/>
    <x v="0"/>
    <x v="0"/>
    <x v="11"/>
    <x v="0"/>
    <x v="1"/>
    <n v="0"/>
  </r>
  <r>
    <x v="0"/>
    <x v="0"/>
    <x v="0"/>
    <x v="0"/>
    <x v="11"/>
    <x v="0"/>
    <x v="2"/>
    <n v="0"/>
  </r>
  <r>
    <x v="0"/>
    <x v="0"/>
    <x v="0"/>
    <x v="0"/>
    <x v="11"/>
    <x v="0"/>
    <x v="3"/>
    <n v="0"/>
  </r>
  <r>
    <x v="0"/>
    <x v="0"/>
    <x v="0"/>
    <x v="0"/>
    <x v="11"/>
    <x v="0"/>
    <x v="4"/>
    <n v="0"/>
  </r>
  <r>
    <x v="0"/>
    <x v="0"/>
    <x v="0"/>
    <x v="0"/>
    <x v="11"/>
    <x v="0"/>
    <x v="5"/>
    <n v="0"/>
  </r>
  <r>
    <x v="0"/>
    <x v="0"/>
    <x v="0"/>
    <x v="0"/>
    <x v="11"/>
    <x v="0"/>
    <x v="6"/>
    <n v="0"/>
  </r>
  <r>
    <x v="0"/>
    <x v="0"/>
    <x v="0"/>
    <x v="0"/>
    <x v="12"/>
    <x v="0"/>
    <x v="0"/>
    <n v="0"/>
  </r>
  <r>
    <x v="0"/>
    <x v="0"/>
    <x v="0"/>
    <x v="0"/>
    <x v="12"/>
    <x v="0"/>
    <x v="1"/>
    <n v="0"/>
  </r>
  <r>
    <x v="0"/>
    <x v="0"/>
    <x v="0"/>
    <x v="0"/>
    <x v="12"/>
    <x v="0"/>
    <x v="2"/>
    <n v="0"/>
  </r>
  <r>
    <x v="0"/>
    <x v="0"/>
    <x v="0"/>
    <x v="0"/>
    <x v="12"/>
    <x v="0"/>
    <x v="3"/>
    <n v="0"/>
  </r>
  <r>
    <x v="0"/>
    <x v="0"/>
    <x v="0"/>
    <x v="0"/>
    <x v="12"/>
    <x v="0"/>
    <x v="4"/>
    <n v="0"/>
  </r>
  <r>
    <x v="0"/>
    <x v="0"/>
    <x v="0"/>
    <x v="0"/>
    <x v="12"/>
    <x v="0"/>
    <x v="5"/>
    <n v="0"/>
  </r>
  <r>
    <x v="0"/>
    <x v="0"/>
    <x v="0"/>
    <x v="0"/>
    <x v="12"/>
    <x v="0"/>
    <x v="6"/>
    <n v="0"/>
  </r>
  <r>
    <x v="0"/>
    <x v="0"/>
    <x v="0"/>
    <x v="0"/>
    <x v="13"/>
    <x v="0"/>
    <x v="0"/>
    <n v="0"/>
  </r>
  <r>
    <x v="0"/>
    <x v="0"/>
    <x v="0"/>
    <x v="0"/>
    <x v="13"/>
    <x v="0"/>
    <x v="1"/>
    <n v="0"/>
  </r>
  <r>
    <x v="0"/>
    <x v="0"/>
    <x v="0"/>
    <x v="0"/>
    <x v="13"/>
    <x v="0"/>
    <x v="2"/>
    <n v="0"/>
  </r>
  <r>
    <x v="0"/>
    <x v="0"/>
    <x v="0"/>
    <x v="0"/>
    <x v="13"/>
    <x v="0"/>
    <x v="3"/>
    <n v="0"/>
  </r>
  <r>
    <x v="0"/>
    <x v="0"/>
    <x v="0"/>
    <x v="0"/>
    <x v="13"/>
    <x v="0"/>
    <x v="4"/>
    <n v="0"/>
  </r>
  <r>
    <x v="0"/>
    <x v="0"/>
    <x v="0"/>
    <x v="0"/>
    <x v="13"/>
    <x v="0"/>
    <x v="5"/>
    <n v="0"/>
  </r>
  <r>
    <x v="0"/>
    <x v="0"/>
    <x v="0"/>
    <x v="0"/>
    <x v="13"/>
    <x v="0"/>
    <x v="6"/>
    <n v="0"/>
  </r>
  <r>
    <x v="0"/>
    <x v="0"/>
    <x v="0"/>
    <x v="2"/>
    <x v="14"/>
    <x v="0"/>
    <x v="0"/>
    <n v="39.115240306834842"/>
  </r>
  <r>
    <x v="0"/>
    <x v="0"/>
    <x v="0"/>
    <x v="2"/>
    <x v="14"/>
    <x v="0"/>
    <x v="1"/>
    <n v="66.491569074410535"/>
  </r>
  <r>
    <x v="0"/>
    <x v="0"/>
    <x v="0"/>
    <x v="2"/>
    <x v="14"/>
    <x v="0"/>
    <x v="2"/>
    <n v="109.51843315299777"/>
  </r>
  <r>
    <x v="0"/>
    <x v="0"/>
    <x v="0"/>
    <x v="2"/>
    <x v="14"/>
    <x v="0"/>
    <x v="3"/>
    <n v="177.11801561498143"/>
  </r>
  <r>
    <x v="0"/>
    <x v="0"/>
    <x v="0"/>
    <x v="2"/>
    <x v="14"/>
    <x v="0"/>
    <x v="4"/>
    <n v="192.28228810952993"/>
  </r>
  <r>
    <x v="0"/>
    <x v="0"/>
    <x v="0"/>
    <x v="2"/>
    <x v="14"/>
    <x v="0"/>
    <x v="5"/>
    <n v="253.85024225942072"/>
  </r>
  <r>
    <x v="0"/>
    <x v="0"/>
    <x v="0"/>
    <x v="2"/>
    <x v="14"/>
    <x v="0"/>
    <x v="6"/>
    <n v="283.42710900780378"/>
  </r>
  <r>
    <x v="0"/>
    <x v="0"/>
    <x v="0"/>
    <x v="2"/>
    <x v="15"/>
    <x v="0"/>
    <x v="0"/>
    <n v="523.31284911669161"/>
  </r>
  <r>
    <x v="0"/>
    <x v="0"/>
    <x v="0"/>
    <x v="2"/>
    <x v="15"/>
    <x v="0"/>
    <x v="1"/>
    <n v="785.86866859834117"/>
  </r>
  <r>
    <x v="0"/>
    <x v="0"/>
    <x v="0"/>
    <x v="2"/>
    <x v="15"/>
    <x v="0"/>
    <x v="2"/>
    <n v="1119.6497610567092"/>
  </r>
  <r>
    <x v="0"/>
    <x v="0"/>
    <x v="0"/>
    <x v="2"/>
    <x v="15"/>
    <x v="0"/>
    <x v="3"/>
    <n v="1600.0003885583328"/>
  </r>
  <r>
    <x v="0"/>
    <x v="0"/>
    <x v="0"/>
    <x v="2"/>
    <x v="15"/>
    <x v="0"/>
    <x v="4"/>
    <n v="1867.8234867060412"/>
  </r>
  <r>
    <x v="0"/>
    <x v="0"/>
    <x v="0"/>
    <x v="2"/>
    <x v="15"/>
    <x v="0"/>
    <x v="5"/>
    <n v="2253.5839759613918"/>
  </r>
  <r>
    <x v="0"/>
    <x v="0"/>
    <x v="0"/>
    <x v="2"/>
    <x v="15"/>
    <x v="0"/>
    <x v="6"/>
    <n v="2758.611532853583"/>
  </r>
  <r>
    <x v="0"/>
    <x v="0"/>
    <x v="0"/>
    <x v="2"/>
    <x v="16"/>
    <x v="0"/>
    <x v="0"/>
    <n v="14.894309423880799"/>
  </r>
  <r>
    <x v="0"/>
    <x v="0"/>
    <x v="0"/>
    <x v="2"/>
    <x v="16"/>
    <x v="0"/>
    <x v="1"/>
    <n v="36.925087057211478"/>
  </r>
  <r>
    <x v="0"/>
    <x v="0"/>
    <x v="0"/>
    <x v="2"/>
    <x v="16"/>
    <x v="0"/>
    <x v="2"/>
    <n v="54.082187917390065"/>
  </r>
  <r>
    <x v="0"/>
    <x v="0"/>
    <x v="0"/>
    <x v="2"/>
    <x v="16"/>
    <x v="0"/>
    <x v="3"/>
    <n v="99.118688842160694"/>
  </r>
  <r>
    <x v="0"/>
    <x v="0"/>
    <x v="0"/>
    <x v="2"/>
    <x v="16"/>
    <x v="0"/>
    <x v="4"/>
    <n v="154.02789820685061"/>
  </r>
  <r>
    <x v="0"/>
    <x v="0"/>
    <x v="0"/>
    <x v="2"/>
    <x v="16"/>
    <x v="0"/>
    <x v="5"/>
    <n v="221.93176601010771"/>
  </r>
  <r>
    <x v="0"/>
    <x v="0"/>
    <x v="0"/>
    <x v="2"/>
    <x v="16"/>
    <x v="0"/>
    <x v="6"/>
    <n v="361.91786305498886"/>
  </r>
  <r>
    <x v="0"/>
    <x v="0"/>
    <x v="0"/>
    <x v="0"/>
    <x v="17"/>
    <x v="0"/>
    <x v="0"/>
    <n v="0"/>
  </r>
  <r>
    <x v="0"/>
    <x v="0"/>
    <x v="0"/>
    <x v="0"/>
    <x v="17"/>
    <x v="0"/>
    <x v="1"/>
    <n v="0"/>
  </r>
  <r>
    <x v="0"/>
    <x v="0"/>
    <x v="0"/>
    <x v="0"/>
    <x v="17"/>
    <x v="0"/>
    <x v="2"/>
    <n v="0"/>
  </r>
  <r>
    <x v="0"/>
    <x v="0"/>
    <x v="0"/>
    <x v="0"/>
    <x v="17"/>
    <x v="0"/>
    <x v="3"/>
    <n v="0"/>
  </r>
  <r>
    <x v="0"/>
    <x v="0"/>
    <x v="0"/>
    <x v="0"/>
    <x v="17"/>
    <x v="0"/>
    <x v="4"/>
    <n v="0"/>
  </r>
  <r>
    <x v="0"/>
    <x v="0"/>
    <x v="0"/>
    <x v="0"/>
    <x v="17"/>
    <x v="0"/>
    <x v="5"/>
    <n v="0"/>
  </r>
  <r>
    <x v="0"/>
    <x v="0"/>
    <x v="0"/>
    <x v="0"/>
    <x v="17"/>
    <x v="0"/>
    <x v="6"/>
    <n v="0"/>
  </r>
  <r>
    <x v="0"/>
    <x v="0"/>
    <x v="0"/>
    <x v="2"/>
    <x v="18"/>
    <x v="0"/>
    <x v="0"/>
    <n v="0"/>
  </r>
  <r>
    <x v="0"/>
    <x v="0"/>
    <x v="0"/>
    <x v="2"/>
    <x v="18"/>
    <x v="0"/>
    <x v="1"/>
    <n v="0"/>
  </r>
  <r>
    <x v="0"/>
    <x v="0"/>
    <x v="0"/>
    <x v="2"/>
    <x v="18"/>
    <x v="0"/>
    <x v="2"/>
    <n v="0"/>
  </r>
  <r>
    <x v="0"/>
    <x v="0"/>
    <x v="0"/>
    <x v="2"/>
    <x v="18"/>
    <x v="0"/>
    <x v="3"/>
    <n v="0"/>
  </r>
  <r>
    <x v="0"/>
    <x v="0"/>
    <x v="0"/>
    <x v="2"/>
    <x v="18"/>
    <x v="0"/>
    <x v="4"/>
    <n v="0"/>
  </r>
  <r>
    <x v="0"/>
    <x v="0"/>
    <x v="0"/>
    <x v="2"/>
    <x v="18"/>
    <x v="0"/>
    <x v="5"/>
    <n v="0"/>
  </r>
  <r>
    <x v="0"/>
    <x v="0"/>
    <x v="0"/>
    <x v="2"/>
    <x v="18"/>
    <x v="0"/>
    <x v="6"/>
    <n v="0"/>
  </r>
  <r>
    <x v="0"/>
    <x v="0"/>
    <x v="1"/>
    <x v="3"/>
    <x v="19"/>
    <x v="0"/>
    <x v="0"/>
    <n v="4.42888355823384E-3"/>
  </r>
  <r>
    <x v="0"/>
    <x v="0"/>
    <x v="1"/>
    <x v="3"/>
    <x v="19"/>
    <x v="0"/>
    <x v="1"/>
    <n v="2.3317148033742734E-2"/>
  </r>
  <r>
    <x v="0"/>
    <x v="0"/>
    <x v="1"/>
    <x v="3"/>
    <x v="19"/>
    <x v="0"/>
    <x v="2"/>
    <n v="0.13739512852287461"/>
  </r>
  <r>
    <x v="0"/>
    <x v="0"/>
    <x v="1"/>
    <x v="3"/>
    <x v="19"/>
    <x v="0"/>
    <x v="3"/>
    <n v="0.78585317501050755"/>
  </r>
  <r>
    <x v="0"/>
    <x v="0"/>
    <x v="1"/>
    <x v="3"/>
    <x v="19"/>
    <x v="0"/>
    <x v="4"/>
    <n v="2.1352515609277116"/>
  </r>
  <r>
    <x v="0"/>
    <x v="0"/>
    <x v="1"/>
    <x v="3"/>
    <x v="19"/>
    <x v="0"/>
    <x v="5"/>
    <n v="3.3083338394428252"/>
  </r>
  <r>
    <x v="0"/>
    <x v="0"/>
    <x v="1"/>
    <x v="3"/>
    <x v="19"/>
    <x v="0"/>
    <x v="6"/>
    <n v="8.8980364331530062"/>
  </r>
  <r>
    <x v="0"/>
    <x v="0"/>
    <x v="1"/>
    <x v="3"/>
    <x v="20"/>
    <x v="0"/>
    <x v="0"/>
    <n v="2.7980772124311735E-2"/>
  </r>
  <r>
    <x v="0"/>
    <x v="0"/>
    <x v="1"/>
    <x v="3"/>
    <x v="20"/>
    <x v="0"/>
    <x v="1"/>
    <n v="0.14351624489828929"/>
  </r>
  <r>
    <x v="0"/>
    <x v="0"/>
    <x v="1"/>
    <x v="3"/>
    <x v="20"/>
    <x v="0"/>
    <x v="2"/>
    <n v="0.78916427665411204"/>
  </r>
  <r>
    <x v="0"/>
    <x v="0"/>
    <x v="1"/>
    <x v="3"/>
    <x v="20"/>
    <x v="0"/>
    <x v="3"/>
    <n v="3.9585727458362072"/>
  </r>
  <r>
    <x v="0"/>
    <x v="0"/>
    <x v="1"/>
    <x v="3"/>
    <x v="20"/>
    <x v="0"/>
    <x v="4"/>
    <n v="10.210646188709621"/>
  </r>
  <r>
    <x v="0"/>
    <x v="0"/>
    <x v="1"/>
    <x v="3"/>
    <x v="20"/>
    <x v="0"/>
    <x v="5"/>
    <n v="15.522526117820034"/>
  </r>
  <r>
    <x v="0"/>
    <x v="0"/>
    <x v="1"/>
    <x v="3"/>
    <x v="20"/>
    <x v="0"/>
    <x v="6"/>
    <n v="40.593725247295652"/>
  </r>
  <r>
    <x v="0"/>
    <x v="0"/>
    <x v="1"/>
    <x v="3"/>
    <x v="21"/>
    <x v="0"/>
    <x v="0"/>
    <n v="0"/>
  </r>
  <r>
    <x v="0"/>
    <x v="0"/>
    <x v="1"/>
    <x v="3"/>
    <x v="21"/>
    <x v="0"/>
    <x v="1"/>
    <n v="0"/>
  </r>
  <r>
    <x v="0"/>
    <x v="0"/>
    <x v="1"/>
    <x v="3"/>
    <x v="21"/>
    <x v="0"/>
    <x v="2"/>
    <n v="0"/>
  </r>
  <r>
    <x v="0"/>
    <x v="0"/>
    <x v="1"/>
    <x v="3"/>
    <x v="21"/>
    <x v="0"/>
    <x v="3"/>
    <n v="0"/>
  </r>
  <r>
    <x v="0"/>
    <x v="0"/>
    <x v="1"/>
    <x v="3"/>
    <x v="21"/>
    <x v="0"/>
    <x v="4"/>
    <n v="0"/>
  </r>
  <r>
    <x v="0"/>
    <x v="0"/>
    <x v="1"/>
    <x v="3"/>
    <x v="21"/>
    <x v="0"/>
    <x v="5"/>
    <n v="0"/>
  </r>
  <r>
    <x v="0"/>
    <x v="0"/>
    <x v="1"/>
    <x v="3"/>
    <x v="21"/>
    <x v="0"/>
    <x v="6"/>
    <n v="0"/>
  </r>
  <r>
    <x v="0"/>
    <x v="0"/>
    <x v="1"/>
    <x v="3"/>
    <x v="22"/>
    <x v="0"/>
    <x v="0"/>
    <n v="0"/>
  </r>
  <r>
    <x v="0"/>
    <x v="0"/>
    <x v="1"/>
    <x v="3"/>
    <x v="22"/>
    <x v="0"/>
    <x v="1"/>
    <n v="0"/>
  </r>
  <r>
    <x v="0"/>
    <x v="0"/>
    <x v="1"/>
    <x v="3"/>
    <x v="22"/>
    <x v="0"/>
    <x v="2"/>
    <n v="0"/>
  </r>
  <r>
    <x v="0"/>
    <x v="0"/>
    <x v="1"/>
    <x v="3"/>
    <x v="22"/>
    <x v="0"/>
    <x v="3"/>
    <n v="0"/>
  </r>
  <r>
    <x v="0"/>
    <x v="0"/>
    <x v="1"/>
    <x v="3"/>
    <x v="22"/>
    <x v="0"/>
    <x v="4"/>
    <n v="0"/>
  </r>
  <r>
    <x v="0"/>
    <x v="0"/>
    <x v="1"/>
    <x v="3"/>
    <x v="22"/>
    <x v="0"/>
    <x v="5"/>
    <n v="0"/>
  </r>
  <r>
    <x v="0"/>
    <x v="0"/>
    <x v="1"/>
    <x v="3"/>
    <x v="22"/>
    <x v="0"/>
    <x v="6"/>
    <n v="0"/>
  </r>
  <r>
    <x v="0"/>
    <x v="0"/>
    <x v="1"/>
    <x v="3"/>
    <x v="23"/>
    <x v="0"/>
    <x v="0"/>
    <n v="0"/>
  </r>
  <r>
    <x v="0"/>
    <x v="0"/>
    <x v="1"/>
    <x v="3"/>
    <x v="23"/>
    <x v="0"/>
    <x v="1"/>
    <n v="0"/>
  </r>
  <r>
    <x v="0"/>
    <x v="0"/>
    <x v="1"/>
    <x v="3"/>
    <x v="23"/>
    <x v="0"/>
    <x v="2"/>
    <n v="0"/>
  </r>
  <r>
    <x v="0"/>
    <x v="0"/>
    <x v="1"/>
    <x v="3"/>
    <x v="23"/>
    <x v="0"/>
    <x v="3"/>
    <n v="0"/>
  </r>
  <r>
    <x v="0"/>
    <x v="0"/>
    <x v="1"/>
    <x v="3"/>
    <x v="23"/>
    <x v="0"/>
    <x v="4"/>
    <n v="0"/>
  </r>
  <r>
    <x v="0"/>
    <x v="0"/>
    <x v="1"/>
    <x v="3"/>
    <x v="23"/>
    <x v="0"/>
    <x v="5"/>
    <n v="0"/>
  </r>
  <r>
    <x v="0"/>
    <x v="0"/>
    <x v="1"/>
    <x v="3"/>
    <x v="23"/>
    <x v="0"/>
    <x v="6"/>
    <n v="0"/>
  </r>
  <r>
    <x v="0"/>
    <x v="0"/>
    <x v="1"/>
    <x v="3"/>
    <x v="24"/>
    <x v="0"/>
    <x v="0"/>
    <n v="0"/>
  </r>
  <r>
    <x v="0"/>
    <x v="0"/>
    <x v="1"/>
    <x v="3"/>
    <x v="24"/>
    <x v="0"/>
    <x v="1"/>
    <n v="0"/>
  </r>
  <r>
    <x v="0"/>
    <x v="0"/>
    <x v="1"/>
    <x v="3"/>
    <x v="24"/>
    <x v="0"/>
    <x v="2"/>
    <n v="0"/>
  </r>
  <r>
    <x v="0"/>
    <x v="0"/>
    <x v="1"/>
    <x v="3"/>
    <x v="24"/>
    <x v="0"/>
    <x v="3"/>
    <n v="0"/>
  </r>
  <r>
    <x v="0"/>
    <x v="0"/>
    <x v="1"/>
    <x v="3"/>
    <x v="24"/>
    <x v="0"/>
    <x v="4"/>
    <n v="0"/>
  </r>
  <r>
    <x v="0"/>
    <x v="0"/>
    <x v="1"/>
    <x v="3"/>
    <x v="24"/>
    <x v="0"/>
    <x v="5"/>
    <n v="0"/>
  </r>
  <r>
    <x v="0"/>
    <x v="0"/>
    <x v="1"/>
    <x v="3"/>
    <x v="24"/>
    <x v="0"/>
    <x v="6"/>
    <n v="0"/>
  </r>
  <r>
    <x v="0"/>
    <x v="0"/>
    <x v="1"/>
    <x v="3"/>
    <x v="25"/>
    <x v="0"/>
    <x v="0"/>
    <n v="0"/>
  </r>
  <r>
    <x v="0"/>
    <x v="0"/>
    <x v="1"/>
    <x v="3"/>
    <x v="25"/>
    <x v="0"/>
    <x v="1"/>
    <n v="0"/>
  </r>
  <r>
    <x v="0"/>
    <x v="0"/>
    <x v="1"/>
    <x v="3"/>
    <x v="25"/>
    <x v="0"/>
    <x v="2"/>
    <n v="0"/>
  </r>
  <r>
    <x v="0"/>
    <x v="0"/>
    <x v="1"/>
    <x v="3"/>
    <x v="25"/>
    <x v="0"/>
    <x v="3"/>
    <n v="0"/>
  </r>
  <r>
    <x v="0"/>
    <x v="0"/>
    <x v="1"/>
    <x v="3"/>
    <x v="25"/>
    <x v="0"/>
    <x v="4"/>
    <n v="0"/>
  </r>
  <r>
    <x v="0"/>
    <x v="0"/>
    <x v="1"/>
    <x v="3"/>
    <x v="25"/>
    <x v="0"/>
    <x v="5"/>
    <n v="0"/>
  </r>
  <r>
    <x v="0"/>
    <x v="0"/>
    <x v="1"/>
    <x v="3"/>
    <x v="25"/>
    <x v="0"/>
    <x v="6"/>
    <n v="0"/>
  </r>
  <r>
    <x v="0"/>
    <x v="0"/>
    <x v="2"/>
    <x v="4"/>
    <x v="26"/>
    <x v="0"/>
    <x v="0"/>
    <n v="0"/>
  </r>
  <r>
    <x v="0"/>
    <x v="0"/>
    <x v="2"/>
    <x v="4"/>
    <x v="26"/>
    <x v="0"/>
    <x v="1"/>
    <n v="0"/>
  </r>
  <r>
    <x v="0"/>
    <x v="0"/>
    <x v="2"/>
    <x v="4"/>
    <x v="26"/>
    <x v="0"/>
    <x v="2"/>
    <n v="0"/>
  </r>
  <r>
    <x v="0"/>
    <x v="0"/>
    <x v="2"/>
    <x v="4"/>
    <x v="26"/>
    <x v="0"/>
    <x v="3"/>
    <n v="0"/>
  </r>
  <r>
    <x v="0"/>
    <x v="0"/>
    <x v="2"/>
    <x v="4"/>
    <x v="26"/>
    <x v="0"/>
    <x v="4"/>
    <n v="0"/>
  </r>
  <r>
    <x v="0"/>
    <x v="0"/>
    <x v="2"/>
    <x v="4"/>
    <x v="26"/>
    <x v="0"/>
    <x v="5"/>
    <n v="0"/>
  </r>
  <r>
    <x v="0"/>
    <x v="0"/>
    <x v="2"/>
    <x v="4"/>
    <x v="26"/>
    <x v="0"/>
    <x v="6"/>
    <n v="0"/>
  </r>
  <r>
    <x v="0"/>
    <x v="0"/>
    <x v="2"/>
    <x v="4"/>
    <x v="27"/>
    <x v="0"/>
    <x v="0"/>
    <n v="0"/>
  </r>
  <r>
    <x v="0"/>
    <x v="0"/>
    <x v="2"/>
    <x v="4"/>
    <x v="27"/>
    <x v="0"/>
    <x v="1"/>
    <n v="0"/>
  </r>
  <r>
    <x v="0"/>
    <x v="0"/>
    <x v="2"/>
    <x v="4"/>
    <x v="27"/>
    <x v="0"/>
    <x v="2"/>
    <n v="0"/>
  </r>
  <r>
    <x v="0"/>
    <x v="0"/>
    <x v="2"/>
    <x v="4"/>
    <x v="27"/>
    <x v="0"/>
    <x v="3"/>
    <n v="0"/>
  </r>
  <r>
    <x v="0"/>
    <x v="0"/>
    <x v="2"/>
    <x v="4"/>
    <x v="27"/>
    <x v="0"/>
    <x v="4"/>
    <n v="0"/>
  </r>
  <r>
    <x v="0"/>
    <x v="0"/>
    <x v="2"/>
    <x v="4"/>
    <x v="27"/>
    <x v="0"/>
    <x v="5"/>
    <n v="0"/>
  </r>
  <r>
    <x v="0"/>
    <x v="0"/>
    <x v="2"/>
    <x v="4"/>
    <x v="27"/>
    <x v="0"/>
    <x v="6"/>
    <n v="0"/>
  </r>
  <r>
    <x v="0"/>
    <x v="0"/>
    <x v="2"/>
    <x v="4"/>
    <x v="28"/>
    <x v="0"/>
    <x v="0"/>
    <n v="0"/>
  </r>
  <r>
    <x v="0"/>
    <x v="0"/>
    <x v="2"/>
    <x v="4"/>
    <x v="28"/>
    <x v="0"/>
    <x v="1"/>
    <n v="0"/>
  </r>
  <r>
    <x v="0"/>
    <x v="0"/>
    <x v="2"/>
    <x v="4"/>
    <x v="28"/>
    <x v="0"/>
    <x v="2"/>
    <n v="0"/>
  </r>
  <r>
    <x v="0"/>
    <x v="0"/>
    <x v="2"/>
    <x v="4"/>
    <x v="28"/>
    <x v="0"/>
    <x v="3"/>
    <n v="0"/>
  </r>
  <r>
    <x v="0"/>
    <x v="0"/>
    <x v="2"/>
    <x v="4"/>
    <x v="28"/>
    <x v="0"/>
    <x v="4"/>
    <n v="0"/>
  </r>
  <r>
    <x v="0"/>
    <x v="0"/>
    <x v="2"/>
    <x v="4"/>
    <x v="28"/>
    <x v="0"/>
    <x v="5"/>
    <n v="0"/>
  </r>
  <r>
    <x v="0"/>
    <x v="0"/>
    <x v="2"/>
    <x v="4"/>
    <x v="28"/>
    <x v="0"/>
    <x v="6"/>
    <n v="0"/>
  </r>
  <r>
    <x v="0"/>
    <x v="0"/>
    <x v="2"/>
    <x v="4"/>
    <x v="29"/>
    <x v="0"/>
    <x v="0"/>
    <n v="0"/>
  </r>
  <r>
    <x v="0"/>
    <x v="0"/>
    <x v="2"/>
    <x v="4"/>
    <x v="29"/>
    <x v="0"/>
    <x v="1"/>
    <n v="0"/>
  </r>
  <r>
    <x v="0"/>
    <x v="0"/>
    <x v="2"/>
    <x v="4"/>
    <x v="29"/>
    <x v="0"/>
    <x v="2"/>
    <n v="0"/>
  </r>
  <r>
    <x v="0"/>
    <x v="0"/>
    <x v="2"/>
    <x v="4"/>
    <x v="29"/>
    <x v="0"/>
    <x v="3"/>
    <n v="0"/>
  </r>
  <r>
    <x v="0"/>
    <x v="0"/>
    <x v="2"/>
    <x v="4"/>
    <x v="29"/>
    <x v="0"/>
    <x v="4"/>
    <n v="0"/>
  </r>
  <r>
    <x v="0"/>
    <x v="0"/>
    <x v="2"/>
    <x v="4"/>
    <x v="29"/>
    <x v="0"/>
    <x v="5"/>
    <n v="0"/>
  </r>
  <r>
    <x v="0"/>
    <x v="0"/>
    <x v="2"/>
    <x v="4"/>
    <x v="29"/>
    <x v="0"/>
    <x v="6"/>
    <n v="0"/>
  </r>
  <r>
    <x v="0"/>
    <x v="0"/>
    <x v="3"/>
    <x v="5"/>
    <x v="30"/>
    <x v="0"/>
    <x v="0"/>
    <n v="0"/>
  </r>
  <r>
    <x v="0"/>
    <x v="0"/>
    <x v="3"/>
    <x v="5"/>
    <x v="30"/>
    <x v="0"/>
    <x v="1"/>
    <n v="0"/>
  </r>
  <r>
    <x v="0"/>
    <x v="0"/>
    <x v="3"/>
    <x v="5"/>
    <x v="30"/>
    <x v="0"/>
    <x v="2"/>
    <n v="0"/>
  </r>
  <r>
    <x v="0"/>
    <x v="0"/>
    <x v="3"/>
    <x v="5"/>
    <x v="30"/>
    <x v="0"/>
    <x v="3"/>
    <n v="0"/>
  </r>
  <r>
    <x v="0"/>
    <x v="0"/>
    <x v="3"/>
    <x v="5"/>
    <x v="30"/>
    <x v="0"/>
    <x v="4"/>
    <n v="0"/>
  </r>
  <r>
    <x v="0"/>
    <x v="0"/>
    <x v="3"/>
    <x v="5"/>
    <x v="30"/>
    <x v="0"/>
    <x v="5"/>
    <n v="0"/>
  </r>
  <r>
    <x v="0"/>
    <x v="0"/>
    <x v="3"/>
    <x v="5"/>
    <x v="30"/>
    <x v="0"/>
    <x v="6"/>
    <n v="0"/>
  </r>
  <r>
    <x v="0"/>
    <x v="0"/>
    <x v="2"/>
    <x v="4"/>
    <x v="31"/>
    <x v="0"/>
    <x v="0"/>
    <n v="0"/>
  </r>
  <r>
    <x v="0"/>
    <x v="0"/>
    <x v="2"/>
    <x v="4"/>
    <x v="31"/>
    <x v="0"/>
    <x v="1"/>
    <n v="0"/>
  </r>
  <r>
    <x v="0"/>
    <x v="0"/>
    <x v="2"/>
    <x v="4"/>
    <x v="31"/>
    <x v="0"/>
    <x v="2"/>
    <n v="0"/>
  </r>
  <r>
    <x v="0"/>
    <x v="0"/>
    <x v="2"/>
    <x v="4"/>
    <x v="31"/>
    <x v="0"/>
    <x v="3"/>
    <n v="0"/>
  </r>
  <r>
    <x v="0"/>
    <x v="0"/>
    <x v="2"/>
    <x v="4"/>
    <x v="31"/>
    <x v="0"/>
    <x v="4"/>
    <n v="0"/>
  </r>
  <r>
    <x v="0"/>
    <x v="0"/>
    <x v="2"/>
    <x v="4"/>
    <x v="31"/>
    <x v="0"/>
    <x v="5"/>
    <n v="0"/>
  </r>
  <r>
    <x v="0"/>
    <x v="0"/>
    <x v="2"/>
    <x v="4"/>
    <x v="31"/>
    <x v="0"/>
    <x v="6"/>
    <n v="0"/>
  </r>
  <r>
    <x v="0"/>
    <x v="0"/>
    <x v="2"/>
    <x v="4"/>
    <x v="32"/>
    <x v="0"/>
    <x v="0"/>
    <n v="0"/>
  </r>
  <r>
    <x v="0"/>
    <x v="0"/>
    <x v="2"/>
    <x v="4"/>
    <x v="32"/>
    <x v="0"/>
    <x v="1"/>
    <n v="0"/>
  </r>
  <r>
    <x v="0"/>
    <x v="0"/>
    <x v="2"/>
    <x v="4"/>
    <x v="32"/>
    <x v="0"/>
    <x v="2"/>
    <n v="0"/>
  </r>
  <r>
    <x v="0"/>
    <x v="0"/>
    <x v="2"/>
    <x v="4"/>
    <x v="32"/>
    <x v="0"/>
    <x v="3"/>
    <n v="0"/>
  </r>
  <r>
    <x v="0"/>
    <x v="0"/>
    <x v="2"/>
    <x v="4"/>
    <x v="32"/>
    <x v="0"/>
    <x v="4"/>
    <n v="0"/>
  </r>
  <r>
    <x v="0"/>
    <x v="0"/>
    <x v="2"/>
    <x v="4"/>
    <x v="32"/>
    <x v="0"/>
    <x v="5"/>
    <n v="0"/>
  </r>
  <r>
    <x v="0"/>
    <x v="0"/>
    <x v="2"/>
    <x v="4"/>
    <x v="32"/>
    <x v="0"/>
    <x v="6"/>
    <n v="0"/>
  </r>
  <r>
    <x v="0"/>
    <x v="0"/>
    <x v="2"/>
    <x v="4"/>
    <x v="33"/>
    <x v="0"/>
    <x v="0"/>
    <n v="0"/>
  </r>
  <r>
    <x v="0"/>
    <x v="0"/>
    <x v="2"/>
    <x v="4"/>
    <x v="33"/>
    <x v="0"/>
    <x v="1"/>
    <n v="0"/>
  </r>
  <r>
    <x v="0"/>
    <x v="0"/>
    <x v="2"/>
    <x v="4"/>
    <x v="33"/>
    <x v="0"/>
    <x v="2"/>
    <n v="0"/>
  </r>
  <r>
    <x v="0"/>
    <x v="0"/>
    <x v="2"/>
    <x v="4"/>
    <x v="33"/>
    <x v="0"/>
    <x v="3"/>
    <n v="0"/>
  </r>
  <r>
    <x v="0"/>
    <x v="0"/>
    <x v="2"/>
    <x v="4"/>
    <x v="33"/>
    <x v="0"/>
    <x v="4"/>
    <n v="0"/>
  </r>
  <r>
    <x v="0"/>
    <x v="0"/>
    <x v="2"/>
    <x v="4"/>
    <x v="33"/>
    <x v="0"/>
    <x v="5"/>
    <n v="0"/>
  </r>
  <r>
    <x v="0"/>
    <x v="0"/>
    <x v="2"/>
    <x v="4"/>
    <x v="33"/>
    <x v="0"/>
    <x v="6"/>
    <n v="0"/>
  </r>
  <r>
    <x v="0"/>
    <x v="0"/>
    <x v="2"/>
    <x v="4"/>
    <x v="34"/>
    <x v="0"/>
    <x v="0"/>
    <n v="0"/>
  </r>
  <r>
    <x v="0"/>
    <x v="0"/>
    <x v="2"/>
    <x v="4"/>
    <x v="34"/>
    <x v="0"/>
    <x v="1"/>
    <n v="0"/>
  </r>
  <r>
    <x v="0"/>
    <x v="0"/>
    <x v="2"/>
    <x v="4"/>
    <x v="34"/>
    <x v="0"/>
    <x v="2"/>
    <n v="0"/>
  </r>
  <r>
    <x v="0"/>
    <x v="0"/>
    <x v="2"/>
    <x v="4"/>
    <x v="34"/>
    <x v="0"/>
    <x v="3"/>
    <n v="0"/>
  </r>
  <r>
    <x v="0"/>
    <x v="0"/>
    <x v="2"/>
    <x v="4"/>
    <x v="34"/>
    <x v="0"/>
    <x v="4"/>
    <n v="0"/>
  </r>
  <r>
    <x v="0"/>
    <x v="0"/>
    <x v="2"/>
    <x v="4"/>
    <x v="34"/>
    <x v="0"/>
    <x v="5"/>
    <n v="0"/>
  </r>
  <r>
    <x v="0"/>
    <x v="0"/>
    <x v="2"/>
    <x v="4"/>
    <x v="34"/>
    <x v="0"/>
    <x v="6"/>
    <n v="0"/>
  </r>
  <r>
    <x v="0"/>
    <x v="0"/>
    <x v="2"/>
    <x v="6"/>
    <x v="35"/>
    <x v="0"/>
    <x v="0"/>
    <n v="0"/>
  </r>
  <r>
    <x v="0"/>
    <x v="0"/>
    <x v="2"/>
    <x v="6"/>
    <x v="35"/>
    <x v="0"/>
    <x v="1"/>
    <n v="0"/>
  </r>
  <r>
    <x v="0"/>
    <x v="0"/>
    <x v="2"/>
    <x v="6"/>
    <x v="35"/>
    <x v="0"/>
    <x v="2"/>
    <n v="0"/>
  </r>
  <r>
    <x v="0"/>
    <x v="0"/>
    <x v="2"/>
    <x v="6"/>
    <x v="35"/>
    <x v="0"/>
    <x v="3"/>
    <n v="0"/>
  </r>
  <r>
    <x v="0"/>
    <x v="0"/>
    <x v="2"/>
    <x v="6"/>
    <x v="35"/>
    <x v="0"/>
    <x v="4"/>
    <n v="0"/>
  </r>
  <r>
    <x v="0"/>
    <x v="0"/>
    <x v="2"/>
    <x v="6"/>
    <x v="35"/>
    <x v="0"/>
    <x v="5"/>
    <n v="0"/>
  </r>
  <r>
    <x v="0"/>
    <x v="0"/>
    <x v="2"/>
    <x v="6"/>
    <x v="35"/>
    <x v="0"/>
    <x v="6"/>
    <n v="0"/>
  </r>
  <r>
    <x v="0"/>
    <x v="0"/>
    <x v="2"/>
    <x v="6"/>
    <x v="36"/>
    <x v="0"/>
    <x v="0"/>
    <n v="0"/>
  </r>
  <r>
    <x v="0"/>
    <x v="0"/>
    <x v="2"/>
    <x v="6"/>
    <x v="36"/>
    <x v="0"/>
    <x v="1"/>
    <n v="0"/>
  </r>
  <r>
    <x v="0"/>
    <x v="0"/>
    <x v="2"/>
    <x v="6"/>
    <x v="36"/>
    <x v="0"/>
    <x v="2"/>
    <n v="0"/>
  </r>
  <r>
    <x v="0"/>
    <x v="0"/>
    <x v="2"/>
    <x v="6"/>
    <x v="36"/>
    <x v="0"/>
    <x v="3"/>
    <n v="0"/>
  </r>
  <r>
    <x v="0"/>
    <x v="0"/>
    <x v="2"/>
    <x v="6"/>
    <x v="36"/>
    <x v="0"/>
    <x v="4"/>
    <n v="0"/>
  </r>
  <r>
    <x v="0"/>
    <x v="0"/>
    <x v="2"/>
    <x v="6"/>
    <x v="36"/>
    <x v="0"/>
    <x v="5"/>
    <n v="0"/>
  </r>
  <r>
    <x v="0"/>
    <x v="0"/>
    <x v="2"/>
    <x v="6"/>
    <x v="36"/>
    <x v="0"/>
    <x v="6"/>
    <n v="0"/>
  </r>
  <r>
    <x v="0"/>
    <x v="0"/>
    <x v="2"/>
    <x v="6"/>
    <x v="37"/>
    <x v="0"/>
    <x v="0"/>
    <n v="0"/>
  </r>
  <r>
    <x v="0"/>
    <x v="0"/>
    <x v="2"/>
    <x v="6"/>
    <x v="37"/>
    <x v="0"/>
    <x v="1"/>
    <n v="0"/>
  </r>
  <r>
    <x v="0"/>
    <x v="0"/>
    <x v="2"/>
    <x v="6"/>
    <x v="37"/>
    <x v="0"/>
    <x v="2"/>
    <n v="0"/>
  </r>
  <r>
    <x v="0"/>
    <x v="0"/>
    <x v="2"/>
    <x v="6"/>
    <x v="37"/>
    <x v="0"/>
    <x v="3"/>
    <n v="0"/>
  </r>
  <r>
    <x v="0"/>
    <x v="0"/>
    <x v="2"/>
    <x v="6"/>
    <x v="37"/>
    <x v="0"/>
    <x v="4"/>
    <n v="0"/>
  </r>
  <r>
    <x v="0"/>
    <x v="0"/>
    <x v="2"/>
    <x v="6"/>
    <x v="37"/>
    <x v="0"/>
    <x v="5"/>
    <n v="0"/>
  </r>
  <r>
    <x v="0"/>
    <x v="0"/>
    <x v="2"/>
    <x v="6"/>
    <x v="37"/>
    <x v="0"/>
    <x v="6"/>
    <n v="0"/>
  </r>
  <r>
    <x v="0"/>
    <x v="0"/>
    <x v="2"/>
    <x v="6"/>
    <x v="38"/>
    <x v="0"/>
    <x v="0"/>
    <n v="0"/>
  </r>
  <r>
    <x v="0"/>
    <x v="0"/>
    <x v="2"/>
    <x v="6"/>
    <x v="38"/>
    <x v="0"/>
    <x v="1"/>
    <n v="0"/>
  </r>
  <r>
    <x v="0"/>
    <x v="0"/>
    <x v="2"/>
    <x v="6"/>
    <x v="38"/>
    <x v="0"/>
    <x v="2"/>
    <n v="0"/>
  </r>
  <r>
    <x v="0"/>
    <x v="0"/>
    <x v="2"/>
    <x v="6"/>
    <x v="38"/>
    <x v="0"/>
    <x v="3"/>
    <n v="0"/>
  </r>
  <r>
    <x v="0"/>
    <x v="0"/>
    <x v="2"/>
    <x v="6"/>
    <x v="38"/>
    <x v="0"/>
    <x v="4"/>
    <n v="0"/>
  </r>
  <r>
    <x v="0"/>
    <x v="0"/>
    <x v="2"/>
    <x v="6"/>
    <x v="38"/>
    <x v="0"/>
    <x v="5"/>
    <n v="0"/>
  </r>
  <r>
    <x v="0"/>
    <x v="0"/>
    <x v="2"/>
    <x v="6"/>
    <x v="38"/>
    <x v="0"/>
    <x v="6"/>
    <n v="0"/>
  </r>
  <r>
    <x v="0"/>
    <x v="0"/>
    <x v="3"/>
    <x v="5"/>
    <x v="39"/>
    <x v="0"/>
    <x v="0"/>
    <n v="0"/>
  </r>
  <r>
    <x v="0"/>
    <x v="0"/>
    <x v="3"/>
    <x v="5"/>
    <x v="39"/>
    <x v="0"/>
    <x v="1"/>
    <n v="0"/>
  </r>
  <r>
    <x v="0"/>
    <x v="0"/>
    <x v="3"/>
    <x v="5"/>
    <x v="39"/>
    <x v="0"/>
    <x v="2"/>
    <n v="0"/>
  </r>
  <r>
    <x v="0"/>
    <x v="0"/>
    <x v="3"/>
    <x v="5"/>
    <x v="39"/>
    <x v="0"/>
    <x v="3"/>
    <n v="0"/>
  </r>
  <r>
    <x v="0"/>
    <x v="0"/>
    <x v="3"/>
    <x v="5"/>
    <x v="39"/>
    <x v="0"/>
    <x v="4"/>
    <n v="0"/>
  </r>
  <r>
    <x v="0"/>
    <x v="0"/>
    <x v="3"/>
    <x v="5"/>
    <x v="39"/>
    <x v="0"/>
    <x v="5"/>
    <n v="0"/>
  </r>
  <r>
    <x v="0"/>
    <x v="0"/>
    <x v="3"/>
    <x v="5"/>
    <x v="39"/>
    <x v="0"/>
    <x v="6"/>
    <n v="0"/>
  </r>
  <r>
    <x v="0"/>
    <x v="0"/>
    <x v="2"/>
    <x v="6"/>
    <x v="40"/>
    <x v="0"/>
    <x v="0"/>
    <n v="0"/>
  </r>
  <r>
    <x v="0"/>
    <x v="0"/>
    <x v="2"/>
    <x v="6"/>
    <x v="40"/>
    <x v="0"/>
    <x v="1"/>
    <n v="0"/>
  </r>
  <r>
    <x v="0"/>
    <x v="0"/>
    <x v="2"/>
    <x v="6"/>
    <x v="40"/>
    <x v="0"/>
    <x v="2"/>
    <n v="0"/>
  </r>
  <r>
    <x v="0"/>
    <x v="0"/>
    <x v="2"/>
    <x v="6"/>
    <x v="40"/>
    <x v="0"/>
    <x v="3"/>
    <n v="0"/>
  </r>
  <r>
    <x v="0"/>
    <x v="0"/>
    <x v="2"/>
    <x v="6"/>
    <x v="40"/>
    <x v="0"/>
    <x v="4"/>
    <n v="0"/>
  </r>
  <r>
    <x v="0"/>
    <x v="0"/>
    <x v="2"/>
    <x v="6"/>
    <x v="40"/>
    <x v="0"/>
    <x v="5"/>
    <n v="0"/>
  </r>
  <r>
    <x v="0"/>
    <x v="0"/>
    <x v="2"/>
    <x v="6"/>
    <x v="40"/>
    <x v="0"/>
    <x v="6"/>
    <n v="0"/>
  </r>
  <r>
    <x v="0"/>
    <x v="0"/>
    <x v="2"/>
    <x v="6"/>
    <x v="41"/>
    <x v="0"/>
    <x v="0"/>
    <n v="0"/>
  </r>
  <r>
    <x v="0"/>
    <x v="0"/>
    <x v="2"/>
    <x v="6"/>
    <x v="41"/>
    <x v="0"/>
    <x v="1"/>
    <n v="0"/>
  </r>
  <r>
    <x v="0"/>
    <x v="0"/>
    <x v="2"/>
    <x v="6"/>
    <x v="41"/>
    <x v="0"/>
    <x v="2"/>
    <n v="0"/>
  </r>
  <r>
    <x v="0"/>
    <x v="0"/>
    <x v="2"/>
    <x v="6"/>
    <x v="41"/>
    <x v="0"/>
    <x v="3"/>
    <n v="0"/>
  </r>
  <r>
    <x v="0"/>
    <x v="0"/>
    <x v="2"/>
    <x v="6"/>
    <x v="41"/>
    <x v="0"/>
    <x v="4"/>
    <n v="0"/>
  </r>
  <r>
    <x v="0"/>
    <x v="0"/>
    <x v="2"/>
    <x v="6"/>
    <x v="41"/>
    <x v="0"/>
    <x v="5"/>
    <n v="0"/>
  </r>
  <r>
    <x v="0"/>
    <x v="0"/>
    <x v="2"/>
    <x v="6"/>
    <x v="41"/>
    <x v="0"/>
    <x v="6"/>
    <n v="0"/>
  </r>
  <r>
    <x v="0"/>
    <x v="0"/>
    <x v="2"/>
    <x v="6"/>
    <x v="42"/>
    <x v="0"/>
    <x v="0"/>
    <n v="0"/>
  </r>
  <r>
    <x v="0"/>
    <x v="0"/>
    <x v="2"/>
    <x v="6"/>
    <x v="42"/>
    <x v="0"/>
    <x v="1"/>
    <n v="0"/>
  </r>
  <r>
    <x v="0"/>
    <x v="0"/>
    <x v="2"/>
    <x v="6"/>
    <x v="42"/>
    <x v="0"/>
    <x v="2"/>
    <n v="0"/>
  </r>
  <r>
    <x v="0"/>
    <x v="0"/>
    <x v="2"/>
    <x v="6"/>
    <x v="42"/>
    <x v="0"/>
    <x v="3"/>
    <n v="0"/>
  </r>
  <r>
    <x v="0"/>
    <x v="0"/>
    <x v="2"/>
    <x v="6"/>
    <x v="42"/>
    <x v="0"/>
    <x v="4"/>
    <n v="0"/>
  </r>
  <r>
    <x v="0"/>
    <x v="0"/>
    <x v="2"/>
    <x v="6"/>
    <x v="42"/>
    <x v="0"/>
    <x v="5"/>
    <n v="0"/>
  </r>
  <r>
    <x v="0"/>
    <x v="0"/>
    <x v="2"/>
    <x v="6"/>
    <x v="42"/>
    <x v="0"/>
    <x v="6"/>
    <n v="0"/>
  </r>
  <r>
    <x v="0"/>
    <x v="0"/>
    <x v="2"/>
    <x v="6"/>
    <x v="43"/>
    <x v="0"/>
    <x v="0"/>
    <n v="0"/>
  </r>
  <r>
    <x v="0"/>
    <x v="0"/>
    <x v="2"/>
    <x v="6"/>
    <x v="43"/>
    <x v="0"/>
    <x v="1"/>
    <n v="0"/>
  </r>
  <r>
    <x v="0"/>
    <x v="0"/>
    <x v="2"/>
    <x v="6"/>
    <x v="43"/>
    <x v="0"/>
    <x v="2"/>
    <n v="0"/>
  </r>
  <r>
    <x v="0"/>
    <x v="0"/>
    <x v="2"/>
    <x v="6"/>
    <x v="43"/>
    <x v="0"/>
    <x v="3"/>
    <n v="0"/>
  </r>
  <r>
    <x v="0"/>
    <x v="0"/>
    <x v="2"/>
    <x v="6"/>
    <x v="43"/>
    <x v="0"/>
    <x v="4"/>
    <n v="0"/>
  </r>
  <r>
    <x v="0"/>
    <x v="0"/>
    <x v="2"/>
    <x v="6"/>
    <x v="43"/>
    <x v="0"/>
    <x v="5"/>
    <n v="0"/>
  </r>
  <r>
    <x v="0"/>
    <x v="0"/>
    <x v="2"/>
    <x v="6"/>
    <x v="43"/>
    <x v="0"/>
    <x v="6"/>
    <n v="0"/>
  </r>
  <r>
    <x v="0"/>
    <x v="0"/>
    <x v="4"/>
    <x v="7"/>
    <x v="44"/>
    <x v="0"/>
    <x v="0"/>
    <n v="0"/>
  </r>
  <r>
    <x v="0"/>
    <x v="0"/>
    <x v="4"/>
    <x v="7"/>
    <x v="44"/>
    <x v="0"/>
    <x v="1"/>
    <n v="0"/>
  </r>
  <r>
    <x v="0"/>
    <x v="0"/>
    <x v="4"/>
    <x v="7"/>
    <x v="44"/>
    <x v="0"/>
    <x v="2"/>
    <n v="0"/>
  </r>
  <r>
    <x v="0"/>
    <x v="0"/>
    <x v="4"/>
    <x v="7"/>
    <x v="44"/>
    <x v="0"/>
    <x v="3"/>
    <n v="0"/>
  </r>
  <r>
    <x v="0"/>
    <x v="0"/>
    <x v="4"/>
    <x v="7"/>
    <x v="44"/>
    <x v="0"/>
    <x v="4"/>
    <n v="0"/>
  </r>
  <r>
    <x v="0"/>
    <x v="0"/>
    <x v="4"/>
    <x v="7"/>
    <x v="44"/>
    <x v="0"/>
    <x v="5"/>
    <n v="0"/>
  </r>
  <r>
    <x v="0"/>
    <x v="0"/>
    <x v="4"/>
    <x v="7"/>
    <x v="44"/>
    <x v="0"/>
    <x v="6"/>
    <n v="0"/>
  </r>
  <r>
    <x v="0"/>
    <x v="0"/>
    <x v="4"/>
    <x v="7"/>
    <x v="45"/>
    <x v="0"/>
    <x v="0"/>
    <n v="0"/>
  </r>
  <r>
    <x v="0"/>
    <x v="0"/>
    <x v="4"/>
    <x v="7"/>
    <x v="45"/>
    <x v="0"/>
    <x v="1"/>
    <n v="0"/>
  </r>
  <r>
    <x v="0"/>
    <x v="0"/>
    <x v="4"/>
    <x v="7"/>
    <x v="45"/>
    <x v="0"/>
    <x v="2"/>
    <n v="0"/>
  </r>
  <r>
    <x v="0"/>
    <x v="0"/>
    <x v="4"/>
    <x v="7"/>
    <x v="45"/>
    <x v="0"/>
    <x v="3"/>
    <n v="0"/>
  </r>
  <r>
    <x v="0"/>
    <x v="0"/>
    <x v="4"/>
    <x v="7"/>
    <x v="45"/>
    <x v="0"/>
    <x v="4"/>
    <n v="0"/>
  </r>
  <r>
    <x v="0"/>
    <x v="0"/>
    <x v="4"/>
    <x v="7"/>
    <x v="45"/>
    <x v="0"/>
    <x v="5"/>
    <n v="0"/>
  </r>
  <r>
    <x v="0"/>
    <x v="0"/>
    <x v="4"/>
    <x v="7"/>
    <x v="45"/>
    <x v="0"/>
    <x v="6"/>
    <n v="0"/>
  </r>
  <r>
    <x v="0"/>
    <x v="0"/>
    <x v="4"/>
    <x v="7"/>
    <x v="46"/>
    <x v="0"/>
    <x v="0"/>
    <n v="0"/>
  </r>
  <r>
    <x v="0"/>
    <x v="0"/>
    <x v="4"/>
    <x v="7"/>
    <x v="46"/>
    <x v="0"/>
    <x v="1"/>
    <n v="0"/>
  </r>
  <r>
    <x v="0"/>
    <x v="0"/>
    <x v="4"/>
    <x v="7"/>
    <x v="46"/>
    <x v="0"/>
    <x v="2"/>
    <n v="0"/>
  </r>
  <r>
    <x v="0"/>
    <x v="0"/>
    <x v="4"/>
    <x v="7"/>
    <x v="46"/>
    <x v="0"/>
    <x v="3"/>
    <n v="0"/>
  </r>
  <r>
    <x v="0"/>
    <x v="0"/>
    <x v="4"/>
    <x v="7"/>
    <x v="46"/>
    <x v="0"/>
    <x v="4"/>
    <n v="0"/>
  </r>
  <r>
    <x v="0"/>
    <x v="0"/>
    <x v="4"/>
    <x v="7"/>
    <x v="46"/>
    <x v="0"/>
    <x v="5"/>
    <n v="0"/>
  </r>
  <r>
    <x v="0"/>
    <x v="0"/>
    <x v="4"/>
    <x v="7"/>
    <x v="46"/>
    <x v="0"/>
    <x v="6"/>
    <n v="0"/>
  </r>
  <r>
    <x v="0"/>
    <x v="0"/>
    <x v="4"/>
    <x v="7"/>
    <x v="47"/>
    <x v="0"/>
    <x v="0"/>
    <n v="0"/>
  </r>
  <r>
    <x v="0"/>
    <x v="0"/>
    <x v="4"/>
    <x v="7"/>
    <x v="47"/>
    <x v="0"/>
    <x v="1"/>
    <n v="0"/>
  </r>
  <r>
    <x v="0"/>
    <x v="0"/>
    <x v="4"/>
    <x v="7"/>
    <x v="47"/>
    <x v="0"/>
    <x v="2"/>
    <n v="0"/>
  </r>
  <r>
    <x v="0"/>
    <x v="0"/>
    <x v="4"/>
    <x v="7"/>
    <x v="47"/>
    <x v="0"/>
    <x v="3"/>
    <n v="0"/>
  </r>
  <r>
    <x v="0"/>
    <x v="0"/>
    <x v="4"/>
    <x v="7"/>
    <x v="47"/>
    <x v="0"/>
    <x v="4"/>
    <n v="0"/>
  </r>
  <r>
    <x v="0"/>
    <x v="0"/>
    <x v="4"/>
    <x v="7"/>
    <x v="47"/>
    <x v="0"/>
    <x v="5"/>
    <n v="0"/>
  </r>
  <r>
    <x v="0"/>
    <x v="0"/>
    <x v="4"/>
    <x v="7"/>
    <x v="47"/>
    <x v="0"/>
    <x v="6"/>
    <n v="0"/>
  </r>
  <r>
    <x v="0"/>
    <x v="0"/>
    <x v="4"/>
    <x v="7"/>
    <x v="48"/>
    <x v="0"/>
    <x v="0"/>
    <n v="0"/>
  </r>
  <r>
    <x v="0"/>
    <x v="0"/>
    <x v="4"/>
    <x v="7"/>
    <x v="48"/>
    <x v="0"/>
    <x v="1"/>
    <n v="0"/>
  </r>
  <r>
    <x v="0"/>
    <x v="0"/>
    <x v="4"/>
    <x v="7"/>
    <x v="48"/>
    <x v="0"/>
    <x v="2"/>
    <n v="0"/>
  </r>
  <r>
    <x v="0"/>
    <x v="0"/>
    <x v="4"/>
    <x v="7"/>
    <x v="48"/>
    <x v="0"/>
    <x v="3"/>
    <n v="0"/>
  </r>
  <r>
    <x v="0"/>
    <x v="0"/>
    <x v="4"/>
    <x v="7"/>
    <x v="48"/>
    <x v="0"/>
    <x v="4"/>
    <n v="0"/>
  </r>
  <r>
    <x v="0"/>
    <x v="0"/>
    <x v="4"/>
    <x v="7"/>
    <x v="48"/>
    <x v="0"/>
    <x v="5"/>
    <n v="0"/>
  </r>
  <r>
    <x v="0"/>
    <x v="0"/>
    <x v="4"/>
    <x v="7"/>
    <x v="48"/>
    <x v="0"/>
    <x v="6"/>
    <n v="0"/>
  </r>
  <r>
    <x v="0"/>
    <x v="0"/>
    <x v="4"/>
    <x v="7"/>
    <x v="49"/>
    <x v="0"/>
    <x v="0"/>
    <n v="0"/>
  </r>
  <r>
    <x v="0"/>
    <x v="0"/>
    <x v="4"/>
    <x v="7"/>
    <x v="49"/>
    <x v="0"/>
    <x v="1"/>
    <n v="0"/>
  </r>
  <r>
    <x v="0"/>
    <x v="0"/>
    <x v="4"/>
    <x v="7"/>
    <x v="49"/>
    <x v="0"/>
    <x v="2"/>
    <n v="0"/>
  </r>
  <r>
    <x v="0"/>
    <x v="0"/>
    <x v="4"/>
    <x v="7"/>
    <x v="49"/>
    <x v="0"/>
    <x v="3"/>
    <n v="0"/>
  </r>
  <r>
    <x v="0"/>
    <x v="0"/>
    <x v="4"/>
    <x v="7"/>
    <x v="49"/>
    <x v="0"/>
    <x v="4"/>
    <n v="0"/>
  </r>
  <r>
    <x v="0"/>
    <x v="0"/>
    <x v="4"/>
    <x v="7"/>
    <x v="49"/>
    <x v="0"/>
    <x v="5"/>
    <n v="0"/>
  </r>
  <r>
    <x v="0"/>
    <x v="0"/>
    <x v="4"/>
    <x v="7"/>
    <x v="49"/>
    <x v="0"/>
    <x v="6"/>
    <n v="0"/>
  </r>
  <r>
    <x v="0"/>
    <x v="0"/>
    <x v="4"/>
    <x v="7"/>
    <x v="50"/>
    <x v="0"/>
    <x v="0"/>
    <n v="0"/>
  </r>
  <r>
    <x v="0"/>
    <x v="0"/>
    <x v="4"/>
    <x v="7"/>
    <x v="50"/>
    <x v="0"/>
    <x v="1"/>
    <n v="0"/>
  </r>
  <r>
    <x v="0"/>
    <x v="0"/>
    <x v="4"/>
    <x v="7"/>
    <x v="50"/>
    <x v="0"/>
    <x v="2"/>
    <n v="0"/>
  </r>
  <r>
    <x v="0"/>
    <x v="0"/>
    <x v="4"/>
    <x v="7"/>
    <x v="50"/>
    <x v="0"/>
    <x v="3"/>
    <n v="0"/>
  </r>
  <r>
    <x v="0"/>
    <x v="0"/>
    <x v="4"/>
    <x v="7"/>
    <x v="50"/>
    <x v="0"/>
    <x v="4"/>
    <n v="0"/>
  </r>
  <r>
    <x v="0"/>
    <x v="0"/>
    <x v="4"/>
    <x v="7"/>
    <x v="50"/>
    <x v="0"/>
    <x v="5"/>
    <n v="0"/>
  </r>
  <r>
    <x v="0"/>
    <x v="0"/>
    <x v="4"/>
    <x v="7"/>
    <x v="50"/>
    <x v="0"/>
    <x v="6"/>
    <n v="0"/>
  </r>
  <r>
    <x v="0"/>
    <x v="0"/>
    <x v="5"/>
    <x v="8"/>
    <x v="51"/>
    <x v="0"/>
    <x v="0"/>
    <n v="0"/>
  </r>
  <r>
    <x v="0"/>
    <x v="0"/>
    <x v="5"/>
    <x v="8"/>
    <x v="51"/>
    <x v="0"/>
    <x v="1"/>
    <n v="0"/>
  </r>
  <r>
    <x v="0"/>
    <x v="0"/>
    <x v="5"/>
    <x v="8"/>
    <x v="51"/>
    <x v="0"/>
    <x v="2"/>
    <n v="0"/>
  </r>
  <r>
    <x v="0"/>
    <x v="0"/>
    <x v="5"/>
    <x v="8"/>
    <x v="51"/>
    <x v="0"/>
    <x v="3"/>
    <n v="0"/>
  </r>
  <r>
    <x v="0"/>
    <x v="0"/>
    <x v="5"/>
    <x v="8"/>
    <x v="51"/>
    <x v="0"/>
    <x v="4"/>
    <n v="0"/>
  </r>
  <r>
    <x v="0"/>
    <x v="0"/>
    <x v="5"/>
    <x v="8"/>
    <x v="51"/>
    <x v="0"/>
    <x v="5"/>
    <n v="0"/>
  </r>
  <r>
    <x v="0"/>
    <x v="0"/>
    <x v="5"/>
    <x v="8"/>
    <x v="51"/>
    <x v="0"/>
    <x v="6"/>
    <n v="0"/>
  </r>
  <r>
    <x v="0"/>
    <x v="0"/>
    <x v="3"/>
    <x v="5"/>
    <x v="52"/>
    <x v="0"/>
    <x v="0"/>
    <n v="0"/>
  </r>
  <r>
    <x v="0"/>
    <x v="0"/>
    <x v="3"/>
    <x v="5"/>
    <x v="52"/>
    <x v="0"/>
    <x v="1"/>
    <n v="0"/>
  </r>
  <r>
    <x v="0"/>
    <x v="0"/>
    <x v="3"/>
    <x v="5"/>
    <x v="52"/>
    <x v="0"/>
    <x v="2"/>
    <n v="0"/>
  </r>
  <r>
    <x v="0"/>
    <x v="0"/>
    <x v="3"/>
    <x v="5"/>
    <x v="52"/>
    <x v="0"/>
    <x v="3"/>
    <n v="0"/>
  </r>
  <r>
    <x v="0"/>
    <x v="0"/>
    <x v="3"/>
    <x v="5"/>
    <x v="52"/>
    <x v="0"/>
    <x v="4"/>
    <n v="0"/>
  </r>
  <r>
    <x v="0"/>
    <x v="0"/>
    <x v="3"/>
    <x v="5"/>
    <x v="52"/>
    <x v="0"/>
    <x v="5"/>
    <n v="0"/>
  </r>
  <r>
    <x v="0"/>
    <x v="0"/>
    <x v="3"/>
    <x v="5"/>
    <x v="52"/>
    <x v="0"/>
    <x v="6"/>
    <n v="0"/>
  </r>
  <r>
    <x v="0"/>
    <x v="0"/>
    <x v="5"/>
    <x v="8"/>
    <x v="53"/>
    <x v="0"/>
    <x v="0"/>
    <n v="0"/>
  </r>
  <r>
    <x v="0"/>
    <x v="0"/>
    <x v="5"/>
    <x v="8"/>
    <x v="53"/>
    <x v="0"/>
    <x v="1"/>
    <n v="0"/>
  </r>
  <r>
    <x v="0"/>
    <x v="0"/>
    <x v="5"/>
    <x v="8"/>
    <x v="53"/>
    <x v="0"/>
    <x v="2"/>
    <n v="0"/>
  </r>
  <r>
    <x v="0"/>
    <x v="0"/>
    <x v="5"/>
    <x v="8"/>
    <x v="53"/>
    <x v="0"/>
    <x v="3"/>
    <n v="0"/>
  </r>
  <r>
    <x v="0"/>
    <x v="0"/>
    <x v="5"/>
    <x v="8"/>
    <x v="53"/>
    <x v="0"/>
    <x v="4"/>
    <n v="0"/>
  </r>
  <r>
    <x v="0"/>
    <x v="0"/>
    <x v="5"/>
    <x v="8"/>
    <x v="53"/>
    <x v="0"/>
    <x v="5"/>
    <n v="0"/>
  </r>
  <r>
    <x v="0"/>
    <x v="0"/>
    <x v="5"/>
    <x v="8"/>
    <x v="53"/>
    <x v="0"/>
    <x v="6"/>
    <n v="0"/>
  </r>
  <r>
    <x v="0"/>
    <x v="0"/>
    <x v="4"/>
    <x v="7"/>
    <x v="54"/>
    <x v="0"/>
    <x v="0"/>
    <n v="0"/>
  </r>
  <r>
    <x v="0"/>
    <x v="0"/>
    <x v="4"/>
    <x v="7"/>
    <x v="54"/>
    <x v="0"/>
    <x v="1"/>
    <n v="0"/>
  </r>
  <r>
    <x v="0"/>
    <x v="0"/>
    <x v="4"/>
    <x v="7"/>
    <x v="54"/>
    <x v="0"/>
    <x v="2"/>
    <n v="0"/>
  </r>
  <r>
    <x v="0"/>
    <x v="0"/>
    <x v="4"/>
    <x v="7"/>
    <x v="54"/>
    <x v="0"/>
    <x v="3"/>
    <n v="0"/>
  </r>
  <r>
    <x v="0"/>
    <x v="0"/>
    <x v="4"/>
    <x v="7"/>
    <x v="54"/>
    <x v="0"/>
    <x v="4"/>
    <n v="0"/>
  </r>
  <r>
    <x v="0"/>
    <x v="0"/>
    <x v="4"/>
    <x v="7"/>
    <x v="54"/>
    <x v="0"/>
    <x v="5"/>
    <n v="0"/>
  </r>
  <r>
    <x v="0"/>
    <x v="0"/>
    <x v="4"/>
    <x v="7"/>
    <x v="54"/>
    <x v="0"/>
    <x v="6"/>
    <n v="0"/>
  </r>
  <r>
    <x v="0"/>
    <x v="0"/>
    <x v="4"/>
    <x v="7"/>
    <x v="55"/>
    <x v="0"/>
    <x v="0"/>
    <n v="0"/>
  </r>
  <r>
    <x v="0"/>
    <x v="0"/>
    <x v="4"/>
    <x v="7"/>
    <x v="55"/>
    <x v="0"/>
    <x v="1"/>
    <n v="0"/>
  </r>
  <r>
    <x v="0"/>
    <x v="0"/>
    <x v="4"/>
    <x v="7"/>
    <x v="55"/>
    <x v="0"/>
    <x v="2"/>
    <n v="0"/>
  </r>
  <r>
    <x v="0"/>
    <x v="0"/>
    <x v="4"/>
    <x v="7"/>
    <x v="55"/>
    <x v="0"/>
    <x v="3"/>
    <n v="0"/>
  </r>
  <r>
    <x v="0"/>
    <x v="0"/>
    <x v="4"/>
    <x v="7"/>
    <x v="55"/>
    <x v="0"/>
    <x v="4"/>
    <n v="0"/>
  </r>
  <r>
    <x v="0"/>
    <x v="0"/>
    <x v="4"/>
    <x v="7"/>
    <x v="55"/>
    <x v="0"/>
    <x v="5"/>
    <n v="0"/>
  </r>
  <r>
    <x v="0"/>
    <x v="0"/>
    <x v="4"/>
    <x v="7"/>
    <x v="55"/>
    <x v="0"/>
    <x v="6"/>
    <n v="0"/>
  </r>
  <r>
    <x v="0"/>
    <x v="0"/>
    <x v="4"/>
    <x v="7"/>
    <x v="56"/>
    <x v="0"/>
    <x v="0"/>
    <n v="0"/>
  </r>
  <r>
    <x v="0"/>
    <x v="0"/>
    <x v="4"/>
    <x v="7"/>
    <x v="56"/>
    <x v="0"/>
    <x v="1"/>
    <n v="0"/>
  </r>
  <r>
    <x v="0"/>
    <x v="0"/>
    <x v="4"/>
    <x v="7"/>
    <x v="56"/>
    <x v="0"/>
    <x v="2"/>
    <n v="0"/>
  </r>
  <r>
    <x v="0"/>
    <x v="0"/>
    <x v="4"/>
    <x v="7"/>
    <x v="56"/>
    <x v="0"/>
    <x v="3"/>
    <n v="0"/>
  </r>
  <r>
    <x v="0"/>
    <x v="0"/>
    <x v="4"/>
    <x v="7"/>
    <x v="56"/>
    <x v="0"/>
    <x v="4"/>
    <n v="0"/>
  </r>
  <r>
    <x v="0"/>
    <x v="0"/>
    <x v="4"/>
    <x v="7"/>
    <x v="56"/>
    <x v="0"/>
    <x v="5"/>
    <n v="0"/>
  </r>
  <r>
    <x v="0"/>
    <x v="0"/>
    <x v="4"/>
    <x v="7"/>
    <x v="56"/>
    <x v="0"/>
    <x v="6"/>
    <n v="0"/>
  </r>
  <r>
    <x v="0"/>
    <x v="0"/>
    <x v="4"/>
    <x v="7"/>
    <x v="57"/>
    <x v="0"/>
    <x v="0"/>
    <n v="0"/>
  </r>
  <r>
    <x v="0"/>
    <x v="0"/>
    <x v="4"/>
    <x v="7"/>
    <x v="57"/>
    <x v="0"/>
    <x v="1"/>
    <n v="0"/>
  </r>
  <r>
    <x v="0"/>
    <x v="0"/>
    <x v="4"/>
    <x v="7"/>
    <x v="57"/>
    <x v="0"/>
    <x v="2"/>
    <n v="0"/>
  </r>
  <r>
    <x v="0"/>
    <x v="0"/>
    <x v="4"/>
    <x v="7"/>
    <x v="57"/>
    <x v="0"/>
    <x v="3"/>
    <n v="0"/>
  </r>
  <r>
    <x v="0"/>
    <x v="0"/>
    <x v="4"/>
    <x v="7"/>
    <x v="57"/>
    <x v="0"/>
    <x v="4"/>
    <n v="0"/>
  </r>
  <r>
    <x v="0"/>
    <x v="0"/>
    <x v="4"/>
    <x v="7"/>
    <x v="57"/>
    <x v="0"/>
    <x v="5"/>
    <n v="0"/>
  </r>
  <r>
    <x v="0"/>
    <x v="0"/>
    <x v="4"/>
    <x v="7"/>
    <x v="57"/>
    <x v="0"/>
    <x v="6"/>
    <n v="0"/>
  </r>
  <r>
    <x v="0"/>
    <x v="0"/>
    <x v="4"/>
    <x v="7"/>
    <x v="58"/>
    <x v="0"/>
    <x v="0"/>
    <n v="0"/>
  </r>
  <r>
    <x v="0"/>
    <x v="0"/>
    <x v="4"/>
    <x v="7"/>
    <x v="58"/>
    <x v="0"/>
    <x v="1"/>
    <n v="0"/>
  </r>
  <r>
    <x v="0"/>
    <x v="0"/>
    <x v="4"/>
    <x v="7"/>
    <x v="58"/>
    <x v="0"/>
    <x v="2"/>
    <n v="0"/>
  </r>
  <r>
    <x v="0"/>
    <x v="0"/>
    <x v="4"/>
    <x v="7"/>
    <x v="58"/>
    <x v="0"/>
    <x v="3"/>
    <n v="0"/>
  </r>
  <r>
    <x v="0"/>
    <x v="0"/>
    <x v="4"/>
    <x v="7"/>
    <x v="58"/>
    <x v="0"/>
    <x v="4"/>
    <n v="0"/>
  </r>
  <r>
    <x v="0"/>
    <x v="0"/>
    <x v="4"/>
    <x v="7"/>
    <x v="58"/>
    <x v="0"/>
    <x v="5"/>
    <n v="0"/>
  </r>
  <r>
    <x v="0"/>
    <x v="0"/>
    <x v="4"/>
    <x v="7"/>
    <x v="58"/>
    <x v="0"/>
    <x v="6"/>
    <n v="0"/>
  </r>
  <r>
    <x v="0"/>
    <x v="0"/>
    <x v="4"/>
    <x v="7"/>
    <x v="59"/>
    <x v="0"/>
    <x v="0"/>
    <n v="0"/>
  </r>
  <r>
    <x v="0"/>
    <x v="0"/>
    <x v="4"/>
    <x v="7"/>
    <x v="59"/>
    <x v="0"/>
    <x v="1"/>
    <n v="0"/>
  </r>
  <r>
    <x v="0"/>
    <x v="0"/>
    <x v="4"/>
    <x v="7"/>
    <x v="59"/>
    <x v="0"/>
    <x v="2"/>
    <n v="0"/>
  </r>
  <r>
    <x v="0"/>
    <x v="0"/>
    <x v="4"/>
    <x v="7"/>
    <x v="59"/>
    <x v="0"/>
    <x v="3"/>
    <n v="0"/>
  </r>
  <r>
    <x v="0"/>
    <x v="0"/>
    <x v="4"/>
    <x v="7"/>
    <x v="59"/>
    <x v="0"/>
    <x v="4"/>
    <n v="0"/>
  </r>
  <r>
    <x v="0"/>
    <x v="0"/>
    <x v="4"/>
    <x v="7"/>
    <x v="59"/>
    <x v="0"/>
    <x v="5"/>
    <n v="0"/>
  </r>
  <r>
    <x v="0"/>
    <x v="0"/>
    <x v="4"/>
    <x v="7"/>
    <x v="59"/>
    <x v="0"/>
    <x v="6"/>
    <n v="0"/>
  </r>
  <r>
    <x v="0"/>
    <x v="0"/>
    <x v="4"/>
    <x v="7"/>
    <x v="60"/>
    <x v="0"/>
    <x v="0"/>
    <n v="0"/>
  </r>
  <r>
    <x v="0"/>
    <x v="0"/>
    <x v="4"/>
    <x v="7"/>
    <x v="60"/>
    <x v="0"/>
    <x v="1"/>
    <n v="0"/>
  </r>
  <r>
    <x v="0"/>
    <x v="0"/>
    <x v="4"/>
    <x v="7"/>
    <x v="60"/>
    <x v="0"/>
    <x v="2"/>
    <n v="0"/>
  </r>
  <r>
    <x v="0"/>
    <x v="0"/>
    <x v="4"/>
    <x v="7"/>
    <x v="60"/>
    <x v="0"/>
    <x v="3"/>
    <n v="0"/>
  </r>
  <r>
    <x v="0"/>
    <x v="0"/>
    <x v="4"/>
    <x v="7"/>
    <x v="60"/>
    <x v="0"/>
    <x v="4"/>
    <n v="0"/>
  </r>
  <r>
    <x v="0"/>
    <x v="0"/>
    <x v="4"/>
    <x v="7"/>
    <x v="60"/>
    <x v="0"/>
    <x v="5"/>
    <n v="0"/>
  </r>
  <r>
    <x v="0"/>
    <x v="0"/>
    <x v="4"/>
    <x v="7"/>
    <x v="60"/>
    <x v="0"/>
    <x v="6"/>
    <n v="0"/>
  </r>
  <r>
    <x v="0"/>
    <x v="0"/>
    <x v="4"/>
    <x v="7"/>
    <x v="61"/>
    <x v="0"/>
    <x v="0"/>
    <n v="0"/>
  </r>
  <r>
    <x v="0"/>
    <x v="0"/>
    <x v="4"/>
    <x v="7"/>
    <x v="61"/>
    <x v="0"/>
    <x v="1"/>
    <n v="0"/>
  </r>
  <r>
    <x v="0"/>
    <x v="0"/>
    <x v="4"/>
    <x v="7"/>
    <x v="61"/>
    <x v="0"/>
    <x v="2"/>
    <n v="0"/>
  </r>
  <r>
    <x v="0"/>
    <x v="0"/>
    <x v="4"/>
    <x v="7"/>
    <x v="61"/>
    <x v="0"/>
    <x v="3"/>
    <n v="0"/>
  </r>
  <r>
    <x v="0"/>
    <x v="0"/>
    <x v="4"/>
    <x v="7"/>
    <x v="61"/>
    <x v="0"/>
    <x v="4"/>
    <n v="0"/>
  </r>
  <r>
    <x v="0"/>
    <x v="0"/>
    <x v="4"/>
    <x v="7"/>
    <x v="61"/>
    <x v="0"/>
    <x v="5"/>
    <n v="0"/>
  </r>
  <r>
    <x v="0"/>
    <x v="0"/>
    <x v="4"/>
    <x v="7"/>
    <x v="61"/>
    <x v="0"/>
    <x v="6"/>
    <n v="0"/>
  </r>
  <r>
    <x v="0"/>
    <x v="0"/>
    <x v="4"/>
    <x v="7"/>
    <x v="62"/>
    <x v="0"/>
    <x v="0"/>
    <n v="0"/>
  </r>
  <r>
    <x v="0"/>
    <x v="0"/>
    <x v="4"/>
    <x v="7"/>
    <x v="62"/>
    <x v="0"/>
    <x v="1"/>
    <n v="0"/>
  </r>
  <r>
    <x v="0"/>
    <x v="0"/>
    <x v="4"/>
    <x v="7"/>
    <x v="62"/>
    <x v="0"/>
    <x v="2"/>
    <n v="0"/>
  </r>
  <r>
    <x v="0"/>
    <x v="0"/>
    <x v="4"/>
    <x v="7"/>
    <x v="62"/>
    <x v="0"/>
    <x v="3"/>
    <n v="0"/>
  </r>
  <r>
    <x v="0"/>
    <x v="0"/>
    <x v="4"/>
    <x v="7"/>
    <x v="62"/>
    <x v="0"/>
    <x v="4"/>
    <n v="0"/>
  </r>
  <r>
    <x v="0"/>
    <x v="0"/>
    <x v="4"/>
    <x v="7"/>
    <x v="62"/>
    <x v="0"/>
    <x v="5"/>
    <n v="0"/>
  </r>
  <r>
    <x v="0"/>
    <x v="0"/>
    <x v="4"/>
    <x v="7"/>
    <x v="62"/>
    <x v="0"/>
    <x v="6"/>
    <n v="0"/>
  </r>
  <r>
    <x v="0"/>
    <x v="0"/>
    <x v="4"/>
    <x v="7"/>
    <x v="63"/>
    <x v="0"/>
    <x v="0"/>
    <n v="0"/>
  </r>
  <r>
    <x v="0"/>
    <x v="0"/>
    <x v="4"/>
    <x v="7"/>
    <x v="63"/>
    <x v="0"/>
    <x v="1"/>
    <n v="0"/>
  </r>
  <r>
    <x v="0"/>
    <x v="0"/>
    <x v="4"/>
    <x v="7"/>
    <x v="63"/>
    <x v="0"/>
    <x v="2"/>
    <n v="0"/>
  </r>
  <r>
    <x v="0"/>
    <x v="0"/>
    <x v="4"/>
    <x v="7"/>
    <x v="63"/>
    <x v="0"/>
    <x v="3"/>
    <n v="0"/>
  </r>
  <r>
    <x v="0"/>
    <x v="0"/>
    <x v="4"/>
    <x v="7"/>
    <x v="63"/>
    <x v="0"/>
    <x v="4"/>
    <n v="0"/>
  </r>
  <r>
    <x v="0"/>
    <x v="0"/>
    <x v="4"/>
    <x v="7"/>
    <x v="63"/>
    <x v="0"/>
    <x v="5"/>
    <n v="0"/>
  </r>
  <r>
    <x v="0"/>
    <x v="0"/>
    <x v="4"/>
    <x v="7"/>
    <x v="63"/>
    <x v="0"/>
    <x v="6"/>
    <n v="0"/>
  </r>
  <r>
    <x v="0"/>
    <x v="0"/>
    <x v="4"/>
    <x v="7"/>
    <x v="64"/>
    <x v="0"/>
    <x v="0"/>
    <n v="0"/>
  </r>
  <r>
    <x v="0"/>
    <x v="0"/>
    <x v="4"/>
    <x v="7"/>
    <x v="64"/>
    <x v="0"/>
    <x v="1"/>
    <n v="0"/>
  </r>
  <r>
    <x v="0"/>
    <x v="0"/>
    <x v="4"/>
    <x v="7"/>
    <x v="64"/>
    <x v="0"/>
    <x v="2"/>
    <n v="0"/>
  </r>
  <r>
    <x v="0"/>
    <x v="0"/>
    <x v="4"/>
    <x v="7"/>
    <x v="64"/>
    <x v="0"/>
    <x v="3"/>
    <n v="0"/>
  </r>
  <r>
    <x v="0"/>
    <x v="0"/>
    <x v="4"/>
    <x v="7"/>
    <x v="64"/>
    <x v="0"/>
    <x v="4"/>
    <n v="0"/>
  </r>
  <r>
    <x v="0"/>
    <x v="0"/>
    <x v="4"/>
    <x v="7"/>
    <x v="64"/>
    <x v="0"/>
    <x v="5"/>
    <n v="0"/>
  </r>
  <r>
    <x v="0"/>
    <x v="0"/>
    <x v="4"/>
    <x v="7"/>
    <x v="64"/>
    <x v="0"/>
    <x v="6"/>
    <n v="0"/>
  </r>
  <r>
    <x v="0"/>
    <x v="0"/>
    <x v="3"/>
    <x v="5"/>
    <x v="65"/>
    <x v="0"/>
    <x v="0"/>
    <n v="0"/>
  </r>
  <r>
    <x v="0"/>
    <x v="0"/>
    <x v="3"/>
    <x v="5"/>
    <x v="65"/>
    <x v="0"/>
    <x v="1"/>
    <n v="0"/>
  </r>
  <r>
    <x v="0"/>
    <x v="0"/>
    <x v="3"/>
    <x v="5"/>
    <x v="65"/>
    <x v="0"/>
    <x v="2"/>
    <n v="0"/>
  </r>
  <r>
    <x v="0"/>
    <x v="0"/>
    <x v="3"/>
    <x v="5"/>
    <x v="65"/>
    <x v="0"/>
    <x v="3"/>
    <n v="0"/>
  </r>
  <r>
    <x v="0"/>
    <x v="0"/>
    <x v="3"/>
    <x v="5"/>
    <x v="65"/>
    <x v="0"/>
    <x v="4"/>
    <n v="0"/>
  </r>
  <r>
    <x v="0"/>
    <x v="0"/>
    <x v="3"/>
    <x v="5"/>
    <x v="65"/>
    <x v="0"/>
    <x v="5"/>
    <n v="0"/>
  </r>
  <r>
    <x v="0"/>
    <x v="0"/>
    <x v="3"/>
    <x v="5"/>
    <x v="65"/>
    <x v="0"/>
    <x v="6"/>
    <n v="0"/>
  </r>
  <r>
    <x v="0"/>
    <x v="0"/>
    <x v="3"/>
    <x v="5"/>
    <x v="66"/>
    <x v="0"/>
    <x v="0"/>
    <n v="0"/>
  </r>
  <r>
    <x v="0"/>
    <x v="0"/>
    <x v="3"/>
    <x v="5"/>
    <x v="66"/>
    <x v="0"/>
    <x v="1"/>
    <n v="0"/>
  </r>
  <r>
    <x v="0"/>
    <x v="0"/>
    <x v="3"/>
    <x v="5"/>
    <x v="66"/>
    <x v="0"/>
    <x v="2"/>
    <n v="0"/>
  </r>
  <r>
    <x v="0"/>
    <x v="0"/>
    <x v="3"/>
    <x v="5"/>
    <x v="66"/>
    <x v="0"/>
    <x v="3"/>
    <n v="0"/>
  </r>
  <r>
    <x v="0"/>
    <x v="0"/>
    <x v="3"/>
    <x v="5"/>
    <x v="66"/>
    <x v="0"/>
    <x v="4"/>
    <n v="0"/>
  </r>
  <r>
    <x v="0"/>
    <x v="0"/>
    <x v="3"/>
    <x v="5"/>
    <x v="66"/>
    <x v="0"/>
    <x v="5"/>
    <n v="0"/>
  </r>
  <r>
    <x v="0"/>
    <x v="0"/>
    <x v="3"/>
    <x v="5"/>
    <x v="66"/>
    <x v="0"/>
    <x v="6"/>
    <n v="0"/>
  </r>
  <r>
    <x v="0"/>
    <x v="0"/>
    <x v="3"/>
    <x v="5"/>
    <x v="67"/>
    <x v="0"/>
    <x v="0"/>
    <n v="0"/>
  </r>
  <r>
    <x v="0"/>
    <x v="0"/>
    <x v="3"/>
    <x v="5"/>
    <x v="67"/>
    <x v="0"/>
    <x v="1"/>
    <n v="0"/>
  </r>
  <r>
    <x v="0"/>
    <x v="0"/>
    <x v="3"/>
    <x v="5"/>
    <x v="67"/>
    <x v="0"/>
    <x v="2"/>
    <n v="0"/>
  </r>
  <r>
    <x v="0"/>
    <x v="0"/>
    <x v="3"/>
    <x v="5"/>
    <x v="67"/>
    <x v="0"/>
    <x v="3"/>
    <n v="0"/>
  </r>
  <r>
    <x v="0"/>
    <x v="0"/>
    <x v="3"/>
    <x v="5"/>
    <x v="67"/>
    <x v="0"/>
    <x v="4"/>
    <n v="0"/>
  </r>
  <r>
    <x v="0"/>
    <x v="0"/>
    <x v="3"/>
    <x v="5"/>
    <x v="67"/>
    <x v="0"/>
    <x v="5"/>
    <n v="0"/>
  </r>
  <r>
    <x v="0"/>
    <x v="0"/>
    <x v="3"/>
    <x v="5"/>
    <x v="67"/>
    <x v="0"/>
    <x v="6"/>
    <n v="0"/>
  </r>
  <r>
    <x v="0"/>
    <x v="0"/>
    <x v="3"/>
    <x v="5"/>
    <x v="68"/>
    <x v="0"/>
    <x v="0"/>
    <n v="0"/>
  </r>
  <r>
    <x v="0"/>
    <x v="0"/>
    <x v="3"/>
    <x v="5"/>
    <x v="68"/>
    <x v="0"/>
    <x v="1"/>
    <n v="0"/>
  </r>
  <r>
    <x v="0"/>
    <x v="0"/>
    <x v="3"/>
    <x v="5"/>
    <x v="68"/>
    <x v="0"/>
    <x v="2"/>
    <n v="0"/>
  </r>
  <r>
    <x v="0"/>
    <x v="0"/>
    <x v="3"/>
    <x v="5"/>
    <x v="68"/>
    <x v="0"/>
    <x v="3"/>
    <n v="0"/>
  </r>
  <r>
    <x v="0"/>
    <x v="0"/>
    <x v="3"/>
    <x v="5"/>
    <x v="68"/>
    <x v="0"/>
    <x v="4"/>
    <n v="0"/>
  </r>
  <r>
    <x v="0"/>
    <x v="0"/>
    <x v="3"/>
    <x v="5"/>
    <x v="68"/>
    <x v="0"/>
    <x v="5"/>
    <n v="0"/>
  </r>
  <r>
    <x v="0"/>
    <x v="0"/>
    <x v="3"/>
    <x v="5"/>
    <x v="68"/>
    <x v="0"/>
    <x v="6"/>
    <n v="0"/>
  </r>
  <r>
    <x v="0"/>
    <x v="0"/>
    <x v="3"/>
    <x v="5"/>
    <x v="69"/>
    <x v="0"/>
    <x v="0"/>
    <n v="0"/>
  </r>
  <r>
    <x v="0"/>
    <x v="0"/>
    <x v="3"/>
    <x v="5"/>
    <x v="69"/>
    <x v="0"/>
    <x v="1"/>
    <n v="0"/>
  </r>
  <r>
    <x v="0"/>
    <x v="0"/>
    <x v="3"/>
    <x v="5"/>
    <x v="69"/>
    <x v="0"/>
    <x v="2"/>
    <n v="0"/>
  </r>
  <r>
    <x v="0"/>
    <x v="0"/>
    <x v="3"/>
    <x v="5"/>
    <x v="69"/>
    <x v="0"/>
    <x v="3"/>
    <n v="0"/>
  </r>
  <r>
    <x v="0"/>
    <x v="0"/>
    <x v="3"/>
    <x v="5"/>
    <x v="69"/>
    <x v="0"/>
    <x v="4"/>
    <n v="0"/>
  </r>
  <r>
    <x v="0"/>
    <x v="0"/>
    <x v="3"/>
    <x v="5"/>
    <x v="69"/>
    <x v="0"/>
    <x v="5"/>
    <n v="0"/>
  </r>
  <r>
    <x v="0"/>
    <x v="0"/>
    <x v="3"/>
    <x v="5"/>
    <x v="69"/>
    <x v="0"/>
    <x v="6"/>
    <n v="0"/>
  </r>
  <r>
    <x v="0"/>
    <x v="0"/>
    <x v="3"/>
    <x v="5"/>
    <x v="70"/>
    <x v="0"/>
    <x v="0"/>
    <n v="0"/>
  </r>
  <r>
    <x v="0"/>
    <x v="0"/>
    <x v="3"/>
    <x v="5"/>
    <x v="70"/>
    <x v="0"/>
    <x v="1"/>
    <n v="0"/>
  </r>
  <r>
    <x v="0"/>
    <x v="0"/>
    <x v="3"/>
    <x v="5"/>
    <x v="70"/>
    <x v="0"/>
    <x v="2"/>
    <n v="0"/>
  </r>
  <r>
    <x v="0"/>
    <x v="0"/>
    <x v="3"/>
    <x v="5"/>
    <x v="70"/>
    <x v="0"/>
    <x v="3"/>
    <n v="0"/>
  </r>
  <r>
    <x v="0"/>
    <x v="0"/>
    <x v="3"/>
    <x v="5"/>
    <x v="70"/>
    <x v="0"/>
    <x v="4"/>
    <n v="0"/>
  </r>
  <r>
    <x v="0"/>
    <x v="0"/>
    <x v="3"/>
    <x v="5"/>
    <x v="70"/>
    <x v="0"/>
    <x v="5"/>
    <n v="0"/>
  </r>
  <r>
    <x v="0"/>
    <x v="0"/>
    <x v="3"/>
    <x v="5"/>
    <x v="70"/>
    <x v="0"/>
    <x v="6"/>
    <n v="0"/>
  </r>
  <r>
    <x v="0"/>
    <x v="0"/>
    <x v="3"/>
    <x v="5"/>
    <x v="71"/>
    <x v="0"/>
    <x v="0"/>
    <n v="0"/>
  </r>
  <r>
    <x v="0"/>
    <x v="0"/>
    <x v="3"/>
    <x v="5"/>
    <x v="71"/>
    <x v="0"/>
    <x v="1"/>
    <n v="0"/>
  </r>
  <r>
    <x v="0"/>
    <x v="0"/>
    <x v="3"/>
    <x v="5"/>
    <x v="71"/>
    <x v="0"/>
    <x v="2"/>
    <n v="0"/>
  </r>
  <r>
    <x v="0"/>
    <x v="0"/>
    <x v="3"/>
    <x v="5"/>
    <x v="71"/>
    <x v="0"/>
    <x v="3"/>
    <n v="0"/>
  </r>
  <r>
    <x v="0"/>
    <x v="0"/>
    <x v="3"/>
    <x v="5"/>
    <x v="71"/>
    <x v="0"/>
    <x v="4"/>
    <n v="0"/>
  </r>
  <r>
    <x v="0"/>
    <x v="0"/>
    <x v="3"/>
    <x v="5"/>
    <x v="71"/>
    <x v="0"/>
    <x v="5"/>
    <n v="0"/>
  </r>
  <r>
    <x v="0"/>
    <x v="0"/>
    <x v="3"/>
    <x v="5"/>
    <x v="71"/>
    <x v="0"/>
    <x v="6"/>
    <n v="0"/>
  </r>
  <r>
    <x v="0"/>
    <x v="0"/>
    <x v="3"/>
    <x v="5"/>
    <x v="72"/>
    <x v="0"/>
    <x v="0"/>
    <n v="0"/>
  </r>
  <r>
    <x v="0"/>
    <x v="0"/>
    <x v="3"/>
    <x v="5"/>
    <x v="72"/>
    <x v="0"/>
    <x v="1"/>
    <n v="0"/>
  </r>
  <r>
    <x v="0"/>
    <x v="0"/>
    <x v="3"/>
    <x v="5"/>
    <x v="72"/>
    <x v="0"/>
    <x v="2"/>
    <n v="0"/>
  </r>
  <r>
    <x v="0"/>
    <x v="0"/>
    <x v="3"/>
    <x v="5"/>
    <x v="72"/>
    <x v="0"/>
    <x v="3"/>
    <n v="0"/>
  </r>
  <r>
    <x v="0"/>
    <x v="0"/>
    <x v="3"/>
    <x v="5"/>
    <x v="72"/>
    <x v="0"/>
    <x v="4"/>
    <n v="0"/>
  </r>
  <r>
    <x v="0"/>
    <x v="0"/>
    <x v="3"/>
    <x v="5"/>
    <x v="72"/>
    <x v="0"/>
    <x v="5"/>
    <n v="0"/>
  </r>
  <r>
    <x v="0"/>
    <x v="0"/>
    <x v="3"/>
    <x v="5"/>
    <x v="72"/>
    <x v="0"/>
    <x v="6"/>
    <n v="0"/>
  </r>
  <r>
    <x v="0"/>
    <x v="0"/>
    <x v="3"/>
    <x v="5"/>
    <x v="73"/>
    <x v="0"/>
    <x v="0"/>
    <n v="0"/>
  </r>
  <r>
    <x v="0"/>
    <x v="0"/>
    <x v="3"/>
    <x v="5"/>
    <x v="73"/>
    <x v="0"/>
    <x v="1"/>
    <n v="0"/>
  </r>
  <r>
    <x v="0"/>
    <x v="0"/>
    <x v="3"/>
    <x v="5"/>
    <x v="73"/>
    <x v="0"/>
    <x v="2"/>
    <n v="0"/>
  </r>
  <r>
    <x v="0"/>
    <x v="0"/>
    <x v="3"/>
    <x v="5"/>
    <x v="73"/>
    <x v="0"/>
    <x v="3"/>
    <n v="0"/>
  </r>
  <r>
    <x v="0"/>
    <x v="0"/>
    <x v="3"/>
    <x v="5"/>
    <x v="73"/>
    <x v="0"/>
    <x v="4"/>
    <n v="0"/>
  </r>
  <r>
    <x v="0"/>
    <x v="0"/>
    <x v="3"/>
    <x v="5"/>
    <x v="73"/>
    <x v="0"/>
    <x v="5"/>
    <n v="0"/>
  </r>
  <r>
    <x v="0"/>
    <x v="0"/>
    <x v="3"/>
    <x v="5"/>
    <x v="73"/>
    <x v="0"/>
    <x v="6"/>
    <n v="0"/>
  </r>
  <r>
    <x v="0"/>
    <x v="0"/>
    <x v="5"/>
    <x v="8"/>
    <x v="74"/>
    <x v="0"/>
    <x v="0"/>
    <n v="0"/>
  </r>
  <r>
    <x v="0"/>
    <x v="0"/>
    <x v="5"/>
    <x v="8"/>
    <x v="74"/>
    <x v="0"/>
    <x v="1"/>
    <n v="0"/>
  </r>
  <r>
    <x v="0"/>
    <x v="0"/>
    <x v="5"/>
    <x v="8"/>
    <x v="74"/>
    <x v="0"/>
    <x v="2"/>
    <n v="0"/>
  </r>
  <r>
    <x v="0"/>
    <x v="0"/>
    <x v="5"/>
    <x v="8"/>
    <x v="74"/>
    <x v="0"/>
    <x v="3"/>
    <n v="0"/>
  </r>
  <r>
    <x v="0"/>
    <x v="0"/>
    <x v="5"/>
    <x v="8"/>
    <x v="74"/>
    <x v="0"/>
    <x v="4"/>
    <n v="0"/>
  </r>
  <r>
    <x v="0"/>
    <x v="0"/>
    <x v="5"/>
    <x v="8"/>
    <x v="74"/>
    <x v="0"/>
    <x v="5"/>
    <n v="0"/>
  </r>
  <r>
    <x v="0"/>
    <x v="0"/>
    <x v="5"/>
    <x v="8"/>
    <x v="74"/>
    <x v="0"/>
    <x v="6"/>
    <n v="0"/>
  </r>
  <r>
    <x v="0"/>
    <x v="0"/>
    <x v="5"/>
    <x v="8"/>
    <x v="75"/>
    <x v="0"/>
    <x v="0"/>
    <n v="0"/>
  </r>
  <r>
    <x v="0"/>
    <x v="0"/>
    <x v="5"/>
    <x v="8"/>
    <x v="75"/>
    <x v="0"/>
    <x v="1"/>
    <n v="0"/>
  </r>
  <r>
    <x v="0"/>
    <x v="0"/>
    <x v="5"/>
    <x v="8"/>
    <x v="75"/>
    <x v="0"/>
    <x v="2"/>
    <n v="0"/>
  </r>
  <r>
    <x v="0"/>
    <x v="0"/>
    <x v="5"/>
    <x v="8"/>
    <x v="75"/>
    <x v="0"/>
    <x v="3"/>
    <n v="0"/>
  </r>
  <r>
    <x v="0"/>
    <x v="0"/>
    <x v="5"/>
    <x v="8"/>
    <x v="75"/>
    <x v="0"/>
    <x v="4"/>
    <n v="0"/>
  </r>
  <r>
    <x v="0"/>
    <x v="0"/>
    <x v="5"/>
    <x v="8"/>
    <x v="75"/>
    <x v="0"/>
    <x v="5"/>
    <n v="0"/>
  </r>
  <r>
    <x v="0"/>
    <x v="0"/>
    <x v="5"/>
    <x v="8"/>
    <x v="75"/>
    <x v="0"/>
    <x v="6"/>
    <n v="0"/>
  </r>
  <r>
    <x v="0"/>
    <x v="0"/>
    <x v="5"/>
    <x v="8"/>
    <x v="76"/>
    <x v="0"/>
    <x v="0"/>
    <n v="0"/>
  </r>
  <r>
    <x v="0"/>
    <x v="0"/>
    <x v="5"/>
    <x v="8"/>
    <x v="76"/>
    <x v="0"/>
    <x v="1"/>
    <n v="0"/>
  </r>
  <r>
    <x v="0"/>
    <x v="0"/>
    <x v="5"/>
    <x v="8"/>
    <x v="76"/>
    <x v="0"/>
    <x v="2"/>
    <n v="0"/>
  </r>
  <r>
    <x v="0"/>
    <x v="0"/>
    <x v="5"/>
    <x v="8"/>
    <x v="76"/>
    <x v="0"/>
    <x v="3"/>
    <n v="0"/>
  </r>
  <r>
    <x v="0"/>
    <x v="0"/>
    <x v="5"/>
    <x v="8"/>
    <x v="76"/>
    <x v="0"/>
    <x v="4"/>
    <n v="0"/>
  </r>
  <r>
    <x v="0"/>
    <x v="0"/>
    <x v="5"/>
    <x v="8"/>
    <x v="76"/>
    <x v="0"/>
    <x v="5"/>
    <n v="0"/>
  </r>
  <r>
    <x v="0"/>
    <x v="0"/>
    <x v="5"/>
    <x v="8"/>
    <x v="76"/>
    <x v="0"/>
    <x v="6"/>
    <n v="0"/>
  </r>
  <r>
    <x v="0"/>
    <x v="0"/>
    <x v="5"/>
    <x v="8"/>
    <x v="77"/>
    <x v="0"/>
    <x v="0"/>
    <n v="0"/>
  </r>
  <r>
    <x v="0"/>
    <x v="0"/>
    <x v="5"/>
    <x v="8"/>
    <x v="77"/>
    <x v="0"/>
    <x v="1"/>
    <n v="0"/>
  </r>
  <r>
    <x v="0"/>
    <x v="0"/>
    <x v="5"/>
    <x v="8"/>
    <x v="77"/>
    <x v="0"/>
    <x v="2"/>
    <n v="0"/>
  </r>
  <r>
    <x v="0"/>
    <x v="0"/>
    <x v="5"/>
    <x v="8"/>
    <x v="77"/>
    <x v="0"/>
    <x v="3"/>
    <n v="0"/>
  </r>
  <r>
    <x v="0"/>
    <x v="0"/>
    <x v="5"/>
    <x v="8"/>
    <x v="77"/>
    <x v="0"/>
    <x v="4"/>
    <n v="0"/>
  </r>
  <r>
    <x v="0"/>
    <x v="0"/>
    <x v="5"/>
    <x v="8"/>
    <x v="77"/>
    <x v="0"/>
    <x v="5"/>
    <n v="0"/>
  </r>
  <r>
    <x v="0"/>
    <x v="0"/>
    <x v="5"/>
    <x v="8"/>
    <x v="77"/>
    <x v="0"/>
    <x v="6"/>
    <n v="0"/>
  </r>
  <r>
    <x v="0"/>
    <x v="0"/>
    <x v="5"/>
    <x v="8"/>
    <x v="78"/>
    <x v="0"/>
    <x v="0"/>
    <n v="0"/>
  </r>
  <r>
    <x v="0"/>
    <x v="0"/>
    <x v="5"/>
    <x v="8"/>
    <x v="78"/>
    <x v="0"/>
    <x v="1"/>
    <n v="0"/>
  </r>
  <r>
    <x v="0"/>
    <x v="0"/>
    <x v="5"/>
    <x v="8"/>
    <x v="78"/>
    <x v="0"/>
    <x v="2"/>
    <n v="0"/>
  </r>
  <r>
    <x v="0"/>
    <x v="0"/>
    <x v="5"/>
    <x v="8"/>
    <x v="78"/>
    <x v="0"/>
    <x v="3"/>
    <n v="0"/>
  </r>
  <r>
    <x v="0"/>
    <x v="0"/>
    <x v="5"/>
    <x v="8"/>
    <x v="78"/>
    <x v="0"/>
    <x v="4"/>
    <n v="0"/>
  </r>
  <r>
    <x v="0"/>
    <x v="0"/>
    <x v="5"/>
    <x v="8"/>
    <x v="78"/>
    <x v="0"/>
    <x v="5"/>
    <n v="0"/>
  </r>
  <r>
    <x v="0"/>
    <x v="0"/>
    <x v="5"/>
    <x v="8"/>
    <x v="78"/>
    <x v="0"/>
    <x v="6"/>
    <n v="0"/>
  </r>
  <r>
    <x v="0"/>
    <x v="0"/>
    <x v="5"/>
    <x v="8"/>
    <x v="79"/>
    <x v="0"/>
    <x v="0"/>
    <n v="0"/>
  </r>
  <r>
    <x v="0"/>
    <x v="0"/>
    <x v="5"/>
    <x v="8"/>
    <x v="79"/>
    <x v="0"/>
    <x v="1"/>
    <n v="0"/>
  </r>
  <r>
    <x v="0"/>
    <x v="0"/>
    <x v="5"/>
    <x v="8"/>
    <x v="79"/>
    <x v="0"/>
    <x v="2"/>
    <n v="0"/>
  </r>
  <r>
    <x v="0"/>
    <x v="0"/>
    <x v="5"/>
    <x v="8"/>
    <x v="79"/>
    <x v="0"/>
    <x v="3"/>
    <n v="0"/>
  </r>
  <r>
    <x v="0"/>
    <x v="0"/>
    <x v="5"/>
    <x v="8"/>
    <x v="79"/>
    <x v="0"/>
    <x v="4"/>
    <n v="0"/>
  </r>
  <r>
    <x v="0"/>
    <x v="0"/>
    <x v="5"/>
    <x v="8"/>
    <x v="79"/>
    <x v="0"/>
    <x v="5"/>
    <n v="0"/>
  </r>
  <r>
    <x v="0"/>
    <x v="0"/>
    <x v="5"/>
    <x v="8"/>
    <x v="79"/>
    <x v="0"/>
    <x v="6"/>
    <n v="0"/>
  </r>
  <r>
    <x v="0"/>
    <x v="0"/>
    <x v="5"/>
    <x v="8"/>
    <x v="80"/>
    <x v="0"/>
    <x v="0"/>
    <n v="0"/>
  </r>
  <r>
    <x v="0"/>
    <x v="0"/>
    <x v="5"/>
    <x v="8"/>
    <x v="80"/>
    <x v="0"/>
    <x v="1"/>
    <n v="0"/>
  </r>
  <r>
    <x v="0"/>
    <x v="0"/>
    <x v="5"/>
    <x v="8"/>
    <x v="80"/>
    <x v="0"/>
    <x v="2"/>
    <n v="0"/>
  </r>
  <r>
    <x v="0"/>
    <x v="0"/>
    <x v="5"/>
    <x v="8"/>
    <x v="80"/>
    <x v="0"/>
    <x v="3"/>
    <n v="0"/>
  </r>
  <r>
    <x v="0"/>
    <x v="0"/>
    <x v="5"/>
    <x v="8"/>
    <x v="80"/>
    <x v="0"/>
    <x v="4"/>
    <n v="0"/>
  </r>
  <r>
    <x v="0"/>
    <x v="0"/>
    <x v="5"/>
    <x v="8"/>
    <x v="80"/>
    <x v="0"/>
    <x v="5"/>
    <n v="0"/>
  </r>
  <r>
    <x v="0"/>
    <x v="0"/>
    <x v="5"/>
    <x v="8"/>
    <x v="80"/>
    <x v="0"/>
    <x v="6"/>
    <n v="0"/>
  </r>
  <r>
    <x v="0"/>
    <x v="0"/>
    <x v="5"/>
    <x v="8"/>
    <x v="81"/>
    <x v="0"/>
    <x v="0"/>
    <n v="0"/>
  </r>
  <r>
    <x v="0"/>
    <x v="0"/>
    <x v="5"/>
    <x v="8"/>
    <x v="81"/>
    <x v="0"/>
    <x v="1"/>
    <n v="0"/>
  </r>
  <r>
    <x v="0"/>
    <x v="0"/>
    <x v="5"/>
    <x v="8"/>
    <x v="81"/>
    <x v="0"/>
    <x v="2"/>
    <n v="0"/>
  </r>
  <r>
    <x v="0"/>
    <x v="0"/>
    <x v="5"/>
    <x v="8"/>
    <x v="81"/>
    <x v="0"/>
    <x v="3"/>
    <n v="0"/>
  </r>
  <r>
    <x v="0"/>
    <x v="0"/>
    <x v="5"/>
    <x v="8"/>
    <x v="81"/>
    <x v="0"/>
    <x v="4"/>
    <n v="0"/>
  </r>
  <r>
    <x v="0"/>
    <x v="0"/>
    <x v="5"/>
    <x v="8"/>
    <x v="81"/>
    <x v="0"/>
    <x v="5"/>
    <n v="0"/>
  </r>
  <r>
    <x v="0"/>
    <x v="0"/>
    <x v="5"/>
    <x v="8"/>
    <x v="81"/>
    <x v="0"/>
    <x v="6"/>
    <n v="0"/>
  </r>
  <r>
    <x v="0"/>
    <x v="0"/>
    <x v="5"/>
    <x v="8"/>
    <x v="82"/>
    <x v="0"/>
    <x v="0"/>
    <n v="0"/>
  </r>
  <r>
    <x v="0"/>
    <x v="0"/>
    <x v="5"/>
    <x v="8"/>
    <x v="82"/>
    <x v="0"/>
    <x v="1"/>
    <n v="0"/>
  </r>
  <r>
    <x v="0"/>
    <x v="0"/>
    <x v="5"/>
    <x v="8"/>
    <x v="82"/>
    <x v="0"/>
    <x v="2"/>
    <n v="0"/>
  </r>
  <r>
    <x v="0"/>
    <x v="0"/>
    <x v="5"/>
    <x v="8"/>
    <x v="82"/>
    <x v="0"/>
    <x v="3"/>
    <n v="0"/>
  </r>
  <r>
    <x v="0"/>
    <x v="0"/>
    <x v="5"/>
    <x v="8"/>
    <x v="82"/>
    <x v="0"/>
    <x v="4"/>
    <n v="0"/>
  </r>
  <r>
    <x v="0"/>
    <x v="0"/>
    <x v="5"/>
    <x v="8"/>
    <x v="82"/>
    <x v="0"/>
    <x v="5"/>
    <n v="0"/>
  </r>
  <r>
    <x v="0"/>
    <x v="0"/>
    <x v="5"/>
    <x v="8"/>
    <x v="82"/>
    <x v="0"/>
    <x v="6"/>
    <n v="0"/>
  </r>
  <r>
    <x v="0"/>
    <x v="0"/>
    <x v="5"/>
    <x v="8"/>
    <x v="83"/>
    <x v="0"/>
    <x v="0"/>
    <n v="0"/>
  </r>
  <r>
    <x v="0"/>
    <x v="0"/>
    <x v="5"/>
    <x v="8"/>
    <x v="83"/>
    <x v="0"/>
    <x v="1"/>
    <n v="0"/>
  </r>
  <r>
    <x v="0"/>
    <x v="0"/>
    <x v="5"/>
    <x v="8"/>
    <x v="83"/>
    <x v="0"/>
    <x v="2"/>
    <n v="0"/>
  </r>
  <r>
    <x v="0"/>
    <x v="0"/>
    <x v="5"/>
    <x v="8"/>
    <x v="83"/>
    <x v="0"/>
    <x v="3"/>
    <n v="0"/>
  </r>
  <r>
    <x v="0"/>
    <x v="0"/>
    <x v="5"/>
    <x v="8"/>
    <x v="83"/>
    <x v="0"/>
    <x v="4"/>
    <n v="0"/>
  </r>
  <r>
    <x v="0"/>
    <x v="0"/>
    <x v="5"/>
    <x v="8"/>
    <x v="83"/>
    <x v="0"/>
    <x v="5"/>
    <n v="0"/>
  </r>
  <r>
    <x v="0"/>
    <x v="0"/>
    <x v="5"/>
    <x v="8"/>
    <x v="83"/>
    <x v="0"/>
    <x v="6"/>
    <n v="0"/>
  </r>
  <r>
    <x v="0"/>
    <x v="1"/>
    <x v="0"/>
    <x v="0"/>
    <x v="0"/>
    <x v="0"/>
    <x v="0"/>
    <n v="0"/>
  </r>
  <r>
    <x v="0"/>
    <x v="1"/>
    <x v="0"/>
    <x v="0"/>
    <x v="0"/>
    <x v="0"/>
    <x v="1"/>
    <n v="0"/>
  </r>
  <r>
    <x v="0"/>
    <x v="1"/>
    <x v="0"/>
    <x v="0"/>
    <x v="0"/>
    <x v="0"/>
    <x v="2"/>
    <n v="0"/>
  </r>
  <r>
    <x v="0"/>
    <x v="1"/>
    <x v="0"/>
    <x v="0"/>
    <x v="0"/>
    <x v="0"/>
    <x v="3"/>
    <n v="0"/>
  </r>
  <r>
    <x v="0"/>
    <x v="1"/>
    <x v="0"/>
    <x v="0"/>
    <x v="0"/>
    <x v="0"/>
    <x v="4"/>
    <n v="0"/>
  </r>
  <r>
    <x v="0"/>
    <x v="1"/>
    <x v="0"/>
    <x v="0"/>
    <x v="0"/>
    <x v="0"/>
    <x v="5"/>
    <n v="0"/>
  </r>
  <r>
    <x v="0"/>
    <x v="1"/>
    <x v="0"/>
    <x v="0"/>
    <x v="0"/>
    <x v="0"/>
    <x v="6"/>
    <n v="0"/>
  </r>
  <r>
    <x v="0"/>
    <x v="1"/>
    <x v="0"/>
    <x v="1"/>
    <x v="1"/>
    <x v="0"/>
    <x v="0"/>
    <n v="0"/>
  </r>
  <r>
    <x v="0"/>
    <x v="1"/>
    <x v="0"/>
    <x v="1"/>
    <x v="1"/>
    <x v="0"/>
    <x v="1"/>
    <n v="0"/>
  </r>
  <r>
    <x v="0"/>
    <x v="1"/>
    <x v="0"/>
    <x v="1"/>
    <x v="1"/>
    <x v="0"/>
    <x v="2"/>
    <n v="0"/>
  </r>
  <r>
    <x v="0"/>
    <x v="1"/>
    <x v="0"/>
    <x v="1"/>
    <x v="1"/>
    <x v="0"/>
    <x v="3"/>
    <n v="0"/>
  </r>
  <r>
    <x v="0"/>
    <x v="1"/>
    <x v="0"/>
    <x v="1"/>
    <x v="1"/>
    <x v="0"/>
    <x v="4"/>
    <n v="0"/>
  </r>
  <r>
    <x v="0"/>
    <x v="1"/>
    <x v="0"/>
    <x v="1"/>
    <x v="1"/>
    <x v="0"/>
    <x v="5"/>
    <n v="0"/>
  </r>
  <r>
    <x v="0"/>
    <x v="1"/>
    <x v="0"/>
    <x v="1"/>
    <x v="1"/>
    <x v="0"/>
    <x v="6"/>
    <n v="0"/>
  </r>
  <r>
    <x v="0"/>
    <x v="1"/>
    <x v="0"/>
    <x v="1"/>
    <x v="2"/>
    <x v="0"/>
    <x v="0"/>
    <n v="0"/>
  </r>
  <r>
    <x v="0"/>
    <x v="1"/>
    <x v="0"/>
    <x v="1"/>
    <x v="2"/>
    <x v="0"/>
    <x v="1"/>
    <n v="0"/>
  </r>
  <r>
    <x v="0"/>
    <x v="1"/>
    <x v="0"/>
    <x v="1"/>
    <x v="2"/>
    <x v="0"/>
    <x v="2"/>
    <n v="0"/>
  </r>
  <r>
    <x v="0"/>
    <x v="1"/>
    <x v="0"/>
    <x v="1"/>
    <x v="2"/>
    <x v="0"/>
    <x v="3"/>
    <n v="0"/>
  </r>
  <r>
    <x v="0"/>
    <x v="1"/>
    <x v="0"/>
    <x v="1"/>
    <x v="2"/>
    <x v="0"/>
    <x v="4"/>
    <n v="0"/>
  </r>
  <r>
    <x v="0"/>
    <x v="1"/>
    <x v="0"/>
    <x v="1"/>
    <x v="2"/>
    <x v="0"/>
    <x v="5"/>
    <n v="0"/>
  </r>
  <r>
    <x v="0"/>
    <x v="1"/>
    <x v="0"/>
    <x v="1"/>
    <x v="2"/>
    <x v="0"/>
    <x v="6"/>
    <n v="0"/>
  </r>
  <r>
    <x v="0"/>
    <x v="1"/>
    <x v="0"/>
    <x v="1"/>
    <x v="3"/>
    <x v="0"/>
    <x v="0"/>
    <n v="0"/>
  </r>
  <r>
    <x v="0"/>
    <x v="1"/>
    <x v="0"/>
    <x v="1"/>
    <x v="3"/>
    <x v="0"/>
    <x v="1"/>
    <n v="0"/>
  </r>
  <r>
    <x v="0"/>
    <x v="1"/>
    <x v="0"/>
    <x v="1"/>
    <x v="3"/>
    <x v="0"/>
    <x v="2"/>
    <n v="0"/>
  </r>
  <r>
    <x v="0"/>
    <x v="1"/>
    <x v="0"/>
    <x v="1"/>
    <x v="3"/>
    <x v="0"/>
    <x v="3"/>
    <n v="0"/>
  </r>
  <r>
    <x v="0"/>
    <x v="1"/>
    <x v="0"/>
    <x v="1"/>
    <x v="3"/>
    <x v="0"/>
    <x v="4"/>
    <n v="0"/>
  </r>
  <r>
    <x v="0"/>
    <x v="1"/>
    <x v="0"/>
    <x v="1"/>
    <x v="3"/>
    <x v="0"/>
    <x v="5"/>
    <n v="0"/>
  </r>
  <r>
    <x v="0"/>
    <x v="1"/>
    <x v="0"/>
    <x v="1"/>
    <x v="3"/>
    <x v="0"/>
    <x v="6"/>
    <n v="0"/>
  </r>
  <r>
    <x v="0"/>
    <x v="1"/>
    <x v="0"/>
    <x v="1"/>
    <x v="4"/>
    <x v="0"/>
    <x v="0"/>
    <n v="0"/>
  </r>
  <r>
    <x v="0"/>
    <x v="1"/>
    <x v="0"/>
    <x v="1"/>
    <x v="4"/>
    <x v="0"/>
    <x v="1"/>
    <n v="0"/>
  </r>
  <r>
    <x v="0"/>
    <x v="1"/>
    <x v="0"/>
    <x v="1"/>
    <x v="4"/>
    <x v="0"/>
    <x v="2"/>
    <n v="0"/>
  </r>
  <r>
    <x v="0"/>
    <x v="1"/>
    <x v="0"/>
    <x v="1"/>
    <x v="4"/>
    <x v="0"/>
    <x v="3"/>
    <n v="0"/>
  </r>
  <r>
    <x v="0"/>
    <x v="1"/>
    <x v="0"/>
    <x v="1"/>
    <x v="4"/>
    <x v="0"/>
    <x v="4"/>
    <n v="0"/>
  </r>
  <r>
    <x v="0"/>
    <x v="1"/>
    <x v="0"/>
    <x v="1"/>
    <x v="4"/>
    <x v="0"/>
    <x v="5"/>
    <n v="0"/>
  </r>
  <r>
    <x v="0"/>
    <x v="1"/>
    <x v="0"/>
    <x v="1"/>
    <x v="4"/>
    <x v="0"/>
    <x v="6"/>
    <n v="0"/>
  </r>
  <r>
    <x v="0"/>
    <x v="1"/>
    <x v="0"/>
    <x v="1"/>
    <x v="5"/>
    <x v="0"/>
    <x v="0"/>
    <n v="0"/>
  </r>
  <r>
    <x v="0"/>
    <x v="1"/>
    <x v="0"/>
    <x v="1"/>
    <x v="5"/>
    <x v="0"/>
    <x v="1"/>
    <n v="0"/>
  </r>
  <r>
    <x v="0"/>
    <x v="1"/>
    <x v="0"/>
    <x v="1"/>
    <x v="5"/>
    <x v="0"/>
    <x v="2"/>
    <n v="0"/>
  </r>
  <r>
    <x v="0"/>
    <x v="1"/>
    <x v="0"/>
    <x v="1"/>
    <x v="5"/>
    <x v="0"/>
    <x v="3"/>
    <n v="0"/>
  </r>
  <r>
    <x v="0"/>
    <x v="1"/>
    <x v="0"/>
    <x v="1"/>
    <x v="5"/>
    <x v="0"/>
    <x v="4"/>
    <n v="0"/>
  </r>
  <r>
    <x v="0"/>
    <x v="1"/>
    <x v="0"/>
    <x v="1"/>
    <x v="5"/>
    <x v="0"/>
    <x v="5"/>
    <n v="0"/>
  </r>
  <r>
    <x v="0"/>
    <x v="1"/>
    <x v="0"/>
    <x v="1"/>
    <x v="5"/>
    <x v="0"/>
    <x v="6"/>
    <n v="0"/>
  </r>
  <r>
    <x v="0"/>
    <x v="1"/>
    <x v="0"/>
    <x v="1"/>
    <x v="6"/>
    <x v="0"/>
    <x v="0"/>
    <n v="0"/>
  </r>
  <r>
    <x v="0"/>
    <x v="1"/>
    <x v="0"/>
    <x v="1"/>
    <x v="6"/>
    <x v="0"/>
    <x v="1"/>
    <n v="0"/>
  </r>
  <r>
    <x v="0"/>
    <x v="1"/>
    <x v="0"/>
    <x v="1"/>
    <x v="6"/>
    <x v="0"/>
    <x v="2"/>
    <n v="0"/>
  </r>
  <r>
    <x v="0"/>
    <x v="1"/>
    <x v="0"/>
    <x v="1"/>
    <x v="6"/>
    <x v="0"/>
    <x v="3"/>
    <n v="0"/>
  </r>
  <r>
    <x v="0"/>
    <x v="1"/>
    <x v="0"/>
    <x v="1"/>
    <x v="6"/>
    <x v="0"/>
    <x v="4"/>
    <n v="0"/>
  </r>
  <r>
    <x v="0"/>
    <x v="1"/>
    <x v="0"/>
    <x v="1"/>
    <x v="6"/>
    <x v="0"/>
    <x v="5"/>
    <n v="0"/>
  </r>
  <r>
    <x v="0"/>
    <x v="1"/>
    <x v="0"/>
    <x v="1"/>
    <x v="6"/>
    <x v="0"/>
    <x v="6"/>
    <n v="0"/>
  </r>
  <r>
    <x v="0"/>
    <x v="1"/>
    <x v="0"/>
    <x v="1"/>
    <x v="7"/>
    <x v="0"/>
    <x v="0"/>
    <n v="0"/>
  </r>
  <r>
    <x v="0"/>
    <x v="1"/>
    <x v="0"/>
    <x v="1"/>
    <x v="7"/>
    <x v="0"/>
    <x v="1"/>
    <n v="0"/>
  </r>
  <r>
    <x v="0"/>
    <x v="1"/>
    <x v="0"/>
    <x v="1"/>
    <x v="7"/>
    <x v="0"/>
    <x v="2"/>
    <n v="0"/>
  </r>
  <r>
    <x v="0"/>
    <x v="1"/>
    <x v="0"/>
    <x v="1"/>
    <x v="7"/>
    <x v="0"/>
    <x v="3"/>
    <n v="0"/>
  </r>
  <r>
    <x v="0"/>
    <x v="1"/>
    <x v="0"/>
    <x v="1"/>
    <x v="7"/>
    <x v="0"/>
    <x v="4"/>
    <n v="0"/>
  </r>
  <r>
    <x v="0"/>
    <x v="1"/>
    <x v="0"/>
    <x v="1"/>
    <x v="7"/>
    <x v="0"/>
    <x v="5"/>
    <n v="0"/>
  </r>
  <r>
    <x v="0"/>
    <x v="1"/>
    <x v="0"/>
    <x v="1"/>
    <x v="7"/>
    <x v="0"/>
    <x v="6"/>
    <n v="0"/>
  </r>
  <r>
    <x v="0"/>
    <x v="1"/>
    <x v="0"/>
    <x v="1"/>
    <x v="8"/>
    <x v="0"/>
    <x v="0"/>
    <n v="0"/>
  </r>
  <r>
    <x v="0"/>
    <x v="1"/>
    <x v="0"/>
    <x v="1"/>
    <x v="8"/>
    <x v="0"/>
    <x v="1"/>
    <n v="0"/>
  </r>
  <r>
    <x v="0"/>
    <x v="1"/>
    <x v="0"/>
    <x v="1"/>
    <x v="8"/>
    <x v="0"/>
    <x v="2"/>
    <n v="0"/>
  </r>
  <r>
    <x v="0"/>
    <x v="1"/>
    <x v="0"/>
    <x v="1"/>
    <x v="8"/>
    <x v="0"/>
    <x v="3"/>
    <n v="0"/>
  </r>
  <r>
    <x v="0"/>
    <x v="1"/>
    <x v="0"/>
    <x v="1"/>
    <x v="8"/>
    <x v="0"/>
    <x v="4"/>
    <n v="0"/>
  </r>
  <r>
    <x v="0"/>
    <x v="1"/>
    <x v="0"/>
    <x v="1"/>
    <x v="8"/>
    <x v="0"/>
    <x v="5"/>
    <n v="0"/>
  </r>
  <r>
    <x v="0"/>
    <x v="1"/>
    <x v="0"/>
    <x v="1"/>
    <x v="8"/>
    <x v="0"/>
    <x v="6"/>
    <n v="0"/>
  </r>
  <r>
    <x v="0"/>
    <x v="1"/>
    <x v="0"/>
    <x v="1"/>
    <x v="9"/>
    <x v="0"/>
    <x v="0"/>
    <n v="0"/>
  </r>
  <r>
    <x v="0"/>
    <x v="1"/>
    <x v="0"/>
    <x v="1"/>
    <x v="9"/>
    <x v="0"/>
    <x v="1"/>
    <n v="0"/>
  </r>
  <r>
    <x v="0"/>
    <x v="1"/>
    <x v="0"/>
    <x v="1"/>
    <x v="9"/>
    <x v="0"/>
    <x v="2"/>
    <n v="0"/>
  </r>
  <r>
    <x v="0"/>
    <x v="1"/>
    <x v="0"/>
    <x v="1"/>
    <x v="9"/>
    <x v="0"/>
    <x v="3"/>
    <n v="0"/>
  </r>
  <r>
    <x v="0"/>
    <x v="1"/>
    <x v="0"/>
    <x v="1"/>
    <x v="9"/>
    <x v="0"/>
    <x v="4"/>
    <n v="0"/>
  </r>
  <r>
    <x v="0"/>
    <x v="1"/>
    <x v="0"/>
    <x v="1"/>
    <x v="9"/>
    <x v="0"/>
    <x v="5"/>
    <n v="0"/>
  </r>
  <r>
    <x v="0"/>
    <x v="1"/>
    <x v="0"/>
    <x v="1"/>
    <x v="9"/>
    <x v="0"/>
    <x v="6"/>
    <n v="0"/>
  </r>
  <r>
    <x v="0"/>
    <x v="1"/>
    <x v="0"/>
    <x v="1"/>
    <x v="10"/>
    <x v="0"/>
    <x v="0"/>
    <n v="0"/>
  </r>
  <r>
    <x v="0"/>
    <x v="1"/>
    <x v="0"/>
    <x v="1"/>
    <x v="10"/>
    <x v="0"/>
    <x v="1"/>
    <n v="0"/>
  </r>
  <r>
    <x v="0"/>
    <x v="1"/>
    <x v="0"/>
    <x v="1"/>
    <x v="10"/>
    <x v="0"/>
    <x v="2"/>
    <n v="0"/>
  </r>
  <r>
    <x v="0"/>
    <x v="1"/>
    <x v="0"/>
    <x v="1"/>
    <x v="10"/>
    <x v="0"/>
    <x v="3"/>
    <n v="0"/>
  </r>
  <r>
    <x v="0"/>
    <x v="1"/>
    <x v="0"/>
    <x v="1"/>
    <x v="10"/>
    <x v="0"/>
    <x v="4"/>
    <n v="0"/>
  </r>
  <r>
    <x v="0"/>
    <x v="1"/>
    <x v="0"/>
    <x v="1"/>
    <x v="10"/>
    <x v="0"/>
    <x v="5"/>
    <n v="0"/>
  </r>
  <r>
    <x v="0"/>
    <x v="1"/>
    <x v="0"/>
    <x v="1"/>
    <x v="10"/>
    <x v="0"/>
    <x v="6"/>
    <n v="0"/>
  </r>
  <r>
    <x v="0"/>
    <x v="1"/>
    <x v="0"/>
    <x v="0"/>
    <x v="11"/>
    <x v="0"/>
    <x v="0"/>
    <n v="3.0124243172105197E-2"/>
  </r>
  <r>
    <x v="0"/>
    <x v="1"/>
    <x v="0"/>
    <x v="0"/>
    <x v="11"/>
    <x v="0"/>
    <x v="1"/>
    <n v="0.10609040268799455"/>
  </r>
  <r>
    <x v="0"/>
    <x v="1"/>
    <x v="0"/>
    <x v="0"/>
    <x v="11"/>
    <x v="0"/>
    <x v="2"/>
    <n v="0.3039950236033736"/>
  </r>
  <r>
    <x v="0"/>
    <x v="1"/>
    <x v="0"/>
    <x v="0"/>
    <x v="11"/>
    <x v="0"/>
    <x v="3"/>
    <n v="0.88501873248442553"/>
  </r>
  <r>
    <x v="0"/>
    <x v="1"/>
    <x v="0"/>
    <x v="0"/>
    <x v="11"/>
    <x v="0"/>
    <x v="4"/>
    <n v="2.4208276039294812"/>
  </r>
  <r>
    <x v="0"/>
    <x v="1"/>
    <x v="0"/>
    <x v="0"/>
    <x v="11"/>
    <x v="0"/>
    <x v="5"/>
    <n v="5.2952447431831109"/>
  </r>
  <r>
    <x v="0"/>
    <x v="1"/>
    <x v="0"/>
    <x v="0"/>
    <x v="11"/>
    <x v="0"/>
    <x v="6"/>
    <n v="7.8873530620094954"/>
  </r>
  <r>
    <x v="0"/>
    <x v="1"/>
    <x v="0"/>
    <x v="0"/>
    <x v="12"/>
    <x v="0"/>
    <x v="0"/>
    <n v="0"/>
  </r>
  <r>
    <x v="0"/>
    <x v="1"/>
    <x v="0"/>
    <x v="0"/>
    <x v="12"/>
    <x v="0"/>
    <x v="1"/>
    <n v="0"/>
  </r>
  <r>
    <x v="0"/>
    <x v="1"/>
    <x v="0"/>
    <x v="0"/>
    <x v="12"/>
    <x v="0"/>
    <x v="2"/>
    <n v="0"/>
  </r>
  <r>
    <x v="0"/>
    <x v="1"/>
    <x v="0"/>
    <x v="0"/>
    <x v="12"/>
    <x v="0"/>
    <x v="3"/>
    <n v="0"/>
  </r>
  <r>
    <x v="0"/>
    <x v="1"/>
    <x v="0"/>
    <x v="0"/>
    <x v="12"/>
    <x v="0"/>
    <x v="4"/>
    <n v="0"/>
  </r>
  <r>
    <x v="0"/>
    <x v="1"/>
    <x v="0"/>
    <x v="0"/>
    <x v="12"/>
    <x v="0"/>
    <x v="5"/>
    <n v="0"/>
  </r>
  <r>
    <x v="0"/>
    <x v="1"/>
    <x v="0"/>
    <x v="0"/>
    <x v="12"/>
    <x v="0"/>
    <x v="6"/>
    <n v="0"/>
  </r>
  <r>
    <x v="0"/>
    <x v="1"/>
    <x v="0"/>
    <x v="0"/>
    <x v="13"/>
    <x v="0"/>
    <x v="0"/>
    <n v="0"/>
  </r>
  <r>
    <x v="0"/>
    <x v="1"/>
    <x v="0"/>
    <x v="0"/>
    <x v="13"/>
    <x v="0"/>
    <x v="1"/>
    <n v="0"/>
  </r>
  <r>
    <x v="0"/>
    <x v="1"/>
    <x v="0"/>
    <x v="0"/>
    <x v="13"/>
    <x v="0"/>
    <x v="2"/>
    <n v="0"/>
  </r>
  <r>
    <x v="0"/>
    <x v="1"/>
    <x v="0"/>
    <x v="0"/>
    <x v="13"/>
    <x v="0"/>
    <x v="3"/>
    <n v="0"/>
  </r>
  <r>
    <x v="0"/>
    <x v="1"/>
    <x v="0"/>
    <x v="0"/>
    <x v="13"/>
    <x v="0"/>
    <x v="4"/>
    <n v="0"/>
  </r>
  <r>
    <x v="0"/>
    <x v="1"/>
    <x v="0"/>
    <x v="0"/>
    <x v="13"/>
    <x v="0"/>
    <x v="5"/>
    <n v="0"/>
  </r>
  <r>
    <x v="0"/>
    <x v="1"/>
    <x v="0"/>
    <x v="0"/>
    <x v="13"/>
    <x v="0"/>
    <x v="6"/>
    <n v="0"/>
  </r>
  <r>
    <x v="0"/>
    <x v="1"/>
    <x v="0"/>
    <x v="2"/>
    <x v="14"/>
    <x v="0"/>
    <x v="0"/>
    <n v="0"/>
  </r>
  <r>
    <x v="0"/>
    <x v="1"/>
    <x v="0"/>
    <x v="2"/>
    <x v="14"/>
    <x v="0"/>
    <x v="1"/>
    <n v="0"/>
  </r>
  <r>
    <x v="0"/>
    <x v="1"/>
    <x v="0"/>
    <x v="2"/>
    <x v="14"/>
    <x v="0"/>
    <x v="2"/>
    <n v="0"/>
  </r>
  <r>
    <x v="0"/>
    <x v="1"/>
    <x v="0"/>
    <x v="2"/>
    <x v="14"/>
    <x v="0"/>
    <x v="3"/>
    <n v="0"/>
  </r>
  <r>
    <x v="0"/>
    <x v="1"/>
    <x v="0"/>
    <x v="2"/>
    <x v="14"/>
    <x v="0"/>
    <x v="4"/>
    <n v="0"/>
  </r>
  <r>
    <x v="0"/>
    <x v="1"/>
    <x v="0"/>
    <x v="2"/>
    <x v="14"/>
    <x v="0"/>
    <x v="5"/>
    <n v="0"/>
  </r>
  <r>
    <x v="0"/>
    <x v="1"/>
    <x v="0"/>
    <x v="2"/>
    <x v="14"/>
    <x v="0"/>
    <x v="6"/>
    <n v="0"/>
  </r>
  <r>
    <x v="0"/>
    <x v="1"/>
    <x v="0"/>
    <x v="2"/>
    <x v="15"/>
    <x v="0"/>
    <x v="0"/>
    <n v="0"/>
  </r>
  <r>
    <x v="0"/>
    <x v="1"/>
    <x v="0"/>
    <x v="2"/>
    <x v="15"/>
    <x v="0"/>
    <x v="1"/>
    <n v="0"/>
  </r>
  <r>
    <x v="0"/>
    <x v="1"/>
    <x v="0"/>
    <x v="2"/>
    <x v="15"/>
    <x v="0"/>
    <x v="2"/>
    <n v="0"/>
  </r>
  <r>
    <x v="0"/>
    <x v="1"/>
    <x v="0"/>
    <x v="2"/>
    <x v="15"/>
    <x v="0"/>
    <x v="3"/>
    <n v="0"/>
  </r>
  <r>
    <x v="0"/>
    <x v="1"/>
    <x v="0"/>
    <x v="2"/>
    <x v="15"/>
    <x v="0"/>
    <x v="4"/>
    <n v="0"/>
  </r>
  <r>
    <x v="0"/>
    <x v="1"/>
    <x v="0"/>
    <x v="2"/>
    <x v="15"/>
    <x v="0"/>
    <x v="5"/>
    <n v="0"/>
  </r>
  <r>
    <x v="0"/>
    <x v="1"/>
    <x v="0"/>
    <x v="2"/>
    <x v="15"/>
    <x v="0"/>
    <x v="6"/>
    <n v="0"/>
  </r>
  <r>
    <x v="0"/>
    <x v="1"/>
    <x v="0"/>
    <x v="2"/>
    <x v="16"/>
    <x v="0"/>
    <x v="0"/>
    <n v="0"/>
  </r>
  <r>
    <x v="0"/>
    <x v="1"/>
    <x v="0"/>
    <x v="2"/>
    <x v="16"/>
    <x v="0"/>
    <x v="1"/>
    <n v="0"/>
  </r>
  <r>
    <x v="0"/>
    <x v="1"/>
    <x v="0"/>
    <x v="2"/>
    <x v="16"/>
    <x v="0"/>
    <x v="2"/>
    <n v="0"/>
  </r>
  <r>
    <x v="0"/>
    <x v="1"/>
    <x v="0"/>
    <x v="2"/>
    <x v="16"/>
    <x v="0"/>
    <x v="3"/>
    <n v="0"/>
  </r>
  <r>
    <x v="0"/>
    <x v="1"/>
    <x v="0"/>
    <x v="2"/>
    <x v="16"/>
    <x v="0"/>
    <x v="4"/>
    <n v="0"/>
  </r>
  <r>
    <x v="0"/>
    <x v="1"/>
    <x v="0"/>
    <x v="2"/>
    <x v="16"/>
    <x v="0"/>
    <x v="5"/>
    <n v="0"/>
  </r>
  <r>
    <x v="0"/>
    <x v="1"/>
    <x v="0"/>
    <x v="2"/>
    <x v="16"/>
    <x v="0"/>
    <x v="6"/>
    <n v="0"/>
  </r>
  <r>
    <x v="0"/>
    <x v="1"/>
    <x v="0"/>
    <x v="0"/>
    <x v="17"/>
    <x v="0"/>
    <x v="0"/>
    <n v="0"/>
  </r>
  <r>
    <x v="0"/>
    <x v="1"/>
    <x v="0"/>
    <x v="0"/>
    <x v="17"/>
    <x v="0"/>
    <x v="1"/>
    <n v="0"/>
  </r>
  <r>
    <x v="0"/>
    <x v="1"/>
    <x v="0"/>
    <x v="0"/>
    <x v="17"/>
    <x v="0"/>
    <x v="2"/>
    <n v="0"/>
  </r>
  <r>
    <x v="0"/>
    <x v="1"/>
    <x v="0"/>
    <x v="0"/>
    <x v="17"/>
    <x v="0"/>
    <x v="3"/>
    <n v="0"/>
  </r>
  <r>
    <x v="0"/>
    <x v="1"/>
    <x v="0"/>
    <x v="0"/>
    <x v="17"/>
    <x v="0"/>
    <x v="4"/>
    <n v="0"/>
  </r>
  <r>
    <x v="0"/>
    <x v="1"/>
    <x v="0"/>
    <x v="0"/>
    <x v="17"/>
    <x v="0"/>
    <x v="5"/>
    <n v="0"/>
  </r>
  <r>
    <x v="0"/>
    <x v="1"/>
    <x v="0"/>
    <x v="0"/>
    <x v="17"/>
    <x v="0"/>
    <x v="6"/>
    <n v="0"/>
  </r>
  <r>
    <x v="0"/>
    <x v="1"/>
    <x v="0"/>
    <x v="2"/>
    <x v="18"/>
    <x v="0"/>
    <x v="0"/>
    <n v="0"/>
  </r>
  <r>
    <x v="0"/>
    <x v="1"/>
    <x v="0"/>
    <x v="2"/>
    <x v="18"/>
    <x v="0"/>
    <x v="1"/>
    <n v="0"/>
  </r>
  <r>
    <x v="0"/>
    <x v="1"/>
    <x v="0"/>
    <x v="2"/>
    <x v="18"/>
    <x v="0"/>
    <x v="2"/>
    <n v="0"/>
  </r>
  <r>
    <x v="0"/>
    <x v="1"/>
    <x v="0"/>
    <x v="2"/>
    <x v="18"/>
    <x v="0"/>
    <x v="3"/>
    <n v="0"/>
  </r>
  <r>
    <x v="0"/>
    <x v="1"/>
    <x v="0"/>
    <x v="2"/>
    <x v="18"/>
    <x v="0"/>
    <x v="4"/>
    <n v="0"/>
  </r>
  <r>
    <x v="0"/>
    <x v="1"/>
    <x v="0"/>
    <x v="2"/>
    <x v="18"/>
    <x v="0"/>
    <x v="5"/>
    <n v="0"/>
  </r>
  <r>
    <x v="0"/>
    <x v="1"/>
    <x v="0"/>
    <x v="2"/>
    <x v="18"/>
    <x v="0"/>
    <x v="6"/>
    <n v="0"/>
  </r>
  <r>
    <x v="0"/>
    <x v="1"/>
    <x v="1"/>
    <x v="3"/>
    <x v="19"/>
    <x v="0"/>
    <x v="0"/>
    <n v="2.1092912048288934E-2"/>
  </r>
  <r>
    <x v="0"/>
    <x v="1"/>
    <x v="1"/>
    <x v="3"/>
    <x v="19"/>
    <x v="0"/>
    <x v="1"/>
    <n v="3.7327523396836815E-2"/>
  </r>
  <r>
    <x v="0"/>
    <x v="1"/>
    <x v="1"/>
    <x v="3"/>
    <x v="19"/>
    <x v="0"/>
    <x v="2"/>
    <n v="6.7558555947551474E-2"/>
  </r>
  <r>
    <x v="0"/>
    <x v="1"/>
    <x v="1"/>
    <x v="3"/>
    <x v="19"/>
    <x v="0"/>
    <x v="3"/>
    <n v="0.13560883076579169"/>
  </r>
  <r>
    <x v="0"/>
    <x v="1"/>
    <x v="1"/>
    <x v="3"/>
    <x v="19"/>
    <x v="0"/>
    <x v="4"/>
    <n v="0.2621515950205261"/>
  </r>
  <r>
    <x v="0"/>
    <x v="1"/>
    <x v="1"/>
    <x v="3"/>
    <x v="19"/>
    <x v="0"/>
    <x v="5"/>
    <n v="0.43745395870857312"/>
  </r>
  <r>
    <x v="0"/>
    <x v="1"/>
    <x v="1"/>
    <x v="3"/>
    <x v="19"/>
    <x v="0"/>
    <x v="6"/>
    <n v="0.52314763199759806"/>
  </r>
  <r>
    <x v="0"/>
    <x v="1"/>
    <x v="1"/>
    <x v="3"/>
    <x v="20"/>
    <x v="0"/>
    <x v="0"/>
    <n v="0.13374403310672123"/>
  </r>
  <r>
    <x v="0"/>
    <x v="1"/>
    <x v="1"/>
    <x v="3"/>
    <x v="20"/>
    <x v="0"/>
    <x v="1"/>
    <n v="0.26643929476101469"/>
  </r>
  <r>
    <x v="0"/>
    <x v="1"/>
    <x v="1"/>
    <x v="3"/>
    <x v="20"/>
    <x v="0"/>
    <x v="2"/>
    <n v="0.47861413366877842"/>
  </r>
  <r>
    <x v="0"/>
    <x v="1"/>
    <x v="1"/>
    <x v="3"/>
    <x v="20"/>
    <x v="0"/>
    <x v="3"/>
    <n v="0.87956974626560769"/>
  </r>
  <r>
    <x v="0"/>
    <x v="1"/>
    <x v="1"/>
    <x v="3"/>
    <x v="20"/>
    <x v="0"/>
    <x v="4"/>
    <n v="1.5994635614191826"/>
  </r>
  <r>
    <x v="0"/>
    <x v="1"/>
    <x v="1"/>
    <x v="3"/>
    <x v="20"/>
    <x v="0"/>
    <x v="5"/>
    <n v="2.7475913139765882"/>
  </r>
  <r>
    <x v="0"/>
    <x v="1"/>
    <x v="1"/>
    <x v="3"/>
    <x v="20"/>
    <x v="0"/>
    <x v="6"/>
    <n v="3.2879132686833765"/>
  </r>
  <r>
    <x v="0"/>
    <x v="1"/>
    <x v="1"/>
    <x v="3"/>
    <x v="21"/>
    <x v="0"/>
    <x v="0"/>
    <n v="0"/>
  </r>
  <r>
    <x v="0"/>
    <x v="1"/>
    <x v="1"/>
    <x v="3"/>
    <x v="21"/>
    <x v="0"/>
    <x v="1"/>
    <n v="0"/>
  </r>
  <r>
    <x v="0"/>
    <x v="1"/>
    <x v="1"/>
    <x v="3"/>
    <x v="21"/>
    <x v="0"/>
    <x v="2"/>
    <n v="0"/>
  </r>
  <r>
    <x v="0"/>
    <x v="1"/>
    <x v="1"/>
    <x v="3"/>
    <x v="21"/>
    <x v="0"/>
    <x v="3"/>
    <n v="0"/>
  </r>
  <r>
    <x v="0"/>
    <x v="1"/>
    <x v="1"/>
    <x v="3"/>
    <x v="21"/>
    <x v="0"/>
    <x v="4"/>
    <n v="0"/>
  </r>
  <r>
    <x v="0"/>
    <x v="1"/>
    <x v="1"/>
    <x v="3"/>
    <x v="21"/>
    <x v="0"/>
    <x v="5"/>
    <n v="0"/>
  </r>
  <r>
    <x v="0"/>
    <x v="1"/>
    <x v="1"/>
    <x v="3"/>
    <x v="21"/>
    <x v="0"/>
    <x v="6"/>
    <n v="0"/>
  </r>
  <r>
    <x v="0"/>
    <x v="1"/>
    <x v="1"/>
    <x v="3"/>
    <x v="22"/>
    <x v="0"/>
    <x v="0"/>
    <n v="0"/>
  </r>
  <r>
    <x v="0"/>
    <x v="1"/>
    <x v="1"/>
    <x v="3"/>
    <x v="22"/>
    <x v="0"/>
    <x v="1"/>
    <n v="0"/>
  </r>
  <r>
    <x v="0"/>
    <x v="1"/>
    <x v="1"/>
    <x v="3"/>
    <x v="22"/>
    <x v="0"/>
    <x v="2"/>
    <n v="0"/>
  </r>
  <r>
    <x v="0"/>
    <x v="1"/>
    <x v="1"/>
    <x v="3"/>
    <x v="22"/>
    <x v="0"/>
    <x v="3"/>
    <n v="0"/>
  </r>
  <r>
    <x v="0"/>
    <x v="1"/>
    <x v="1"/>
    <x v="3"/>
    <x v="22"/>
    <x v="0"/>
    <x v="4"/>
    <n v="0"/>
  </r>
  <r>
    <x v="0"/>
    <x v="1"/>
    <x v="1"/>
    <x v="3"/>
    <x v="22"/>
    <x v="0"/>
    <x v="5"/>
    <n v="0"/>
  </r>
  <r>
    <x v="0"/>
    <x v="1"/>
    <x v="1"/>
    <x v="3"/>
    <x v="22"/>
    <x v="0"/>
    <x v="6"/>
    <n v="0"/>
  </r>
  <r>
    <x v="0"/>
    <x v="1"/>
    <x v="1"/>
    <x v="3"/>
    <x v="23"/>
    <x v="0"/>
    <x v="0"/>
    <n v="0"/>
  </r>
  <r>
    <x v="0"/>
    <x v="1"/>
    <x v="1"/>
    <x v="3"/>
    <x v="23"/>
    <x v="0"/>
    <x v="1"/>
    <n v="0"/>
  </r>
  <r>
    <x v="0"/>
    <x v="1"/>
    <x v="1"/>
    <x v="3"/>
    <x v="23"/>
    <x v="0"/>
    <x v="2"/>
    <n v="0"/>
  </r>
  <r>
    <x v="0"/>
    <x v="1"/>
    <x v="1"/>
    <x v="3"/>
    <x v="23"/>
    <x v="0"/>
    <x v="3"/>
    <n v="0"/>
  </r>
  <r>
    <x v="0"/>
    <x v="1"/>
    <x v="1"/>
    <x v="3"/>
    <x v="23"/>
    <x v="0"/>
    <x v="4"/>
    <n v="0"/>
  </r>
  <r>
    <x v="0"/>
    <x v="1"/>
    <x v="1"/>
    <x v="3"/>
    <x v="23"/>
    <x v="0"/>
    <x v="5"/>
    <n v="0"/>
  </r>
  <r>
    <x v="0"/>
    <x v="1"/>
    <x v="1"/>
    <x v="3"/>
    <x v="23"/>
    <x v="0"/>
    <x v="6"/>
    <n v="0"/>
  </r>
  <r>
    <x v="0"/>
    <x v="1"/>
    <x v="1"/>
    <x v="3"/>
    <x v="24"/>
    <x v="0"/>
    <x v="0"/>
    <n v="0"/>
  </r>
  <r>
    <x v="0"/>
    <x v="1"/>
    <x v="1"/>
    <x v="3"/>
    <x v="24"/>
    <x v="0"/>
    <x v="1"/>
    <n v="0"/>
  </r>
  <r>
    <x v="0"/>
    <x v="1"/>
    <x v="1"/>
    <x v="3"/>
    <x v="24"/>
    <x v="0"/>
    <x v="2"/>
    <n v="0"/>
  </r>
  <r>
    <x v="0"/>
    <x v="1"/>
    <x v="1"/>
    <x v="3"/>
    <x v="24"/>
    <x v="0"/>
    <x v="3"/>
    <n v="0"/>
  </r>
  <r>
    <x v="0"/>
    <x v="1"/>
    <x v="1"/>
    <x v="3"/>
    <x v="24"/>
    <x v="0"/>
    <x v="4"/>
    <n v="0"/>
  </r>
  <r>
    <x v="0"/>
    <x v="1"/>
    <x v="1"/>
    <x v="3"/>
    <x v="24"/>
    <x v="0"/>
    <x v="5"/>
    <n v="0"/>
  </r>
  <r>
    <x v="0"/>
    <x v="1"/>
    <x v="1"/>
    <x v="3"/>
    <x v="24"/>
    <x v="0"/>
    <x v="6"/>
    <n v="0"/>
  </r>
  <r>
    <x v="0"/>
    <x v="1"/>
    <x v="1"/>
    <x v="3"/>
    <x v="25"/>
    <x v="0"/>
    <x v="0"/>
    <n v="1.3246395674302567"/>
  </r>
  <r>
    <x v="0"/>
    <x v="1"/>
    <x v="1"/>
    <x v="3"/>
    <x v="25"/>
    <x v="0"/>
    <x v="1"/>
    <n v="2.6795536094459314"/>
  </r>
  <r>
    <x v="0"/>
    <x v="1"/>
    <x v="1"/>
    <x v="3"/>
    <x v="25"/>
    <x v="0"/>
    <x v="2"/>
    <n v="4.872357270408143"/>
  </r>
  <r>
    <x v="0"/>
    <x v="1"/>
    <x v="1"/>
    <x v="3"/>
    <x v="25"/>
    <x v="0"/>
    <x v="3"/>
    <n v="8.8487329538376063"/>
  </r>
  <r>
    <x v="0"/>
    <x v="1"/>
    <x v="1"/>
    <x v="3"/>
    <x v="25"/>
    <x v="0"/>
    <x v="4"/>
    <n v="15.814367416186464"/>
  </r>
  <r>
    <x v="0"/>
    <x v="1"/>
    <x v="1"/>
    <x v="3"/>
    <x v="25"/>
    <x v="0"/>
    <x v="5"/>
    <n v="26.108018087471464"/>
  </r>
  <r>
    <x v="0"/>
    <x v="1"/>
    <x v="1"/>
    <x v="3"/>
    <x v="25"/>
    <x v="0"/>
    <x v="6"/>
    <n v="30.26801913659439"/>
  </r>
  <r>
    <x v="0"/>
    <x v="1"/>
    <x v="2"/>
    <x v="4"/>
    <x v="26"/>
    <x v="0"/>
    <x v="0"/>
    <n v="0"/>
  </r>
  <r>
    <x v="0"/>
    <x v="1"/>
    <x v="2"/>
    <x v="4"/>
    <x v="26"/>
    <x v="0"/>
    <x v="1"/>
    <n v="0"/>
  </r>
  <r>
    <x v="0"/>
    <x v="1"/>
    <x v="2"/>
    <x v="4"/>
    <x v="26"/>
    <x v="0"/>
    <x v="2"/>
    <n v="0"/>
  </r>
  <r>
    <x v="0"/>
    <x v="1"/>
    <x v="2"/>
    <x v="4"/>
    <x v="26"/>
    <x v="0"/>
    <x v="3"/>
    <n v="0"/>
  </r>
  <r>
    <x v="0"/>
    <x v="1"/>
    <x v="2"/>
    <x v="4"/>
    <x v="26"/>
    <x v="0"/>
    <x v="4"/>
    <n v="0"/>
  </r>
  <r>
    <x v="0"/>
    <x v="1"/>
    <x v="2"/>
    <x v="4"/>
    <x v="26"/>
    <x v="0"/>
    <x v="5"/>
    <n v="0"/>
  </r>
  <r>
    <x v="0"/>
    <x v="1"/>
    <x v="2"/>
    <x v="4"/>
    <x v="26"/>
    <x v="0"/>
    <x v="6"/>
    <n v="0"/>
  </r>
  <r>
    <x v="0"/>
    <x v="1"/>
    <x v="2"/>
    <x v="4"/>
    <x v="27"/>
    <x v="0"/>
    <x v="0"/>
    <n v="0"/>
  </r>
  <r>
    <x v="0"/>
    <x v="1"/>
    <x v="2"/>
    <x v="4"/>
    <x v="27"/>
    <x v="0"/>
    <x v="1"/>
    <n v="0"/>
  </r>
  <r>
    <x v="0"/>
    <x v="1"/>
    <x v="2"/>
    <x v="4"/>
    <x v="27"/>
    <x v="0"/>
    <x v="2"/>
    <n v="0"/>
  </r>
  <r>
    <x v="0"/>
    <x v="1"/>
    <x v="2"/>
    <x v="4"/>
    <x v="27"/>
    <x v="0"/>
    <x v="3"/>
    <n v="0"/>
  </r>
  <r>
    <x v="0"/>
    <x v="1"/>
    <x v="2"/>
    <x v="4"/>
    <x v="27"/>
    <x v="0"/>
    <x v="4"/>
    <n v="0"/>
  </r>
  <r>
    <x v="0"/>
    <x v="1"/>
    <x v="2"/>
    <x v="4"/>
    <x v="27"/>
    <x v="0"/>
    <x v="5"/>
    <n v="0"/>
  </r>
  <r>
    <x v="0"/>
    <x v="1"/>
    <x v="2"/>
    <x v="4"/>
    <x v="27"/>
    <x v="0"/>
    <x v="6"/>
    <n v="0"/>
  </r>
  <r>
    <x v="0"/>
    <x v="1"/>
    <x v="2"/>
    <x v="4"/>
    <x v="28"/>
    <x v="0"/>
    <x v="0"/>
    <n v="0"/>
  </r>
  <r>
    <x v="0"/>
    <x v="1"/>
    <x v="2"/>
    <x v="4"/>
    <x v="28"/>
    <x v="0"/>
    <x v="1"/>
    <n v="0"/>
  </r>
  <r>
    <x v="0"/>
    <x v="1"/>
    <x v="2"/>
    <x v="4"/>
    <x v="28"/>
    <x v="0"/>
    <x v="2"/>
    <n v="0"/>
  </r>
  <r>
    <x v="0"/>
    <x v="1"/>
    <x v="2"/>
    <x v="4"/>
    <x v="28"/>
    <x v="0"/>
    <x v="3"/>
    <n v="0"/>
  </r>
  <r>
    <x v="0"/>
    <x v="1"/>
    <x v="2"/>
    <x v="4"/>
    <x v="28"/>
    <x v="0"/>
    <x v="4"/>
    <n v="0"/>
  </r>
  <r>
    <x v="0"/>
    <x v="1"/>
    <x v="2"/>
    <x v="4"/>
    <x v="28"/>
    <x v="0"/>
    <x v="5"/>
    <n v="0"/>
  </r>
  <r>
    <x v="0"/>
    <x v="1"/>
    <x v="2"/>
    <x v="4"/>
    <x v="28"/>
    <x v="0"/>
    <x v="6"/>
    <n v="0"/>
  </r>
  <r>
    <x v="0"/>
    <x v="1"/>
    <x v="2"/>
    <x v="4"/>
    <x v="29"/>
    <x v="0"/>
    <x v="0"/>
    <n v="0"/>
  </r>
  <r>
    <x v="0"/>
    <x v="1"/>
    <x v="2"/>
    <x v="4"/>
    <x v="29"/>
    <x v="0"/>
    <x v="1"/>
    <n v="0"/>
  </r>
  <r>
    <x v="0"/>
    <x v="1"/>
    <x v="2"/>
    <x v="4"/>
    <x v="29"/>
    <x v="0"/>
    <x v="2"/>
    <n v="0"/>
  </r>
  <r>
    <x v="0"/>
    <x v="1"/>
    <x v="2"/>
    <x v="4"/>
    <x v="29"/>
    <x v="0"/>
    <x v="3"/>
    <n v="0"/>
  </r>
  <r>
    <x v="0"/>
    <x v="1"/>
    <x v="2"/>
    <x v="4"/>
    <x v="29"/>
    <x v="0"/>
    <x v="4"/>
    <n v="0"/>
  </r>
  <r>
    <x v="0"/>
    <x v="1"/>
    <x v="2"/>
    <x v="4"/>
    <x v="29"/>
    <x v="0"/>
    <x v="5"/>
    <n v="0"/>
  </r>
  <r>
    <x v="0"/>
    <x v="1"/>
    <x v="2"/>
    <x v="4"/>
    <x v="29"/>
    <x v="0"/>
    <x v="6"/>
    <n v="0"/>
  </r>
  <r>
    <x v="0"/>
    <x v="1"/>
    <x v="3"/>
    <x v="5"/>
    <x v="30"/>
    <x v="0"/>
    <x v="0"/>
    <n v="0.10865003229093448"/>
  </r>
  <r>
    <x v="0"/>
    <x v="1"/>
    <x v="3"/>
    <x v="5"/>
    <x v="30"/>
    <x v="0"/>
    <x v="1"/>
    <n v="0.36706881568224348"/>
  </r>
  <r>
    <x v="0"/>
    <x v="1"/>
    <x v="3"/>
    <x v="5"/>
    <x v="30"/>
    <x v="0"/>
    <x v="2"/>
    <n v="1.2335386529161689"/>
  </r>
  <r>
    <x v="0"/>
    <x v="1"/>
    <x v="3"/>
    <x v="5"/>
    <x v="30"/>
    <x v="0"/>
    <x v="3"/>
    <n v="3.1139702159192097"/>
  </r>
  <r>
    <x v="0"/>
    <x v="1"/>
    <x v="3"/>
    <x v="5"/>
    <x v="30"/>
    <x v="0"/>
    <x v="4"/>
    <n v="4.0343576317978123"/>
  </r>
  <r>
    <x v="0"/>
    <x v="1"/>
    <x v="3"/>
    <x v="5"/>
    <x v="30"/>
    <x v="0"/>
    <x v="5"/>
    <n v="6.0224196560189096"/>
  </r>
  <r>
    <x v="0"/>
    <x v="1"/>
    <x v="3"/>
    <x v="5"/>
    <x v="30"/>
    <x v="0"/>
    <x v="6"/>
    <n v="10.067724948588941"/>
  </r>
  <r>
    <x v="0"/>
    <x v="1"/>
    <x v="2"/>
    <x v="4"/>
    <x v="31"/>
    <x v="0"/>
    <x v="0"/>
    <n v="21.999774674875109"/>
  </r>
  <r>
    <x v="0"/>
    <x v="1"/>
    <x v="2"/>
    <x v="4"/>
    <x v="31"/>
    <x v="0"/>
    <x v="1"/>
    <n v="46.335663591617482"/>
  </r>
  <r>
    <x v="0"/>
    <x v="1"/>
    <x v="2"/>
    <x v="4"/>
    <x v="31"/>
    <x v="0"/>
    <x v="2"/>
    <n v="79.522255280002241"/>
  </r>
  <r>
    <x v="0"/>
    <x v="1"/>
    <x v="2"/>
    <x v="4"/>
    <x v="31"/>
    <x v="0"/>
    <x v="3"/>
    <n v="145.95456026868476"/>
  </r>
  <r>
    <x v="0"/>
    <x v="1"/>
    <x v="2"/>
    <x v="4"/>
    <x v="31"/>
    <x v="0"/>
    <x v="4"/>
    <n v="204.13708306181448"/>
  </r>
  <r>
    <x v="0"/>
    <x v="1"/>
    <x v="2"/>
    <x v="4"/>
    <x v="31"/>
    <x v="0"/>
    <x v="5"/>
    <n v="254.39161922007816"/>
  </r>
  <r>
    <x v="0"/>
    <x v="1"/>
    <x v="2"/>
    <x v="4"/>
    <x v="31"/>
    <x v="0"/>
    <x v="6"/>
    <n v="308.32658443703434"/>
  </r>
  <r>
    <x v="0"/>
    <x v="1"/>
    <x v="2"/>
    <x v="4"/>
    <x v="32"/>
    <x v="0"/>
    <x v="0"/>
    <n v="0"/>
  </r>
  <r>
    <x v="0"/>
    <x v="1"/>
    <x v="2"/>
    <x v="4"/>
    <x v="32"/>
    <x v="0"/>
    <x v="1"/>
    <n v="0"/>
  </r>
  <r>
    <x v="0"/>
    <x v="1"/>
    <x v="2"/>
    <x v="4"/>
    <x v="32"/>
    <x v="0"/>
    <x v="2"/>
    <n v="0"/>
  </r>
  <r>
    <x v="0"/>
    <x v="1"/>
    <x v="2"/>
    <x v="4"/>
    <x v="32"/>
    <x v="0"/>
    <x v="3"/>
    <n v="0"/>
  </r>
  <r>
    <x v="0"/>
    <x v="1"/>
    <x v="2"/>
    <x v="4"/>
    <x v="32"/>
    <x v="0"/>
    <x v="4"/>
    <n v="0"/>
  </r>
  <r>
    <x v="0"/>
    <x v="1"/>
    <x v="2"/>
    <x v="4"/>
    <x v="32"/>
    <x v="0"/>
    <x v="5"/>
    <n v="0"/>
  </r>
  <r>
    <x v="0"/>
    <x v="1"/>
    <x v="2"/>
    <x v="4"/>
    <x v="32"/>
    <x v="0"/>
    <x v="6"/>
    <n v="0"/>
  </r>
  <r>
    <x v="0"/>
    <x v="1"/>
    <x v="2"/>
    <x v="4"/>
    <x v="33"/>
    <x v="0"/>
    <x v="0"/>
    <n v="0"/>
  </r>
  <r>
    <x v="0"/>
    <x v="1"/>
    <x v="2"/>
    <x v="4"/>
    <x v="33"/>
    <x v="0"/>
    <x v="1"/>
    <n v="0"/>
  </r>
  <r>
    <x v="0"/>
    <x v="1"/>
    <x v="2"/>
    <x v="4"/>
    <x v="33"/>
    <x v="0"/>
    <x v="2"/>
    <n v="0"/>
  </r>
  <r>
    <x v="0"/>
    <x v="1"/>
    <x v="2"/>
    <x v="4"/>
    <x v="33"/>
    <x v="0"/>
    <x v="3"/>
    <n v="0"/>
  </r>
  <r>
    <x v="0"/>
    <x v="1"/>
    <x v="2"/>
    <x v="4"/>
    <x v="33"/>
    <x v="0"/>
    <x v="4"/>
    <n v="0"/>
  </r>
  <r>
    <x v="0"/>
    <x v="1"/>
    <x v="2"/>
    <x v="4"/>
    <x v="33"/>
    <x v="0"/>
    <x v="5"/>
    <n v="0"/>
  </r>
  <r>
    <x v="0"/>
    <x v="1"/>
    <x v="2"/>
    <x v="4"/>
    <x v="33"/>
    <x v="0"/>
    <x v="6"/>
    <n v="0"/>
  </r>
  <r>
    <x v="0"/>
    <x v="1"/>
    <x v="2"/>
    <x v="4"/>
    <x v="34"/>
    <x v="0"/>
    <x v="0"/>
    <n v="0.52293928858897187"/>
  </r>
  <r>
    <x v="0"/>
    <x v="1"/>
    <x v="2"/>
    <x v="4"/>
    <x v="34"/>
    <x v="0"/>
    <x v="1"/>
    <n v="1.4705819487561615"/>
  </r>
  <r>
    <x v="0"/>
    <x v="1"/>
    <x v="2"/>
    <x v="4"/>
    <x v="34"/>
    <x v="0"/>
    <x v="2"/>
    <n v="3.0012868014227596"/>
  </r>
  <r>
    <x v="0"/>
    <x v="1"/>
    <x v="2"/>
    <x v="4"/>
    <x v="34"/>
    <x v="0"/>
    <x v="3"/>
    <n v="5.6994534574568307"/>
  </r>
  <r>
    <x v="0"/>
    <x v="1"/>
    <x v="2"/>
    <x v="4"/>
    <x v="34"/>
    <x v="0"/>
    <x v="4"/>
    <n v="7.6528282076508702"/>
  </r>
  <r>
    <x v="0"/>
    <x v="1"/>
    <x v="2"/>
    <x v="4"/>
    <x v="34"/>
    <x v="0"/>
    <x v="5"/>
    <n v="10.680559229564981"/>
  </r>
  <r>
    <x v="0"/>
    <x v="1"/>
    <x v="2"/>
    <x v="4"/>
    <x v="34"/>
    <x v="0"/>
    <x v="6"/>
    <n v="14.034816070850596"/>
  </r>
  <r>
    <x v="0"/>
    <x v="1"/>
    <x v="2"/>
    <x v="6"/>
    <x v="35"/>
    <x v="0"/>
    <x v="0"/>
    <n v="0"/>
  </r>
  <r>
    <x v="0"/>
    <x v="1"/>
    <x v="2"/>
    <x v="6"/>
    <x v="35"/>
    <x v="0"/>
    <x v="1"/>
    <n v="0"/>
  </r>
  <r>
    <x v="0"/>
    <x v="1"/>
    <x v="2"/>
    <x v="6"/>
    <x v="35"/>
    <x v="0"/>
    <x v="2"/>
    <n v="0"/>
  </r>
  <r>
    <x v="0"/>
    <x v="1"/>
    <x v="2"/>
    <x v="6"/>
    <x v="35"/>
    <x v="0"/>
    <x v="3"/>
    <n v="0"/>
  </r>
  <r>
    <x v="0"/>
    <x v="1"/>
    <x v="2"/>
    <x v="6"/>
    <x v="35"/>
    <x v="0"/>
    <x v="4"/>
    <n v="0"/>
  </r>
  <r>
    <x v="0"/>
    <x v="1"/>
    <x v="2"/>
    <x v="6"/>
    <x v="35"/>
    <x v="0"/>
    <x v="5"/>
    <n v="0"/>
  </r>
  <r>
    <x v="0"/>
    <x v="1"/>
    <x v="2"/>
    <x v="6"/>
    <x v="35"/>
    <x v="0"/>
    <x v="6"/>
    <n v="0"/>
  </r>
  <r>
    <x v="0"/>
    <x v="1"/>
    <x v="2"/>
    <x v="6"/>
    <x v="36"/>
    <x v="0"/>
    <x v="0"/>
    <n v="0"/>
  </r>
  <r>
    <x v="0"/>
    <x v="1"/>
    <x v="2"/>
    <x v="6"/>
    <x v="36"/>
    <x v="0"/>
    <x v="1"/>
    <n v="0"/>
  </r>
  <r>
    <x v="0"/>
    <x v="1"/>
    <x v="2"/>
    <x v="6"/>
    <x v="36"/>
    <x v="0"/>
    <x v="2"/>
    <n v="0"/>
  </r>
  <r>
    <x v="0"/>
    <x v="1"/>
    <x v="2"/>
    <x v="6"/>
    <x v="36"/>
    <x v="0"/>
    <x v="3"/>
    <n v="0"/>
  </r>
  <r>
    <x v="0"/>
    <x v="1"/>
    <x v="2"/>
    <x v="6"/>
    <x v="36"/>
    <x v="0"/>
    <x v="4"/>
    <n v="0"/>
  </r>
  <r>
    <x v="0"/>
    <x v="1"/>
    <x v="2"/>
    <x v="6"/>
    <x v="36"/>
    <x v="0"/>
    <x v="5"/>
    <n v="0"/>
  </r>
  <r>
    <x v="0"/>
    <x v="1"/>
    <x v="2"/>
    <x v="6"/>
    <x v="36"/>
    <x v="0"/>
    <x v="6"/>
    <n v="0"/>
  </r>
  <r>
    <x v="0"/>
    <x v="1"/>
    <x v="2"/>
    <x v="6"/>
    <x v="37"/>
    <x v="0"/>
    <x v="0"/>
    <n v="0"/>
  </r>
  <r>
    <x v="0"/>
    <x v="1"/>
    <x v="2"/>
    <x v="6"/>
    <x v="37"/>
    <x v="0"/>
    <x v="1"/>
    <n v="0"/>
  </r>
  <r>
    <x v="0"/>
    <x v="1"/>
    <x v="2"/>
    <x v="6"/>
    <x v="37"/>
    <x v="0"/>
    <x v="2"/>
    <n v="0"/>
  </r>
  <r>
    <x v="0"/>
    <x v="1"/>
    <x v="2"/>
    <x v="6"/>
    <x v="37"/>
    <x v="0"/>
    <x v="3"/>
    <n v="0"/>
  </r>
  <r>
    <x v="0"/>
    <x v="1"/>
    <x v="2"/>
    <x v="6"/>
    <x v="37"/>
    <x v="0"/>
    <x v="4"/>
    <n v="0"/>
  </r>
  <r>
    <x v="0"/>
    <x v="1"/>
    <x v="2"/>
    <x v="6"/>
    <x v="37"/>
    <x v="0"/>
    <x v="5"/>
    <n v="0"/>
  </r>
  <r>
    <x v="0"/>
    <x v="1"/>
    <x v="2"/>
    <x v="6"/>
    <x v="37"/>
    <x v="0"/>
    <x v="6"/>
    <n v="0"/>
  </r>
  <r>
    <x v="0"/>
    <x v="1"/>
    <x v="2"/>
    <x v="6"/>
    <x v="38"/>
    <x v="0"/>
    <x v="0"/>
    <n v="1.8648604245100602E-3"/>
  </r>
  <r>
    <x v="0"/>
    <x v="1"/>
    <x v="2"/>
    <x v="6"/>
    <x v="38"/>
    <x v="0"/>
    <x v="1"/>
    <n v="1.0056140259368358E-2"/>
  </r>
  <r>
    <x v="0"/>
    <x v="1"/>
    <x v="2"/>
    <x v="6"/>
    <x v="38"/>
    <x v="0"/>
    <x v="2"/>
    <n v="4.440909812552412E-2"/>
  </r>
  <r>
    <x v="0"/>
    <x v="1"/>
    <x v="2"/>
    <x v="6"/>
    <x v="38"/>
    <x v="0"/>
    <x v="3"/>
    <n v="0.21233301559530285"/>
  </r>
  <r>
    <x v="0"/>
    <x v="1"/>
    <x v="2"/>
    <x v="6"/>
    <x v="38"/>
    <x v="0"/>
    <x v="4"/>
    <n v="0.98914752640232961"/>
  </r>
  <r>
    <x v="0"/>
    <x v="1"/>
    <x v="2"/>
    <x v="6"/>
    <x v="38"/>
    <x v="0"/>
    <x v="5"/>
    <n v="3.4403882228757152"/>
  </r>
  <r>
    <x v="0"/>
    <x v="1"/>
    <x v="2"/>
    <x v="6"/>
    <x v="38"/>
    <x v="0"/>
    <x v="6"/>
    <n v="3.9410729468015626"/>
  </r>
  <r>
    <x v="0"/>
    <x v="1"/>
    <x v="3"/>
    <x v="5"/>
    <x v="39"/>
    <x v="0"/>
    <x v="0"/>
    <n v="0"/>
  </r>
  <r>
    <x v="0"/>
    <x v="1"/>
    <x v="3"/>
    <x v="5"/>
    <x v="39"/>
    <x v="0"/>
    <x v="1"/>
    <n v="0"/>
  </r>
  <r>
    <x v="0"/>
    <x v="1"/>
    <x v="3"/>
    <x v="5"/>
    <x v="39"/>
    <x v="0"/>
    <x v="2"/>
    <n v="0"/>
  </r>
  <r>
    <x v="0"/>
    <x v="1"/>
    <x v="3"/>
    <x v="5"/>
    <x v="39"/>
    <x v="0"/>
    <x v="3"/>
    <n v="0"/>
  </r>
  <r>
    <x v="0"/>
    <x v="1"/>
    <x v="3"/>
    <x v="5"/>
    <x v="39"/>
    <x v="0"/>
    <x v="4"/>
    <n v="0"/>
  </r>
  <r>
    <x v="0"/>
    <x v="1"/>
    <x v="3"/>
    <x v="5"/>
    <x v="39"/>
    <x v="0"/>
    <x v="5"/>
    <n v="0"/>
  </r>
  <r>
    <x v="0"/>
    <x v="1"/>
    <x v="3"/>
    <x v="5"/>
    <x v="39"/>
    <x v="0"/>
    <x v="6"/>
    <n v="0"/>
  </r>
  <r>
    <x v="0"/>
    <x v="1"/>
    <x v="2"/>
    <x v="6"/>
    <x v="40"/>
    <x v="0"/>
    <x v="0"/>
    <n v="0"/>
  </r>
  <r>
    <x v="0"/>
    <x v="1"/>
    <x v="2"/>
    <x v="6"/>
    <x v="40"/>
    <x v="0"/>
    <x v="1"/>
    <n v="0"/>
  </r>
  <r>
    <x v="0"/>
    <x v="1"/>
    <x v="2"/>
    <x v="6"/>
    <x v="40"/>
    <x v="0"/>
    <x v="2"/>
    <n v="0"/>
  </r>
  <r>
    <x v="0"/>
    <x v="1"/>
    <x v="2"/>
    <x v="6"/>
    <x v="40"/>
    <x v="0"/>
    <x v="3"/>
    <n v="0"/>
  </r>
  <r>
    <x v="0"/>
    <x v="1"/>
    <x v="2"/>
    <x v="6"/>
    <x v="40"/>
    <x v="0"/>
    <x v="4"/>
    <n v="0"/>
  </r>
  <r>
    <x v="0"/>
    <x v="1"/>
    <x v="2"/>
    <x v="6"/>
    <x v="40"/>
    <x v="0"/>
    <x v="5"/>
    <n v="0"/>
  </r>
  <r>
    <x v="0"/>
    <x v="1"/>
    <x v="2"/>
    <x v="6"/>
    <x v="40"/>
    <x v="0"/>
    <x v="6"/>
    <n v="0"/>
  </r>
  <r>
    <x v="0"/>
    <x v="1"/>
    <x v="2"/>
    <x v="6"/>
    <x v="41"/>
    <x v="0"/>
    <x v="0"/>
    <n v="3.240513149660681E-3"/>
  </r>
  <r>
    <x v="0"/>
    <x v="1"/>
    <x v="2"/>
    <x v="6"/>
    <x v="41"/>
    <x v="0"/>
    <x v="1"/>
    <n v="1.1542535944015745E-2"/>
  </r>
  <r>
    <x v="0"/>
    <x v="1"/>
    <x v="2"/>
    <x v="6"/>
    <x v="41"/>
    <x v="0"/>
    <x v="2"/>
    <n v="4.0160704365826687E-2"/>
  </r>
  <r>
    <x v="0"/>
    <x v="1"/>
    <x v="2"/>
    <x v="6"/>
    <x v="41"/>
    <x v="0"/>
    <x v="3"/>
    <n v="0.13999265130969379"/>
  </r>
  <r>
    <x v="0"/>
    <x v="1"/>
    <x v="2"/>
    <x v="6"/>
    <x v="41"/>
    <x v="0"/>
    <x v="4"/>
    <n v="0.46582558039787719"/>
  </r>
  <r>
    <x v="0"/>
    <x v="1"/>
    <x v="2"/>
    <x v="6"/>
    <x v="41"/>
    <x v="0"/>
    <x v="5"/>
    <n v="1.2536868174166014"/>
  </r>
  <r>
    <x v="0"/>
    <x v="1"/>
    <x v="2"/>
    <x v="6"/>
    <x v="41"/>
    <x v="0"/>
    <x v="6"/>
    <n v="2.6071249844566133"/>
  </r>
  <r>
    <x v="0"/>
    <x v="1"/>
    <x v="2"/>
    <x v="6"/>
    <x v="42"/>
    <x v="0"/>
    <x v="0"/>
    <n v="0"/>
  </r>
  <r>
    <x v="0"/>
    <x v="1"/>
    <x v="2"/>
    <x v="6"/>
    <x v="42"/>
    <x v="0"/>
    <x v="1"/>
    <n v="0"/>
  </r>
  <r>
    <x v="0"/>
    <x v="1"/>
    <x v="2"/>
    <x v="6"/>
    <x v="42"/>
    <x v="0"/>
    <x v="2"/>
    <n v="0"/>
  </r>
  <r>
    <x v="0"/>
    <x v="1"/>
    <x v="2"/>
    <x v="6"/>
    <x v="42"/>
    <x v="0"/>
    <x v="3"/>
    <n v="0"/>
  </r>
  <r>
    <x v="0"/>
    <x v="1"/>
    <x v="2"/>
    <x v="6"/>
    <x v="42"/>
    <x v="0"/>
    <x v="4"/>
    <n v="0"/>
  </r>
  <r>
    <x v="0"/>
    <x v="1"/>
    <x v="2"/>
    <x v="6"/>
    <x v="42"/>
    <x v="0"/>
    <x v="5"/>
    <n v="0"/>
  </r>
  <r>
    <x v="0"/>
    <x v="1"/>
    <x v="2"/>
    <x v="6"/>
    <x v="42"/>
    <x v="0"/>
    <x v="6"/>
    <n v="0"/>
  </r>
  <r>
    <x v="0"/>
    <x v="1"/>
    <x v="2"/>
    <x v="6"/>
    <x v="43"/>
    <x v="0"/>
    <x v="0"/>
    <n v="9.203476051060892E-3"/>
  </r>
  <r>
    <x v="0"/>
    <x v="1"/>
    <x v="2"/>
    <x v="6"/>
    <x v="43"/>
    <x v="0"/>
    <x v="1"/>
    <n v="6.0136325246962531E-2"/>
  </r>
  <r>
    <x v="0"/>
    <x v="1"/>
    <x v="2"/>
    <x v="6"/>
    <x v="43"/>
    <x v="0"/>
    <x v="2"/>
    <n v="0.25499176463989548"/>
  </r>
  <r>
    <x v="0"/>
    <x v="1"/>
    <x v="2"/>
    <x v="6"/>
    <x v="43"/>
    <x v="0"/>
    <x v="3"/>
    <n v="1.1967854411315713"/>
  </r>
  <r>
    <x v="0"/>
    <x v="1"/>
    <x v="2"/>
    <x v="6"/>
    <x v="43"/>
    <x v="0"/>
    <x v="4"/>
    <n v="5.4561884898474835"/>
  </r>
  <r>
    <x v="0"/>
    <x v="1"/>
    <x v="2"/>
    <x v="6"/>
    <x v="43"/>
    <x v="0"/>
    <x v="5"/>
    <n v="18.511005097914239"/>
  </r>
  <r>
    <x v="0"/>
    <x v="1"/>
    <x v="2"/>
    <x v="6"/>
    <x v="43"/>
    <x v="0"/>
    <x v="6"/>
    <n v="21.477761477394228"/>
  </r>
  <r>
    <x v="0"/>
    <x v="1"/>
    <x v="4"/>
    <x v="7"/>
    <x v="44"/>
    <x v="0"/>
    <x v="0"/>
    <n v="0"/>
  </r>
  <r>
    <x v="0"/>
    <x v="1"/>
    <x v="4"/>
    <x v="7"/>
    <x v="44"/>
    <x v="0"/>
    <x v="1"/>
    <n v="0"/>
  </r>
  <r>
    <x v="0"/>
    <x v="1"/>
    <x v="4"/>
    <x v="7"/>
    <x v="44"/>
    <x v="0"/>
    <x v="2"/>
    <n v="0"/>
  </r>
  <r>
    <x v="0"/>
    <x v="1"/>
    <x v="4"/>
    <x v="7"/>
    <x v="44"/>
    <x v="0"/>
    <x v="3"/>
    <n v="0"/>
  </r>
  <r>
    <x v="0"/>
    <x v="1"/>
    <x v="4"/>
    <x v="7"/>
    <x v="44"/>
    <x v="0"/>
    <x v="4"/>
    <n v="0"/>
  </r>
  <r>
    <x v="0"/>
    <x v="1"/>
    <x v="4"/>
    <x v="7"/>
    <x v="44"/>
    <x v="0"/>
    <x v="5"/>
    <n v="0"/>
  </r>
  <r>
    <x v="0"/>
    <x v="1"/>
    <x v="4"/>
    <x v="7"/>
    <x v="44"/>
    <x v="0"/>
    <x v="6"/>
    <n v="0"/>
  </r>
  <r>
    <x v="0"/>
    <x v="1"/>
    <x v="4"/>
    <x v="7"/>
    <x v="45"/>
    <x v="0"/>
    <x v="0"/>
    <n v="0"/>
  </r>
  <r>
    <x v="0"/>
    <x v="1"/>
    <x v="4"/>
    <x v="7"/>
    <x v="45"/>
    <x v="0"/>
    <x v="1"/>
    <n v="0"/>
  </r>
  <r>
    <x v="0"/>
    <x v="1"/>
    <x v="4"/>
    <x v="7"/>
    <x v="45"/>
    <x v="0"/>
    <x v="2"/>
    <n v="0"/>
  </r>
  <r>
    <x v="0"/>
    <x v="1"/>
    <x v="4"/>
    <x v="7"/>
    <x v="45"/>
    <x v="0"/>
    <x v="3"/>
    <n v="0"/>
  </r>
  <r>
    <x v="0"/>
    <x v="1"/>
    <x v="4"/>
    <x v="7"/>
    <x v="45"/>
    <x v="0"/>
    <x v="4"/>
    <n v="0"/>
  </r>
  <r>
    <x v="0"/>
    <x v="1"/>
    <x v="4"/>
    <x v="7"/>
    <x v="45"/>
    <x v="0"/>
    <x v="5"/>
    <n v="0"/>
  </r>
  <r>
    <x v="0"/>
    <x v="1"/>
    <x v="4"/>
    <x v="7"/>
    <x v="45"/>
    <x v="0"/>
    <x v="6"/>
    <n v="0"/>
  </r>
  <r>
    <x v="0"/>
    <x v="1"/>
    <x v="4"/>
    <x v="7"/>
    <x v="46"/>
    <x v="0"/>
    <x v="0"/>
    <n v="0"/>
  </r>
  <r>
    <x v="0"/>
    <x v="1"/>
    <x v="4"/>
    <x v="7"/>
    <x v="46"/>
    <x v="0"/>
    <x v="1"/>
    <n v="0"/>
  </r>
  <r>
    <x v="0"/>
    <x v="1"/>
    <x v="4"/>
    <x v="7"/>
    <x v="46"/>
    <x v="0"/>
    <x v="2"/>
    <n v="0"/>
  </r>
  <r>
    <x v="0"/>
    <x v="1"/>
    <x v="4"/>
    <x v="7"/>
    <x v="46"/>
    <x v="0"/>
    <x v="3"/>
    <n v="0"/>
  </r>
  <r>
    <x v="0"/>
    <x v="1"/>
    <x v="4"/>
    <x v="7"/>
    <x v="46"/>
    <x v="0"/>
    <x v="4"/>
    <n v="0"/>
  </r>
  <r>
    <x v="0"/>
    <x v="1"/>
    <x v="4"/>
    <x v="7"/>
    <x v="46"/>
    <x v="0"/>
    <x v="5"/>
    <n v="0"/>
  </r>
  <r>
    <x v="0"/>
    <x v="1"/>
    <x v="4"/>
    <x v="7"/>
    <x v="46"/>
    <x v="0"/>
    <x v="6"/>
    <n v="0"/>
  </r>
  <r>
    <x v="0"/>
    <x v="1"/>
    <x v="4"/>
    <x v="7"/>
    <x v="47"/>
    <x v="0"/>
    <x v="0"/>
    <n v="0"/>
  </r>
  <r>
    <x v="0"/>
    <x v="1"/>
    <x v="4"/>
    <x v="7"/>
    <x v="47"/>
    <x v="0"/>
    <x v="1"/>
    <n v="0"/>
  </r>
  <r>
    <x v="0"/>
    <x v="1"/>
    <x v="4"/>
    <x v="7"/>
    <x v="47"/>
    <x v="0"/>
    <x v="2"/>
    <n v="0"/>
  </r>
  <r>
    <x v="0"/>
    <x v="1"/>
    <x v="4"/>
    <x v="7"/>
    <x v="47"/>
    <x v="0"/>
    <x v="3"/>
    <n v="0"/>
  </r>
  <r>
    <x v="0"/>
    <x v="1"/>
    <x v="4"/>
    <x v="7"/>
    <x v="47"/>
    <x v="0"/>
    <x v="4"/>
    <n v="0"/>
  </r>
  <r>
    <x v="0"/>
    <x v="1"/>
    <x v="4"/>
    <x v="7"/>
    <x v="47"/>
    <x v="0"/>
    <x v="5"/>
    <n v="0"/>
  </r>
  <r>
    <x v="0"/>
    <x v="1"/>
    <x v="4"/>
    <x v="7"/>
    <x v="47"/>
    <x v="0"/>
    <x v="6"/>
    <n v="0"/>
  </r>
  <r>
    <x v="0"/>
    <x v="1"/>
    <x v="4"/>
    <x v="7"/>
    <x v="48"/>
    <x v="0"/>
    <x v="0"/>
    <n v="0"/>
  </r>
  <r>
    <x v="0"/>
    <x v="1"/>
    <x v="4"/>
    <x v="7"/>
    <x v="48"/>
    <x v="0"/>
    <x v="1"/>
    <n v="0"/>
  </r>
  <r>
    <x v="0"/>
    <x v="1"/>
    <x v="4"/>
    <x v="7"/>
    <x v="48"/>
    <x v="0"/>
    <x v="2"/>
    <n v="0"/>
  </r>
  <r>
    <x v="0"/>
    <x v="1"/>
    <x v="4"/>
    <x v="7"/>
    <x v="48"/>
    <x v="0"/>
    <x v="3"/>
    <n v="0"/>
  </r>
  <r>
    <x v="0"/>
    <x v="1"/>
    <x v="4"/>
    <x v="7"/>
    <x v="48"/>
    <x v="0"/>
    <x v="4"/>
    <n v="0"/>
  </r>
  <r>
    <x v="0"/>
    <x v="1"/>
    <x v="4"/>
    <x v="7"/>
    <x v="48"/>
    <x v="0"/>
    <x v="5"/>
    <n v="0"/>
  </r>
  <r>
    <x v="0"/>
    <x v="1"/>
    <x v="4"/>
    <x v="7"/>
    <x v="48"/>
    <x v="0"/>
    <x v="6"/>
    <n v="0"/>
  </r>
  <r>
    <x v="0"/>
    <x v="1"/>
    <x v="4"/>
    <x v="7"/>
    <x v="49"/>
    <x v="0"/>
    <x v="0"/>
    <n v="3.5877947757519064E-4"/>
  </r>
  <r>
    <x v="0"/>
    <x v="1"/>
    <x v="4"/>
    <x v="7"/>
    <x v="49"/>
    <x v="0"/>
    <x v="1"/>
    <n v="1.7644769955033176E-3"/>
  </r>
  <r>
    <x v="0"/>
    <x v="1"/>
    <x v="4"/>
    <x v="7"/>
    <x v="49"/>
    <x v="0"/>
    <x v="2"/>
    <n v="7.391350463561059E-3"/>
  </r>
  <r>
    <x v="0"/>
    <x v="1"/>
    <x v="4"/>
    <x v="7"/>
    <x v="49"/>
    <x v="0"/>
    <x v="3"/>
    <n v="3.4587486373065315E-2"/>
  </r>
  <r>
    <x v="0"/>
    <x v="1"/>
    <x v="4"/>
    <x v="7"/>
    <x v="49"/>
    <x v="0"/>
    <x v="4"/>
    <n v="0.15395908599263144"/>
  </r>
  <r>
    <x v="0"/>
    <x v="1"/>
    <x v="4"/>
    <x v="7"/>
    <x v="49"/>
    <x v="0"/>
    <x v="5"/>
    <n v="0.30744101188804207"/>
  </r>
  <r>
    <x v="0"/>
    <x v="1"/>
    <x v="4"/>
    <x v="7"/>
    <x v="49"/>
    <x v="0"/>
    <x v="6"/>
    <n v="0.45107006444306796"/>
  </r>
  <r>
    <x v="0"/>
    <x v="1"/>
    <x v="4"/>
    <x v="7"/>
    <x v="50"/>
    <x v="0"/>
    <x v="0"/>
    <n v="0"/>
  </r>
  <r>
    <x v="0"/>
    <x v="1"/>
    <x v="4"/>
    <x v="7"/>
    <x v="50"/>
    <x v="0"/>
    <x v="1"/>
    <n v="0"/>
  </r>
  <r>
    <x v="0"/>
    <x v="1"/>
    <x v="4"/>
    <x v="7"/>
    <x v="50"/>
    <x v="0"/>
    <x v="2"/>
    <n v="0"/>
  </r>
  <r>
    <x v="0"/>
    <x v="1"/>
    <x v="4"/>
    <x v="7"/>
    <x v="50"/>
    <x v="0"/>
    <x v="3"/>
    <n v="0"/>
  </r>
  <r>
    <x v="0"/>
    <x v="1"/>
    <x v="4"/>
    <x v="7"/>
    <x v="50"/>
    <x v="0"/>
    <x v="4"/>
    <n v="0"/>
  </r>
  <r>
    <x v="0"/>
    <x v="1"/>
    <x v="4"/>
    <x v="7"/>
    <x v="50"/>
    <x v="0"/>
    <x v="5"/>
    <n v="0"/>
  </r>
  <r>
    <x v="0"/>
    <x v="1"/>
    <x v="4"/>
    <x v="7"/>
    <x v="50"/>
    <x v="0"/>
    <x v="6"/>
    <n v="0"/>
  </r>
  <r>
    <x v="0"/>
    <x v="1"/>
    <x v="5"/>
    <x v="8"/>
    <x v="51"/>
    <x v="0"/>
    <x v="0"/>
    <n v="0"/>
  </r>
  <r>
    <x v="0"/>
    <x v="1"/>
    <x v="5"/>
    <x v="8"/>
    <x v="51"/>
    <x v="0"/>
    <x v="1"/>
    <n v="0"/>
  </r>
  <r>
    <x v="0"/>
    <x v="1"/>
    <x v="5"/>
    <x v="8"/>
    <x v="51"/>
    <x v="0"/>
    <x v="2"/>
    <n v="0"/>
  </r>
  <r>
    <x v="0"/>
    <x v="1"/>
    <x v="5"/>
    <x v="8"/>
    <x v="51"/>
    <x v="0"/>
    <x v="3"/>
    <n v="0"/>
  </r>
  <r>
    <x v="0"/>
    <x v="1"/>
    <x v="5"/>
    <x v="8"/>
    <x v="51"/>
    <x v="0"/>
    <x v="4"/>
    <n v="0"/>
  </r>
  <r>
    <x v="0"/>
    <x v="1"/>
    <x v="5"/>
    <x v="8"/>
    <x v="51"/>
    <x v="0"/>
    <x v="5"/>
    <n v="0"/>
  </r>
  <r>
    <x v="0"/>
    <x v="1"/>
    <x v="5"/>
    <x v="8"/>
    <x v="51"/>
    <x v="0"/>
    <x v="6"/>
    <n v="0"/>
  </r>
  <r>
    <x v="0"/>
    <x v="1"/>
    <x v="3"/>
    <x v="5"/>
    <x v="52"/>
    <x v="0"/>
    <x v="0"/>
    <n v="0"/>
  </r>
  <r>
    <x v="0"/>
    <x v="1"/>
    <x v="3"/>
    <x v="5"/>
    <x v="52"/>
    <x v="0"/>
    <x v="1"/>
    <n v="0"/>
  </r>
  <r>
    <x v="0"/>
    <x v="1"/>
    <x v="3"/>
    <x v="5"/>
    <x v="52"/>
    <x v="0"/>
    <x v="2"/>
    <n v="0"/>
  </r>
  <r>
    <x v="0"/>
    <x v="1"/>
    <x v="3"/>
    <x v="5"/>
    <x v="52"/>
    <x v="0"/>
    <x v="3"/>
    <n v="0"/>
  </r>
  <r>
    <x v="0"/>
    <x v="1"/>
    <x v="3"/>
    <x v="5"/>
    <x v="52"/>
    <x v="0"/>
    <x v="4"/>
    <n v="0"/>
  </r>
  <r>
    <x v="0"/>
    <x v="1"/>
    <x v="3"/>
    <x v="5"/>
    <x v="52"/>
    <x v="0"/>
    <x v="5"/>
    <n v="0"/>
  </r>
  <r>
    <x v="0"/>
    <x v="1"/>
    <x v="3"/>
    <x v="5"/>
    <x v="52"/>
    <x v="0"/>
    <x v="6"/>
    <n v="0"/>
  </r>
  <r>
    <x v="0"/>
    <x v="1"/>
    <x v="5"/>
    <x v="8"/>
    <x v="53"/>
    <x v="0"/>
    <x v="0"/>
    <n v="0.35040875946805383"/>
  </r>
  <r>
    <x v="0"/>
    <x v="1"/>
    <x v="5"/>
    <x v="8"/>
    <x v="53"/>
    <x v="0"/>
    <x v="1"/>
    <n v="1.124198837147997"/>
  </r>
  <r>
    <x v="0"/>
    <x v="1"/>
    <x v="5"/>
    <x v="8"/>
    <x v="53"/>
    <x v="0"/>
    <x v="2"/>
    <n v="3.0843456687379662"/>
  </r>
  <r>
    <x v="0"/>
    <x v="1"/>
    <x v="5"/>
    <x v="8"/>
    <x v="53"/>
    <x v="0"/>
    <x v="3"/>
    <n v="8.7894692817910869"/>
  </r>
  <r>
    <x v="0"/>
    <x v="1"/>
    <x v="5"/>
    <x v="8"/>
    <x v="53"/>
    <x v="0"/>
    <x v="4"/>
    <n v="19.390772971164914"/>
  </r>
  <r>
    <x v="0"/>
    <x v="1"/>
    <x v="5"/>
    <x v="8"/>
    <x v="53"/>
    <x v="0"/>
    <x v="5"/>
    <n v="32.231425844873982"/>
  </r>
  <r>
    <x v="0"/>
    <x v="1"/>
    <x v="5"/>
    <x v="8"/>
    <x v="53"/>
    <x v="0"/>
    <x v="6"/>
    <n v="43.24492994050734"/>
  </r>
  <r>
    <x v="0"/>
    <x v="1"/>
    <x v="4"/>
    <x v="7"/>
    <x v="54"/>
    <x v="0"/>
    <x v="0"/>
    <n v="0"/>
  </r>
  <r>
    <x v="0"/>
    <x v="1"/>
    <x v="4"/>
    <x v="7"/>
    <x v="54"/>
    <x v="0"/>
    <x v="1"/>
    <n v="0"/>
  </r>
  <r>
    <x v="0"/>
    <x v="1"/>
    <x v="4"/>
    <x v="7"/>
    <x v="54"/>
    <x v="0"/>
    <x v="2"/>
    <n v="0"/>
  </r>
  <r>
    <x v="0"/>
    <x v="1"/>
    <x v="4"/>
    <x v="7"/>
    <x v="54"/>
    <x v="0"/>
    <x v="3"/>
    <n v="0"/>
  </r>
  <r>
    <x v="0"/>
    <x v="1"/>
    <x v="4"/>
    <x v="7"/>
    <x v="54"/>
    <x v="0"/>
    <x v="4"/>
    <n v="0"/>
  </r>
  <r>
    <x v="0"/>
    <x v="1"/>
    <x v="4"/>
    <x v="7"/>
    <x v="54"/>
    <x v="0"/>
    <x v="5"/>
    <n v="0"/>
  </r>
  <r>
    <x v="0"/>
    <x v="1"/>
    <x v="4"/>
    <x v="7"/>
    <x v="54"/>
    <x v="0"/>
    <x v="6"/>
    <n v="0"/>
  </r>
  <r>
    <x v="0"/>
    <x v="1"/>
    <x v="4"/>
    <x v="7"/>
    <x v="55"/>
    <x v="0"/>
    <x v="0"/>
    <n v="0"/>
  </r>
  <r>
    <x v="0"/>
    <x v="1"/>
    <x v="4"/>
    <x v="7"/>
    <x v="55"/>
    <x v="0"/>
    <x v="1"/>
    <n v="0"/>
  </r>
  <r>
    <x v="0"/>
    <x v="1"/>
    <x v="4"/>
    <x v="7"/>
    <x v="55"/>
    <x v="0"/>
    <x v="2"/>
    <n v="0"/>
  </r>
  <r>
    <x v="0"/>
    <x v="1"/>
    <x v="4"/>
    <x v="7"/>
    <x v="55"/>
    <x v="0"/>
    <x v="3"/>
    <n v="0"/>
  </r>
  <r>
    <x v="0"/>
    <x v="1"/>
    <x v="4"/>
    <x v="7"/>
    <x v="55"/>
    <x v="0"/>
    <x v="4"/>
    <n v="0"/>
  </r>
  <r>
    <x v="0"/>
    <x v="1"/>
    <x v="4"/>
    <x v="7"/>
    <x v="55"/>
    <x v="0"/>
    <x v="5"/>
    <n v="0"/>
  </r>
  <r>
    <x v="0"/>
    <x v="1"/>
    <x v="4"/>
    <x v="7"/>
    <x v="55"/>
    <x v="0"/>
    <x v="6"/>
    <n v="0"/>
  </r>
  <r>
    <x v="0"/>
    <x v="1"/>
    <x v="4"/>
    <x v="7"/>
    <x v="56"/>
    <x v="0"/>
    <x v="0"/>
    <n v="0"/>
  </r>
  <r>
    <x v="0"/>
    <x v="1"/>
    <x v="4"/>
    <x v="7"/>
    <x v="56"/>
    <x v="0"/>
    <x v="1"/>
    <n v="0"/>
  </r>
  <r>
    <x v="0"/>
    <x v="1"/>
    <x v="4"/>
    <x v="7"/>
    <x v="56"/>
    <x v="0"/>
    <x v="2"/>
    <n v="0"/>
  </r>
  <r>
    <x v="0"/>
    <x v="1"/>
    <x v="4"/>
    <x v="7"/>
    <x v="56"/>
    <x v="0"/>
    <x v="3"/>
    <n v="0"/>
  </r>
  <r>
    <x v="0"/>
    <x v="1"/>
    <x v="4"/>
    <x v="7"/>
    <x v="56"/>
    <x v="0"/>
    <x v="4"/>
    <n v="0"/>
  </r>
  <r>
    <x v="0"/>
    <x v="1"/>
    <x v="4"/>
    <x v="7"/>
    <x v="56"/>
    <x v="0"/>
    <x v="5"/>
    <n v="0"/>
  </r>
  <r>
    <x v="0"/>
    <x v="1"/>
    <x v="4"/>
    <x v="7"/>
    <x v="56"/>
    <x v="0"/>
    <x v="6"/>
    <n v="0"/>
  </r>
  <r>
    <x v="0"/>
    <x v="1"/>
    <x v="4"/>
    <x v="7"/>
    <x v="57"/>
    <x v="0"/>
    <x v="0"/>
    <n v="2.425449491761374E-4"/>
  </r>
  <r>
    <x v="0"/>
    <x v="1"/>
    <x v="4"/>
    <x v="7"/>
    <x v="57"/>
    <x v="0"/>
    <x v="1"/>
    <n v="1.1575216918333748E-3"/>
  </r>
  <r>
    <x v="0"/>
    <x v="1"/>
    <x v="4"/>
    <x v="7"/>
    <x v="57"/>
    <x v="0"/>
    <x v="2"/>
    <n v="5.4569621941287765E-3"/>
  </r>
  <r>
    <x v="0"/>
    <x v="1"/>
    <x v="4"/>
    <x v="7"/>
    <x v="57"/>
    <x v="0"/>
    <x v="3"/>
    <n v="2.5160933276749609E-2"/>
  </r>
  <r>
    <x v="0"/>
    <x v="1"/>
    <x v="4"/>
    <x v="7"/>
    <x v="57"/>
    <x v="0"/>
    <x v="4"/>
    <n v="0.11518181088452219"/>
  </r>
  <r>
    <x v="0"/>
    <x v="1"/>
    <x v="4"/>
    <x v="7"/>
    <x v="57"/>
    <x v="0"/>
    <x v="5"/>
    <n v="0.23300665014755925"/>
  </r>
  <r>
    <x v="0"/>
    <x v="1"/>
    <x v="4"/>
    <x v="7"/>
    <x v="57"/>
    <x v="0"/>
    <x v="6"/>
    <n v="0.34726165444371415"/>
  </r>
  <r>
    <x v="0"/>
    <x v="1"/>
    <x v="4"/>
    <x v="7"/>
    <x v="58"/>
    <x v="0"/>
    <x v="0"/>
    <n v="0"/>
  </r>
  <r>
    <x v="0"/>
    <x v="1"/>
    <x v="4"/>
    <x v="7"/>
    <x v="58"/>
    <x v="0"/>
    <x v="1"/>
    <n v="0"/>
  </r>
  <r>
    <x v="0"/>
    <x v="1"/>
    <x v="4"/>
    <x v="7"/>
    <x v="58"/>
    <x v="0"/>
    <x v="2"/>
    <n v="0"/>
  </r>
  <r>
    <x v="0"/>
    <x v="1"/>
    <x v="4"/>
    <x v="7"/>
    <x v="58"/>
    <x v="0"/>
    <x v="3"/>
    <n v="0"/>
  </r>
  <r>
    <x v="0"/>
    <x v="1"/>
    <x v="4"/>
    <x v="7"/>
    <x v="58"/>
    <x v="0"/>
    <x v="4"/>
    <n v="0"/>
  </r>
  <r>
    <x v="0"/>
    <x v="1"/>
    <x v="4"/>
    <x v="7"/>
    <x v="58"/>
    <x v="0"/>
    <x v="5"/>
    <n v="0"/>
  </r>
  <r>
    <x v="0"/>
    <x v="1"/>
    <x v="4"/>
    <x v="7"/>
    <x v="58"/>
    <x v="0"/>
    <x v="6"/>
    <n v="0"/>
  </r>
  <r>
    <x v="0"/>
    <x v="1"/>
    <x v="4"/>
    <x v="7"/>
    <x v="59"/>
    <x v="0"/>
    <x v="0"/>
    <n v="0"/>
  </r>
  <r>
    <x v="0"/>
    <x v="1"/>
    <x v="4"/>
    <x v="7"/>
    <x v="59"/>
    <x v="0"/>
    <x v="1"/>
    <n v="0"/>
  </r>
  <r>
    <x v="0"/>
    <x v="1"/>
    <x v="4"/>
    <x v="7"/>
    <x v="59"/>
    <x v="0"/>
    <x v="2"/>
    <n v="0"/>
  </r>
  <r>
    <x v="0"/>
    <x v="1"/>
    <x v="4"/>
    <x v="7"/>
    <x v="59"/>
    <x v="0"/>
    <x v="3"/>
    <n v="0"/>
  </r>
  <r>
    <x v="0"/>
    <x v="1"/>
    <x v="4"/>
    <x v="7"/>
    <x v="59"/>
    <x v="0"/>
    <x v="4"/>
    <n v="0"/>
  </r>
  <r>
    <x v="0"/>
    <x v="1"/>
    <x v="4"/>
    <x v="7"/>
    <x v="59"/>
    <x v="0"/>
    <x v="5"/>
    <n v="0"/>
  </r>
  <r>
    <x v="0"/>
    <x v="1"/>
    <x v="4"/>
    <x v="7"/>
    <x v="59"/>
    <x v="0"/>
    <x v="6"/>
    <n v="0"/>
  </r>
  <r>
    <x v="0"/>
    <x v="1"/>
    <x v="4"/>
    <x v="7"/>
    <x v="60"/>
    <x v="0"/>
    <x v="0"/>
    <n v="0"/>
  </r>
  <r>
    <x v="0"/>
    <x v="1"/>
    <x v="4"/>
    <x v="7"/>
    <x v="60"/>
    <x v="0"/>
    <x v="1"/>
    <n v="0"/>
  </r>
  <r>
    <x v="0"/>
    <x v="1"/>
    <x v="4"/>
    <x v="7"/>
    <x v="60"/>
    <x v="0"/>
    <x v="2"/>
    <n v="0"/>
  </r>
  <r>
    <x v="0"/>
    <x v="1"/>
    <x v="4"/>
    <x v="7"/>
    <x v="60"/>
    <x v="0"/>
    <x v="3"/>
    <n v="0"/>
  </r>
  <r>
    <x v="0"/>
    <x v="1"/>
    <x v="4"/>
    <x v="7"/>
    <x v="60"/>
    <x v="0"/>
    <x v="4"/>
    <n v="0"/>
  </r>
  <r>
    <x v="0"/>
    <x v="1"/>
    <x v="4"/>
    <x v="7"/>
    <x v="60"/>
    <x v="0"/>
    <x v="5"/>
    <n v="0"/>
  </r>
  <r>
    <x v="0"/>
    <x v="1"/>
    <x v="4"/>
    <x v="7"/>
    <x v="60"/>
    <x v="0"/>
    <x v="6"/>
    <n v="0"/>
  </r>
  <r>
    <x v="0"/>
    <x v="1"/>
    <x v="4"/>
    <x v="7"/>
    <x v="61"/>
    <x v="0"/>
    <x v="0"/>
    <n v="0"/>
  </r>
  <r>
    <x v="0"/>
    <x v="1"/>
    <x v="4"/>
    <x v="7"/>
    <x v="61"/>
    <x v="0"/>
    <x v="1"/>
    <n v="0"/>
  </r>
  <r>
    <x v="0"/>
    <x v="1"/>
    <x v="4"/>
    <x v="7"/>
    <x v="61"/>
    <x v="0"/>
    <x v="2"/>
    <n v="0"/>
  </r>
  <r>
    <x v="0"/>
    <x v="1"/>
    <x v="4"/>
    <x v="7"/>
    <x v="61"/>
    <x v="0"/>
    <x v="3"/>
    <n v="0"/>
  </r>
  <r>
    <x v="0"/>
    <x v="1"/>
    <x v="4"/>
    <x v="7"/>
    <x v="61"/>
    <x v="0"/>
    <x v="4"/>
    <n v="0"/>
  </r>
  <r>
    <x v="0"/>
    <x v="1"/>
    <x v="4"/>
    <x v="7"/>
    <x v="61"/>
    <x v="0"/>
    <x v="5"/>
    <n v="0"/>
  </r>
  <r>
    <x v="0"/>
    <x v="1"/>
    <x v="4"/>
    <x v="7"/>
    <x v="61"/>
    <x v="0"/>
    <x v="6"/>
    <n v="0"/>
  </r>
  <r>
    <x v="0"/>
    <x v="1"/>
    <x v="4"/>
    <x v="7"/>
    <x v="62"/>
    <x v="0"/>
    <x v="0"/>
    <n v="0"/>
  </r>
  <r>
    <x v="0"/>
    <x v="1"/>
    <x v="4"/>
    <x v="7"/>
    <x v="62"/>
    <x v="0"/>
    <x v="1"/>
    <n v="0"/>
  </r>
  <r>
    <x v="0"/>
    <x v="1"/>
    <x v="4"/>
    <x v="7"/>
    <x v="62"/>
    <x v="0"/>
    <x v="2"/>
    <n v="0"/>
  </r>
  <r>
    <x v="0"/>
    <x v="1"/>
    <x v="4"/>
    <x v="7"/>
    <x v="62"/>
    <x v="0"/>
    <x v="3"/>
    <n v="0"/>
  </r>
  <r>
    <x v="0"/>
    <x v="1"/>
    <x v="4"/>
    <x v="7"/>
    <x v="62"/>
    <x v="0"/>
    <x v="4"/>
    <n v="0"/>
  </r>
  <r>
    <x v="0"/>
    <x v="1"/>
    <x v="4"/>
    <x v="7"/>
    <x v="62"/>
    <x v="0"/>
    <x v="5"/>
    <n v="0"/>
  </r>
  <r>
    <x v="0"/>
    <x v="1"/>
    <x v="4"/>
    <x v="7"/>
    <x v="62"/>
    <x v="0"/>
    <x v="6"/>
    <n v="0"/>
  </r>
  <r>
    <x v="0"/>
    <x v="1"/>
    <x v="4"/>
    <x v="7"/>
    <x v="63"/>
    <x v="0"/>
    <x v="0"/>
    <n v="0"/>
  </r>
  <r>
    <x v="0"/>
    <x v="1"/>
    <x v="4"/>
    <x v="7"/>
    <x v="63"/>
    <x v="0"/>
    <x v="1"/>
    <n v="0"/>
  </r>
  <r>
    <x v="0"/>
    <x v="1"/>
    <x v="4"/>
    <x v="7"/>
    <x v="63"/>
    <x v="0"/>
    <x v="2"/>
    <n v="0"/>
  </r>
  <r>
    <x v="0"/>
    <x v="1"/>
    <x v="4"/>
    <x v="7"/>
    <x v="63"/>
    <x v="0"/>
    <x v="3"/>
    <n v="0"/>
  </r>
  <r>
    <x v="0"/>
    <x v="1"/>
    <x v="4"/>
    <x v="7"/>
    <x v="63"/>
    <x v="0"/>
    <x v="4"/>
    <n v="0"/>
  </r>
  <r>
    <x v="0"/>
    <x v="1"/>
    <x v="4"/>
    <x v="7"/>
    <x v="63"/>
    <x v="0"/>
    <x v="5"/>
    <n v="0"/>
  </r>
  <r>
    <x v="0"/>
    <x v="1"/>
    <x v="4"/>
    <x v="7"/>
    <x v="63"/>
    <x v="0"/>
    <x v="6"/>
    <n v="0"/>
  </r>
  <r>
    <x v="0"/>
    <x v="1"/>
    <x v="4"/>
    <x v="7"/>
    <x v="64"/>
    <x v="0"/>
    <x v="0"/>
    <n v="0.25166430600002315"/>
  </r>
  <r>
    <x v="0"/>
    <x v="1"/>
    <x v="4"/>
    <x v="7"/>
    <x v="64"/>
    <x v="0"/>
    <x v="1"/>
    <n v="0.29145385820001174"/>
  </r>
  <r>
    <x v="0"/>
    <x v="1"/>
    <x v="4"/>
    <x v="7"/>
    <x v="64"/>
    <x v="0"/>
    <x v="2"/>
    <n v="0.3507551060789702"/>
  </r>
  <r>
    <x v="0"/>
    <x v="1"/>
    <x v="4"/>
    <x v="7"/>
    <x v="64"/>
    <x v="0"/>
    <x v="3"/>
    <n v="0.4537596033108765"/>
  </r>
  <r>
    <x v="0"/>
    <x v="1"/>
    <x v="4"/>
    <x v="7"/>
    <x v="64"/>
    <x v="0"/>
    <x v="4"/>
    <n v="0.52351021183916968"/>
  </r>
  <r>
    <x v="0"/>
    <x v="1"/>
    <x v="4"/>
    <x v="7"/>
    <x v="64"/>
    <x v="0"/>
    <x v="5"/>
    <n v="0.60592941142991075"/>
  </r>
  <r>
    <x v="0"/>
    <x v="1"/>
    <x v="4"/>
    <x v="7"/>
    <x v="64"/>
    <x v="0"/>
    <x v="6"/>
    <n v="0.72181593766440588"/>
  </r>
  <r>
    <x v="0"/>
    <x v="1"/>
    <x v="3"/>
    <x v="5"/>
    <x v="65"/>
    <x v="0"/>
    <x v="0"/>
    <n v="0"/>
  </r>
  <r>
    <x v="0"/>
    <x v="1"/>
    <x v="3"/>
    <x v="5"/>
    <x v="65"/>
    <x v="0"/>
    <x v="1"/>
    <n v="0"/>
  </r>
  <r>
    <x v="0"/>
    <x v="1"/>
    <x v="3"/>
    <x v="5"/>
    <x v="65"/>
    <x v="0"/>
    <x v="2"/>
    <n v="0"/>
  </r>
  <r>
    <x v="0"/>
    <x v="1"/>
    <x v="3"/>
    <x v="5"/>
    <x v="65"/>
    <x v="0"/>
    <x v="3"/>
    <n v="0"/>
  </r>
  <r>
    <x v="0"/>
    <x v="1"/>
    <x v="3"/>
    <x v="5"/>
    <x v="65"/>
    <x v="0"/>
    <x v="4"/>
    <n v="0"/>
  </r>
  <r>
    <x v="0"/>
    <x v="1"/>
    <x v="3"/>
    <x v="5"/>
    <x v="65"/>
    <x v="0"/>
    <x v="5"/>
    <n v="0"/>
  </r>
  <r>
    <x v="0"/>
    <x v="1"/>
    <x v="3"/>
    <x v="5"/>
    <x v="65"/>
    <x v="0"/>
    <x v="6"/>
    <n v="0"/>
  </r>
  <r>
    <x v="0"/>
    <x v="1"/>
    <x v="3"/>
    <x v="5"/>
    <x v="66"/>
    <x v="0"/>
    <x v="0"/>
    <n v="0"/>
  </r>
  <r>
    <x v="0"/>
    <x v="1"/>
    <x v="3"/>
    <x v="5"/>
    <x v="66"/>
    <x v="0"/>
    <x v="1"/>
    <n v="0"/>
  </r>
  <r>
    <x v="0"/>
    <x v="1"/>
    <x v="3"/>
    <x v="5"/>
    <x v="66"/>
    <x v="0"/>
    <x v="2"/>
    <n v="0"/>
  </r>
  <r>
    <x v="0"/>
    <x v="1"/>
    <x v="3"/>
    <x v="5"/>
    <x v="66"/>
    <x v="0"/>
    <x v="3"/>
    <n v="0"/>
  </r>
  <r>
    <x v="0"/>
    <x v="1"/>
    <x v="3"/>
    <x v="5"/>
    <x v="66"/>
    <x v="0"/>
    <x v="4"/>
    <n v="0"/>
  </r>
  <r>
    <x v="0"/>
    <x v="1"/>
    <x v="3"/>
    <x v="5"/>
    <x v="66"/>
    <x v="0"/>
    <x v="5"/>
    <n v="0"/>
  </r>
  <r>
    <x v="0"/>
    <x v="1"/>
    <x v="3"/>
    <x v="5"/>
    <x v="66"/>
    <x v="0"/>
    <x v="6"/>
    <n v="0"/>
  </r>
  <r>
    <x v="0"/>
    <x v="1"/>
    <x v="3"/>
    <x v="5"/>
    <x v="67"/>
    <x v="0"/>
    <x v="0"/>
    <n v="0"/>
  </r>
  <r>
    <x v="0"/>
    <x v="1"/>
    <x v="3"/>
    <x v="5"/>
    <x v="67"/>
    <x v="0"/>
    <x v="1"/>
    <n v="0"/>
  </r>
  <r>
    <x v="0"/>
    <x v="1"/>
    <x v="3"/>
    <x v="5"/>
    <x v="67"/>
    <x v="0"/>
    <x v="2"/>
    <n v="0"/>
  </r>
  <r>
    <x v="0"/>
    <x v="1"/>
    <x v="3"/>
    <x v="5"/>
    <x v="67"/>
    <x v="0"/>
    <x v="3"/>
    <n v="0"/>
  </r>
  <r>
    <x v="0"/>
    <x v="1"/>
    <x v="3"/>
    <x v="5"/>
    <x v="67"/>
    <x v="0"/>
    <x v="4"/>
    <n v="0"/>
  </r>
  <r>
    <x v="0"/>
    <x v="1"/>
    <x v="3"/>
    <x v="5"/>
    <x v="67"/>
    <x v="0"/>
    <x v="5"/>
    <n v="0"/>
  </r>
  <r>
    <x v="0"/>
    <x v="1"/>
    <x v="3"/>
    <x v="5"/>
    <x v="67"/>
    <x v="0"/>
    <x v="6"/>
    <n v="0"/>
  </r>
  <r>
    <x v="0"/>
    <x v="1"/>
    <x v="3"/>
    <x v="5"/>
    <x v="68"/>
    <x v="0"/>
    <x v="0"/>
    <n v="0"/>
  </r>
  <r>
    <x v="0"/>
    <x v="1"/>
    <x v="3"/>
    <x v="5"/>
    <x v="68"/>
    <x v="0"/>
    <x v="1"/>
    <n v="0"/>
  </r>
  <r>
    <x v="0"/>
    <x v="1"/>
    <x v="3"/>
    <x v="5"/>
    <x v="68"/>
    <x v="0"/>
    <x v="2"/>
    <n v="0"/>
  </r>
  <r>
    <x v="0"/>
    <x v="1"/>
    <x v="3"/>
    <x v="5"/>
    <x v="68"/>
    <x v="0"/>
    <x v="3"/>
    <n v="0"/>
  </r>
  <r>
    <x v="0"/>
    <x v="1"/>
    <x v="3"/>
    <x v="5"/>
    <x v="68"/>
    <x v="0"/>
    <x v="4"/>
    <n v="0"/>
  </r>
  <r>
    <x v="0"/>
    <x v="1"/>
    <x v="3"/>
    <x v="5"/>
    <x v="68"/>
    <x v="0"/>
    <x v="5"/>
    <n v="0"/>
  </r>
  <r>
    <x v="0"/>
    <x v="1"/>
    <x v="3"/>
    <x v="5"/>
    <x v="68"/>
    <x v="0"/>
    <x v="6"/>
    <n v="0"/>
  </r>
  <r>
    <x v="0"/>
    <x v="1"/>
    <x v="3"/>
    <x v="5"/>
    <x v="69"/>
    <x v="0"/>
    <x v="0"/>
    <n v="1.7640953039407672E-2"/>
  </r>
  <r>
    <x v="0"/>
    <x v="1"/>
    <x v="3"/>
    <x v="5"/>
    <x v="69"/>
    <x v="0"/>
    <x v="1"/>
    <n v="8.2314214775910735E-2"/>
  </r>
  <r>
    <x v="0"/>
    <x v="1"/>
    <x v="3"/>
    <x v="5"/>
    <x v="69"/>
    <x v="0"/>
    <x v="2"/>
    <n v="0.32150707989249139"/>
  </r>
  <r>
    <x v="0"/>
    <x v="1"/>
    <x v="3"/>
    <x v="5"/>
    <x v="69"/>
    <x v="0"/>
    <x v="3"/>
    <n v="1.1852129653600909"/>
  </r>
  <r>
    <x v="0"/>
    <x v="1"/>
    <x v="3"/>
    <x v="5"/>
    <x v="69"/>
    <x v="0"/>
    <x v="4"/>
    <n v="4.4230998408377546"/>
  </r>
  <r>
    <x v="0"/>
    <x v="1"/>
    <x v="3"/>
    <x v="5"/>
    <x v="69"/>
    <x v="0"/>
    <x v="5"/>
    <n v="6.6801383094476758"/>
  </r>
  <r>
    <x v="0"/>
    <x v="1"/>
    <x v="3"/>
    <x v="5"/>
    <x v="69"/>
    <x v="0"/>
    <x v="6"/>
    <n v="8.9658367459497565"/>
  </r>
  <r>
    <x v="0"/>
    <x v="1"/>
    <x v="3"/>
    <x v="5"/>
    <x v="70"/>
    <x v="0"/>
    <x v="0"/>
    <n v="0"/>
  </r>
  <r>
    <x v="0"/>
    <x v="1"/>
    <x v="3"/>
    <x v="5"/>
    <x v="70"/>
    <x v="0"/>
    <x v="1"/>
    <n v="0"/>
  </r>
  <r>
    <x v="0"/>
    <x v="1"/>
    <x v="3"/>
    <x v="5"/>
    <x v="70"/>
    <x v="0"/>
    <x v="2"/>
    <n v="0"/>
  </r>
  <r>
    <x v="0"/>
    <x v="1"/>
    <x v="3"/>
    <x v="5"/>
    <x v="70"/>
    <x v="0"/>
    <x v="3"/>
    <n v="0"/>
  </r>
  <r>
    <x v="0"/>
    <x v="1"/>
    <x v="3"/>
    <x v="5"/>
    <x v="70"/>
    <x v="0"/>
    <x v="4"/>
    <n v="0"/>
  </r>
  <r>
    <x v="0"/>
    <x v="1"/>
    <x v="3"/>
    <x v="5"/>
    <x v="70"/>
    <x v="0"/>
    <x v="5"/>
    <n v="0"/>
  </r>
  <r>
    <x v="0"/>
    <x v="1"/>
    <x v="3"/>
    <x v="5"/>
    <x v="70"/>
    <x v="0"/>
    <x v="6"/>
    <n v="0"/>
  </r>
  <r>
    <x v="0"/>
    <x v="1"/>
    <x v="3"/>
    <x v="5"/>
    <x v="71"/>
    <x v="0"/>
    <x v="0"/>
    <n v="5.1791462833903896E-4"/>
  </r>
  <r>
    <x v="0"/>
    <x v="1"/>
    <x v="3"/>
    <x v="5"/>
    <x v="71"/>
    <x v="0"/>
    <x v="1"/>
    <n v="1.8055622302533354E-3"/>
  </r>
  <r>
    <x v="0"/>
    <x v="1"/>
    <x v="3"/>
    <x v="5"/>
    <x v="71"/>
    <x v="0"/>
    <x v="2"/>
    <n v="5.6172158740774207E-3"/>
  </r>
  <r>
    <x v="0"/>
    <x v="1"/>
    <x v="3"/>
    <x v="5"/>
    <x v="71"/>
    <x v="0"/>
    <x v="3"/>
    <n v="1.4575047594664943E-2"/>
  </r>
  <r>
    <x v="0"/>
    <x v="1"/>
    <x v="3"/>
    <x v="5"/>
    <x v="71"/>
    <x v="0"/>
    <x v="4"/>
    <n v="4.0552645053970042E-2"/>
  </r>
  <r>
    <x v="0"/>
    <x v="1"/>
    <x v="3"/>
    <x v="5"/>
    <x v="71"/>
    <x v="0"/>
    <x v="5"/>
    <n v="8.050526435367128E-2"/>
  </r>
  <r>
    <x v="0"/>
    <x v="1"/>
    <x v="3"/>
    <x v="5"/>
    <x v="71"/>
    <x v="0"/>
    <x v="6"/>
    <n v="0.32113905753533389"/>
  </r>
  <r>
    <x v="0"/>
    <x v="1"/>
    <x v="3"/>
    <x v="5"/>
    <x v="72"/>
    <x v="0"/>
    <x v="0"/>
    <n v="0"/>
  </r>
  <r>
    <x v="0"/>
    <x v="1"/>
    <x v="3"/>
    <x v="5"/>
    <x v="72"/>
    <x v="0"/>
    <x v="1"/>
    <n v="0"/>
  </r>
  <r>
    <x v="0"/>
    <x v="1"/>
    <x v="3"/>
    <x v="5"/>
    <x v="72"/>
    <x v="0"/>
    <x v="2"/>
    <n v="0"/>
  </r>
  <r>
    <x v="0"/>
    <x v="1"/>
    <x v="3"/>
    <x v="5"/>
    <x v="72"/>
    <x v="0"/>
    <x v="3"/>
    <n v="0"/>
  </r>
  <r>
    <x v="0"/>
    <x v="1"/>
    <x v="3"/>
    <x v="5"/>
    <x v="72"/>
    <x v="0"/>
    <x v="4"/>
    <n v="0"/>
  </r>
  <r>
    <x v="0"/>
    <x v="1"/>
    <x v="3"/>
    <x v="5"/>
    <x v="72"/>
    <x v="0"/>
    <x v="5"/>
    <n v="0"/>
  </r>
  <r>
    <x v="0"/>
    <x v="1"/>
    <x v="3"/>
    <x v="5"/>
    <x v="72"/>
    <x v="0"/>
    <x v="6"/>
    <n v="0"/>
  </r>
  <r>
    <x v="0"/>
    <x v="1"/>
    <x v="3"/>
    <x v="5"/>
    <x v="73"/>
    <x v="0"/>
    <x v="0"/>
    <n v="1.5209462921790557E-3"/>
  </r>
  <r>
    <x v="0"/>
    <x v="1"/>
    <x v="3"/>
    <x v="5"/>
    <x v="73"/>
    <x v="0"/>
    <x v="1"/>
    <n v="6.0766848092994163E-3"/>
  </r>
  <r>
    <x v="0"/>
    <x v="1"/>
    <x v="3"/>
    <x v="5"/>
    <x v="73"/>
    <x v="0"/>
    <x v="2"/>
    <n v="2.1348095121763069E-2"/>
  </r>
  <r>
    <x v="0"/>
    <x v="1"/>
    <x v="3"/>
    <x v="5"/>
    <x v="73"/>
    <x v="0"/>
    <x v="3"/>
    <n v="7.2231775477124421E-2"/>
  </r>
  <r>
    <x v="0"/>
    <x v="1"/>
    <x v="3"/>
    <x v="5"/>
    <x v="73"/>
    <x v="0"/>
    <x v="4"/>
    <n v="0.24890254409504892"/>
  </r>
  <r>
    <x v="0"/>
    <x v="1"/>
    <x v="3"/>
    <x v="5"/>
    <x v="73"/>
    <x v="0"/>
    <x v="5"/>
    <n v="0.36531677658350337"/>
  </r>
  <r>
    <x v="0"/>
    <x v="1"/>
    <x v="3"/>
    <x v="5"/>
    <x v="73"/>
    <x v="0"/>
    <x v="6"/>
    <n v="0.4586233450422626"/>
  </r>
  <r>
    <x v="0"/>
    <x v="1"/>
    <x v="5"/>
    <x v="8"/>
    <x v="74"/>
    <x v="0"/>
    <x v="0"/>
    <n v="0.17523909182807282"/>
  </r>
  <r>
    <x v="0"/>
    <x v="1"/>
    <x v="5"/>
    <x v="8"/>
    <x v="74"/>
    <x v="0"/>
    <x v="1"/>
    <n v="0.4453874800260561"/>
  </r>
  <r>
    <x v="0"/>
    <x v="1"/>
    <x v="5"/>
    <x v="8"/>
    <x v="74"/>
    <x v="0"/>
    <x v="2"/>
    <n v="1.050781015729128"/>
  </r>
  <r>
    <x v="0"/>
    <x v="1"/>
    <x v="5"/>
    <x v="8"/>
    <x v="74"/>
    <x v="0"/>
    <x v="3"/>
    <n v="2.3575699184897614"/>
  </r>
  <r>
    <x v="0"/>
    <x v="1"/>
    <x v="5"/>
    <x v="8"/>
    <x v="74"/>
    <x v="0"/>
    <x v="4"/>
    <n v="4.6382514911629036"/>
  </r>
  <r>
    <x v="0"/>
    <x v="1"/>
    <x v="5"/>
    <x v="8"/>
    <x v="74"/>
    <x v="0"/>
    <x v="5"/>
    <n v="9.1623600400796708"/>
  </r>
  <r>
    <x v="0"/>
    <x v="1"/>
    <x v="5"/>
    <x v="8"/>
    <x v="74"/>
    <x v="0"/>
    <x v="6"/>
    <n v="15.284048023714851"/>
  </r>
  <r>
    <x v="0"/>
    <x v="1"/>
    <x v="5"/>
    <x v="8"/>
    <x v="75"/>
    <x v="0"/>
    <x v="0"/>
    <n v="9.7194384833359369"/>
  </r>
  <r>
    <x v="0"/>
    <x v="1"/>
    <x v="5"/>
    <x v="8"/>
    <x v="75"/>
    <x v="0"/>
    <x v="1"/>
    <n v="20.854555631206605"/>
  </r>
  <r>
    <x v="0"/>
    <x v="1"/>
    <x v="5"/>
    <x v="8"/>
    <x v="75"/>
    <x v="0"/>
    <x v="2"/>
    <n v="38.499020969000966"/>
  </r>
  <r>
    <x v="0"/>
    <x v="1"/>
    <x v="5"/>
    <x v="8"/>
    <x v="75"/>
    <x v="0"/>
    <x v="3"/>
    <n v="70.518117910009252"/>
  </r>
  <r>
    <x v="0"/>
    <x v="1"/>
    <x v="5"/>
    <x v="8"/>
    <x v="75"/>
    <x v="0"/>
    <x v="4"/>
    <n v="133.13068553609853"/>
  </r>
  <r>
    <x v="0"/>
    <x v="1"/>
    <x v="5"/>
    <x v="8"/>
    <x v="75"/>
    <x v="0"/>
    <x v="5"/>
    <n v="194.30504331601526"/>
  </r>
  <r>
    <x v="0"/>
    <x v="1"/>
    <x v="5"/>
    <x v="8"/>
    <x v="75"/>
    <x v="0"/>
    <x v="6"/>
    <n v="262.92071043497646"/>
  </r>
  <r>
    <x v="0"/>
    <x v="1"/>
    <x v="5"/>
    <x v="8"/>
    <x v="76"/>
    <x v="0"/>
    <x v="0"/>
    <n v="8.8781179228961032E-2"/>
  </r>
  <r>
    <x v="0"/>
    <x v="1"/>
    <x v="5"/>
    <x v="8"/>
    <x v="76"/>
    <x v="0"/>
    <x v="1"/>
    <n v="0.25118064846222432"/>
  </r>
  <r>
    <x v="0"/>
    <x v="1"/>
    <x v="5"/>
    <x v="8"/>
    <x v="76"/>
    <x v="0"/>
    <x v="2"/>
    <n v="0.60499884651108005"/>
  </r>
  <r>
    <x v="0"/>
    <x v="1"/>
    <x v="5"/>
    <x v="8"/>
    <x v="76"/>
    <x v="0"/>
    <x v="3"/>
    <n v="1.4628419158709325"/>
  </r>
  <r>
    <x v="0"/>
    <x v="1"/>
    <x v="5"/>
    <x v="8"/>
    <x v="76"/>
    <x v="0"/>
    <x v="4"/>
    <n v="2.8971917725881742"/>
  </r>
  <r>
    <x v="0"/>
    <x v="1"/>
    <x v="5"/>
    <x v="8"/>
    <x v="76"/>
    <x v="0"/>
    <x v="5"/>
    <n v="5.8299374632155443"/>
  </r>
  <r>
    <x v="0"/>
    <x v="1"/>
    <x v="5"/>
    <x v="8"/>
    <x v="76"/>
    <x v="0"/>
    <x v="6"/>
    <n v="11.078291168092758"/>
  </r>
  <r>
    <x v="0"/>
    <x v="1"/>
    <x v="5"/>
    <x v="8"/>
    <x v="77"/>
    <x v="0"/>
    <x v="0"/>
    <n v="0"/>
  </r>
  <r>
    <x v="0"/>
    <x v="1"/>
    <x v="5"/>
    <x v="8"/>
    <x v="77"/>
    <x v="0"/>
    <x v="1"/>
    <n v="0"/>
  </r>
  <r>
    <x v="0"/>
    <x v="1"/>
    <x v="5"/>
    <x v="8"/>
    <x v="77"/>
    <x v="0"/>
    <x v="2"/>
    <n v="0"/>
  </r>
  <r>
    <x v="0"/>
    <x v="1"/>
    <x v="5"/>
    <x v="8"/>
    <x v="77"/>
    <x v="0"/>
    <x v="3"/>
    <n v="0"/>
  </r>
  <r>
    <x v="0"/>
    <x v="1"/>
    <x v="5"/>
    <x v="8"/>
    <x v="77"/>
    <x v="0"/>
    <x v="4"/>
    <n v="0"/>
  </r>
  <r>
    <x v="0"/>
    <x v="1"/>
    <x v="5"/>
    <x v="8"/>
    <x v="77"/>
    <x v="0"/>
    <x v="5"/>
    <n v="0"/>
  </r>
  <r>
    <x v="0"/>
    <x v="1"/>
    <x v="5"/>
    <x v="8"/>
    <x v="77"/>
    <x v="0"/>
    <x v="6"/>
    <n v="0"/>
  </r>
  <r>
    <x v="0"/>
    <x v="1"/>
    <x v="5"/>
    <x v="8"/>
    <x v="78"/>
    <x v="0"/>
    <x v="0"/>
    <n v="0.91047912811920417"/>
  </r>
  <r>
    <x v="0"/>
    <x v="1"/>
    <x v="5"/>
    <x v="8"/>
    <x v="78"/>
    <x v="0"/>
    <x v="1"/>
    <n v="2.3704063661375376"/>
  </r>
  <r>
    <x v="0"/>
    <x v="1"/>
    <x v="5"/>
    <x v="8"/>
    <x v="78"/>
    <x v="0"/>
    <x v="2"/>
    <n v="3.9499335755954141"/>
  </r>
  <r>
    <x v="0"/>
    <x v="1"/>
    <x v="5"/>
    <x v="8"/>
    <x v="78"/>
    <x v="0"/>
    <x v="3"/>
    <n v="6.8653813892867639"/>
  </r>
  <r>
    <x v="0"/>
    <x v="1"/>
    <x v="5"/>
    <x v="8"/>
    <x v="78"/>
    <x v="0"/>
    <x v="4"/>
    <n v="9.5280805397947717"/>
  </r>
  <r>
    <x v="0"/>
    <x v="1"/>
    <x v="5"/>
    <x v="8"/>
    <x v="78"/>
    <x v="0"/>
    <x v="5"/>
    <n v="14.542269376104747"/>
  </r>
  <r>
    <x v="0"/>
    <x v="1"/>
    <x v="5"/>
    <x v="8"/>
    <x v="78"/>
    <x v="0"/>
    <x v="6"/>
    <n v="21.45371834942366"/>
  </r>
  <r>
    <x v="0"/>
    <x v="1"/>
    <x v="5"/>
    <x v="8"/>
    <x v="79"/>
    <x v="0"/>
    <x v="0"/>
    <n v="5.41920788322462E-2"/>
  </r>
  <r>
    <x v="0"/>
    <x v="1"/>
    <x v="5"/>
    <x v="8"/>
    <x v="79"/>
    <x v="0"/>
    <x v="1"/>
    <n v="0.17231959935017274"/>
  </r>
  <r>
    <x v="0"/>
    <x v="1"/>
    <x v="5"/>
    <x v="8"/>
    <x v="79"/>
    <x v="0"/>
    <x v="2"/>
    <n v="0.35748402750089819"/>
  </r>
  <r>
    <x v="0"/>
    <x v="1"/>
    <x v="5"/>
    <x v="8"/>
    <x v="79"/>
    <x v="0"/>
    <x v="3"/>
    <n v="0.78795306586407199"/>
  </r>
  <r>
    <x v="0"/>
    <x v="1"/>
    <x v="5"/>
    <x v="8"/>
    <x v="79"/>
    <x v="0"/>
    <x v="4"/>
    <n v="1.5063826618975633"/>
  </r>
  <r>
    <x v="0"/>
    <x v="1"/>
    <x v="5"/>
    <x v="8"/>
    <x v="79"/>
    <x v="0"/>
    <x v="5"/>
    <n v="2.8729162275866456"/>
  </r>
  <r>
    <x v="0"/>
    <x v="1"/>
    <x v="5"/>
    <x v="8"/>
    <x v="79"/>
    <x v="0"/>
    <x v="6"/>
    <n v="4.3251649757996358"/>
  </r>
  <r>
    <x v="0"/>
    <x v="1"/>
    <x v="5"/>
    <x v="8"/>
    <x v="80"/>
    <x v="0"/>
    <x v="0"/>
    <n v="2.5068032587873105E-2"/>
  </r>
  <r>
    <x v="0"/>
    <x v="1"/>
    <x v="5"/>
    <x v="8"/>
    <x v="80"/>
    <x v="0"/>
    <x v="1"/>
    <n v="7.7818929303772141E-2"/>
  </r>
  <r>
    <x v="0"/>
    <x v="1"/>
    <x v="5"/>
    <x v="8"/>
    <x v="80"/>
    <x v="0"/>
    <x v="2"/>
    <n v="0.16972018962594848"/>
  </r>
  <r>
    <x v="0"/>
    <x v="1"/>
    <x v="5"/>
    <x v="8"/>
    <x v="80"/>
    <x v="0"/>
    <x v="3"/>
    <n v="0.37061378372625425"/>
  </r>
  <r>
    <x v="0"/>
    <x v="1"/>
    <x v="5"/>
    <x v="8"/>
    <x v="80"/>
    <x v="0"/>
    <x v="4"/>
    <n v="0.6519869790399212"/>
  </r>
  <r>
    <x v="0"/>
    <x v="1"/>
    <x v="5"/>
    <x v="8"/>
    <x v="80"/>
    <x v="0"/>
    <x v="5"/>
    <n v="0.93590475404758744"/>
  </r>
  <r>
    <x v="0"/>
    <x v="1"/>
    <x v="5"/>
    <x v="8"/>
    <x v="80"/>
    <x v="0"/>
    <x v="6"/>
    <n v="1.2141845289939026"/>
  </r>
  <r>
    <x v="0"/>
    <x v="1"/>
    <x v="5"/>
    <x v="8"/>
    <x v="81"/>
    <x v="0"/>
    <x v="0"/>
    <n v="0.33237733298531263"/>
  </r>
  <r>
    <x v="0"/>
    <x v="1"/>
    <x v="5"/>
    <x v="8"/>
    <x v="81"/>
    <x v="0"/>
    <x v="1"/>
    <n v="0.72663924675742353"/>
  </r>
  <r>
    <x v="0"/>
    <x v="1"/>
    <x v="5"/>
    <x v="8"/>
    <x v="81"/>
    <x v="0"/>
    <x v="2"/>
    <n v="1.2096834686270146"/>
  </r>
  <r>
    <x v="0"/>
    <x v="1"/>
    <x v="5"/>
    <x v="8"/>
    <x v="81"/>
    <x v="0"/>
    <x v="3"/>
    <n v="1.9320440699397081"/>
  </r>
  <r>
    <x v="0"/>
    <x v="1"/>
    <x v="5"/>
    <x v="8"/>
    <x v="81"/>
    <x v="0"/>
    <x v="4"/>
    <n v="2.5993416691400366"/>
  </r>
  <r>
    <x v="0"/>
    <x v="1"/>
    <x v="5"/>
    <x v="8"/>
    <x v="81"/>
    <x v="0"/>
    <x v="5"/>
    <n v="3.8677865802812428"/>
  </r>
  <r>
    <x v="0"/>
    <x v="1"/>
    <x v="5"/>
    <x v="8"/>
    <x v="81"/>
    <x v="0"/>
    <x v="6"/>
    <n v="5.4806391689526812"/>
  </r>
  <r>
    <x v="0"/>
    <x v="1"/>
    <x v="5"/>
    <x v="8"/>
    <x v="82"/>
    <x v="0"/>
    <x v="0"/>
    <n v="3.0321087756131577"/>
  </r>
  <r>
    <x v="0"/>
    <x v="1"/>
    <x v="5"/>
    <x v="8"/>
    <x v="82"/>
    <x v="0"/>
    <x v="1"/>
    <n v="6.9245589376225114"/>
  </r>
  <r>
    <x v="0"/>
    <x v="1"/>
    <x v="5"/>
    <x v="8"/>
    <x v="82"/>
    <x v="0"/>
    <x v="2"/>
    <n v="13.053056874842857"/>
  </r>
  <r>
    <x v="0"/>
    <x v="1"/>
    <x v="5"/>
    <x v="8"/>
    <x v="82"/>
    <x v="0"/>
    <x v="3"/>
    <n v="22.753246322038024"/>
  </r>
  <r>
    <x v="0"/>
    <x v="1"/>
    <x v="5"/>
    <x v="8"/>
    <x v="82"/>
    <x v="0"/>
    <x v="4"/>
    <n v="41.258280423718816"/>
  </r>
  <r>
    <x v="0"/>
    <x v="1"/>
    <x v="5"/>
    <x v="8"/>
    <x v="82"/>
    <x v="0"/>
    <x v="5"/>
    <n v="63.054708471743254"/>
  </r>
  <r>
    <x v="0"/>
    <x v="1"/>
    <x v="5"/>
    <x v="8"/>
    <x v="82"/>
    <x v="0"/>
    <x v="6"/>
    <n v="79.373136648359235"/>
  </r>
  <r>
    <x v="0"/>
    <x v="1"/>
    <x v="5"/>
    <x v="8"/>
    <x v="83"/>
    <x v="0"/>
    <x v="0"/>
    <n v="0.45977216198691317"/>
  </r>
  <r>
    <x v="0"/>
    <x v="1"/>
    <x v="5"/>
    <x v="8"/>
    <x v="83"/>
    <x v="0"/>
    <x v="1"/>
    <n v="1.1918413072892757"/>
  </r>
  <r>
    <x v="0"/>
    <x v="1"/>
    <x v="5"/>
    <x v="8"/>
    <x v="83"/>
    <x v="0"/>
    <x v="2"/>
    <n v="2.1275120442411635"/>
  </r>
  <r>
    <x v="0"/>
    <x v="1"/>
    <x v="5"/>
    <x v="8"/>
    <x v="83"/>
    <x v="0"/>
    <x v="3"/>
    <n v="3.5650243196319327"/>
  </r>
  <r>
    <x v="0"/>
    <x v="1"/>
    <x v="5"/>
    <x v="8"/>
    <x v="83"/>
    <x v="0"/>
    <x v="4"/>
    <n v="5.0415845368768721"/>
  </r>
  <r>
    <x v="0"/>
    <x v="1"/>
    <x v="5"/>
    <x v="8"/>
    <x v="83"/>
    <x v="0"/>
    <x v="5"/>
    <n v="6.2532084083369766"/>
  </r>
  <r>
    <x v="0"/>
    <x v="1"/>
    <x v="5"/>
    <x v="8"/>
    <x v="83"/>
    <x v="0"/>
    <x v="6"/>
    <n v="7.3659776296740045"/>
  </r>
  <r>
    <x v="0"/>
    <x v="2"/>
    <x v="0"/>
    <x v="0"/>
    <x v="0"/>
    <x v="0"/>
    <x v="0"/>
    <n v="0"/>
  </r>
  <r>
    <x v="0"/>
    <x v="2"/>
    <x v="0"/>
    <x v="0"/>
    <x v="0"/>
    <x v="0"/>
    <x v="1"/>
    <n v="0"/>
  </r>
  <r>
    <x v="0"/>
    <x v="2"/>
    <x v="0"/>
    <x v="0"/>
    <x v="0"/>
    <x v="0"/>
    <x v="2"/>
    <n v="0"/>
  </r>
  <r>
    <x v="0"/>
    <x v="2"/>
    <x v="0"/>
    <x v="0"/>
    <x v="0"/>
    <x v="0"/>
    <x v="3"/>
    <n v="0"/>
  </r>
  <r>
    <x v="0"/>
    <x v="2"/>
    <x v="0"/>
    <x v="0"/>
    <x v="0"/>
    <x v="0"/>
    <x v="4"/>
    <n v="0"/>
  </r>
  <r>
    <x v="0"/>
    <x v="2"/>
    <x v="0"/>
    <x v="0"/>
    <x v="0"/>
    <x v="0"/>
    <x v="5"/>
    <n v="0"/>
  </r>
  <r>
    <x v="0"/>
    <x v="2"/>
    <x v="0"/>
    <x v="0"/>
    <x v="0"/>
    <x v="0"/>
    <x v="6"/>
    <n v="0"/>
  </r>
  <r>
    <x v="0"/>
    <x v="2"/>
    <x v="0"/>
    <x v="1"/>
    <x v="1"/>
    <x v="0"/>
    <x v="0"/>
    <n v="0"/>
  </r>
  <r>
    <x v="0"/>
    <x v="2"/>
    <x v="0"/>
    <x v="1"/>
    <x v="1"/>
    <x v="0"/>
    <x v="1"/>
    <n v="0"/>
  </r>
  <r>
    <x v="0"/>
    <x v="2"/>
    <x v="0"/>
    <x v="1"/>
    <x v="1"/>
    <x v="0"/>
    <x v="2"/>
    <n v="0"/>
  </r>
  <r>
    <x v="0"/>
    <x v="2"/>
    <x v="0"/>
    <x v="1"/>
    <x v="1"/>
    <x v="0"/>
    <x v="3"/>
    <n v="0"/>
  </r>
  <r>
    <x v="0"/>
    <x v="2"/>
    <x v="0"/>
    <x v="1"/>
    <x v="1"/>
    <x v="0"/>
    <x v="4"/>
    <n v="0"/>
  </r>
  <r>
    <x v="0"/>
    <x v="2"/>
    <x v="0"/>
    <x v="1"/>
    <x v="1"/>
    <x v="0"/>
    <x v="5"/>
    <n v="0"/>
  </r>
  <r>
    <x v="0"/>
    <x v="2"/>
    <x v="0"/>
    <x v="1"/>
    <x v="1"/>
    <x v="0"/>
    <x v="6"/>
    <n v="0"/>
  </r>
  <r>
    <x v="0"/>
    <x v="2"/>
    <x v="0"/>
    <x v="1"/>
    <x v="2"/>
    <x v="0"/>
    <x v="0"/>
    <n v="0"/>
  </r>
  <r>
    <x v="0"/>
    <x v="2"/>
    <x v="0"/>
    <x v="1"/>
    <x v="2"/>
    <x v="0"/>
    <x v="1"/>
    <n v="0"/>
  </r>
  <r>
    <x v="0"/>
    <x v="2"/>
    <x v="0"/>
    <x v="1"/>
    <x v="2"/>
    <x v="0"/>
    <x v="2"/>
    <n v="0"/>
  </r>
  <r>
    <x v="0"/>
    <x v="2"/>
    <x v="0"/>
    <x v="1"/>
    <x v="2"/>
    <x v="0"/>
    <x v="3"/>
    <n v="0"/>
  </r>
  <r>
    <x v="0"/>
    <x v="2"/>
    <x v="0"/>
    <x v="1"/>
    <x v="2"/>
    <x v="0"/>
    <x v="4"/>
    <n v="0"/>
  </r>
  <r>
    <x v="0"/>
    <x v="2"/>
    <x v="0"/>
    <x v="1"/>
    <x v="2"/>
    <x v="0"/>
    <x v="5"/>
    <n v="0"/>
  </r>
  <r>
    <x v="0"/>
    <x v="2"/>
    <x v="0"/>
    <x v="1"/>
    <x v="2"/>
    <x v="0"/>
    <x v="6"/>
    <n v="0"/>
  </r>
  <r>
    <x v="0"/>
    <x v="2"/>
    <x v="0"/>
    <x v="1"/>
    <x v="3"/>
    <x v="0"/>
    <x v="0"/>
    <n v="0"/>
  </r>
  <r>
    <x v="0"/>
    <x v="2"/>
    <x v="0"/>
    <x v="1"/>
    <x v="3"/>
    <x v="0"/>
    <x v="1"/>
    <n v="0"/>
  </r>
  <r>
    <x v="0"/>
    <x v="2"/>
    <x v="0"/>
    <x v="1"/>
    <x v="3"/>
    <x v="0"/>
    <x v="2"/>
    <n v="0"/>
  </r>
  <r>
    <x v="0"/>
    <x v="2"/>
    <x v="0"/>
    <x v="1"/>
    <x v="3"/>
    <x v="0"/>
    <x v="3"/>
    <n v="0"/>
  </r>
  <r>
    <x v="0"/>
    <x v="2"/>
    <x v="0"/>
    <x v="1"/>
    <x v="3"/>
    <x v="0"/>
    <x v="4"/>
    <n v="0"/>
  </r>
  <r>
    <x v="0"/>
    <x v="2"/>
    <x v="0"/>
    <x v="1"/>
    <x v="3"/>
    <x v="0"/>
    <x v="5"/>
    <n v="0"/>
  </r>
  <r>
    <x v="0"/>
    <x v="2"/>
    <x v="0"/>
    <x v="1"/>
    <x v="3"/>
    <x v="0"/>
    <x v="6"/>
    <n v="0"/>
  </r>
  <r>
    <x v="0"/>
    <x v="2"/>
    <x v="0"/>
    <x v="1"/>
    <x v="4"/>
    <x v="0"/>
    <x v="0"/>
    <n v="0"/>
  </r>
  <r>
    <x v="0"/>
    <x v="2"/>
    <x v="0"/>
    <x v="1"/>
    <x v="4"/>
    <x v="0"/>
    <x v="1"/>
    <n v="0"/>
  </r>
  <r>
    <x v="0"/>
    <x v="2"/>
    <x v="0"/>
    <x v="1"/>
    <x v="4"/>
    <x v="0"/>
    <x v="2"/>
    <n v="0"/>
  </r>
  <r>
    <x v="0"/>
    <x v="2"/>
    <x v="0"/>
    <x v="1"/>
    <x v="4"/>
    <x v="0"/>
    <x v="3"/>
    <n v="0"/>
  </r>
  <r>
    <x v="0"/>
    <x v="2"/>
    <x v="0"/>
    <x v="1"/>
    <x v="4"/>
    <x v="0"/>
    <x v="4"/>
    <n v="0"/>
  </r>
  <r>
    <x v="0"/>
    <x v="2"/>
    <x v="0"/>
    <x v="1"/>
    <x v="4"/>
    <x v="0"/>
    <x v="5"/>
    <n v="0"/>
  </r>
  <r>
    <x v="0"/>
    <x v="2"/>
    <x v="0"/>
    <x v="1"/>
    <x v="4"/>
    <x v="0"/>
    <x v="6"/>
    <n v="0"/>
  </r>
  <r>
    <x v="0"/>
    <x v="2"/>
    <x v="0"/>
    <x v="1"/>
    <x v="5"/>
    <x v="0"/>
    <x v="0"/>
    <n v="0"/>
  </r>
  <r>
    <x v="0"/>
    <x v="2"/>
    <x v="0"/>
    <x v="1"/>
    <x v="5"/>
    <x v="0"/>
    <x v="1"/>
    <n v="0"/>
  </r>
  <r>
    <x v="0"/>
    <x v="2"/>
    <x v="0"/>
    <x v="1"/>
    <x v="5"/>
    <x v="0"/>
    <x v="2"/>
    <n v="0"/>
  </r>
  <r>
    <x v="0"/>
    <x v="2"/>
    <x v="0"/>
    <x v="1"/>
    <x v="5"/>
    <x v="0"/>
    <x v="3"/>
    <n v="0"/>
  </r>
  <r>
    <x v="0"/>
    <x v="2"/>
    <x v="0"/>
    <x v="1"/>
    <x v="5"/>
    <x v="0"/>
    <x v="4"/>
    <n v="0"/>
  </r>
  <r>
    <x v="0"/>
    <x v="2"/>
    <x v="0"/>
    <x v="1"/>
    <x v="5"/>
    <x v="0"/>
    <x v="5"/>
    <n v="0"/>
  </r>
  <r>
    <x v="0"/>
    <x v="2"/>
    <x v="0"/>
    <x v="1"/>
    <x v="5"/>
    <x v="0"/>
    <x v="6"/>
    <n v="0"/>
  </r>
  <r>
    <x v="0"/>
    <x v="2"/>
    <x v="0"/>
    <x v="1"/>
    <x v="6"/>
    <x v="0"/>
    <x v="0"/>
    <n v="0"/>
  </r>
  <r>
    <x v="0"/>
    <x v="2"/>
    <x v="0"/>
    <x v="1"/>
    <x v="6"/>
    <x v="0"/>
    <x v="1"/>
    <n v="0"/>
  </r>
  <r>
    <x v="0"/>
    <x v="2"/>
    <x v="0"/>
    <x v="1"/>
    <x v="6"/>
    <x v="0"/>
    <x v="2"/>
    <n v="0"/>
  </r>
  <r>
    <x v="0"/>
    <x v="2"/>
    <x v="0"/>
    <x v="1"/>
    <x v="6"/>
    <x v="0"/>
    <x v="3"/>
    <n v="0"/>
  </r>
  <r>
    <x v="0"/>
    <x v="2"/>
    <x v="0"/>
    <x v="1"/>
    <x v="6"/>
    <x v="0"/>
    <x v="4"/>
    <n v="0"/>
  </r>
  <r>
    <x v="0"/>
    <x v="2"/>
    <x v="0"/>
    <x v="1"/>
    <x v="6"/>
    <x v="0"/>
    <x v="5"/>
    <n v="0"/>
  </r>
  <r>
    <x v="0"/>
    <x v="2"/>
    <x v="0"/>
    <x v="1"/>
    <x v="6"/>
    <x v="0"/>
    <x v="6"/>
    <n v="0"/>
  </r>
  <r>
    <x v="0"/>
    <x v="2"/>
    <x v="0"/>
    <x v="1"/>
    <x v="7"/>
    <x v="0"/>
    <x v="0"/>
    <n v="0"/>
  </r>
  <r>
    <x v="0"/>
    <x v="2"/>
    <x v="0"/>
    <x v="1"/>
    <x v="7"/>
    <x v="0"/>
    <x v="1"/>
    <n v="0"/>
  </r>
  <r>
    <x v="0"/>
    <x v="2"/>
    <x v="0"/>
    <x v="1"/>
    <x v="7"/>
    <x v="0"/>
    <x v="2"/>
    <n v="0"/>
  </r>
  <r>
    <x v="0"/>
    <x v="2"/>
    <x v="0"/>
    <x v="1"/>
    <x v="7"/>
    <x v="0"/>
    <x v="3"/>
    <n v="0"/>
  </r>
  <r>
    <x v="0"/>
    <x v="2"/>
    <x v="0"/>
    <x v="1"/>
    <x v="7"/>
    <x v="0"/>
    <x v="4"/>
    <n v="0"/>
  </r>
  <r>
    <x v="0"/>
    <x v="2"/>
    <x v="0"/>
    <x v="1"/>
    <x v="7"/>
    <x v="0"/>
    <x v="5"/>
    <n v="0"/>
  </r>
  <r>
    <x v="0"/>
    <x v="2"/>
    <x v="0"/>
    <x v="1"/>
    <x v="7"/>
    <x v="0"/>
    <x v="6"/>
    <n v="0"/>
  </r>
  <r>
    <x v="0"/>
    <x v="2"/>
    <x v="0"/>
    <x v="1"/>
    <x v="8"/>
    <x v="0"/>
    <x v="0"/>
    <n v="0"/>
  </r>
  <r>
    <x v="0"/>
    <x v="2"/>
    <x v="0"/>
    <x v="1"/>
    <x v="8"/>
    <x v="0"/>
    <x v="1"/>
    <n v="0"/>
  </r>
  <r>
    <x v="0"/>
    <x v="2"/>
    <x v="0"/>
    <x v="1"/>
    <x v="8"/>
    <x v="0"/>
    <x v="2"/>
    <n v="0"/>
  </r>
  <r>
    <x v="0"/>
    <x v="2"/>
    <x v="0"/>
    <x v="1"/>
    <x v="8"/>
    <x v="0"/>
    <x v="3"/>
    <n v="0"/>
  </r>
  <r>
    <x v="0"/>
    <x v="2"/>
    <x v="0"/>
    <x v="1"/>
    <x v="8"/>
    <x v="0"/>
    <x v="4"/>
    <n v="0"/>
  </r>
  <r>
    <x v="0"/>
    <x v="2"/>
    <x v="0"/>
    <x v="1"/>
    <x v="8"/>
    <x v="0"/>
    <x v="5"/>
    <n v="0"/>
  </r>
  <r>
    <x v="0"/>
    <x v="2"/>
    <x v="0"/>
    <x v="1"/>
    <x v="8"/>
    <x v="0"/>
    <x v="6"/>
    <n v="0"/>
  </r>
  <r>
    <x v="0"/>
    <x v="2"/>
    <x v="0"/>
    <x v="1"/>
    <x v="9"/>
    <x v="0"/>
    <x v="0"/>
    <n v="0"/>
  </r>
  <r>
    <x v="0"/>
    <x v="2"/>
    <x v="0"/>
    <x v="1"/>
    <x v="9"/>
    <x v="0"/>
    <x v="1"/>
    <n v="0"/>
  </r>
  <r>
    <x v="0"/>
    <x v="2"/>
    <x v="0"/>
    <x v="1"/>
    <x v="9"/>
    <x v="0"/>
    <x v="2"/>
    <n v="0"/>
  </r>
  <r>
    <x v="0"/>
    <x v="2"/>
    <x v="0"/>
    <x v="1"/>
    <x v="9"/>
    <x v="0"/>
    <x v="3"/>
    <n v="0"/>
  </r>
  <r>
    <x v="0"/>
    <x v="2"/>
    <x v="0"/>
    <x v="1"/>
    <x v="9"/>
    <x v="0"/>
    <x v="4"/>
    <n v="0"/>
  </r>
  <r>
    <x v="0"/>
    <x v="2"/>
    <x v="0"/>
    <x v="1"/>
    <x v="9"/>
    <x v="0"/>
    <x v="5"/>
    <n v="0"/>
  </r>
  <r>
    <x v="0"/>
    <x v="2"/>
    <x v="0"/>
    <x v="1"/>
    <x v="9"/>
    <x v="0"/>
    <x v="6"/>
    <n v="0"/>
  </r>
  <r>
    <x v="0"/>
    <x v="2"/>
    <x v="0"/>
    <x v="1"/>
    <x v="10"/>
    <x v="0"/>
    <x v="0"/>
    <n v="0"/>
  </r>
  <r>
    <x v="0"/>
    <x v="2"/>
    <x v="0"/>
    <x v="1"/>
    <x v="10"/>
    <x v="0"/>
    <x v="1"/>
    <n v="0"/>
  </r>
  <r>
    <x v="0"/>
    <x v="2"/>
    <x v="0"/>
    <x v="1"/>
    <x v="10"/>
    <x v="0"/>
    <x v="2"/>
    <n v="0"/>
  </r>
  <r>
    <x v="0"/>
    <x v="2"/>
    <x v="0"/>
    <x v="1"/>
    <x v="10"/>
    <x v="0"/>
    <x v="3"/>
    <n v="0"/>
  </r>
  <r>
    <x v="0"/>
    <x v="2"/>
    <x v="0"/>
    <x v="1"/>
    <x v="10"/>
    <x v="0"/>
    <x v="4"/>
    <n v="0"/>
  </r>
  <r>
    <x v="0"/>
    <x v="2"/>
    <x v="0"/>
    <x v="1"/>
    <x v="10"/>
    <x v="0"/>
    <x v="5"/>
    <n v="0"/>
  </r>
  <r>
    <x v="0"/>
    <x v="2"/>
    <x v="0"/>
    <x v="1"/>
    <x v="10"/>
    <x v="0"/>
    <x v="6"/>
    <n v="0"/>
  </r>
  <r>
    <x v="0"/>
    <x v="2"/>
    <x v="0"/>
    <x v="0"/>
    <x v="11"/>
    <x v="0"/>
    <x v="0"/>
    <n v="0"/>
  </r>
  <r>
    <x v="0"/>
    <x v="2"/>
    <x v="0"/>
    <x v="0"/>
    <x v="11"/>
    <x v="0"/>
    <x v="1"/>
    <n v="0"/>
  </r>
  <r>
    <x v="0"/>
    <x v="2"/>
    <x v="0"/>
    <x v="0"/>
    <x v="11"/>
    <x v="0"/>
    <x v="2"/>
    <n v="0"/>
  </r>
  <r>
    <x v="0"/>
    <x v="2"/>
    <x v="0"/>
    <x v="0"/>
    <x v="11"/>
    <x v="0"/>
    <x v="3"/>
    <n v="0"/>
  </r>
  <r>
    <x v="0"/>
    <x v="2"/>
    <x v="0"/>
    <x v="0"/>
    <x v="11"/>
    <x v="0"/>
    <x v="4"/>
    <n v="0"/>
  </r>
  <r>
    <x v="0"/>
    <x v="2"/>
    <x v="0"/>
    <x v="0"/>
    <x v="11"/>
    <x v="0"/>
    <x v="5"/>
    <n v="0"/>
  </r>
  <r>
    <x v="0"/>
    <x v="2"/>
    <x v="0"/>
    <x v="0"/>
    <x v="11"/>
    <x v="0"/>
    <x v="6"/>
    <n v="0"/>
  </r>
  <r>
    <x v="0"/>
    <x v="2"/>
    <x v="0"/>
    <x v="0"/>
    <x v="12"/>
    <x v="0"/>
    <x v="0"/>
    <n v="0"/>
  </r>
  <r>
    <x v="0"/>
    <x v="2"/>
    <x v="0"/>
    <x v="0"/>
    <x v="12"/>
    <x v="0"/>
    <x v="1"/>
    <n v="0"/>
  </r>
  <r>
    <x v="0"/>
    <x v="2"/>
    <x v="0"/>
    <x v="0"/>
    <x v="12"/>
    <x v="0"/>
    <x v="2"/>
    <n v="0"/>
  </r>
  <r>
    <x v="0"/>
    <x v="2"/>
    <x v="0"/>
    <x v="0"/>
    <x v="12"/>
    <x v="0"/>
    <x v="3"/>
    <n v="0"/>
  </r>
  <r>
    <x v="0"/>
    <x v="2"/>
    <x v="0"/>
    <x v="0"/>
    <x v="12"/>
    <x v="0"/>
    <x v="4"/>
    <n v="0"/>
  </r>
  <r>
    <x v="0"/>
    <x v="2"/>
    <x v="0"/>
    <x v="0"/>
    <x v="12"/>
    <x v="0"/>
    <x v="5"/>
    <n v="0"/>
  </r>
  <r>
    <x v="0"/>
    <x v="2"/>
    <x v="0"/>
    <x v="0"/>
    <x v="12"/>
    <x v="0"/>
    <x v="6"/>
    <n v="0"/>
  </r>
  <r>
    <x v="0"/>
    <x v="2"/>
    <x v="0"/>
    <x v="0"/>
    <x v="13"/>
    <x v="0"/>
    <x v="0"/>
    <n v="0"/>
  </r>
  <r>
    <x v="0"/>
    <x v="2"/>
    <x v="0"/>
    <x v="0"/>
    <x v="13"/>
    <x v="0"/>
    <x v="1"/>
    <n v="0"/>
  </r>
  <r>
    <x v="0"/>
    <x v="2"/>
    <x v="0"/>
    <x v="0"/>
    <x v="13"/>
    <x v="0"/>
    <x v="2"/>
    <n v="0"/>
  </r>
  <r>
    <x v="0"/>
    <x v="2"/>
    <x v="0"/>
    <x v="0"/>
    <x v="13"/>
    <x v="0"/>
    <x v="3"/>
    <n v="0"/>
  </r>
  <r>
    <x v="0"/>
    <x v="2"/>
    <x v="0"/>
    <x v="0"/>
    <x v="13"/>
    <x v="0"/>
    <x v="4"/>
    <n v="0"/>
  </r>
  <r>
    <x v="0"/>
    <x v="2"/>
    <x v="0"/>
    <x v="0"/>
    <x v="13"/>
    <x v="0"/>
    <x v="5"/>
    <n v="0"/>
  </r>
  <r>
    <x v="0"/>
    <x v="2"/>
    <x v="0"/>
    <x v="0"/>
    <x v="13"/>
    <x v="0"/>
    <x v="6"/>
    <n v="0"/>
  </r>
  <r>
    <x v="0"/>
    <x v="2"/>
    <x v="0"/>
    <x v="2"/>
    <x v="14"/>
    <x v="0"/>
    <x v="0"/>
    <n v="0"/>
  </r>
  <r>
    <x v="0"/>
    <x v="2"/>
    <x v="0"/>
    <x v="2"/>
    <x v="14"/>
    <x v="0"/>
    <x v="1"/>
    <n v="0"/>
  </r>
  <r>
    <x v="0"/>
    <x v="2"/>
    <x v="0"/>
    <x v="2"/>
    <x v="14"/>
    <x v="0"/>
    <x v="2"/>
    <n v="0"/>
  </r>
  <r>
    <x v="0"/>
    <x v="2"/>
    <x v="0"/>
    <x v="2"/>
    <x v="14"/>
    <x v="0"/>
    <x v="3"/>
    <n v="0"/>
  </r>
  <r>
    <x v="0"/>
    <x v="2"/>
    <x v="0"/>
    <x v="2"/>
    <x v="14"/>
    <x v="0"/>
    <x v="4"/>
    <n v="0"/>
  </r>
  <r>
    <x v="0"/>
    <x v="2"/>
    <x v="0"/>
    <x v="2"/>
    <x v="14"/>
    <x v="0"/>
    <x v="5"/>
    <n v="0"/>
  </r>
  <r>
    <x v="0"/>
    <x v="2"/>
    <x v="0"/>
    <x v="2"/>
    <x v="14"/>
    <x v="0"/>
    <x v="6"/>
    <n v="0"/>
  </r>
  <r>
    <x v="0"/>
    <x v="2"/>
    <x v="0"/>
    <x v="2"/>
    <x v="15"/>
    <x v="0"/>
    <x v="0"/>
    <n v="0"/>
  </r>
  <r>
    <x v="0"/>
    <x v="2"/>
    <x v="0"/>
    <x v="2"/>
    <x v="15"/>
    <x v="0"/>
    <x v="1"/>
    <n v="0"/>
  </r>
  <r>
    <x v="0"/>
    <x v="2"/>
    <x v="0"/>
    <x v="2"/>
    <x v="15"/>
    <x v="0"/>
    <x v="2"/>
    <n v="0"/>
  </r>
  <r>
    <x v="0"/>
    <x v="2"/>
    <x v="0"/>
    <x v="2"/>
    <x v="15"/>
    <x v="0"/>
    <x v="3"/>
    <n v="0"/>
  </r>
  <r>
    <x v="0"/>
    <x v="2"/>
    <x v="0"/>
    <x v="2"/>
    <x v="15"/>
    <x v="0"/>
    <x v="4"/>
    <n v="0"/>
  </r>
  <r>
    <x v="0"/>
    <x v="2"/>
    <x v="0"/>
    <x v="2"/>
    <x v="15"/>
    <x v="0"/>
    <x v="5"/>
    <n v="0"/>
  </r>
  <r>
    <x v="0"/>
    <x v="2"/>
    <x v="0"/>
    <x v="2"/>
    <x v="15"/>
    <x v="0"/>
    <x v="6"/>
    <n v="0"/>
  </r>
  <r>
    <x v="0"/>
    <x v="2"/>
    <x v="0"/>
    <x v="2"/>
    <x v="16"/>
    <x v="0"/>
    <x v="0"/>
    <n v="0"/>
  </r>
  <r>
    <x v="0"/>
    <x v="2"/>
    <x v="0"/>
    <x v="2"/>
    <x v="16"/>
    <x v="0"/>
    <x v="1"/>
    <n v="0"/>
  </r>
  <r>
    <x v="0"/>
    <x v="2"/>
    <x v="0"/>
    <x v="2"/>
    <x v="16"/>
    <x v="0"/>
    <x v="2"/>
    <n v="0"/>
  </r>
  <r>
    <x v="0"/>
    <x v="2"/>
    <x v="0"/>
    <x v="2"/>
    <x v="16"/>
    <x v="0"/>
    <x v="3"/>
    <n v="0"/>
  </r>
  <r>
    <x v="0"/>
    <x v="2"/>
    <x v="0"/>
    <x v="2"/>
    <x v="16"/>
    <x v="0"/>
    <x v="4"/>
    <n v="0"/>
  </r>
  <r>
    <x v="0"/>
    <x v="2"/>
    <x v="0"/>
    <x v="2"/>
    <x v="16"/>
    <x v="0"/>
    <x v="5"/>
    <n v="0"/>
  </r>
  <r>
    <x v="0"/>
    <x v="2"/>
    <x v="0"/>
    <x v="2"/>
    <x v="16"/>
    <x v="0"/>
    <x v="6"/>
    <n v="0"/>
  </r>
  <r>
    <x v="0"/>
    <x v="2"/>
    <x v="0"/>
    <x v="0"/>
    <x v="17"/>
    <x v="0"/>
    <x v="0"/>
    <n v="0"/>
  </r>
  <r>
    <x v="0"/>
    <x v="2"/>
    <x v="0"/>
    <x v="0"/>
    <x v="17"/>
    <x v="0"/>
    <x v="1"/>
    <n v="0"/>
  </r>
  <r>
    <x v="0"/>
    <x v="2"/>
    <x v="0"/>
    <x v="0"/>
    <x v="17"/>
    <x v="0"/>
    <x v="2"/>
    <n v="0"/>
  </r>
  <r>
    <x v="0"/>
    <x v="2"/>
    <x v="0"/>
    <x v="0"/>
    <x v="17"/>
    <x v="0"/>
    <x v="3"/>
    <n v="0"/>
  </r>
  <r>
    <x v="0"/>
    <x v="2"/>
    <x v="0"/>
    <x v="0"/>
    <x v="17"/>
    <x v="0"/>
    <x v="4"/>
    <n v="0"/>
  </r>
  <r>
    <x v="0"/>
    <x v="2"/>
    <x v="0"/>
    <x v="0"/>
    <x v="17"/>
    <x v="0"/>
    <x v="5"/>
    <n v="0"/>
  </r>
  <r>
    <x v="0"/>
    <x v="2"/>
    <x v="0"/>
    <x v="0"/>
    <x v="17"/>
    <x v="0"/>
    <x v="6"/>
    <n v="0"/>
  </r>
  <r>
    <x v="0"/>
    <x v="2"/>
    <x v="0"/>
    <x v="2"/>
    <x v="18"/>
    <x v="0"/>
    <x v="0"/>
    <n v="0"/>
  </r>
  <r>
    <x v="0"/>
    <x v="2"/>
    <x v="0"/>
    <x v="2"/>
    <x v="18"/>
    <x v="0"/>
    <x v="1"/>
    <n v="0"/>
  </r>
  <r>
    <x v="0"/>
    <x v="2"/>
    <x v="0"/>
    <x v="2"/>
    <x v="18"/>
    <x v="0"/>
    <x v="2"/>
    <n v="0"/>
  </r>
  <r>
    <x v="0"/>
    <x v="2"/>
    <x v="0"/>
    <x v="2"/>
    <x v="18"/>
    <x v="0"/>
    <x v="3"/>
    <n v="0"/>
  </r>
  <r>
    <x v="0"/>
    <x v="2"/>
    <x v="0"/>
    <x v="2"/>
    <x v="18"/>
    <x v="0"/>
    <x v="4"/>
    <n v="0"/>
  </r>
  <r>
    <x v="0"/>
    <x v="2"/>
    <x v="0"/>
    <x v="2"/>
    <x v="18"/>
    <x v="0"/>
    <x v="5"/>
    <n v="0"/>
  </r>
  <r>
    <x v="0"/>
    <x v="2"/>
    <x v="0"/>
    <x v="2"/>
    <x v="18"/>
    <x v="0"/>
    <x v="6"/>
    <n v="0"/>
  </r>
  <r>
    <x v="0"/>
    <x v="2"/>
    <x v="1"/>
    <x v="3"/>
    <x v="19"/>
    <x v="0"/>
    <x v="0"/>
    <n v="0"/>
  </r>
  <r>
    <x v="0"/>
    <x v="2"/>
    <x v="1"/>
    <x v="3"/>
    <x v="19"/>
    <x v="0"/>
    <x v="1"/>
    <n v="0"/>
  </r>
  <r>
    <x v="0"/>
    <x v="2"/>
    <x v="1"/>
    <x v="3"/>
    <x v="19"/>
    <x v="0"/>
    <x v="2"/>
    <n v="0"/>
  </r>
  <r>
    <x v="0"/>
    <x v="2"/>
    <x v="1"/>
    <x v="3"/>
    <x v="19"/>
    <x v="0"/>
    <x v="3"/>
    <n v="0"/>
  </r>
  <r>
    <x v="0"/>
    <x v="2"/>
    <x v="1"/>
    <x v="3"/>
    <x v="19"/>
    <x v="0"/>
    <x v="4"/>
    <n v="0"/>
  </r>
  <r>
    <x v="0"/>
    <x v="2"/>
    <x v="1"/>
    <x v="3"/>
    <x v="19"/>
    <x v="0"/>
    <x v="5"/>
    <n v="0"/>
  </r>
  <r>
    <x v="0"/>
    <x v="2"/>
    <x v="1"/>
    <x v="3"/>
    <x v="19"/>
    <x v="0"/>
    <x v="6"/>
    <n v="0"/>
  </r>
  <r>
    <x v="0"/>
    <x v="2"/>
    <x v="1"/>
    <x v="3"/>
    <x v="20"/>
    <x v="0"/>
    <x v="0"/>
    <n v="0"/>
  </r>
  <r>
    <x v="0"/>
    <x v="2"/>
    <x v="1"/>
    <x v="3"/>
    <x v="20"/>
    <x v="0"/>
    <x v="1"/>
    <n v="0"/>
  </r>
  <r>
    <x v="0"/>
    <x v="2"/>
    <x v="1"/>
    <x v="3"/>
    <x v="20"/>
    <x v="0"/>
    <x v="2"/>
    <n v="0"/>
  </r>
  <r>
    <x v="0"/>
    <x v="2"/>
    <x v="1"/>
    <x v="3"/>
    <x v="20"/>
    <x v="0"/>
    <x v="3"/>
    <n v="0"/>
  </r>
  <r>
    <x v="0"/>
    <x v="2"/>
    <x v="1"/>
    <x v="3"/>
    <x v="20"/>
    <x v="0"/>
    <x v="4"/>
    <n v="0"/>
  </r>
  <r>
    <x v="0"/>
    <x v="2"/>
    <x v="1"/>
    <x v="3"/>
    <x v="20"/>
    <x v="0"/>
    <x v="5"/>
    <n v="0"/>
  </r>
  <r>
    <x v="0"/>
    <x v="2"/>
    <x v="1"/>
    <x v="3"/>
    <x v="20"/>
    <x v="0"/>
    <x v="6"/>
    <n v="0"/>
  </r>
  <r>
    <x v="0"/>
    <x v="2"/>
    <x v="1"/>
    <x v="3"/>
    <x v="21"/>
    <x v="0"/>
    <x v="0"/>
    <n v="0"/>
  </r>
  <r>
    <x v="0"/>
    <x v="2"/>
    <x v="1"/>
    <x v="3"/>
    <x v="21"/>
    <x v="0"/>
    <x v="1"/>
    <n v="0"/>
  </r>
  <r>
    <x v="0"/>
    <x v="2"/>
    <x v="1"/>
    <x v="3"/>
    <x v="21"/>
    <x v="0"/>
    <x v="2"/>
    <n v="0"/>
  </r>
  <r>
    <x v="0"/>
    <x v="2"/>
    <x v="1"/>
    <x v="3"/>
    <x v="21"/>
    <x v="0"/>
    <x v="3"/>
    <n v="0"/>
  </r>
  <r>
    <x v="0"/>
    <x v="2"/>
    <x v="1"/>
    <x v="3"/>
    <x v="21"/>
    <x v="0"/>
    <x v="4"/>
    <n v="0"/>
  </r>
  <r>
    <x v="0"/>
    <x v="2"/>
    <x v="1"/>
    <x v="3"/>
    <x v="21"/>
    <x v="0"/>
    <x v="5"/>
    <n v="0"/>
  </r>
  <r>
    <x v="0"/>
    <x v="2"/>
    <x v="1"/>
    <x v="3"/>
    <x v="21"/>
    <x v="0"/>
    <x v="6"/>
    <n v="0"/>
  </r>
  <r>
    <x v="0"/>
    <x v="2"/>
    <x v="1"/>
    <x v="3"/>
    <x v="22"/>
    <x v="0"/>
    <x v="0"/>
    <n v="0"/>
  </r>
  <r>
    <x v="0"/>
    <x v="2"/>
    <x v="1"/>
    <x v="3"/>
    <x v="22"/>
    <x v="0"/>
    <x v="1"/>
    <n v="0"/>
  </r>
  <r>
    <x v="0"/>
    <x v="2"/>
    <x v="1"/>
    <x v="3"/>
    <x v="22"/>
    <x v="0"/>
    <x v="2"/>
    <n v="0"/>
  </r>
  <r>
    <x v="0"/>
    <x v="2"/>
    <x v="1"/>
    <x v="3"/>
    <x v="22"/>
    <x v="0"/>
    <x v="3"/>
    <n v="0"/>
  </r>
  <r>
    <x v="0"/>
    <x v="2"/>
    <x v="1"/>
    <x v="3"/>
    <x v="22"/>
    <x v="0"/>
    <x v="4"/>
    <n v="0"/>
  </r>
  <r>
    <x v="0"/>
    <x v="2"/>
    <x v="1"/>
    <x v="3"/>
    <x v="22"/>
    <x v="0"/>
    <x v="5"/>
    <n v="0"/>
  </r>
  <r>
    <x v="0"/>
    <x v="2"/>
    <x v="1"/>
    <x v="3"/>
    <x v="22"/>
    <x v="0"/>
    <x v="6"/>
    <n v="0"/>
  </r>
  <r>
    <x v="0"/>
    <x v="2"/>
    <x v="1"/>
    <x v="3"/>
    <x v="23"/>
    <x v="0"/>
    <x v="0"/>
    <n v="0"/>
  </r>
  <r>
    <x v="0"/>
    <x v="2"/>
    <x v="1"/>
    <x v="3"/>
    <x v="23"/>
    <x v="0"/>
    <x v="1"/>
    <n v="0"/>
  </r>
  <r>
    <x v="0"/>
    <x v="2"/>
    <x v="1"/>
    <x v="3"/>
    <x v="23"/>
    <x v="0"/>
    <x v="2"/>
    <n v="0"/>
  </r>
  <r>
    <x v="0"/>
    <x v="2"/>
    <x v="1"/>
    <x v="3"/>
    <x v="23"/>
    <x v="0"/>
    <x v="3"/>
    <n v="0"/>
  </r>
  <r>
    <x v="0"/>
    <x v="2"/>
    <x v="1"/>
    <x v="3"/>
    <x v="23"/>
    <x v="0"/>
    <x v="4"/>
    <n v="0"/>
  </r>
  <r>
    <x v="0"/>
    <x v="2"/>
    <x v="1"/>
    <x v="3"/>
    <x v="23"/>
    <x v="0"/>
    <x v="5"/>
    <n v="0"/>
  </r>
  <r>
    <x v="0"/>
    <x v="2"/>
    <x v="1"/>
    <x v="3"/>
    <x v="23"/>
    <x v="0"/>
    <x v="6"/>
    <n v="0"/>
  </r>
  <r>
    <x v="0"/>
    <x v="2"/>
    <x v="1"/>
    <x v="3"/>
    <x v="24"/>
    <x v="0"/>
    <x v="0"/>
    <n v="0"/>
  </r>
  <r>
    <x v="0"/>
    <x v="2"/>
    <x v="1"/>
    <x v="3"/>
    <x v="24"/>
    <x v="0"/>
    <x v="1"/>
    <n v="0"/>
  </r>
  <r>
    <x v="0"/>
    <x v="2"/>
    <x v="1"/>
    <x v="3"/>
    <x v="24"/>
    <x v="0"/>
    <x v="2"/>
    <n v="0"/>
  </r>
  <r>
    <x v="0"/>
    <x v="2"/>
    <x v="1"/>
    <x v="3"/>
    <x v="24"/>
    <x v="0"/>
    <x v="3"/>
    <n v="0"/>
  </r>
  <r>
    <x v="0"/>
    <x v="2"/>
    <x v="1"/>
    <x v="3"/>
    <x v="24"/>
    <x v="0"/>
    <x v="4"/>
    <n v="0"/>
  </r>
  <r>
    <x v="0"/>
    <x v="2"/>
    <x v="1"/>
    <x v="3"/>
    <x v="24"/>
    <x v="0"/>
    <x v="5"/>
    <n v="0"/>
  </r>
  <r>
    <x v="0"/>
    <x v="2"/>
    <x v="1"/>
    <x v="3"/>
    <x v="24"/>
    <x v="0"/>
    <x v="6"/>
    <n v="0"/>
  </r>
  <r>
    <x v="0"/>
    <x v="2"/>
    <x v="1"/>
    <x v="3"/>
    <x v="25"/>
    <x v="0"/>
    <x v="0"/>
    <n v="0"/>
  </r>
  <r>
    <x v="0"/>
    <x v="2"/>
    <x v="1"/>
    <x v="3"/>
    <x v="25"/>
    <x v="0"/>
    <x v="1"/>
    <n v="0"/>
  </r>
  <r>
    <x v="0"/>
    <x v="2"/>
    <x v="1"/>
    <x v="3"/>
    <x v="25"/>
    <x v="0"/>
    <x v="2"/>
    <n v="0"/>
  </r>
  <r>
    <x v="0"/>
    <x v="2"/>
    <x v="1"/>
    <x v="3"/>
    <x v="25"/>
    <x v="0"/>
    <x v="3"/>
    <n v="0"/>
  </r>
  <r>
    <x v="0"/>
    <x v="2"/>
    <x v="1"/>
    <x v="3"/>
    <x v="25"/>
    <x v="0"/>
    <x v="4"/>
    <n v="0"/>
  </r>
  <r>
    <x v="0"/>
    <x v="2"/>
    <x v="1"/>
    <x v="3"/>
    <x v="25"/>
    <x v="0"/>
    <x v="5"/>
    <n v="0"/>
  </r>
  <r>
    <x v="0"/>
    <x v="2"/>
    <x v="1"/>
    <x v="3"/>
    <x v="25"/>
    <x v="0"/>
    <x v="6"/>
    <n v="0"/>
  </r>
  <r>
    <x v="0"/>
    <x v="2"/>
    <x v="2"/>
    <x v="4"/>
    <x v="26"/>
    <x v="0"/>
    <x v="0"/>
    <n v="0"/>
  </r>
  <r>
    <x v="0"/>
    <x v="2"/>
    <x v="2"/>
    <x v="4"/>
    <x v="26"/>
    <x v="0"/>
    <x v="1"/>
    <n v="0"/>
  </r>
  <r>
    <x v="0"/>
    <x v="2"/>
    <x v="2"/>
    <x v="4"/>
    <x v="26"/>
    <x v="0"/>
    <x v="2"/>
    <n v="0"/>
  </r>
  <r>
    <x v="0"/>
    <x v="2"/>
    <x v="2"/>
    <x v="4"/>
    <x v="26"/>
    <x v="0"/>
    <x v="3"/>
    <n v="0"/>
  </r>
  <r>
    <x v="0"/>
    <x v="2"/>
    <x v="2"/>
    <x v="4"/>
    <x v="26"/>
    <x v="0"/>
    <x v="4"/>
    <n v="0"/>
  </r>
  <r>
    <x v="0"/>
    <x v="2"/>
    <x v="2"/>
    <x v="4"/>
    <x v="26"/>
    <x v="0"/>
    <x v="5"/>
    <n v="0"/>
  </r>
  <r>
    <x v="0"/>
    <x v="2"/>
    <x v="2"/>
    <x v="4"/>
    <x v="26"/>
    <x v="0"/>
    <x v="6"/>
    <n v="0"/>
  </r>
  <r>
    <x v="0"/>
    <x v="2"/>
    <x v="2"/>
    <x v="4"/>
    <x v="27"/>
    <x v="0"/>
    <x v="0"/>
    <n v="0"/>
  </r>
  <r>
    <x v="0"/>
    <x v="2"/>
    <x v="2"/>
    <x v="4"/>
    <x v="27"/>
    <x v="0"/>
    <x v="1"/>
    <n v="0"/>
  </r>
  <r>
    <x v="0"/>
    <x v="2"/>
    <x v="2"/>
    <x v="4"/>
    <x v="27"/>
    <x v="0"/>
    <x v="2"/>
    <n v="0"/>
  </r>
  <r>
    <x v="0"/>
    <x v="2"/>
    <x v="2"/>
    <x v="4"/>
    <x v="27"/>
    <x v="0"/>
    <x v="3"/>
    <n v="0"/>
  </r>
  <r>
    <x v="0"/>
    <x v="2"/>
    <x v="2"/>
    <x v="4"/>
    <x v="27"/>
    <x v="0"/>
    <x v="4"/>
    <n v="0"/>
  </r>
  <r>
    <x v="0"/>
    <x v="2"/>
    <x v="2"/>
    <x v="4"/>
    <x v="27"/>
    <x v="0"/>
    <x v="5"/>
    <n v="0"/>
  </r>
  <r>
    <x v="0"/>
    <x v="2"/>
    <x v="2"/>
    <x v="4"/>
    <x v="27"/>
    <x v="0"/>
    <x v="6"/>
    <n v="0"/>
  </r>
  <r>
    <x v="0"/>
    <x v="2"/>
    <x v="2"/>
    <x v="4"/>
    <x v="28"/>
    <x v="0"/>
    <x v="0"/>
    <n v="0"/>
  </r>
  <r>
    <x v="0"/>
    <x v="2"/>
    <x v="2"/>
    <x v="4"/>
    <x v="28"/>
    <x v="0"/>
    <x v="1"/>
    <n v="0"/>
  </r>
  <r>
    <x v="0"/>
    <x v="2"/>
    <x v="2"/>
    <x v="4"/>
    <x v="28"/>
    <x v="0"/>
    <x v="2"/>
    <n v="0"/>
  </r>
  <r>
    <x v="0"/>
    <x v="2"/>
    <x v="2"/>
    <x v="4"/>
    <x v="28"/>
    <x v="0"/>
    <x v="3"/>
    <n v="0"/>
  </r>
  <r>
    <x v="0"/>
    <x v="2"/>
    <x v="2"/>
    <x v="4"/>
    <x v="28"/>
    <x v="0"/>
    <x v="4"/>
    <n v="0"/>
  </r>
  <r>
    <x v="0"/>
    <x v="2"/>
    <x v="2"/>
    <x v="4"/>
    <x v="28"/>
    <x v="0"/>
    <x v="5"/>
    <n v="0"/>
  </r>
  <r>
    <x v="0"/>
    <x v="2"/>
    <x v="2"/>
    <x v="4"/>
    <x v="28"/>
    <x v="0"/>
    <x v="6"/>
    <n v="0"/>
  </r>
  <r>
    <x v="0"/>
    <x v="2"/>
    <x v="2"/>
    <x v="4"/>
    <x v="29"/>
    <x v="0"/>
    <x v="0"/>
    <n v="0"/>
  </r>
  <r>
    <x v="0"/>
    <x v="2"/>
    <x v="2"/>
    <x v="4"/>
    <x v="29"/>
    <x v="0"/>
    <x v="1"/>
    <n v="0"/>
  </r>
  <r>
    <x v="0"/>
    <x v="2"/>
    <x v="2"/>
    <x v="4"/>
    <x v="29"/>
    <x v="0"/>
    <x v="2"/>
    <n v="0"/>
  </r>
  <r>
    <x v="0"/>
    <x v="2"/>
    <x v="2"/>
    <x v="4"/>
    <x v="29"/>
    <x v="0"/>
    <x v="3"/>
    <n v="0"/>
  </r>
  <r>
    <x v="0"/>
    <x v="2"/>
    <x v="2"/>
    <x v="4"/>
    <x v="29"/>
    <x v="0"/>
    <x v="4"/>
    <n v="0"/>
  </r>
  <r>
    <x v="0"/>
    <x v="2"/>
    <x v="2"/>
    <x v="4"/>
    <x v="29"/>
    <x v="0"/>
    <x v="5"/>
    <n v="0"/>
  </r>
  <r>
    <x v="0"/>
    <x v="2"/>
    <x v="2"/>
    <x v="4"/>
    <x v="29"/>
    <x v="0"/>
    <x v="6"/>
    <n v="0"/>
  </r>
  <r>
    <x v="0"/>
    <x v="2"/>
    <x v="3"/>
    <x v="5"/>
    <x v="30"/>
    <x v="0"/>
    <x v="0"/>
    <n v="0"/>
  </r>
  <r>
    <x v="0"/>
    <x v="2"/>
    <x v="3"/>
    <x v="5"/>
    <x v="30"/>
    <x v="0"/>
    <x v="1"/>
    <n v="0"/>
  </r>
  <r>
    <x v="0"/>
    <x v="2"/>
    <x v="3"/>
    <x v="5"/>
    <x v="30"/>
    <x v="0"/>
    <x v="2"/>
    <n v="0"/>
  </r>
  <r>
    <x v="0"/>
    <x v="2"/>
    <x v="3"/>
    <x v="5"/>
    <x v="30"/>
    <x v="0"/>
    <x v="3"/>
    <n v="0"/>
  </r>
  <r>
    <x v="0"/>
    <x v="2"/>
    <x v="3"/>
    <x v="5"/>
    <x v="30"/>
    <x v="0"/>
    <x v="4"/>
    <n v="0"/>
  </r>
  <r>
    <x v="0"/>
    <x v="2"/>
    <x v="3"/>
    <x v="5"/>
    <x v="30"/>
    <x v="0"/>
    <x v="5"/>
    <n v="0"/>
  </r>
  <r>
    <x v="0"/>
    <x v="2"/>
    <x v="3"/>
    <x v="5"/>
    <x v="30"/>
    <x v="0"/>
    <x v="6"/>
    <n v="0"/>
  </r>
  <r>
    <x v="0"/>
    <x v="2"/>
    <x v="2"/>
    <x v="4"/>
    <x v="31"/>
    <x v="0"/>
    <x v="0"/>
    <n v="0"/>
  </r>
  <r>
    <x v="0"/>
    <x v="2"/>
    <x v="2"/>
    <x v="4"/>
    <x v="31"/>
    <x v="0"/>
    <x v="1"/>
    <n v="0"/>
  </r>
  <r>
    <x v="0"/>
    <x v="2"/>
    <x v="2"/>
    <x v="4"/>
    <x v="31"/>
    <x v="0"/>
    <x v="2"/>
    <n v="0"/>
  </r>
  <r>
    <x v="0"/>
    <x v="2"/>
    <x v="2"/>
    <x v="4"/>
    <x v="31"/>
    <x v="0"/>
    <x v="3"/>
    <n v="0"/>
  </r>
  <r>
    <x v="0"/>
    <x v="2"/>
    <x v="2"/>
    <x v="4"/>
    <x v="31"/>
    <x v="0"/>
    <x v="4"/>
    <n v="0"/>
  </r>
  <r>
    <x v="0"/>
    <x v="2"/>
    <x v="2"/>
    <x v="4"/>
    <x v="31"/>
    <x v="0"/>
    <x v="5"/>
    <n v="0"/>
  </r>
  <r>
    <x v="0"/>
    <x v="2"/>
    <x v="2"/>
    <x v="4"/>
    <x v="31"/>
    <x v="0"/>
    <x v="6"/>
    <n v="0"/>
  </r>
  <r>
    <x v="0"/>
    <x v="2"/>
    <x v="2"/>
    <x v="4"/>
    <x v="32"/>
    <x v="0"/>
    <x v="0"/>
    <n v="0"/>
  </r>
  <r>
    <x v="0"/>
    <x v="2"/>
    <x v="2"/>
    <x v="4"/>
    <x v="32"/>
    <x v="0"/>
    <x v="1"/>
    <n v="0"/>
  </r>
  <r>
    <x v="0"/>
    <x v="2"/>
    <x v="2"/>
    <x v="4"/>
    <x v="32"/>
    <x v="0"/>
    <x v="2"/>
    <n v="0"/>
  </r>
  <r>
    <x v="0"/>
    <x v="2"/>
    <x v="2"/>
    <x v="4"/>
    <x v="32"/>
    <x v="0"/>
    <x v="3"/>
    <n v="0"/>
  </r>
  <r>
    <x v="0"/>
    <x v="2"/>
    <x v="2"/>
    <x v="4"/>
    <x v="32"/>
    <x v="0"/>
    <x v="4"/>
    <n v="0"/>
  </r>
  <r>
    <x v="0"/>
    <x v="2"/>
    <x v="2"/>
    <x v="4"/>
    <x v="32"/>
    <x v="0"/>
    <x v="5"/>
    <n v="0"/>
  </r>
  <r>
    <x v="0"/>
    <x v="2"/>
    <x v="2"/>
    <x v="4"/>
    <x v="32"/>
    <x v="0"/>
    <x v="6"/>
    <n v="0"/>
  </r>
  <r>
    <x v="0"/>
    <x v="2"/>
    <x v="2"/>
    <x v="4"/>
    <x v="33"/>
    <x v="0"/>
    <x v="0"/>
    <n v="0"/>
  </r>
  <r>
    <x v="0"/>
    <x v="2"/>
    <x v="2"/>
    <x v="4"/>
    <x v="33"/>
    <x v="0"/>
    <x v="1"/>
    <n v="0"/>
  </r>
  <r>
    <x v="0"/>
    <x v="2"/>
    <x v="2"/>
    <x v="4"/>
    <x v="33"/>
    <x v="0"/>
    <x v="2"/>
    <n v="0"/>
  </r>
  <r>
    <x v="0"/>
    <x v="2"/>
    <x v="2"/>
    <x v="4"/>
    <x v="33"/>
    <x v="0"/>
    <x v="3"/>
    <n v="0"/>
  </r>
  <r>
    <x v="0"/>
    <x v="2"/>
    <x v="2"/>
    <x v="4"/>
    <x v="33"/>
    <x v="0"/>
    <x v="4"/>
    <n v="0"/>
  </r>
  <r>
    <x v="0"/>
    <x v="2"/>
    <x v="2"/>
    <x v="4"/>
    <x v="33"/>
    <x v="0"/>
    <x v="5"/>
    <n v="0"/>
  </r>
  <r>
    <x v="0"/>
    <x v="2"/>
    <x v="2"/>
    <x v="4"/>
    <x v="33"/>
    <x v="0"/>
    <x v="6"/>
    <n v="0"/>
  </r>
  <r>
    <x v="0"/>
    <x v="2"/>
    <x v="2"/>
    <x v="4"/>
    <x v="34"/>
    <x v="0"/>
    <x v="0"/>
    <n v="0"/>
  </r>
  <r>
    <x v="0"/>
    <x v="2"/>
    <x v="2"/>
    <x v="4"/>
    <x v="34"/>
    <x v="0"/>
    <x v="1"/>
    <n v="0"/>
  </r>
  <r>
    <x v="0"/>
    <x v="2"/>
    <x v="2"/>
    <x v="4"/>
    <x v="34"/>
    <x v="0"/>
    <x v="2"/>
    <n v="0"/>
  </r>
  <r>
    <x v="0"/>
    <x v="2"/>
    <x v="2"/>
    <x v="4"/>
    <x v="34"/>
    <x v="0"/>
    <x v="3"/>
    <n v="0"/>
  </r>
  <r>
    <x v="0"/>
    <x v="2"/>
    <x v="2"/>
    <x v="4"/>
    <x v="34"/>
    <x v="0"/>
    <x v="4"/>
    <n v="0"/>
  </r>
  <r>
    <x v="0"/>
    <x v="2"/>
    <x v="2"/>
    <x v="4"/>
    <x v="34"/>
    <x v="0"/>
    <x v="5"/>
    <n v="0"/>
  </r>
  <r>
    <x v="0"/>
    <x v="2"/>
    <x v="2"/>
    <x v="4"/>
    <x v="34"/>
    <x v="0"/>
    <x v="6"/>
    <n v="0"/>
  </r>
  <r>
    <x v="0"/>
    <x v="2"/>
    <x v="2"/>
    <x v="6"/>
    <x v="35"/>
    <x v="0"/>
    <x v="0"/>
    <n v="0"/>
  </r>
  <r>
    <x v="0"/>
    <x v="2"/>
    <x v="2"/>
    <x v="6"/>
    <x v="35"/>
    <x v="0"/>
    <x v="1"/>
    <n v="0"/>
  </r>
  <r>
    <x v="0"/>
    <x v="2"/>
    <x v="2"/>
    <x v="6"/>
    <x v="35"/>
    <x v="0"/>
    <x v="2"/>
    <n v="0"/>
  </r>
  <r>
    <x v="0"/>
    <x v="2"/>
    <x v="2"/>
    <x v="6"/>
    <x v="35"/>
    <x v="0"/>
    <x v="3"/>
    <n v="0"/>
  </r>
  <r>
    <x v="0"/>
    <x v="2"/>
    <x v="2"/>
    <x v="6"/>
    <x v="35"/>
    <x v="0"/>
    <x v="4"/>
    <n v="0"/>
  </r>
  <r>
    <x v="0"/>
    <x v="2"/>
    <x v="2"/>
    <x v="6"/>
    <x v="35"/>
    <x v="0"/>
    <x v="5"/>
    <n v="0"/>
  </r>
  <r>
    <x v="0"/>
    <x v="2"/>
    <x v="2"/>
    <x v="6"/>
    <x v="35"/>
    <x v="0"/>
    <x v="6"/>
    <n v="0"/>
  </r>
  <r>
    <x v="0"/>
    <x v="2"/>
    <x v="2"/>
    <x v="6"/>
    <x v="36"/>
    <x v="0"/>
    <x v="0"/>
    <n v="0"/>
  </r>
  <r>
    <x v="0"/>
    <x v="2"/>
    <x v="2"/>
    <x v="6"/>
    <x v="36"/>
    <x v="0"/>
    <x v="1"/>
    <n v="0"/>
  </r>
  <r>
    <x v="0"/>
    <x v="2"/>
    <x v="2"/>
    <x v="6"/>
    <x v="36"/>
    <x v="0"/>
    <x v="2"/>
    <n v="0"/>
  </r>
  <r>
    <x v="0"/>
    <x v="2"/>
    <x v="2"/>
    <x v="6"/>
    <x v="36"/>
    <x v="0"/>
    <x v="3"/>
    <n v="0"/>
  </r>
  <r>
    <x v="0"/>
    <x v="2"/>
    <x v="2"/>
    <x v="6"/>
    <x v="36"/>
    <x v="0"/>
    <x v="4"/>
    <n v="0"/>
  </r>
  <r>
    <x v="0"/>
    <x v="2"/>
    <x v="2"/>
    <x v="6"/>
    <x v="36"/>
    <x v="0"/>
    <x v="5"/>
    <n v="0"/>
  </r>
  <r>
    <x v="0"/>
    <x v="2"/>
    <x v="2"/>
    <x v="6"/>
    <x v="36"/>
    <x v="0"/>
    <x v="6"/>
    <n v="0"/>
  </r>
  <r>
    <x v="0"/>
    <x v="2"/>
    <x v="2"/>
    <x v="6"/>
    <x v="37"/>
    <x v="0"/>
    <x v="0"/>
    <n v="0"/>
  </r>
  <r>
    <x v="0"/>
    <x v="2"/>
    <x v="2"/>
    <x v="6"/>
    <x v="37"/>
    <x v="0"/>
    <x v="1"/>
    <n v="0"/>
  </r>
  <r>
    <x v="0"/>
    <x v="2"/>
    <x v="2"/>
    <x v="6"/>
    <x v="37"/>
    <x v="0"/>
    <x v="2"/>
    <n v="0"/>
  </r>
  <r>
    <x v="0"/>
    <x v="2"/>
    <x v="2"/>
    <x v="6"/>
    <x v="37"/>
    <x v="0"/>
    <x v="3"/>
    <n v="0"/>
  </r>
  <r>
    <x v="0"/>
    <x v="2"/>
    <x v="2"/>
    <x v="6"/>
    <x v="37"/>
    <x v="0"/>
    <x v="4"/>
    <n v="0"/>
  </r>
  <r>
    <x v="0"/>
    <x v="2"/>
    <x v="2"/>
    <x v="6"/>
    <x v="37"/>
    <x v="0"/>
    <x v="5"/>
    <n v="0"/>
  </r>
  <r>
    <x v="0"/>
    <x v="2"/>
    <x v="2"/>
    <x v="6"/>
    <x v="37"/>
    <x v="0"/>
    <x v="6"/>
    <n v="0"/>
  </r>
  <r>
    <x v="0"/>
    <x v="2"/>
    <x v="2"/>
    <x v="6"/>
    <x v="38"/>
    <x v="0"/>
    <x v="0"/>
    <n v="0"/>
  </r>
  <r>
    <x v="0"/>
    <x v="2"/>
    <x v="2"/>
    <x v="6"/>
    <x v="38"/>
    <x v="0"/>
    <x v="1"/>
    <n v="0"/>
  </r>
  <r>
    <x v="0"/>
    <x v="2"/>
    <x v="2"/>
    <x v="6"/>
    <x v="38"/>
    <x v="0"/>
    <x v="2"/>
    <n v="0"/>
  </r>
  <r>
    <x v="0"/>
    <x v="2"/>
    <x v="2"/>
    <x v="6"/>
    <x v="38"/>
    <x v="0"/>
    <x v="3"/>
    <n v="0"/>
  </r>
  <r>
    <x v="0"/>
    <x v="2"/>
    <x v="2"/>
    <x v="6"/>
    <x v="38"/>
    <x v="0"/>
    <x v="4"/>
    <n v="0"/>
  </r>
  <r>
    <x v="0"/>
    <x v="2"/>
    <x v="2"/>
    <x v="6"/>
    <x v="38"/>
    <x v="0"/>
    <x v="5"/>
    <n v="0"/>
  </r>
  <r>
    <x v="0"/>
    <x v="2"/>
    <x v="2"/>
    <x v="6"/>
    <x v="38"/>
    <x v="0"/>
    <x v="6"/>
    <n v="0"/>
  </r>
  <r>
    <x v="0"/>
    <x v="2"/>
    <x v="3"/>
    <x v="5"/>
    <x v="39"/>
    <x v="0"/>
    <x v="0"/>
    <n v="0"/>
  </r>
  <r>
    <x v="0"/>
    <x v="2"/>
    <x v="3"/>
    <x v="5"/>
    <x v="39"/>
    <x v="0"/>
    <x v="1"/>
    <n v="0"/>
  </r>
  <r>
    <x v="0"/>
    <x v="2"/>
    <x v="3"/>
    <x v="5"/>
    <x v="39"/>
    <x v="0"/>
    <x v="2"/>
    <n v="0"/>
  </r>
  <r>
    <x v="0"/>
    <x v="2"/>
    <x v="3"/>
    <x v="5"/>
    <x v="39"/>
    <x v="0"/>
    <x v="3"/>
    <n v="0"/>
  </r>
  <r>
    <x v="0"/>
    <x v="2"/>
    <x v="3"/>
    <x v="5"/>
    <x v="39"/>
    <x v="0"/>
    <x v="4"/>
    <n v="0"/>
  </r>
  <r>
    <x v="0"/>
    <x v="2"/>
    <x v="3"/>
    <x v="5"/>
    <x v="39"/>
    <x v="0"/>
    <x v="5"/>
    <n v="0"/>
  </r>
  <r>
    <x v="0"/>
    <x v="2"/>
    <x v="3"/>
    <x v="5"/>
    <x v="39"/>
    <x v="0"/>
    <x v="6"/>
    <n v="0"/>
  </r>
  <r>
    <x v="0"/>
    <x v="2"/>
    <x v="2"/>
    <x v="6"/>
    <x v="40"/>
    <x v="0"/>
    <x v="0"/>
    <n v="0"/>
  </r>
  <r>
    <x v="0"/>
    <x v="2"/>
    <x v="2"/>
    <x v="6"/>
    <x v="40"/>
    <x v="0"/>
    <x v="1"/>
    <n v="0"/>
  </r>
  <r>
    <x v="0"/>
    <x v="2"/>
    <x v="2"/>
    <x v="6"/>
    <x v="40"/>
    <x v="0"/>
    <x v="2"/>
    <n v="0"/>
  </r>
  <r>
    <x v="0"/>
    <x v="2"/>
    <x v="2"/>
    <x v="6"/>
    <x v="40"/>
    <x v="0"/>
    <x v="3"/>
    <n v="0"/>
  </r>
  <r>
    <x v="0"/>
    <x v="2"/>
    <x v="2"/>
    <x v="6"/>
    <x v="40"/>
    <x v="0"/>
    <x v="4"/>
    <n v="0"/>
  </r>
  <r>
    <x v="0"/>
    <x v="2"/>
    <x v="2"/>
    <x v="6"/>
    <x v="40"/>
    <x v="0"/>
    <x v="5"/>
    <n v="0"/>
  </r>
  <r>
    <x v="0"/>
    <x v="2"/>
    <x v="2"/>
    <x v="6"/>
    <x v="40"/>
    <x v="0"/>
    <x v="6"/>
    <n v="0"/>
  </r>
  <r>
    <x v="0"/>
    <x v="2"/>
    <x v="2"/>
    <x v="6"/>
    <x v="41"/>
    <x v="0"/>
    <x v="0"/>
    <n v="0"/>
  </r>
  <r>
    <x v="0"/>
    <x v="2"/>
    <x v="2"/>
    <x v="6"/>
    <x v="41"/>
    <x v="0"/>
    <x v="1"/>
    <n v="0"/>
  </r>
  <r>
    <x v="0"/>
    <x v="2"/>
    <x v="2"/>
    <x v="6"/>
    <x v="41"/>
    <x v="0"/>
    <x v="2"/>
    <n v="0"/>
  </r>
  <r>
    <x v="0"/>
    <x v="2"/>
    <x v="2"/>
    <x v="6"/>
    <x v="41"/>
    <x v="0"/>
    <x v="3"/>
    <n v="0"/>
  </r>
  <r>
    <x v="0"/>
    <x v="2"/>
    <x v="2"/>
    <x v="6"/>
    <x v="41"/>
    <x v="0"/>
    <x v="4"/>
    <n v="0"/>
  </r>
  <r>
    <x v="0"/>
    <x v="2"/>
    <x v="2"/>
    <x v="6"/>
    <x v="41"/>
    <x v="0"/>
    <x v="5"/>
    <n v="0"/>
  </r>
  <r>
    <x v="0"/>
    <x v="2"/>
    <x v="2"/>
    <x v="6"/>
    <x v="41"/>
    <x v="0"/>
    <x v="6"/>
    <n v="0"/>
  </r>
  <r>
    <x v="0"/>
    <x v="2"/>
    <x v="2"/>
    <x v="6"/>
    <x v="42"/>
    <x v="0"/>
    <x v="0"/>
    <n v="0"/>
  </r>
  <r>
    <x v="0"/>
    <x v="2"/>
    <x v="2"/>
    <x v="6"/>
    <x v="42"/>
    <x v="0"/>
    <x v="1"/>
    <n v="0"/>
  </r>
  <r>
    <x v="0"/>
    <x v="2"/>
    <x v="2"/>
    <x v="6"/>
    <x v="42"/>
    <x v="0"/>
    <x v="2"/>
    <n v="0"/>
  </r>
  <r>
    <x v="0"/>
    <x v="2"/>
    <x v="2"/>
    <x v="6"/>
    <x v="42"/>
    <x v="0"/>
    <x v="3"/>
    <n v="0"/>
  </r>
  <r>
    <x v="0"/>
    <x v="2"/>
    <x v="2"/>
    <x v="6"/>
    <x v="42"/>
    <x v="0"/>
    <x v="4"/>
    <n v="0"/>
  </r>
  <r>
    <x v="0"/>
    <x v="2"/>
    <x v="2"/>
    <x v="6"/>
    <x v="42"/>
    <x v="0"/>
    <x v="5"/>
    <n v="0"/>
  </r>
  <r>
    <x v="0"/>
    <x v="2"/>
    <x v="2"/>
    <x v="6"/>
    <x v="42"/>
    <x v="0"/>
    <x v="6"/>
    <n v="0"/>
  </r>
  <r>
    <x v="0"/>
    <x v="2"/>
    <x v="2"/>
    <x v="6"/>
    <x v="43"/>
    <x v="0"/>
    <x v="0"/>
    <n v="0"/>
  </r>
  <r>
    <x v="0"/>
    <x v="2"/>
    <x v="2"/>
    <x v="6"/>
    <x v="43"/>
    <x v="0"/>
    <x v="1"/>
    <n v="0"/>
  </r>
  <r>
    <x v="0"/>
    <x v="2"/>
    <x v="2"/>
    <x v="6"/>
    <x v="43"/>
    <x v="0"/>
    <x v="2"/>
    <n v="0"/>
  </r>
  <r>
    <x v="0"/>
    <x v="2"/>
    <x v="2"/>
    <x v="6"/>
    <x v="43"/>
    <x v="0"/>
    <x v="3"/>
    <n v="0"/>
  </r>
  <r>
    <x v="0"/>
    <x v="2"/>
    <x v="2"/>
    <x v="6"/>
    <x v="43"/>
    <x v="0"/>
    <x v="4"/>
    <n v="0"/>
  </r>
  <r>
    <x v="0"/>
    <x v="2"/>
    <x v="2"/>
    <x v="6"/>
    <x v="43"/>
    <x v="0"/>
    <x v="5"/>
    <n v="0"/>
  </r>
  <r>
    <x v="0"/>
    <x v="2"/>
    <x v="2"/>
    <x v="6"/>
    <x v="43"/>
    <x v="0"/>
    <x v="6"/>
    <n v="0"/>
  </r>
  <r>
    <x v="0"/>
    <x v="2"/>
    <x v="4"/>
    <x v="7"/>
    <x v="44"/>
    <x v="0"/>
    <x v="0"/>
    <n v="0"/>
  </r>
  <r>
    <x v="0"/>
    <x v="2"/>
    <x v="4"/>
    <x v="7"/>
    <x v="44"/>
    <x v="0"/>
    <x v="1"/>
    <n v="0"/>
  </r>
  <r>
    <x v="0"/>
    <x v="2"/>
    <x v="4"/>
    <x v="7"/>
    <x v="44"/>
    <x v="0"/>
    <x v="2"/>
    <n v="0"/>
  </r>
  <r>
    <x v="0"/>
    <x v="2"/>
    <x v="4"/>
    <x v="7"/>
    <x v="44"/>
    <x v="0"/>
    <x v="3"/>
    <n v="0"/>
  </r>
  <r>
    <x v="0"/>
    <x v="2"/>
    <x v="4"/>
    <x v="7"/>
    <x v="44"/>
    <x v="0"/>
    <x v="4"/>
    <n v="0"/>
  </r>
  <r>
    <x v="0"/>
    <x v="2"/>
    <x v="4"/>
    <x v="7"/>
    <x v="44"/>
    <x v="0"/>
    <x v="5"/>
    <n v="0"/>
  </r>
  <r>
    <x v="0"/>
    <x v="2"/>
    <x v="4"/>
    <x v="7"/>
    <x v="44"/>
    <x v="0"/>
    <x v="6"/>
    <n v="0"/>
  </r>
  <r>
    <x v="0"/>
    <x v="2"/>
    <x v="4"/>
    <x v="7"/>
    <x v="45"/>
    <x v="0"/>
    <x v="0"/>
    <n v="0"/>
  </r>
  <r>
    <x v="0"/>
    <x v="2"/>
    <x v="4"/>
    <x v="7"/>
    <x v="45"/>
    <x v="0"/>
    <x v="1"/>
    <n v="0"/>
  </r>
  <r>
    <x v="0"/>
    <x v="2"/>
    <x v="4"/>
    <x v="7"/>
    <x v="45"/>
    <x v="0"/>
    <x v="2"/>
    <n v="0"/>
  </r>
  <r>
    <x v="0"/>
    <x v="2"/>
    <x v="4"/>
    <x v="7"/>
    <x v="45"/>
    <x v="0"/>
    <x v="3"/>
    <n v="0"/>
  </r>
  <r>
    <x v="0"/>
    <x v="2"/>
    <x v="4"/>
    <x v="7"/>
    <x v="45"/>
    <x v="0"/>
    <x v="4"/>
    <n v="0"/>
  </r>
  <r>
    <x v="0"/>
    <x v="2"/>
    <x v="4"/>
    <x v="7"/>
    <x v="45"/>
    <x v="0"/>
    <x v="5"/>
    <n v="0"/>
  </r>
  <r>
    <x v="0"/>
    <x v="2"/>
    <x v="4"/>
    <x v="7"/>
    <x v="45"/>
    <x v="0"/>
    <x v="6"/>
    <n v="0"/>
  </r>
  <r>
    <x v="0"/>
    <x v="2"/>
    <x v="4"/>
    <x v="7"/>
    <x v="46"/>
    <x v="0"/>
    <x v="0"/>
    <n v="0"/>
  </r>
  <r>
    <x v="0"/>
    <x v="2"/>
    <x v="4"/>
    <x v="7"/>
    <x v="46"/>
    <x v="0"/>
    <x v="1"/>
    <n v="0"/>
  </r>
  <r>
    <x v="0"/>
    <x v="2"/>
    <x v="4"/>
    <x v="7"/>
    <x v="46"/>
    <x v="0"/>
    <x v="2"/>
    <n v="0"/>
  </r>
  <r>
    <x v="0"/>
    <x v="2"/>
    <x v="4"/>
    <x v="7"/>
    <x v="46"/>
    <x v="0"/>
    <x v="3"/>
    <n v="0"/>
  </r>
  <r>
    <x v="0"/>
    <x v="2"/>
    <x v="4"/>
    <x v="7"/>
    <x v="46"/>
    <x v="0"/>
    <x v="4"/>
    <n v="0"/>
  </r>
  <r>
    <x v="0"/>
    <x v="2"/>
    <x v="4"/>
    <x v="7"/>
    <x v="46"/>
    <x v="0"/>
    <x v="5"/>
    <n v="0"/>
  </r>
  <r>
    <x v="0"/>
    <x v="2"/>
    <x v="4"/>
    <x v="7"/>
    <x v="46"/>
    <x v="0"/>
    <x v="6"/>
    <n v="0"/>
  </r>
  <r>
    <x v="0"/>
    <x v="2"/>
    <x v="4"/>
    <x v="7"/>
    <x v="47"/>
    <x v="0"/>
    <x v="0"/>
    <n v="0"/>
  </r>
  <r>
    <x v="0"/>
    <x v="2"/>
    <x v="4"/>
    <x v="7"/>
    <x v="47"/>
    <x v="0"/>
    <x v="1"/>
    <n v="0"/>
  </r>
  <r>
    <x v="0"/>
    <x v="2"/>
    <x v="4"/>
    <x v="7"/>
    <x v="47"/>
    <x v="0"/>
    <x v="2"/>
    <n v="0"/>
  </r>
  <r>
    <x v="0"/>
    <x v="2"/>
    <x v="4"/>
    <x v="7"/>
    <x v="47"/>
    <x v="0"/>
    <x v="3"/>
    <n v="0"/>
  </r>
  <r>
    <x v="0"/>
    <x v="2"/>
    <x v="4"/>
    <x v="7"/>
    <x v="47"/>
    <x v="0"/>
    <x v="4"/>
    <n v="0"/>
  </r>
  <r>
    <x v="0"/>
    <x v="2"/>
    <x v="4"/>
    <x v="7"/>
    <x v="47"/>
    <x v="0"/>
    <x v="5"/>
    <n v="0"/>
  </r>
  <r>
    <x v="0"/>
    <x v="2"/>
    <x v="4"/>
    <x v="7"/>
    <x v="47"/>
    <x v="0"/>
    <x v="6"/>
    <n v="0"/>
  </r>
  <r>
    <x v="0"/>
    <x v="2"/>
    <x v="4"/>
    <x v="7"/>
    <x v="48"/>
    <x v="0"/>
    <x v="0"/>
    <n v="0"/>
  </r>
  <r>
    <x v="0"/>
    <x v="2"/>
    <x v="4"/>
    <x v="7"/>
    <x v="48"/>
    <x v="0"/>
    <x v="1"/>
    <n v="0"/>
  </r>
  <r>
    <x v="0"/>
    <x v="2"/>
    <x v="4"/>
    <x v="7"/>
    <x v="48"/>
    <x v="0"/>
    <x v="2"/>
    <n v="0"/>
  </r>
  <r>
    <x v="0"/>
    <x v="2"/>
    <x v="4"/>
    <x v="7"/>
    <x v="48"/>
    <x v="0"/>
    <x v="3"/>
    <n v="0"/>
  </r>
  <r>
    <x v="0"/>
    <x v="2"/>
    <x v="4"/>
    <x v="7"/>
    <x v="48"/>
    <x v="0"/>
    <x v="4"/>
    <n v="0"/>
  </r>
  <r>
    <x v="0"/>
    <x v="2"/>
    <x v="4"/>
    <x v="7"/>
    <x v="48"/>
    <x v="0"/>
    <x v="5"/>
    <n v="0"/>
  </r>
  <r>
    <x v="0"/>
    <x v="2"/>
    <x v="4"/>
    <x v="7"/>
    <x v="48"/>
    <x v="0"/>
    <x v="6"/>
    <n v="0"/>
  </r>
  <r>
    <x v="0"/>
    <x v="2"/>
    <x v="4"/>
    <x v="7"/>
    <x v="49"/>
    <x v="0"/>
    <x v="0"/>
    <n v="0"/>
  </r>
  <r>
    <x v="0"/>
    <x v="2"/>
    <x v="4"/>
    <x v="7"/>
    <x v="49"/>
    <x v="0"/>
    <x v="1"/>
    <n v="0"/>
  </r>
  <r>
    <x v="0"/>
    <x v="2"/>
    <x v="4"/>
    <x v="7"/>
    <x v="49"/>
    <x v="0"/>
    <x v="2"/>
    <n v="0"/>
  </r>
  <r>
    <x v="0"/>
    <x v="2"/>
    <x v="4"/>
    <x v="7"/>
    <x v="49"/>
    <x v="0"/>
    <x v="3"/>
    <n v="0"/>
  </r>
  <r>
    <x v="0"/>
    <x v="2"/>
    <x v="4"/>
    <x v="7"/>
    <x v="49"/>
    <x v="0"/>
    <x v="4"/>
    <n v="0"/>
  </r>
  <r>
    <x v="0"/>
    <x v="2"/>
    <x v="4"/>
    <x v="7"/>
    <x v="49"/>
    <x v="0"/>
    <x v="5"/>
    <n v="0"/>
  </r>
  <r>
    <x v="0"/>
    <x v="2"/>
    <x v="4"/>
    <x v="7"/>
    <x v="49"/>
    <x v="0"/>
    <x v="6"/>
    <n v="0"/>
  </r>
  <r>
    <x v="0"/>
    <x v="2"/>
    <x v="4"/>
    <x v="7"/>
    <x v="50"/>
    <x v="0"/>
    <x v="0"/>
    <n v="0"/>
  </r>
  <r>
    <x v="0"/>
    <x v="2"/>
    <x v="4"/>
    <x v="7"/>
    <x v="50"/>
    <x v="0"/>
    <x v="1"/>
    <n v="0"/>
  </r>
  <r>
    <x v="0"/>
    <x v="2"/>
    <x v="4"/>
    <x v="7"/>
    <x v="50"/>
    <x v="0"/>
    <x v="2"/>
    <n v="0"/>
  </r>
  <r>
    <x v="0"/>
    <x v="2"/>
    <x v="4"/>
    <x v="7"/>
    <x v="50"/>
    <x v="0"/>
    <x v="3"/>
    <n v="0"/>
  </r>
  <r>
    <x v="0"/>
    <x v="2"/>
    <x v="4"/>
    <x v="7"/>
    <x v="50"/>
    <x v="0"/>
    <x v="4"/>
    <n v="0"/>
  </r>
  <r>
    <x v="0"/>
    <x v="2"/>
    <x v="4"/>
    <x v="7"/>
    <x v="50"/>
    <x v="0"/>
    <x v="5"/>
    <n v="0"/>
  </r>
  <r>
    <x v="0"/>
    <x v="2"/>
    <x v="4"/>
    <x v="7"/>
    <x v="50"/>
    <x v="0"/>
    <x v="6"/>
    <n v="0"/>
  </r>
  <r>
    <x v="0"/>
    <x v="2"/>
    <x v="5"/>
    <x v="8"/>
    <x v="51"/>
    <x v="0"/>
    <x v="0"/>
    <n v="0"/>
  </r>
  <r>
    <x v="0"/>
    <x v="2"/>
    <x v="5"/>
    <x v="8"/>
    <x v="51"/>
    <x v="0"/>
    <x v="1"/>
    <n v="0"/>
  </r>
  <r>
    <x v="0"/>
    <x v="2"/>
    <x v="5"/>
    <x v="8"/>
    <x v="51"/>
    <x v="0"/>
    <x v="2"/>
    <n v="0"/>
  </r>
  <r>
    <x v="0"/>
    <x v="2"/>
    <x v="5"/>
    <x v="8"/>
    <x v="51"/>
    <x v="0"/>
    <x v="3"/>
    <n v="0"/>
  </r>
  <r>
    <x v="0"/>
    <x v="2"/>
    <x v="5"/>
    <x v="8"/>
    <x v="51"/>
    <x v="0"/>
    <x v="4"/>
    <n v="0"/>
  </r>
  <r>
    <x v="0"/>
    <x v="2"/>
    <x v="5"/>
    <x v="8"/>
    <x v="51"/>
    <x v="0"/>
    <x v="5"/>
    <n v="0"/>
  </r>
  <r>
    <x v="0"/>
    <x v="2"/>
    <x v="5"/>
    <x v="8"/>
    <x v="51"/>
    <x v="0"/>
    <x v="6"/>
    <n v="0"/>
  </r>
  <r>
    <x v="0"/>
    <x v="2"/>
    <x v="3"/>
    <x v="5"/>
    <x v="52"/>
    <x v="0"/>
    <x v="0"/>
    <n v="0"/>
  </r>
  <r>
    <x v="0"/>
    <x v="2"/>
    <x v="3"/>
    <x v="5"/>
    <x v="52"/>
    <x v="0"/>
    <x v="1"/>
    <n v="0"/>
  </r>
  <r>
    <x v="0"/>
    <x v="2"/>
    <x v="3"/>
    <x v="5"/>
    <x v="52"/>
    <x v="0"/>
    <x v="2"/>
    <n v="0"/>
  </r>
  <r>
    <x v="0"/>
    <x v="2"/>
    <x v="3"/>
    <x v="5"/>
    <x v="52"/>
    <x v="0"/>
    <x v="3"/>
    <n v="0"/>
  </r>
  <r>
    <x v="0"/>
    <x v="2"/>
    <x v="3"/>
    <x v="5"/>
    <x v="52"/>
    <x v="0"/>
    <x v="4"/>
    <n v="0"/>
  </r>
  <r>
    <x v="0"/>
    <x v="2"/>
    <x v="3"/>
    <x v="5"/>
    <x v="52"/>
    <x v="0"/>
    <x v="5"/>
    <n v="0"/>
  </r>
  <r>
    <x v="0"/>
    <x v="2"/>
    <x v="3"/>
    <x v="5"/>
    <x v="52"/>
    <x v="0"/>
    <x v="6"/>
    <n v="0"/>
  </r>
  <r>
    <x v="0"/>
    <x v="2"/>
    <x v="5"/>
    <x v="8"/>
    <x v="53"/>
    <x v="0"/>
    <x v="0"/>
    <n v="0"/>
  </r>
  <r>
    <x v="0"/>
    <x v="2"/>
    <x v="5"/>
    <x v="8"/>
    <x v="53"/>
    <x v="0"/>
    <x v="1"/>
    <n v="0"/>
  </r>
  <r>
    <x v="0"/>
    <x v="2"/>
    <x v="5"/>
    <x v="8"/>
    <x v="53"/>
    <x v="0"/>
    <x v="2"/>
    <n v="0"/>
  </r>
  <r>
    <x v="0"/>
    <x v="2"/>
    <x v="5"/>
    <x v="8"/>
    <x v="53"/>
    <x v="0"/>
    <x v="3"/>
    <n v="0"/>
  </r>
  <r>
    <x v="0"/>
    <x v="2"/>
    <x v="5"/>
    <x v="8"/>
    <x v="53"/>
    <x v="0"/>
    <x v="4"/>
    <n v="0"/>
  </r>
  <r>
    <x v="0"/>
    <x v="2"/>
    <x v="5"/>
    <x v="8"/>
    <x v="53"/>
    <x v="0"/>
    <x v="5"/>
    <n v="0"/>
  </r>
  <r>
    <x v="0"/>
    <x v="2"/>
    <x v="5"/>
    <x v="8"/>
    <x v="53"/>
    <x v="0"/>
    <x v="6"/>
    <n v="0"/>
  </r>
  <r>
    <x v="0"/>
    <x v="2"/>
    <x v="4"/>
    <x v="7"/>
    <x v="54"/>
    <x v="0"/>
    <x v="0"/>
    <n v="0"/>
  </r>
  <r>
    <x v="0"/>
    <x v="2"/>
    <x v="4"/>
    <x v="7"/>
    <x v="54"/>
    <x v="0"/>
    <x v="1"/>
    <n v="0"/>
  </r>
  <r>
    <x v="0"/>
    <x v="2"/>
    <x v="4"/>
    <x v="7"/>
    <x v="54"/>
    <x v="0"/>
    <x v="2"/>
    <n v="0"/>
  </r>
  <r>
    <x v="0"/>
    <x v="2"/>
    <x v="4"/>
    <x v="7"/>
    <x v="54"/>
    <x v="0"/>
    <x v="3"/>
    <n v="0"/>
  </r>
  <r>
    <x v="0"/>
    <x v="2"/>
    <x v="4"/>
    <x v="7"/>
    <x v="54"/>
    <x v="0"/>
    <x v="4"/>
    <n v="0"/>
  </r>
  <r>
    <x v="0"/>
    <x v="2"/>
    <x v="4"/>
    <x v="7"/>
    <x v="54"/>
    <x v="0"/>
    <x v="5"/>
    <n v="0"/>
  </r>
  <r>
    <x v="0"/>
    <x v="2"/>
    <x v="4"/>
    <x v="7"/>
    <x v="54"/>
    <x v="0"/>
    <x v="6"/>
    <n v="0"/>
  </r>
  <r>
    <x v="0"/>
    <x v="2"/>
    <x v="4"/>
    <x v="7"/>
    <x v="55"/>
    <x v="0"/>
    <x v="0"/>
    <n v="0"/>
  </r>
  <r>
    <x v="0"/>
    <x v="2"/>
    <x v="4"/>
    <x v="7"/>
    <x v="55"/>
    <x v="0"/>
    <x v="1"/>
    <n v="0"/>
  </r>
  <r>
    <x v="0"/>
    <x v="2"/>
    <x v="4"/>
    <x v="7"/>
    <x v="55"/>
    <x v="0"/>
    <x v="2"/>
    <n v="0"/>
  </r>
  <r>
    <x v="0"/>
    <x v="2"/>
    <x v="4"/>
    <x v="7"/>
    <x v="55"/>
    <x v="0"/>
    <x v="3"/>
    <n v="0"/>
  </r>
  <r>
    <x v="0"/>
    <x v="2"/>
    <x v="4"/>
    <x v="7"/>
    <x v="55"/>
    <x v="0"/>
    <x v="4"/>
    <n v="0"/>
  </r>
  <r>
    <x v="0"/>
    <x v="2"/>
    <x v="4"/>
    <x v="7"/>
    <x v="55"/>
    <x v="0"/>
    <x v="5"/>
    <n v="0"/>
  </r>
  <r>
    <x v="0"/>
    <x v="2"/>
    <x v="4"/>
    <x v="7"/>
    <x v="55"/>
    <x v="0"/>
    <x v="6"/>
    <n v="0"/>
  </r>
  <r>
    <x v="0"/>
    <x v="2"/>
    <x v="4"/>
    <x v="7"/>
    <x v="56"/>
    <x v="0"/>
    <x v="0"/>
    <n v="0"/>
  </r>
  <r>
    <x v="0"/>
    <x v="2"/>
    <x v="4"/>
    <x v="7"/>
    <x v="56"/>
    <x v="0"/>
    <x v="1"/>
    <n v="0"/>
  </r>
  <r>
    <x v="0"/>
    <x v="2"/>
    <x v="4"/>
    <x v="7"/>
    <x v="56"/>
    <x v="0"/>
    <x v="2"/>
    <n v="0"/>
  </r>
  <r>
    <x v="0"/>
    <x v="2"/>
    <x v="4"/>
    <x v="7"/>
    <x v="56"/>
    <x v="0"/>
    <x v="3"/>
    <n v="0"/>
  </r>
  <r>
    <x v="0"/>
    <x v="2"/>
    <x v="4"/>
    <x v="7"/>
    <x v="56"/>
    <x v="0"/>
    <x v="4"/>
    <n v="0"/>
  </r>
  <r>
    <x v="0"/>
    <x v="2"/>
    <x v="4"/>
    <x v="7"/>
    <x v="56"/>
    <x v="0"/>
    <x v="5"/>
    <n v="0"/>
  </r>
  <r>
    <x v="0"/>
    <x v="2"/>
    <x v="4"/>
    <x v="7"/>
    <x v="56"/>
    <x v="0"/>
    <x v="6"/>
    <n v="0"/>
  </r>
  <r>
    <x v="0"/>
    <x v="2"/>
    <x v="4"/>
    <x v="7"/>
    <x v="57"/>
    <x v="0"/>
    <x v="0"/>
    <n v="0"/>
  </r>
  <r>
    <x v="0"/>
    <x v="2"/>
    <x v="4"/>
    <x v="7"/>
    <x v="57"/>
    <x v="0"/>
    <x v="1"/>
    <n v="0"/>
  </r>
  <r>
    <x v="0"/>
    <x v="2"/>
    <x v="4"/>
    <x v="7"/>
    <x v="57"/>
    <x v="0"/>
    <x v="2"/>
    <n v="0"/>
  </r>
  <r>
    <x v="0"/>
    <x v="2"/>
    <x v="4"/>
    <x v="7"/>
    <x v="57"/>
    <x v="0"/>
    <x v="3"/>
    <n v="0"/>
  </r>
  <r>
    <x v="0"/>
    <x v="2"/>
    <x v="4"/>
    <x v="7"/>
    <x v="57"/>
    <x v="0"/>
    <x v="4"/>
    <n v="0"/>
  </r>
  <r>
    <x v="0"/>
    <x v="2"/>
    <x v="4"/>
    <x v="7"/>
    <x v="57"/>
    <x v="0"/>
    <x v="5"/>
    <n v="0"/>
  </r>
  <r>
    <x v="0"/>
    <x v="2"/>
    <x v="4"/>
    <x v="7"/>
    <x v="57"/>
    <x v="0"/>
    <x v="6"/>
    <n v="0"/>
  </r>
  <r>
    <x v="0"/>
    <x v="2"/>
    <x v="4"/>
    <x v="7"/>
    <x v="58"/>
    <x v="0"/>
    <x v="0"/>
    <n v="0"/>
  </r>
  <r>
    <x v="0"/>
    <x v="2"/>
    <x v="4"/>
    <x v="7"/>
    <x v="58"/>
    <x v="0"/>
    <x v="1"/>
    <n v="0"/>
  </r>
  <r>
    <x v="0"/>
    <x v="2"/>
    <x v="4"/>
    <x v="7"/>
    <x v="58"/>
    <x v="0"/>
    <x v="2"/>
    <n v="0"/>
  </r>
  <r>
    <x v="0"/>
    <x v="2"/>
    <x v="4"/>
    <x v="7"/>
    <x v="58"/>
    <x v="0"/>
    <x v="3"/>
    <n v="0"/>
  </r>
  <r>
    <x v="0"/>
    <x v="2"/>
    <x v="4"/>
    <x v="7"/>
    <x v="58"/>
    <x v="0"/>
    <x v="4"/>
    <n v="0"/>
  </r>
  <r>
    <x v="0"/>
    <x v="2"/>
    <x v="4"/>
    <x v="7"/>
    <x v="58"/>
    <x v="0"/>
    <x v="5"/>
    <n v="0"/>
  </r>
  <r>
    <x v="0"/>
    <x v="2"/>
    <x v="4"/>
    <x v="7"/>
    <x v="58"/>
    <x v="0"/>
    <x v="6"/>
    <n v="0"/>
  </r>
  <r>
    <x v="0"/>
    <x v="2"/>
    <x v="4"/>
    <x v="7"/>
    <x v="59"/>
    <x v="0"/>
    <x v="0"/>
    <n v="0"/>
  </r>
  <r>
    <x v="0"/>
    <x v="2"/>
    <x v="4"/>
    <x v="7"/>
    <x v="59"/>
    <x v="0"/>
    <x v="1"/>
    <n v="0"/>
  </r>
  <r>
    <x v="0"/>
    <x v="2"/>
    <x v="4"/>
    <x v="7"/>
    <x v="59"/>
    <x v="0"/>
    <x v="2"/>
    <n v="0"/>
  </r>
  <r>
    <x v="0"/>
    <x v="2"/>
    <x v="4"/>
    <x v="7"/>
    <x v="59"/>
    <x v="0"/>
    <x v="3"/>
    <n v="0"/>
  </r>
  <r>
    <x v="0"/>
    <x v="2"/>
    <x v="4"/>
    <x v="7"/>
    <x v="59"/>
    <x v="0"/>
    <x v="4"/>
    <n v="0"/>
  </r>
  <r>
    <x v="0"/>
    <x v="2"/>
    <x v="4"/>
    <x v="7"/>
    <x v="59"/>
    <x v="0"/>
    <x v="5"/>
    <n v="0"/>
  </r>
  <r>
    <x v="0"/>
    <x v="2"/>
    <x v="4"/>
    <x v="7"/>
    <x v="59"/>
    <x v="0"/>
    <x v="6"/>
    <n v="0"/>
  </r>
  <r>
    <x v="0"/>
    <x v="2"/>
    <x v="4"/>
    <x v="7"/>
    <x v="60"/>
    <x v="0"/>
    <x v="0"/>
    <n v="0"/>
  </r>
  <r>
    <x v="0"/>
    <x v="2"/>
    <x v="4"/>
    <x v="7"/>
    <x v="60"/>
    <x v="0"/>
    <x v="1"/>
    <n v="0"/>
  </r>
  <r>
    <x v="0"/>
    <x v="2"/>
    <x v="4"/>
    <x v="7"/>
    <x v="60"/>
    <x v="0"/>
    <x v="2"/>
    <n v="0"/>
  </r>
  <r>
    <x v="0"/>
    <x v="2"/>
    <x v="4"/>
    <x v="7"/>
    <x v="60"/>
    <x v="0"/>
    <x v="3"/>
    <n v="0"/>
  </r>
  <r>
    <x v="0"/>
    <x v="2"/>
    <x v="4"/>
    <x v="7"/>
    <x v="60"/>
    <x v="0"/>
    <x v="4"/>
    <n v="0"/>
  </r>
  <r>
    <x v="0"/>
    <x v="2"/>
    <x v="4"/>
    <x v="7"/>
    <x v="60"/>
    <x v="0"/>
    <x v="5"/>
    <n v="0"/>
  </r>
  <r>
    <x v="0"/>
    <x v="2"/>
    <x v="4"/>
    <x v="7"/>
    <x v="60"/>
    <x v="0"/>
    <x v="6"/>
    <n v="0"/>
  </r>
  <r>
    <x v="0"/>
    <x v="2"/>
    <x v="4"/>
    <x v="7"/>
    <x v="61"/>
    <x v="0"/>
    <x v="0"/>
    <n v="0"/>
  </r>
  <r>
    <x v="0"/>
    <x v="2"/>
    <x v="4"/>
    <x v="7"/>
    <x v="61"/>
    <x v="0"/>
    <x v="1"/>
    <n v="0"/>
  </r>
  <r>
    <x v="0"/>
    <x v="2"/>
    <x v="4"/>
    <x v="7"/>
    <x v="61"/>
    <x v="0"/>
    <x v="2"/>
    <n v="0"/>
  </r>
  <r>
    <x v="0"/>
    <x v="2"/>
    <x v="4"/>
    <x v="7"/>
    <x v="61"/>
    <x v="0"/>
    <x v="3"/>
    <n v="0"/>
  </r>
  <r>
    <x v="0"/>
    <x v="2"/>
    <x v="4"/>
    <x v="7"/>
    <x v="61"/>
    <x v="0"/>
    <x v="4"/>
    <n v="0"/>
  </r>
  <r>
    <x v="0"/>
    <x v="2"/>
    <x v="4"/>
    <x v="7"/>
    <x v="61"/>
    <x v="0"/>
    <x v="5"/>
    <n v="0"/>
  </r>
  <r>
    <x v="0"/>
    <x v="2"/>
    <x v="4"/>
    <x v="7"/>
    <x v="61"/>
    <x v="0"/>
    <x v="6"/>
    <n v="0"/>
  </r>
  <r>
    <x v="0"/>
    <x v="2"/>
    <x v="4"/>
    <x v="7"/>
    <x v="62"/>
    <x v="0"/>
    <x v="0"/>
    <n v="0"/>
  </r>
  <r>
    <x v="0"/>
    <x v="2"/>
    <x v="4"/>
    <x v="7"/>
    <x v="62"/>
    <x v="0"/>
    <x v="1"/>
    <n v="0"/>
  </r>
  <r>
    <x v="0"/>
    <x v="2"/>
    <x v="4"/>
    <x v="7"/>
    <x v="62"/>
    <x v="0"/>
    <x v="2"/>
    <n v="0"/>
  </r>
  <r>
    <x v="0"/>
    <x v="2"/>
    <x v="4"/>
    <x v="7"/>
    <x v="62"/>
    <x v="0"/>
    <x v="3"/>
    <n v="0"/>
  </r>
  <r>
    <x v="0"/>
    <x v="2"/>
    <x v="4"/>
    <x v="7"/>
    <x v="62"/>
    <x v="0"/>
    <x v="4"/>
    <n v="0"/>
  </r>
  <r>
    <x v="0"/>
    <x v="2"/>
    <x v="4"/>
    <x v="7"/>
    <x v="62"/>
    <x v="0"/>
    <x v="5"/>
    <n v="0"/>
  </r>
  <r>
    <x v="0"/>
    <x v="2"/>
    <x v="4"/>
    <x v="7"/>
    <x v="62"/>
    <x v="0"/>
    <x v="6"/>
    <n v="0"/>
  </r>
  <r>
    <x v="0"/>
    <x v="2"/>
    <x v="4"/>
    <x v="7"/>
    <x v="63"/>
    <x v="0"/>
    <x v="0"/>
    <n v="0"/>
  </r>
  <r>
    <x v="0"/>
    <x v="2"/>
    <x v="4"/>
    <x v="7"/>
    <x v="63"/>
    <x v="0"/>
    <x v="1"/>
    <n v="0"/>
  </r>
  <r>
    <x v="0"/>
    <x v="2"/>
    <x v="4"/>
    <x v="7"/>
    <x v="63"/>
    <x v="0"/>
    <x v="2"/>
    <n v="0"/>
  </r>
  <r>
    <x v="0"/>
    <x v="2"/>
    <x v="4"/>
    <x v="7"/>
    <x v="63"/>
    <x v="0"/>
    <x v="3"/>
    <n v="0"/>
  </r>
  <r>
    <x v="0"/>
    <x v="2"/>
    <x v="4"/>
    <x v="7"/>
    <x v="63"/>
    <x v="0"/>
    <x v="4"/>
    <n v="0"/>
  </r>
  <r>
    <x v="0"/>
    <x v="2"/>
    <x v="4"/>
    <x v="7"/>
    <x v="63"/>
    <x v="0"/>
    <x v="5"/>
    <n v="0"/>
  </r>
  <r>
    <x v="0"/>
    <x v="2"/>
    <x v="4"/>
    <x v="7"/>
    <x v="63"/>
    <x v="0"/>
    <x v="6"/>
    <n v="0"/>
  </r>
  <r>
    <x v="0"/>
    <x v="2"/>
    <x v="4"/>
    <x v="7"/>
    <x v="64"/>
    <x v="0"/>
    <x v="0"/>
    <n v="0"/>
  </r>
  <r>
    <x v="0"/>
    <x v="2"/>
    <x v="4"/>
    <x v="7"/>
    <x v="64"/>
    <x v="0"/>
    <x v="1"/>
    <n v="0"/>
  </r>
  <r>
    <x v="0"/>
    <x v="2"/>
    <x v="4"/>
    <x v="7"/>
    <x v="64"/>
    <x v="0"/>
    <x v="2"/>
    <n v="0"/>
  </r>
  <r>
    <x v="0"/>
    <x v="2"/>
    <x v="4"/>
    <x v="7"/>
    <x v="64"/>
    <x v="0"/>
    <x v="3"/>
    <n v="0"/>
  </r>
  <r>
    <x v="0"/>
    <x v="2"/>
    <x v="4"/>
    <x v="7"/>
    <x v="64"/>
    <x v="0"/>
    <x v="4"/>
    <n v="0"/>
  </r>
  <r>
    <x v="0"/>
    <x v="2"/>
    <x v="4"/>
    <x v="7"/>
    <x v="64"/>
    <x v="0"/>
    <x v="5"/>
    <n v="0"/>
  </r>
  <r>
    <x v="0"/>
    <x v="2"/>
    <x v="4"/>
    <x v="7"/>
    <x v="64"/>
    <x v="0"/>
    <x v="6"/>
    <n v="0"/>
  </r>
  <r>
    <x v="0"/>
    <x v="2"/>
    <x v="3"/>
    <x v="5"/>
    <x v="65"/>
    <x v="0"/>
    <x v="0"/>
    <n v="0"/>
  </r>
  <r>
    <x v="0"/>
    <x v="2"/>
    <x v="3"/>
    <x v="5"/>
    <x v="65"/>
    <x v="0"/>
    <x v="1"/>
    <n v="0"/>
  </r>
  <r>
    <x v="0"/>
    <x v="2"/>
    <x v="3"/>
    <x v="5"/>
    <x v="65"/>
    <x v="0"/>
    <x v="2"/>
    <n v="0"/>
  </r>
  <r>
    <x v="0"/>
    <x v="2"/>
    <x v="3"/>
    <x v="5"/>
    <x v="65"/>
    <x v="0"/>
    <x v="3"/>
    <n v="0"/>
  </r>
  <r>
    <x v="0"/>
    <x v="2"/>
    <x v="3"/>
    <x v="5"/>
    <x v="65"/>
    <x v="0"/>
    <x v="4"/>
    <n v="0"/>
  </r>
  <r>
    <x v="0"/>
    <x v="2"/>
    <x v="3"/>
    <x v="5"/>
    <x v="65"/>
    <x v="0"/>
    <x v="5"/>
    <n v="0"/>
  </r>
  <r>
    <x v="0"/>
    <x v="2"/>
    <x v="3"/>
    <x v="5"/>
    <x v="65"/>
    <x v="0"/>
    <x v="6"/>
    <n v="0"/>
  </r>
  <r>
    <x v="0"/>
    <x v="2"/>
    <x v="3"/>
    <x v="5"/>
    <x v="66"/>
    <x v="0"/>
    <x v="0"/>
    <n v="0"/>
  </r>
  <r>
    <x v="0"/>
    <x v="2"/>
    <x v="3"/>
    <x v="5"/>
    <x v="66"/>
    <x v="0"/>
    <x v="1"/>
    <n v="0"/>
  </r>
  <r>
    <x v="0"/>
    <x v="2"/>
    <x v="3"/>
    <x v="5"/>
    <x v="66"/>
    <x v="0"/>
    <x v="2"/>
    <n v="0"/>
  </r>
  <r>
    <x v="0"/>
    <x v="2"/>
    <x v="3"/>
    <x v="5"/>
    <x v="66"/>
    <x v="0"/>
    <x v="3"/>
    <n v="0"/>
  </r>
  <r>
    <x v="0"/>
    <x v="2"/>
    <x v="3"/>
    <x v="5"/>
    <x v="66"/>
    <x v="0"/>
    <x v="4"/>
    <n v="0"/>
  </r>
  <r>
    <x v="0"/>
    <x v="2"/>
    <x v="3"/>
    <x v="5"/>
    <x v="66"/>
    <x v="0"/>
    <x v="5"/>
    <n v="0"/>
  </r>
  <r>
    <x v="0"/>
    <x v="2"/>
    <x v="3"/>
    <x v="5"/>
    <x v="66"/>
    <x v="0"/>
    <x v="6"/>
    <n v="0"/>
  </r>
  <r>
    <x v="0"/>
    <x v="2"/>
    <x v="3"/>
    <x v="5"/>
    <x v="67"/>
    <x v="0"/>
    <x v="0"/>
    <n v="0"/>
  </r>
  <r>
    <x v="0"/>
    <x v="2"/>
    <x v="3"/>
    <x v="5"/>
    <x v="67"/>
    <x v="0"/>
    <x v="1"/>
    <n v="0"/>
  </r>
  <r>
    <x v="0"/>
    <x v="2"/>
    <x v="3"/>
    <x v="5"/>
    <x v="67"/>
    <x v="0"/>
    <x v="2"/>
    <n v="0"/>
  </r>
  <r>
    <x v="0"/>
    <x v="2"/>
    <x v="3"/>
    <x v="5"/>
    <x v="67"/>
    <x v="0"/>
    <x v="3"/>
    <n v="0"/>
  </r>
  <r>
    <x v="0"/>
    <x v="2"/>
    <x v="3"/>
    <x v="5"/>
    <x v="67"/>
    <x v="0"/>
    <x v="4"/>
    <n v="0"/>
  </r>
  <r>
    <x v="0"/>
    <x v="2"/>
    <x v="3"/>
    <x v="5"/>
    <x v="67"/>
    <x v="0"/>
    <x v="5"/>
    <n v="0"/>
  </r>
  <r>
    <x v="0"/>
    <x v="2"/>
    <x v="3"/>
    <x v="5"/>
    <x v="67"/>
    <x v="0"/>
    <x v="6"/>
    <n v="0"/>
  </r>
  <r>
    <x v="0"/>
    <x v="2"/>
    <x v="3"/>
    <x v="5"/>
    <x v="68"/>
    <x v="0"/>
    <x v="0"/>
    <n v="0"/>
  </r>
  <r>
    <x v="0"/>
    <x v="2"/>
    <x v="3"/>
    <x v="5"/>
    <x v="68"/>
    <x v="0"/>
    <x v="1"/>
    <n v="0"/>
  </r>
  <r>
    <x v="0"/>
    <x v="2"/>
    <x v="3"/>
    <x v="5"/>
    <x v="68"/>
    <x v="0"/>
    <x v="2"/>
    <n v="0"/>
  </r>
  <r>
    <x v="0"/>
    <x v="2"/>
    <x v="3"/>
    <x v="5"/>
    <x v="68"/>
    <x v="0"/>
    <x v="3"/>
    <n v="0"/>
  </r>
  <r>
    <x v="0"/>
    <x v="2"/>
    <x v="3"/>
    <x v="5"/>
    <x v="68"/>
    <x v="0"/>
    <x v="4"/>
    <n v="0"/>
  </r>
  <r>
    <x v="0"/>
    <x v="2"/>
    <x v="3"/>
    <x v="5"/>
    <x v="68"/>
    <x v="0"/>
    <x v="5"/>
    <n v="0"/>
  </r>
  <r>
    <x v="0"/>
    <x v="2"/>
    <x v="3"/>
    <x v="5"/>
    <x v="68"/>
    <x v="0"/>
    <x v="6"/>
    <n v="0"/>
  </r>
  <r>
    <x v="0"/>
    <x v="2"/>
    <x v="3"/>
    <x v="5"/>
    <x v="69"/>
    <x v="0"/>
    <x v="0"/>
    <n v="0"/>
  </r>
  <r>
    <x v="0"/>
    <x v="2"/>
    <x v="3"/>
    <x v="5"/>
    <x v="69"/>
    <x v="0"/>
    <x v="1"/>
    <n v="0"/>
  </r>
  <r>
    <x v="0"/>
    <x v="2"/>
    <x v="3"/>
    <x v="5"/>
    <x v="69"/>
    <x v="0"/>
    <x v="2"/>
    <n v="0"/>
  </r>
  <r>
    <x v="0"/>
    <x v="2"/>
    <x v="3"/>
    <x v="5"/>
    <x v="69"/>
    <x v="0"/>
    <x v="3"/>
    <n v="0"/>
  </r>
  <r>
    <x v="0"/>
    <x v="2"/>
    <x v="3"/>
    <x v="5"/>
    <x v="69"/>
    <x v="0"/>
    <x v="4"/>
    <n v="0"/>
  </r>
  <r>
    <x v="0"/>
    <x v="2"/>
    <x v="3"/>
    <x v="5"/>
    <x v="69"/>
    <x v="0"/>
    <x v="5"/>
    <n v="0"/>
  </r>
  <r>
    <x v="0"/>
    <x v="2"/>
    <x v="3"/>
    <x v="5"/>
    <x v="69"/>
    <x v="0"/>
    <x v="6"/>
    <n v="0"/>
  </r>
  <r>
    <x v="0"/>
    <x v="2"/>
    <x v="3"/>
    <x v="5"/>
    <x v="70"/>
    <x v="0"/>
    <x v="0"/>
    <n v="0"/>
  </r>
  <r>
    <x v="0"/>
    <x v="2"/>
    <x v="3"/>
    <x v="5"/>
    <x v="70"/>
    <x v="0"/>
    <x v="1"/>
    <n v="0"/>
  </r>
  <r>
    <x v="0"/>
    <x v="2"/>
    <x v="3"/>
    <x v="5"/>
    <x v="70"/>
    <x v="0"/>
    <x v="2"/>
    <n v="0"/>
  </r>
  <r>
    <x v="0"/>
    <x v="2"/>
    <x v="3"/>
    <x v="5"/>
    <x v="70"/>
    <x v="0"/>
    <x v="3"/>
    <n v="0"/>
  </r>
  <r>
    <x v="0"/>
    <x v="2"/>
    <x v="3"/>
    <x v="5"/>
    <x v="70"/>
    <x v="0"/>
    <x v="4"/>
    <n v="0"/>
  </r>
  <r>
    <x v="0"/>
    <x v="2"/>
    <x v="3"/>
    <x v="5"/>
    <x v="70"/>
    <x v="0"/>
    <x v="5"/>
    <n v="0"/>
  </r>
  <r>
    <x v="0"/>
    <x v="2"/>
    <x v="3"/>
    <x v="5"/>
    <x v="70"/>
    <x v="0"/>
    <x v="6"/>
    <n v="0"/>
  </r>
  <r>
    <x v="0"/>
    <x v="2"/>
    <x v="3"/>
    <x v="5"/>
    <x v="71"/>
    <x v="0"/>
    <x v="0"/>
    <n v="0"/>
  </r>
  <r>
    <x v="0"/>
    <x v="2"/>
    <x v="3"/>
    <x v="5"/>
    <x v="71"/>
    <x v="0"/>
    <x v="1"/>
    <n v="0"/>
  </r>
  <r>
    <x v="0"/>
    <x v="2"/>
    <x v="3"/>
    <x v="5"/>
    <x v="71"/>
    <x v="0"/>
    <x v="2"/>
    <n v="0"/>
  </r>
  <r>
    <x v="0"/>
    <x v="2"/>
    <x v="3"/>
    <x v="5"/>
    <x v="71"/>
    <x v="0"/>
    <x v="3"/>
    <n v="0"/>
  </r>
  <r>
    <x v="0"/>
    <x v="2"/>
    <x v="3"/>
    <x v="5"/>
    <x v="71"/>
    <x v="0"/>
    <x v="4"/>
    <n v="0"/>
  </r>
  <r>
    <x v="0"/>
    <x v="2"/>
    <x v="3"/>
    <x v="5"/>
    <x v="71"/>
    <x v="0"/>
    <x v="5"/>
    <n v="0"/>
  </r>
  <r>
    <x v="0"/>
    <x v="2"/>
    <x v="3"/>
    <x v="5"/>
    <x v="71"/>
    <x v="0"/>
    <x v="6"/>
    <n v="0"/>
  </r>
  <r>
    <x v="0"/>
    <x v="2"/>
    <x v="3"/>
    <x v="5"/>
    <x v="72"/>
    <x v="0"/>
    <x v="0"/>
    <n v="0"/>
  </r>
  <r>
    <x v="0"/>
    <x v="2"/>
    <x v="3"/>
    <x v="5"/>
    <x v="72"/>
    <x v="0"/>
    <x v="1"/>
    <n v="0"/>
  </r>
  <r>
    <x v="0"/>
    <x v="2"/>
    <x v="3"/>
    <x v="5"/>
    <x v="72"/>
    <x v="0"/>
    <x v="2"/>
    <n v="0"/>
  </r>
  <r>
    <x v="0"/>
    <x v="2"/>
    <x v="3"/>
    <x v="5"/>
    <x v="72"/>
    <x v="0"/>
    <x v="3"/>
    <n v="0"/>
  </r>
  <r>
    <x v="0"/>
    <x v="2"/>
    <x v="3"/>
    <x v="5"/>
    <x v="72"/>
    <x v="0"/>
    <x v="4"/>
    <n v="0"/>
  </r>
  <r>
    <x v="0"/>
    <x v="2"/>
    <x v="3"/>
    <x v="5"/>
    <x v="72"/>
    <x v="0"/>
    <x v="5"/>
    <n v="0"/>
  </r>
  <r>
    <x v="0"/>
    <x v="2"/>
    <x v="3"/>
    <x v="5"/>
    <x v="72"/>
    <x v="0"/>
    <x v="6"/>
    <n v="0"/>
  </r>
  <r>
    <x v="0"/>
    <x v="2"/>
    <x v="3"/>
    <x v="5"/>
    <x v="73"/>
    <x v="0"/>
    <x v="0"/>
    <n v="0"/>
  </r>
  <r>
    <x v="0"/>
    <x v="2"/>
    <x v="3"/>
    <x v="5"/>
    <x v="73"/>
    <x v="0"/>
    <x v="1"/>
    <n v="0"/>
  </r>
  <r>
    <x v="0"/>
    <x v="2"/>
    <x v="3"/>
    <x v="5"/>
    <x v="73"/>
    <x v="0"/>
    <x v="2"/>
    <n v="0"/>
  </r>
  <r>
    <x v="0"/>
    <x v="2"/>
    <x v="3"/>
    <x v="5"/>
    <x v="73"/>
    <x v="0"/>
    <x v="3"/>
    <n v="0"/>
  </r>
  <r>
    <x v="0"/>
    <x v="2"/>
    <x v="3"/>
    <x v="5"/>
    <x v="73"/>
    <x v="0"/>
    <x v="4"/>
    <n v="0"/>
  </r>
  <r>
    <x v="0"/>
    <x v="2"/>
    <x v="3"/>
    <x v="5"/>
    <x v="73"/>
    <x v="0"/>
    <x v="5"/>
    <n v="0"/>
  </r>
  <r>
    <x v="0"/>
    <x v="2"/>
    <x v="3"/>
    <x v="5"/>
    <x v="73"/>
    <x v="0"/>
    <x v="6"/>
    <n v="0"/>
  </r>
  <r>
    <x v="0"/>
    <x v="2"/>
    <x v="5"/>
    <x v="8"/>
    <x v="74"/>
    <x v="0"/>
    <x v="0"/>
    <n v="0"/>
  </r>
  <r>
    <x v="0"/>
    <x v="2"/>
    <x v="5"/>
    <x v="8"/>
    <x v="74"/>
    <x v="0"/>
    <x v="1"/>
    <n v="0"/>
  </r>
  <r>
    <x v="0"/>
    <x v="2"/>
    <x v="5"/>
    <x v="8"/>
    <x v="74"/>
    <x v="0"/>
    <x v="2"/>
    <n v="0"/>
  </r>
  <r>
    <x v="0"/>
    <x v="2"/>
    <x v="5"/>
    <x v="8"/>
    <x v="74"/>
    <x v="0"/>
    <x v="3"/>
    <n v="0"/>
  </r>
  <r>
    <x v="0"/>
    <x v="2"/>
    <x v="5"/>
    <x v="8"/>
    <x v="74"/>
    <x v="0"/>
    <x v="4"/>
    <n v="0"/>
  </r>
  <r>
    <x v="0"/>
    <x v="2"/>
    <x v="5"/>
    <x v="8"/>
    <x v="74"/>
    <x v="0"/>
    <x v="5"/>
    <n v="0"/>
  </r>
  <r>
    <x v="0"/>
    <x v="2"/>
    <x v="5"/>
    <x v="8"/>
    <x v="74"/>
    <x v="0"/>
    <x v="6"/>
    <n v="0"/>
  </r>
  <r>
    <x v="0"/>
    <x v="2"/>
    <x v="5"/>
    <x v="8"/>
    <x v="75"/>
    <x v="0"/>
    <x v="0"/>
    <n v="0"/>
  </r>
  <r>
    <x v="0"/>
    <x v="2"/>
    <x v="5"/>
    <x v="8"/>
    <x v="75"/>
    <x v="0"/>
    <x v="1"/>
    <n v="0"/>
  </r>
  <r>
    <x v="0"/>
    <x v="2"/>
    <x v="5"/>
    <x v="8"/>
    <x v="75"/>
    <x v="0"/>
    <x v="2"/>
    <n v="0"/>
  </r>
  <r>
    <x v="0"/>
    <x v="2"/>
    <x v="5"/>
    <x v="8"/>
    <x v="75"/>
    <x v="0"/>
    <x v="3"/>
    <n v="0"/>
  </r>
  <r>
    <x v="0"/>
    <x v="2"/>
    <x v="5"/>
    <x v="8"/>
    <x v="75"/>
    <x v="0"/>
    <x v="4"/>
    <n v="0"/>
  </r>
  <r>
    <x v="0"/>
    <x v="2"/>
    <x v="5"/>
    <x v="8"/>
    <x v="75"/>
    <x v="0"/>
    <x v="5"/>
    <n v="0"/>
  </r>
  <r>
    <x v="0"/>
    <x v="2"/>
    <x v="5"/>
    <x v="8"/>
    <x v="75"/>
    <x v="0"/>
    <x v="6"/>
    <n v="0"/>
  </r>
  <r>
    <x v="0"/>
    <x v="2"/>
    <x v="5"/>
    <x v="8"/>
    <x v="76"/>
    <x v="0"/>
    <x v="0"/>
    <n v="0"/>
  </r>
  <r>
    <x v="0"/>
    <x v="2"/>
    <x v="5"/>
    <x v="8"/>
    <x v="76"/>
    <x v="0"/>
    <x v="1"/>
    <n v="0"/>
  </r>
  <r>
    <x v="0"/>
    <x v="2"/>
    <x v="5"/>
    <x v="8"/>
    <x v="76"/>
    <x v="0"/>
    <x v="2"/>
    <n v="0"/>
  </r>
  <r>
    <x v="0"/>
    <x v="2"/>
    <x v="5"/>
    <x v="8"/>
    <x v="76"/>
    <x v="0"/>
    <x v="3"/>
    <n v="0"/>
  </r>
  <r>
    <x v="0"/>
    <x v="2"/>
    <x v="5"/>
    <x v="8"/>
    <x v="76"/>
    <x v="0"/>
    <x v="4"/>
    <n v="0"/>
  </r>
  <r>
    <x v="0"/>
    <x v="2"/>
    <x v="5"/>
    <x v="8"/>
    <x v="76"/>
    <x v="0"/>
    <x v="5"/>
    <n v="0"/>
  </r>
  <r>
    <x v="0"/>
    <x v="2"/>
    <x v="5"/>
    <x v="8"/>
    <x v="76"/>
    <x v="0"/>
    <x v="6"/>
    <n v="0"/>
  </r>
  <r>
    <x v="0"/>
    <x v="2"/>
    <x v="5"/>
    <x v="8"/>
    <x v="77"/>
    <x v="0"/>
    <x v="0"/>
    <n v="0"/>
  </r>
  <r>
    <x v="0"/>
    <x v="2"/>
    <x v="5"/>
    <x v="8"/>
    <x v="77"/>
    <x v="0"/>
    <x v="1"/>
    <n v="0"/>
  </r>
  <r>
    <x v="0"/>
    <x v="2"/>
    <x v="5"/>
    <x v="8"/>
    <x v="77"/>
    <x v="0"/>
    <x v="2"/>
    <n v="0"/>
  </r>
  <r>
    <x v="0"/>
    <x v="2"/>
    <x v="5"/>
    <x v="8"/>
    <x v="77"/>
    <x v="0"/>
    <x v="3"/>
    <n v="0"/>
  </r>
  <r>
    <x v="0"/>
    <x v="2"/>
    <x v="5"/>
    <x v="8"/>
    <x v="77"/>
    <x v="0"/>
    <x v="4"/>
    <n v="0"/>
  </r>
  <r>
    <x v="0"/>
    <x v="2"/>
    <x v="5"/>
    <x v="8"/>
    <x v="77"/>
    <x v="0"/>
    <x v="5"/>
    <n v="0"/>
  </r>
  <r>
    <x v="0"/>
    <x v="2"/>
    <x v="5"/>
    <x v="8"/>
    <x v="77"/>
    <x v="0"/>
    <x v="6"/>
    <n v="0"/>
  </r>
  <r>
    <x v="0"/>
    <x v="2"/>
    <x v="5"/>
    <x v="8"/>
    <x v="78"/>
    <x v="0"/>
    <x v="0"/>
    <n v="0"/>
  </r>
  <r>
    <x v="0"/>
    <x v="2"/>
    <x v="5"/>
    <x v="8"/>
    <x v="78"/>
    <x v="0"/>
    <x v="1"/>
    <n v="0"/>
  </r>
  <r>
    <x v="0"/>
    <x v="2"/>
    <x v="5"/>
    <x v="8"/>
    <x v="78"/>
    <x v="0"/>
    <x v="2"/>
    <n v="0"/>
  </r>
  <r>
    <x v="0"/>
    <x v="2"/>
    <x v="5"/>
    <x v="8"/>
    <x v="78"/>
    <x v="0"/>
    <x v="3"/>
    <n v="0"/>
  </r>
  <r>
    <x v="0"/>
    <x v="2"/>
    <x v="5"/>
    <x v="8"/>
    <x v="78"/>
    <x v="0"/>
    <x v="4"/>
    <n v="0"/>
  </r>
  <r>
    <x v="0"/>
    <x v="2"/>
    <x v="5"/>
    <x v="8"/>
    <x v="78"/>
    <x v="0"/>
    <x v="5"/>
    <n v="0"/>
  </r>
  <r>
    <x v="0"/>
    <x v="2"/>
    <x v="5"/>
    <x v="8"/>
    <x v="78"/>
    <x v="0"/>
    <x v="6"/>
    <n v="0"/>
  </r>
  <r>
    <x v="0"/>
    <x v="2"/>
    <x v="5"/>
    <x v="8"/>
    <x v="79"/>
    <x v="0"/>
    <x v="0"/>
    <n v="0"/>
  </r>
  <r>
    <x v="0"/>
    <x v="2"/>
    <x v="5"/>
    <x v="8"/>
    <x v="79"/>
    <x v="0"/>
    <x v="1"/>
    <n v="0"/>
  </r>
  <r>
    <x v="0"/>
    <x v="2"/>
    <x v="5"/>
    <x v="8"/>
    <x v="79"/>
    <x v="0"/>
    <x v="2"/>
    <n v="0"/>
  </r>
  <r>
    <x v="0"/>
    <x v="2"/>
    <x v="5"/>
    <x v="8"/>
    <x v="79"/>
    <x v="0"/>
    <x v="3"/>
    <n v="0"/>
  </r>
  <r>
    <x v="0"/>
    <x v="2"/>
    <x v="5"/>
    <x v="8"/>
    <x v="79"/>
    <x v="0"/>
    <x v="4"/>
    <n v="0"/>
  </r>
  <r>
    <x v="0"/>
    <x v="2"/>
    <x v="5"/>
    <x v="8"/>
    <x v="79"/>
    <x v="0"/>
    <x v="5"/>
    <n v="0"/>
  </r>
  <r>
    <x v="0"/>
    <x v="2"/>
    <x v="5"/>
    <x v="8"/>
    <x v="79"/>
    <x v="0"/>
    <x v="6"/>
    <n v="0"/>
  </r>
  <r>
    <x v="0"/>
    <x v="2"/>
    <x v="5"/>
    <x v="8"/>
    <x v="80"/>
    <x v="0"/>
    <x v="0"/>
    <n v="0"/>
  </r>
  <r>
    <x v="0"/>
    <x v="2"/>
    <x v="5"/>
    <x v="8"/>
    <x v="80"/>
    <x v="0"/>
    <x v="1"/>
    <n v="0"/>
  </r>
  <r>
    <x v="0"/>
    <x v="2"/>
    <x v="5"/>
    <x v="8"/>
    <x v="80"/>
    <x v="0"/>
    <x v="2"/>
    <n v="0"/>
  </r>
  <r>
    <x v="0"/>
    <x v="2"/>
    <x v="5"/>
    <x v="8"/>
    <x v="80"/>
    <x v="0"/>
    <x v="3"/>
    <n v="0"/>
  </r>
  <r>
    <x v="0"/>
    <x v="2"/>
    <x v="5"/>
    <x v="8"/>
    <x v="80"/>
    <x v="0"/>
    <x v="4"/>
    <n v="0"/>
  </r>
  <r>
    <x v="0"/>
    <x v="2"/>
    <x v="5"/>
    <x v="8"/>
    <x v="80"/>
    <x v="0"/>
    <x v="5"/>
    <n v="0"/>
  </r>
  <r>
    <x v="0"/>
    <x v="2"/>
    <x v="5"/>
    <x v="8"/>
    <x v="80"/>
    <x v="0"/>
    <x v="6"/>
    <n v="0"/>
  </r>
  <r>
    <x v="0"/>
    <x v="2"/>
    <x v="5"/>
    <x v="8"/>
    <x v="81"/>
    <x v="0"/>
    <x v="0"/>
    <n v="0"/>
  </r>
  <r>
    <x v="0"/>
    <x v="2"/>
    <x v="5"/>
    <x v="8"/>
    <x v="81"/>
    <x v="0"/>
    <x v="1"/>
    <n v="0"/>
  </r>
  <r>
    <x v="0"/>
    <x v="2"/>
    <x v="5"/>
    <x v="8"/>
    <x v="81"/>
    <x v="0"/>
    <x v="2"/>
    <n v="0"/>
  </r>
  <r>
    <x v="0"/>
    <x v="2"/>
    <x v="5"/>
    <x v="8"/>
    <x v="81"/>
    <x v="0"/>
    <x v="3"/>
    <n v="0"/>
  </r>
  <r>
    <x v="0"/>
    <x v="2"/>
    <x v="5"/>
    <x v="8"/>
    <x v="81"/>
    <x v="0"/>
    <x v="4"/>
    <n v="0"/>
  </r>
  <r>
    <x v="0"/>
    <x v="2"/>
    <x v="5"/>
    <x v="8"/>
    <x v="81"/>
    <x v="0"/>
    <x v="5"/>
    <n v="0"/>
  </r>
  <r>
    <x v="0"/>
    <x v="2"/>
    <x v="5"/>
    <x v="8"/>
    <x v="81"/>
    <x v="0"/>
    <x v="6"/>
    <n v="0"/>
  </r>
  <r>
    <x v="0"/>
    <x v="2"/>
    <x v="5"/>
    <x v="8"/>
    <x v="82"/>
    <x v="0"/>
    <x v="0"/>
    <n v="0"/>
  </r>
  <r>
    <x v="0"/>
    <x v="2"/>
    <x v="5"/>
    <x v="8"/>
    <x v="82"/>
    <x v="0"/>
    <x v="1"/>
    <n v="0"/>
  </r>
  <r>
    <x v="0"/>
    <x v="2"/>
    <x v="5"/>
    <x v="8"/>
    <x v="82"/>
    <x v="0"/>
    <x v="2"/>
    <n v="0"/>
  </r>
  <r>
    <x v="0"/>
    <x v="2"/>
    <x v="5"/>
    <x v="8"/>
    <x v="82"/>
    <x v="0"/>
    <x v="3"/>
    <n v="0"/>
  </r>
  <r>
    <x v="0"/>
    <x v="2"/>
    <x v="5"/>
    <x v="8"/>
    <x v="82"/>
    <x v="0"/>
    <x v="4"/>
    <n v="0"/>
  </r>
  <r>
    <x v="0"/>
    <x v="2"/>
    <x v="5"/>
    <x v="8"/>
    <x v="82"/>
    <x v="0"/>
    <x v="5"/>
    <n v="0"/>
  </r>
  <r>
    <x v="0"/>
    <x v="2"/>
    <x v="5"/>
    <x v="8"/>
    <x v="82"/>
    <x v="0"/>
    <x v="6"/>
    <n v="0"/>
  </r>
  <r>
    <x v="0"/>
    <x v="2"/>
    <x v="5"/>
    <x v="8"/>
    <x v="83"/>
    <x v="0"/>
    <x v="0"/>
    <n v="0"/>
  </r>
  <r>
    <x v="0"/>
    <x v="2"/>
    <x v="5"/>
    <x v="8"/>
    <x v="83"/>
    <x v="0"/>
    <x v="1"/>
    <n v="0"/>
  </r>
  <r>
    <x v="0"/>
    <x v="2"/>
    <x v="5"/>
    <x v="8"/>
    <x v="83"/>
    <x v="0"/>
    <x v="2"/>
    <n v="0"/>
  </r>
  <r>
    <x v="0"/>
    <x v="2"/>
    <x v="5"/>
    <x v="8"/>
    <x v="83"/>
    <x v="0"/>
    <x v="3"/>
    <n v="0"/>
  </r>
  <r>
    <x v="0"/>
    <x v="2"/>
    <x v="5"/>
    <x v="8"/>
    <x v="83"/>
    <x v="0"/>
    <x v="4"/>
    <n v="0"/>
  </r>
  <r>
    <x v="0"/>
    <x v="2"/>
    <x v="5"/>
    <x v="8"/>
    <x v="83"/>
    <x v="0"/>
    <x v="5"/>
    <n v="0"/>
  </r>
  <r>
    <x v="0"/>
    <x v="2"/>
    <x v="5"/>
    <x v="8"/>
    <x v="83"/>
    <x v="0"/>
    <x v="6"/>
    <n v="0"/>
  </r>
  <r>
    <x v="0"/>
    <x v="3"/>
    <x v="0"/>
    <x v="0"/>
    <x v="0"/>
    <x v="0"/>
    <x v="0"/>
    <n v="0"/>
  </r>
  <r>
    <x v="0"/>
    <x v="3"/>
    <x v="0"/>
    <x v="0"/>
    <x v="0"/>
    <x v="0"/>
    <x v="1"/>
    <n v="0"/>
  </r>
  <r>
    <x v="0"/>
    <x v="3"/>
    <x v="0"/>
    <x v="0"/>
    <x v="0"/>
    <x v="0"/>
    <x v="2"/>
    <n v="0"/>
  </r>
  <r>
    <x v="0"/>
    <x v="3"/>
    <x v="0"/>
    <x v="0"/>
    <x v="0"/>
    <x v="0"/>
    <x v="3"/>
    <n v="0"/>
  </r>
  <r>
    <x v="0"/>
    <x v="3"/>
    <x v="0"/>
    <x v="0"/>
    <x v="0"/>
    <x v="0"/>
    <x v="4"/>
    <n v="0"/>
  </r>
  <r>
    <x v="0"/>
    <x v="3"/>
    <x v="0"/>
    <x v="0"/>
    <x v="0"/>
    <x v="0"/>
    <x v="5"/>
    <n v="0"/>
  </r>
  <r>
    <x v="0"/>
    <x v="3"/>
    <x v="0"/>
    <x v="0"/>
    <x v="0"/>
    <x v="0"/>
    <x v="6"/>
    <n v="0"/>
  </r>
  <r>
    <x v="0"/>
    <x v="3"/>
    <x v="0"/>
    <x v="1"/>
    <x v="1"/>
    <x v="0"/>
    <x v="0"/>
    <n v="0"/>
  </r>
  <r>
    <x v="0"/>
    <x v="3"/>
    <x v="0"/>
    <x v="1"/>
    <x v="1"/>
    <x v="0"/>
    <x v="1"/>
    <n v="0"/>
  </r>
  <r>
    <x v="0"/>
    <x v="3"/>
    <x v="0"/>
    <x v="1"/>
    <x v="1"/>
    <x v="0"/>
    <x v="2"/>
    <n v="0"/>
  </r>
  <r>
    <x v="0"/>
    <x v="3"/>
    <x v="0"/>
    <x v="1"/>
    <x v="1"/>
    <x v="0"/>
    <x v="3"/>
    <n v="0"/>
  </r>
  <r>
    <x v="0"/>
    <x v="3"/>
    <x v="0"/>
    <x v="1"/>
    <x v="1"/>
    <x v="0"/>
    <x v="4"/>
    <n v="0"/>
  </r>
  <r>
    <x v="0"/>
    <x v="3"/>
    <x v="0"/>
    <x v="1"/>
    <x v="1"/>
    <x v="0"/>
    <x v="5"/>
    <n v="0"/>
  </r>
  <r>
    <x v="0"/>
    <x v="3"/>
    <x v="0"/>
    <x v="1"/>
    <x v="1"/>
    <x v="0"/>
    <x v="6"/>
    <n v="0"/>
  </r>
  <r>
    <x v="0"/>
    <x v="3"/>
    <x v="0"/>
    <x v="1"/>
    <x v="2"/>
    <x v="0"/>
    <x v="0"/>
    <n v="0"/>
  </r>
  <r>
    <x v="0"/>
    <x v="3"/>
    <x v="0"/>
    <x v="1"/>
    <x v="2"/>
    <x v="0"/>
    <x v="1"/>
    <n v="0"/>
  </r>
  <r>
    <x v="0"/>
    <x v="3"/>
    <x v="0"/>
    <x v="1"/>
    <x v="2"/>
    <x v="0"/>
    <x v="2"/>
    <n v="0"/>
  </r>
  <r>
    <x v="0"/>
    <x v="3"/>
    <x v="0"/>
    <x v="1"/>
    <x v="2"/>
    <x v="0"/>
    <x v="3"/>
    <n v="0"/>
  </r>
  <r>
    <x v="0"/>
    <x v="3"/>
    <x v="0"/>
    <x v="1"/>
    <x v="2"/>
    <x v="0"/>
    <x v="4"/>
    <n v="0"/>
  </r>
  <r>
    <x v="0"/>
    <x v="3"/>
    <x v="0"/>
    <x v="1"/>
    <x v="2"/>
    <x v="0"/>
    <x v="5"/>
    <n v="0"/>
  </r>
  <r>
    <x v="0"/>
    <x v="3"/>
    <x v="0"/>
    <x v="1"/>
    <x v="2"/>
    <x v="0"/>
    <x v="6"/>
    <n v="0"/>
  </r>
  <r>
    <x v="0"/>
    <x v="3"/>
    <x v="0"/>
    <x v="1"/>
    <x v="3"/>
    <x v="0"/>
    <x v="0"/>
    <n v="0"/>
  </r>
  <r>
    <x v="0"/>
    <x v="3"/>
    <x v="0"/>
    <x v="1"/>
    <x v="3"/>
    <x v="0"/>
    <x v="1"/>
    <n v="0"/>
  </r>
  <r>
    <x v="0"/>
    <x v="3"/>
    <x v="0"/>
    <x v="1"/>
    <x v="3"/>
    <x v="0"/>
    <x v="2"/>
    <n v="0"/>
  </r>
  <r>
    <x v="0"/>
    <x v="3"/>
    <x v="0"/>
    <x v="1"/>
    <x v="3"/>
    <x v="0"/>
    <x v="3"/>
    <n v="0"/>
  </r>
  <r>
    <x v="0"/>
    <x v="3"/>
    <x v="0"/>
    <x v="1"/>
    <x v="3"/>
    <x v="0"/>
    <x v="4"/>
    <n v="0"/>
  </r>
  <r>
    <x v="0"/>
    <x v="3"/>
    <x v="0"/>
    <x v="1"/>
    <x v="3"/>
    <x v="0"/>
    <x v="5"/>
    <n v="0"/>
  </r>
  <r>
    <x v="0"/>
    <x v="3"/>
    <x v="0"/>
    <x v="1"/>
    <x v="3"/>
    <x v="0"/>
    <x v="6"/>
    <n v="0"/>
  </r>
  <r>
    <x v="0"/>
    <x v="3"/>
    <x v="0"/>
    <x v="1"/>
    <x v="4"/>
    <x v="0"/>
    <x v="0"/>
    <n v="0"/>
  </r>
  <r>
    <x v="0"/>
    <x v="3"/>
    <x v="0"/>
    <x v="1"/>
    <x v="4"/>
    <x v="0"/>
    <x v="1"/>
    <n v="0"/>
  </r>
  <r>
    <x v="0"/>
    <x v="3"/>
    <x v="0"/>
    <x v="1"/>
    <x v="4"/>
    <x v="0"/>
    <x v="2"/>
    <n v="0"/>
  </r>
  <r>
    <x v="0"/>
    <x v="3"/>
    <x v="0"/>
    <x v="1"/>
    <x v="4"/>
    <x v="0"/>
    <x v="3"/>
    <n v="0"/>
  </r>
  <r>
    <x v="0"/>
    <x v="3"/>
    <x v="0"/>
    <x v="1"/>
    <x v="4"/>
    <x v="0"/>
    <x v="4"/>
    <n v="0"/>
  </r>
  <r>
    <x v="0"/>
    <x v="3"/>
    <x v="0"/>
    <x v="1"/>
    <x v="4"/>
    <x v="0"/>
    <x v="5"/>
    <n v="0"/>
  </r>
  <r>
    <x v="0"/>
    <x v="3"/>
    <x v="0"/>
    <x v="1"/>
    <x v="4"/>
    <x v="0"/>
    <x v="6"/>
    <n v="0"/>
  </r>
  <r>
    <x v="0"/>
    <x v="3"/>
    <x v="0"/>
    <x v="1"/>
    <x v="5"/>
    <x v="0"/>
    <x v="0"/>
    <n v="0"/>
  </r>
  <r>
    <x v="0"/>
    <x v="3"/>
    <x v="0"/>
    <x v="1"/>
    <x v="5"/>
    <x v="0"/>
    <x v="1"/>
    <n v="0"/>
  </r>
  <r>
    <x v="0"/>
    <x v="3"/>
    <x v="0"/>
    <x v="1"/>
    <x v="5"/>
    <x v="0"/>
    <x v="2"/>
    <n v="0"/>
  </r>
  <r>
    <x v="0"/>
    <x v="3"/>
    <x v="0"/>
    <x v="1"/>
    <x v="5"/>
    <x v="0"/>
    <x v="3"/>
    <n v="0"/>
  </r>
  <r>
    <x v="0"/>
    <x v="3"/>
    <x v="0"/>
    <x v="1"/>
    <x v="5"/>
    <x v="0"/>
    <x v="4"/>
    <n v="0"/>
  </r>
  <r>
    <x v="0"/>
    <x v="3"/>
    <x v="0"/>
    <x v="1"/>
    <x v="5"/>
    <x v="0"/>
    <x v="5"/>
    <n v="0"/>
  </r>
  <r>
    <x v="0"/>
    <x v="3"/>
    <x v="0"/>
    <x v="1"/>
    <x v="5"/>
    <x v="0"/>
    <x v="6"/>
    <n v="0"/>
  </r>
  <r>
    <x v="0"/>
    <x v="3"/>
    <x v="0"/>
    <x v="1"/>
    <x v="6"/>
    <x v="0"/>
    <x v="0"/>
    <n v="0"/>
  </r>
  <r>
    <x v="0"/>
    <x v="3"/>
    <x v="0"/>
    <x v="1"/>
    <x v="6"/>
    <x v="0"/>
    <x v="1"/>
    <n v="0"/>
  </r>
  <r>
    <x v="0"/>
    <x v="3"/>
    <x v="0"/>
    <x v="1"/>
    <x v="6"/>
    <x v="0"/>
    <x v="2"/>
    <n v="0"/>
  </r>
  <r>
    <x v="0"/>
    <x v="3"/>
    <x v="0"/>
    <x v="1"/>
    <x v="6"/>
    <x v="0"/>
    <x v="3"/>
    <n v="0"/>
  </r>
  <r>
    <x v="0"/>
    <x v="3"/>
    <x v="0"/>
    <x v="1"/>
    <x v="6"/>
    <x v="0"/>
    <x v="4"/>
    <n v="0"/>
  </r>
  <r>
    <x v="0"/>
    <x v="3"/>
    <x v="0"/>
    <x v="1"/>
    <x v="6"/>
    <x v="0"/>
    <x v="5"/>
    <n v="0"/>
  </r>
  <r>
    <x v="0"/>
    <x v="3"/>
    <x v="0"/>
    <x v="1"/>
    <x v="6"/>
    <x v="0"/>
    <x v="6"/>
    <n v="0"/>
  </r>
  <r>
    <x v="0"/>
    <x v="3"/>
    <x v="0"/>
    <x v="1"/>
    <x v="7"/>
    <x v="0"/>
    <x v="0"/>
    <n v="0"/>
  </r>
  <r>
    <x v="0"/>
    <x v="3"/>
    <x v="0"/>
    <x v="1"/>
    <x v="7"/>
    <x v="0"/>
    <x v="1"/>
    <n v="0"/>
  </r>
  <r>
    <x v="0"/>
    <x v="3"/>
    <x v="0"/>
    <x v="1"/>
    <x v="7"/>
    <x v="0"/>
    <x v="2"/>
    <n v="0"/>
  </r>
  <r>
    <x v="0"/>
    <x v="3"/>
    <x v="0"/>
    <x v="1"/>
    <x v="7"/>
    <x v="0"/>
    <x v="3"/>
    <n v="0"/>
  </r>
  <r>
    <x v="0"/>
    <x v="3"/>
    <x v="0"/>
    <x v="1"/>
    <x v="7"/>
    <x v="0"/>
    <x v="4"/>
    <n v="0"/>
  </r>
  <r>
    <x v="0"/>
    <x v="3"/>
    <x v="0"/>
    <x v="1"/>
    <x v="7"/>
    <x v="0"/>
    <x v="5"/>
    <n v="0"/>
  </r>
  <r>
    <x v="0"/>
    <x v="3"/>
    <x v="0"/>
    <x v="1"/>
    <x v="7"/>
    <x v="0"/>
    <x v="6"/>
    <n v="0"/>
  </r>
  <r>
    <x v="0"/>
    <x v="3"/>
    <x v="0"/>
    <x v="1"/>
    <x v="8"/>
    <x v="0"/>
    <x v="0"/>
    <n v="0"/>
  </r>
  <r>
    <x v="0"/>
    <x v="3"/>
    <x v="0"/>
    <x v="1"/>
    <x v="8"/>
    <x v="0"/>
    <x v="1"/>
    <n v="0"/>
  </r>
  <r>
    <x v="0"/>
    <x v="3"/>
    <x v="0"/>
    <x v="1"/>
    <x v="8"/>
    <x v="0"/>
    <x v="2"/>
    <n v="0"/>
  </r>
  <r>
    <x v="0"/>
    <x v="3"/>
    <x v="0"/>
    <x v="1"/>
    <x v="8"/>
    <x v="0"/>
    <x v="3"/>
    <n v="0"/>
  </r>
  <r>
    <x v="0"/>
    <x v="3"/>
    <x v="0"/>
    <x v="1"/>
    <x v="8"/>
    <x v="0"/>
    <x v="4"/>
    <n v="0"/>
  </r>
  <r>
    <x v="0"/>
    <x v="3"/>
    <x v="0"/>
    <x v="1"/>
    <x v="8"/>
    <x v="0"/>
    <x v="5"/>
    <n v="0"/>
  </r>
  <r>
    <x v="0"/>
    <x v="3"/>
    <x v="0"/>
    <x v="1"/>
    <x v="8"/>
    <x v="0"/>
    <x v="6"/>
    <n v="0"/>
  </r>
  <r>
    <x v="0"/>
    <x v="3"/>
    <x v="0"/>
    <x v="1"/>
    <x v="9"/>
    <x v="0"/>
    <x v="0"/>
    <n v="0"/>
  </r>
  <r>
    <x v="0"/>
    <x v="3"/>
    <x v="0"/>
    <x v="1"/>
    <x v="9"/>
    <x v="0"/>
    <x v="1"/>
    <n v="0"/>
  </r>
  <r>
    <x v="0"/>
    <x v="3"/>
    <x v="0"/>
    <x v="1"/>
    <x v="9"/>
    <x v="0"/>
    <x v="2"/>
    <n v="0"/>
  </r>
  <r>
    <x v="0"/>
    <x v="3"/>
    <x v="0"/>
    <x v="1"/>
    <x v="9"/>
    <x v="0"/>
    <x v="3"/>
    <n v="0"/>
  </r>
  <r>
    <x v="0"/>
    <x v="3"/>
    <x v="0"/>
    <x v="1"/>
    <x v="9"/>
    <x v="0"/>
    <x v="4"/>
    <n v="0"/>
  </r>
  <r>
    <x v="0"/>
    <x v="3"/>
    <x v="0"/>
    <x v="1"/>
    <x v="9"/>
    <x v="0"/>
    <x v="5"/>
    <n v="0"/>
  </r>
  <r>
    <x v="0"/>
    <x v="3"/>
    <x v="0"/>
    <x v="1"/>
    <x v="9"/>
    <x v="0"/>
    <x v="6"/>
    <n v="0"/>
  </r>
  <r>
    <x v="0"/>
    <x v="3"/>
    <x v="0"/>
    <x v="1"/>
    <x v="10"/>
    <x v="0"/>
    <x v="0"/>
    <n v="0"/>
  </r>
  <r>
    <x v="0"/>
    <x v="3"/>
    <x v="0"/>
    <x v="1"/>
    <x v="10"/>
    <x v="0"/>
    <x v="1"/>
    <n v="0"/>
  </r>
  <r>
    <x v="0"/>
    <x v="3"/>
    <x v="0"/>
    <x v="1"/>
    <x v="10"/>
    <x v="0"/>
    <x v="2"/>
    <n v="0"/>
  </r>
  <r>
    <x v="0"/>
    <x v="3"/>
    <x v="0"/>
    <x v="1"/>
    <x v="10"/>
    <x v="0"/>
    <x v="3"/>
    <n v="0"/>
  </r>
  <r>
    <x v="0"/>
    <x v="3"/>
    <x v="0"/>
    <x v="1"/>
    <x v="10"/>
    <x v="0"/>
    <x v="4"/>
    <n v="0"/>
  </r>
  <r>
    <x v="0"/>
    <x v="3"/>
    <x v="0"/>
    <x v="1"/>
    <x v="10"/>
    <x v="0"/>
    <x v="5"/>
    <n v="0"/>
  </r>
  <r>
    <x v="0"/>
    <x v="3"/>
    <x v="0"/>
    <x v="1"/>
    <x v="10"/>
    <x v="0"/>
    <x v="6"/>
    <n v="0"/>
  </r>
  <r>
    <x v="0"/>
    <x v="3"/>
    <x v="0"/>
    <x v="0"/>
    <x v="11"/>
    <x v="0"/>
    <x v="0"/>
    <n v="2.4072380917048811E-4"/>
  </r>
  <r>
    <x v="0"/>
    <x v="3"/>
    <x v="0"/>
    <x v="0"/>
    <x v="11"/>
    <x v="0"/>
    <x v="1"/>
    <n v="1.2671324499227748E-3"/>
  </r>
  <r>
    <x v="0"/>
    <x v="3"/>
    <x v="0"/>
    <x v="0"/>
    <x v="11"/>
    <x v="0"/>
    <x v="2"/>
    <n v="4.8118966575839061E-3"/>
  </r>
  <r>
    <x v="0"/>
    <x v="3"/>
    <x v="0"/>
    <x v="0"/>
    <x v="11"/>
    <x v="0"/>
    <x v="3"/>
    <n v="1.9449049152526768E-2"/>
  </r>
  <r>
    <x v="0"/>
    <x v="3"/>
    <x v="0"/>
    <x v="0"/>
    <x v="11"/>
    <x v="0"/>
    <x v="4"/>
    <n v="8.1829514787733329E-2"/>
  </r>
  <r>
    <x v="0"/>
    <x v="3"/>
    <x v="0"/>
    <x v="0"/>
    <x v="11"/>
    <x v="0"/>
    <x v="5"/>
    <n v="0.25523249484297722"/>
  </r>
  <r>
    <x v="0"/>
    <x v="3"/>
    <x v="0"/>
    <x v="0"/>
    <x v="11"/>
    <x v="0"/>
    <x v="6"/>
    <n v="0.27459300305416695"/>
  </r>
  <r>
    <x v="0"/>
    <x v="3"/>
    <x v="0"/>
    <x v="0"/>
    <x v="12"/>
    <x v="0"/>
    <x v="0"/>
    <n v="0"/>
  </r>
  <r>
    <x v="0"/>
    <x v="3"/>
    <x v="0"/>
    <x v="0"/>
    <x v="12"/>
    <x v="0"/>
    <x v="1"/>
    <n v="0"/>
  </r>
  <r>
    <x v="0"/>
    <x v="3"/>
    <x v="0"/>
    <x v="0"/>
    <x v="12"/>
    <x v="0"/>
    <x v="2"/>
    <n v="0"/>
  </r>
  <r>
    <x v="0"/>
    <x v="3"/>
    <x v="0"/>
    <x v="0"/>
    <x v="12"/>
    <x v="0"/>
    <x v="3"/>
    <n v="0"/>
  </r>
  <r>
    <x v="0"/>
    <x v="3"/>
    <x v="0"/>
    <x v="0"/>
    <x v="12"/>
    <x v="0"/>
    <x v="4"/>
    <n v="0"/>
  </r>
  <r>
    <x v="0"/>
    <x v="3"/>
    <x v="0"/>
    <x v="0"/>
    <x v="12"/>
    <x v="0"/>
    <x v="5"/>
    <n v="0"/>
  </r>
  <r>
    <x v="0"/>
    <x v="3"/>
    <x v="0"/>
    <x v="0"/>
    <x v="12"/>
    <x v="0"/>
    <x v="6"/>
    <n v="0"/>
  </r>
  <r>
    <x v="0"/>
    <x v="3"/>
    <x v="0"/>
    <x v="0"/>
    <x v="13"/>
    <x v="0"/>
    <x v="0"/>
    <n v="0"/>
  </r>
  <r>
    <x v="0"/>
    <x v="3"/>
    <x v="0"/>
    <x v="0"/>
    <x v="13"/>
    <x v="0"/>
    <x v="1"/>
    <n v="0"/>
  </r>
  <r>
    <x v="0"/>
    <x v="3"/>
    <x v="0"/>
    <x v="0"/>
    <x v="13"/>
    <x v="0"/>
    <x v="2"/>
    <n v="0"/>
  </r>
  <r>
    <x v="0"/>
    <x v="3"/>
    <x v="0"/>
    <x v="0"/>
    <x v="13"/>
    <x v="0"/>
    <x v="3"/>
    <n v="0"/>
  </r>
  <r>
    <x v="0"/>
    <x v="3"/>
    <x v="0"/>
    <x v="0"/>
    <x v="13"/>
    <x v="0"/>
    <x v="4"/>
    <n v="0"/>
  </r>
  <r>
    <x v="0"/>
    <x v="3"/>
    <x v="0"/>
    <x v="0"/>
    <x v="13"/>
    <x v="0"/>
    <x v="5"/>
    <n v="0"/>
  </r>
  <r>
    <x v="0"/>
    <x v="3"/>
    <x v="0"/>
    <x v="0"/>
    <x v="13"/>
    <x v="0"/>
    <x v="6"/>
    <n v="0"/>
  </r>
  <r>
    <x v="0"/>
    <x v="3"/>
    <x v="0"/>
    <x v="2"/>
    <x v="14"/>
    <x v="0"/>
    <x v="0"/>
    <n v="1.5446885648267144E-9"/>
  </r>
  <r>
    <x v="0"/>
    <x v="3"/>
    <x v="0"/>
    <x v="2"/>
    <x v="14"/>
    <x v="0"/>
    <x v="1"/>
    <n v="4.5847788120485118E-9"/>
  </r>
  <r>
    <x v="0"/>
    <x v="3"/>
    <x v="0"/>
    <x v="2"/>
    <x v="14"/>
    <x v="0"/>
    <x v="2"/>
    <n v="1.0749528404191485E-8"/>
  </r>
  <r>
    <x v="0"/>
    <x v="3"/>
    <x v="0"/>
    <x v="2"/>
    <x v="14"/>
    <x v="0"/>
    <x v="3"/>
    <n v="2.4705900122232037E-8"/>
  </r>
  <r>
    <x v="0"/>
    <x v="3"/>
    <x v="0"/>
    <x v="2"/>
    <x v="14"/>
    <x v="0"/>
    <x v="4"/>
    <n v="6.0522837989276682E-8"/>
  </r>
  <r>
    <x v="0"/>
    <x v="3"/>
    <x v="0"/>
    <x v="2"/>
    <x v="14"/>
    <x v="0"/>
    <x v="5"/>
    <n v="1.3166314164108328E-7"/>
  </r>
  <r>
    <x v="0"/>
    <x v="3"/>
    <x v="0"/>
    <x v="2"/>
    <x v="14"/>
    <x v="0"/>
    <x v="6"/>
    <n v="2.3298723832051677E-7"/>
  </r>
  <r>
    <x v="0"/>
    <x v="3"/>
    <x v="0"/>
    <x v="2"/>
    <x v="15"/>
    <x v="0"/>
    <x v="0"/>
    <n v="3.654491131968783E-6"/>
  </r>
  <r>
    <x v="0"/>
    <x v="3"/>
    <x v="0"/>
    <x v="2"/>
    <x v="15"/>
    <x v="0"/>
    <x v="1"/>
    <n v="1.4187532450656548E-5"/>
  </r>
  <r>
    <x v="0"/>
    <x v="3"/>
    <x v="0"/>
    <x v="2"/>
    <x v="15"/>
    <x v="0"/>
    <x v="2"/>
    <n v="4.594981659734991E-5"/>
  </r>
  <r>
    <x v="0"/>
    <x v="3"/>
    <x v="0"/>
    <x v="2"/>
    <x v="15"/>
    <x v="0"/>
    <x v="3"/>
    <n v="1.6269026804103105E-4"/>
  </r>
  <r>
    <x v="0"/>
    <x v="3"/>
    <x v="0"/>
    <x v="2"/>
    <x v="15"/>
    <x v="0"/>
    <x v="4"/>
    <n v="5.1793247336227421E-4"/>
  </r>
  <r>
    <x v="0"/>
    <x v="3"/>
    <x v="0"/>
    <x v="2"/>
    <x v="15"/>
    <x v="0"/>
    <x v="5"/>
    <n v="1.336340331443424E-3"/>
  </r>
  <r>
    <x v="0"/>
    <x v="3"/>
    <x v="0"/>
    <x v="2"/>
    <x v="15"/>
    <x v="0"/>
    <x v="6"/>
    <n v="2.9359237186505935E-3"/>
  </r>
  <r>
    <x v="0"/>
    <x v="3"/>
    <x v="0"/>
    <x v="2"/>
    <x v="16"/>
    <x v="0"/>
    <x v="0"/>
    <n v="2.0931515908265362E-7"/>
  </r>
  <r>
    <x v="0"/>
    <x v="3"/>
    <x v="0"/>
    <x v="2"/>
    <x v="16"/>
    <x v="0"/>
    <x v="1"/>
    <n v="5.8105395138863954E-7"/>
  </r>
  <r>
    <x v="0"/>
    <x v="3"/>
    <x v="0"/>
    <x v="2"/>
    <x v="16"/>
    <x v="0"/>
    <x v="2"/>
    <n v="1.2587820953231978E-6"/>
  </r>
  <r>
    <x v="0"/>
    <x v="3"/>
    <x v="0"/>
    <x v="2"/>
    <x v="16"/>
    <x v="0"/>
    <x v="3"/>
    <n v="2.8467300891939299E-6"/>
  </r>
  <r>
    <x v="0"/>
    <x v="3"/>
    <x v="0"/>
    <x v="2"/>
    <x v="16"/>
    <x v="0"/>
    <x v="4"/>
    <n v="6.9337887405160241E-6"/>
  </r>
  <r>
    <x v="0"/>
    <x v="3"/>
    <x v="0"/>
    <x v="2"/>
    <x v="16"/>
    <x v="0"/>
    <x v="5"/>
    <n v="1.3925690195530797E-5"/>
  </r>
  <r>
    <x v="0"/>
    <x v="3"/>
    <x v="0"/>
    <x v="2"/>
    <x v="16"/>
    <x v="0"/>
    <x v="6"/>
    <n v="2.4986237266618886E-5"/>
  </r>
  <r>
    <x v="0"/>
    <x v="3"/>
    <x v="0"/>
    <x v="0"/>
    <x v="17"/>
    <x v="0"/>
    <x v="0"/>
    <n v="0"/>
  </r>
  <r>
    <x v="0"/>
    <x v="3"/>
    <x v="0"/>
    <x v="0"/>
    <x v="17"/>
    <x v="0"/>
    <x v="1"/>
    <n v="0"/>
  </r>
  <r>
    <x v="0"/>
    <x v="3"/>
    <x v="0"/>
    <x v="0"/>
    <x v="17"/>
    <x v="0"/>
    <x v="2"/>
    <n v="0"/>
  </r>
  <r>
    <x v="0"/>
    <x v="3"/>
    <x v="0"/>
    <x v="0"/>
    <x v="17"/>
    <x v="0"/>
    <x v="3"/>
    <n v="0"/>
  </r>
  <r>
    <x v="0"/>
    <x v="3"/>
    <x v="0"/>
    <x v="0"/>
    <x v="17"/>
    <x v="0"/>
    <x v="4"/>
    <n v="0"/>
  </r>
  <r>
    <x v="0"/>
    <x v="3"/>
    <x v="0"/>
    <x v="0"/>
    <x v="17"/>
    <x v="0"/>
    <x v="5"/>
    <n v="0"/>
  </r>
  <r>
    <x v="0"/>
    <x v="3"/>
    <x v="0"/>
    <x v="0"/>
    <x v="17"/>
    <x v="0"/>
    <x v="6"/>
    <n v="0"/>
  </r>
  <r>
    <x v="0"/>
    <x v="3"/>
    <x v="0"/>
    <x v="2"/>
    <x v="18"/>
    <x v="0"/>
    <x v="0"/>
    <n v="7.4076027067243532E-6"/>
  </r>
  <r>
    <x v="0"/>
    <x v="3"/>
    <x v="0"/>
    <x v="2"/>
    <x v="18"/>
    <x v="0"/>
    <x v="1"/>
    <n v="1.9920948433720621E-5"/>
  </r>
  <r>
    <x v="0"/>
    <x v="3"/>
    <x v="0"/>
    <x v="2"/>
    <x v="18"/>
    <x v="0"/>
    <x v="2"/>
    <n v="3.9947409965596812E-5"/>
  </r>
  <r>
    <x v="0"/>
    <x v="3"/>
    <x v="0"/>
    <x v="2"/>
    <x v="18"/>
    <x v="0"/>
    <x v="3"/>
    <n v="1.0742999217184032E-4"/>
  </r>
  <r>
    <x v="0"/>
    <x v="3"/>
    <x v="0"/>
    <x v="2"/>
    <x v="18"/>
    <x v="0"/>
    <x v="4"/>
    <n v="2.0798250740232727E-4"/>
  </r>
  <r>
    <x v="0"/>
    <x v="3"/>
    <x v="0"/>
    <x v="2"/>
    <x v="18"/>
    <x v="0"/>
    <x v="5"/>
    <n v="3.1600895952673671E-4"/>
  </r>
  <r>
    <x v="0"/>
    <x v="3"/>
    <x v="0"/>
    <x v="2"/>
    <x v="18"/>
    <x v="0"/>
    <x v="6"/>
    <n v="5.3680997805325499E-4"/>
  </r>
  <r>
    <x v="0"/>
    <x v="3"/>
    <x v="1"/>
    <x v="3"/>
    <x v="19"/>
    <x v="0"/>
    <x v="0"/>
    <n v="1.6302628065289408E-4"/>
  </r>
  <r>
    <x v="0"/>
    <x v="3"/>
    <x v="1"/>
    <x v="3"/>
    <x v="19"/>
    <x v="0"/>
    <x v="1"/>
    <n v="5.0563626688420664E-4"/>
  </r>
  <r>
    <x v="0"/>
    <x v="3"/>
    <x v="1"/>
    <x v="3"/>
    <x v="19"/>
    <x v="0"/>
    <x v="2"/>
    <n v="1.4320455083018785E-3"/>
  </r>
  <r>
    <x v="0"/>
    <x v="3"/>
    <x v="1"/>
    <x v="3"/>
    <x v="19"/>
    <x v="0"/>
    <x v="3"/>
    <n v="3.9532783950161554E-3"/>
  </r>
  <r>
    <x v="0"/>
    <x v="3"/>
    <x v="1"/>
    <x v="3"/>
    <x v="19"/>
    <x v="0"/>
    <x v="4"/>
    <n v="1.0101682977195374E-2"/>
  </r>
  <r>
    <x v="0"/>
    <x v="3"/>
    <x v="1"/>
    <x v="3"/>
    <x v="19"/>
    <x v="0"/>
    <x v="5"/>
    <n v="1.588862346066347E-2"/>
  </r>
  <r>
    <x v="0"/>
    <x v="3"/>
    <x v="1"/>
    <x v="3"/>
    <x v="19"/>
    <x v="0"/>
    <x v="6"/>
    <n v="2.3476982850752236E-2"/>
  </r>
  <r>
    <x v="0"/>
    <x v="3"/>
    <x v="1"/>
    <x v="3"/>
    <x v="20"/>
    <x v="0"/>
    <x v="0"/>
    <n v="2.2189935905086997E-4"/>
  </r>
  <r>
    <x v="0"/>
    <x v="3"/>
    <x v="1"/>
    <x v="3"/>
    <x v="20"/>
    <x v="0"/>
    <x v="1"/>
    <n v="1.0403824011097477E-3"/>
  </r>
  <r>
    <x v="0"/>
    <x v="3"/>
    <x v="1"/>
    <x v="3"/>
    <x v="20"/>
    <x v="0"/>
    <x v="2"/>
    <n v="3.7918938472912005E-3"/>
  </r>
  <r>
    <x v="0"/>
    <x v="3"/>
    <x v="1"/>
    <x v="3"/>
    <x v="20"/>
    <x v="0"/>
    <x v="3"/>
    <n v="1.4467371134056809E-2"/>
  </r>
  <r>
    <x v="0"/>
    <x v="3"/>
    <x v="1"/>
    <x v="3"/>
    <x v="20"/>
    <x v="0"/>
    <x v="4"/>
    <n v="5.1476058037099953E-2"/>
  </r>
  <r>
    <x v="0"/>
    <x v="3"/>
    <x v="1"/>
    <x v="3"/>
    <x v="20"/>
    <x v="0"/>
    <x v="5"/>
    <n v="8.0508741423058014E-2"/>
  </r>
  <r>
    <x v="0"/>
    <x v="3"/>
    <x v="1"/>
    <x v="3"/>
    <x v="20"/>
    <x v="0"/>
    <x v="6"/>
    <n v="0.11631846872446361"/>
  </r>
  <r>
    <x v="0"/>
    <x v="3"/>
    <x v="1"/>
    <x v="3"/>
    <x v="21"/>
    <x v="0"/>
    <x v="0"/>
    <n v="7.1618023847350486E-3"/>
  </r>
  <r>
    <x v="0"/>
    <x v="3"/>
    <x v="1"/>
    <x v="3"/>
    <x v="21"/>
    <x v="0"/>
    <x v="1"/>
    <n v="2.3200029860923111E-2"/>
  </r>
  <r>
    <x v="0"/>
    <x v="3"/>
    <x v="1"/>
    <x v="3"/>
    <x v="21"/>
    <x v="0"/>
    <x v="2"/>
    <n v="6.73841927200102E-2"/>
  </r>
  <r>
    <x v="0"/>
    <x v="3"/>
    <x v="1"/>
    <x v="3"/>
    <x v="21"/>
    <x v="0"/>
    <x v="3"/>
    <n v="0.18848227437304041"/>
  </r>
  <r>
    <x v="0"/>
    <x v="3"/>
    <x v="1"/>
    <x v="3"/>
    <x v="21"/>
    <x v="0"/>
    <x v="4"/>
    <n v="0.50057914631722056"/>
  </r>
  <r>
    <x v="0"/>
    <x v="3"/>
    <x v="1"/>
    <x v="3"/>
    <x v="21"/>
    <x v="0"/>
    <x v="5"/>
    <n v="0.80828027457000151"/>
  </r>
  <r>
    <x v="0"/>
    <x v="3"/>
    <x v="1"/>
    <x v="3"/>
    <x v="21"/>
    <x v="0"/>
    <x v="6"/>
    <n v="1.2230164935101884"/>
  </r>
  <r>
    <x v="0"/>
    <x v="3"/>
    <x v="1"/>
    <x v="3"/>
    <x v="22"/>
    <x v="0"/>
    <x v="0"/>
    <n v="0"/>
  </r>
  <r>
    <x v="0"/>
    <x v="3"/>
    <x v="1"/>
    <x v="3"/>
    <x v="22"/>
    <x v="0"/>
    <x v="1"/>
    <n v="0"/>
  </r>
  <r>
    <x v="0"/>
    <x v="3"/>
    <x v="1"/>
    <x v="3"/>
    <x v="22"/>
    <x v="0"/>
    <x v="2"/>
    <n v="0"/>
  </r>
  <r>
    <x v="0"/>
    <x v="3"/>
    <x v="1"/>
    <x v="3"/>
    <x v="22"/>
    <x v="0"/>
    <x v="3"/>
    <n v="0"/>
  </r>
  <r>
    <x v="0"/>
    <x v="3"/>
    <x v="1"/>
    <x v="3"/>
    <x v="22"/>
    <x v="0"/>
    <x v="4"/>
    <n v="0"/>
  </r>
  <r>
    <x v="0"/>
    <x v="3"/>
    <x v="1"/>
    <x v="3"/>
    <x v="22"/>
    <x v="0"/>
    <x v="5"/>
    <n v="0"/>
  </r>
  <r>
    <x v="0"/>
    <x v="3"/>
    <x v="1"/>
    <x v="3"/>
    <x v="22"/>
    <x v="0"/>
    <x v="6"/>
    <n v="0"/>
  </r>
  <r>
    <x v="0"/>
    <x v="3"/>
    <x v="1"/>
    <x v="3"/>
    <x v="23"/>
    <x v="0"/>
    <x v="0"/>
    <n v="0"/>
  </r>
  <r>
    <x v="0"/>
    <x v="3"/>
    <x v="1"/>
    <x v="3"/>
    <x v="23"/>
    <x v="0"/>
    <x v="1"/>
    <n v="0"/>
  </r>
  <r>
    <x v="0"/>
    <x v="3"/>
    <x v="1"/>
    <x v="3"/>
    <x v="23"/>
    <x v="0"/>
    <x v="2"/>
    <n v="0"/>
  </r>
  <r>
    <x v="0"/>
    <x v="3"/>
    <x v="1"/>
    <x v="3"/>
    <x v="23"/>
    <x v="0"/>
    <x v="3"/>
    <n v="0"/>
  </r>
  <r>
    <x v="0"/>
    <x v="3"/>
    <x v="1"/>
    <x v="3"/>
    <x v="23"/>
    <x v="0"/>
    <x v="4"/>
    <n v="0"/>
  </r>
  <r>
    <x v="0"/>
    <x v="3"/>
    <x v="1"/>
    <x v="3"/>
    <x v="23"/>
    <x v="0"/>
    <x v="5"/>
    <n v="0"/>
  </r>
  <r>
    <x v="0"/>
    <x v="3"/>
    <x v="1"/>
    <x v="3"/>
    <x v="23"/>
    <x v="0"/>
    <x v="6"/>
    <n v="0"/>
  </r>
  <r>
    <x v="0"/>
    <x v="3"/>
    <x v="1"/>
    <x v="3"/>
    <x v="24"/>
    <x v="0"/>
    <x v="0"/>
    <n v="0"/>
  </r>
  <r>
    <x v="0"/>
    <x v="3"/>
    <x v="1"/>
    <x v="3"/>
    <x v="24"/>
    <x v="0"/>
    <x v="1"/>
    <n v="0"/>
  </r>
  <r>
    <x v="0"/>
    <x v="3"/>
    <x v="1"/>
    <x v="3"/>
    <x v="24"/>
    <x v="0"/>
    <x v="2"/>
    <n v="0"/>
  </r>
  <r>
    <x v="0"/>
    <x v="3"/>
    <x v="1"/>
    <x v="3"/>
    <x v="24"/>
    <x v="0"/>
    <x v="3"/>
    <n v="0"/>
  </r>
  <r>
    <x v="0"/>
    <x v="3"/>
    <x v="1"/>
    <x v="3"/>
    <x v="24"/>
    <x v="0"/>
    <x v="4"/>
    <n v="0"/>
  </r>
  <r>
    <x v="0"/>
    <x v="3"/>
    <x v="1"/>
    <x v="3"/>
    <x v="24"/>
    <x v="0"/>
    <x v="5"/>
    <n v="0"/>
  </r>
  <r>
    <x v="0"/>
    <x v="3"/>
    <x v="1"/>
    <x v="3"/>
    <x v="24"/>
    <x v="0"/>
    <x v="6"/>
    <n v="0"/>
  </r>
  <r>
    <x v="0"/>
    <x v="3"/>
    <x v="1"/>
    <x v="3"/>
    <x v="25"/>
    <x v="0"/>
    <x v="0"/>
    <n v="6.6880088367641498E-3"/>
  </r>
  <r>
    <x v="0"/>
    <x v="3"/>
    <x v="1"/>
    <x v="3"/>
    <x v="25"/>
    <x v="0"/>
    <x v="1"/>
    <n v="2.4356020595976167E-2"/>
  </r>
  <r>
    <x v="0"/>
    <x v="3"/>
    <x v="1"/>
    <x v="3"/>
    <x v="25"/>
    <x v="0"/>
    <x v="2"/>
    <n v="6.4685028560209551E-2"/>
  </r>
  <r>
    <x v="0"/>
    <x v="3"/>
    <x v="1"/>
    <x v="3"/>
    <x v="25"/>
    <x v="0"/>
    <x v="3"/>
    <n v="0.17627952717720091"/>
  </r>
  <r>
    <x v="0"/>
    <x v="3"/>
    <x v="1"/>
    <x v="3"/>
    <x v="25"/>
    <x v="0"/>
    <x v="4"/>
    <n v="0.43782267715031514"/>
  </r>
  <r>
    <x v="0"/>
    <x v="3"/>
    <x v="1"/>
    <x v="3"/>
    <x v="25"/>
    <x v="0"/>
    <x v="5"/>
    <n v="0.66047030613553681"/>
  </r>
  <r>
    <x v="0"/>
    <x v="3"/>
    <x v="1"/>
    <x v="3"/>
    <x v="25"/>
    <x v="0"/>
    <x v="6"/>
    <n v="0.95315957411210817"/>
  </r>
  <r>
    <x v="0"/>
    <x v="3"/>
    <x v="2"/>
    <x v="4"/>
    <x v="26"/>
    <x v="0"/>
    <x v="0"/>
    <n v="0"/>
  </r>
  <r>
    <x v="0"/>
    <x v="3"/>
    <x v="2"/>
    <x v="4"/>
    <x v="26"/>
    <x v="0"/>
    <x v="1"/>
    <n v="0"/>
  </r>
  <r>
    <x v="0"/>
    <x v="3"/>
    <x v="2"/>
    <x v="4"/>
    <x v="26"/>
    <x v="0"/>
    <x v="2"/>
    <n v="0"/>
  </r>
  <r>
    <x v="0"/>
    <x v="3"/>
    <x v="2"/>
    <x v="4"/>
    <x v="26"/>
    <x v="0"/>
    <x v="3"/>
    <n v="0"/>
  </r>
  <r>
    <x v="0"/>
    <x v="3"/>
    <x v="2"/>
    <x v="4"/>
    <x v="26"/>
    <x v="0"/>
    <x v="4"/>
    <n v="0"/>
  </r>
  <r>
    <x v="0"/>
    <x v="3"/>
    <x v="2"/>
    <x v="4"/>
    <x v="26"/>
    <x v="0"/>
    <x v="5"/>
    <n v="0"/>
  </r>
  <r>
    <x v="0"/>
    <x v="3"/>
    <x v="2"/>
    <x v="4"/>
    <x v="26"/>
    <x v="0"/>
    <x v="6"/>
    <n v="0"/>
  </r>
  <r>
    <x v="0"/>
    <x v="3"/>
    <x v="2"/>
    <x v="4"/>
    <x v="27"/>
    <x v="0"/>
    <x v="0"/>
    <n v="0"/>
  </r>
  <r>
    <x v="0"/>
    <x v="3"/>
    <x v="2"/>
    <x v="4"/>
    <x v="27"/>
    <x v="0"/>
    <x v="1"/>
    <n v="0"/>
  </r>
  <r>
    <x v="0"/>
    <x v="3"/>
    <x v="2"/>
    <x v="4"/>
    <x v="27"/>
    <x v="0"/>
    <x v="2"/>
    <n v="0"/>
  </r>
  <r>
    <x v="0"/>
    <x v="3"/>
    <x v="2"/>
    <x v="4"/>
    <x v="27"/>
    <x v="0"/>
    <x v="3"/>
    <n v="0"/>
  </r>
  <r>
    <x v="0"/>
    <x v="3"/>
    <x v="2"/>
    <x v="4"/>
    <x v="27"/>
    <x v="0"/>
    <x v="4"/>
    <n v="0"/>
  </r>
  <r>
    <x v="0"/>
    <x v="3"/>
    <x v="2"/>
    <x v="4"/>
    <x v="27"/>
    <x v="0"/>
    <x v="5"/>
    <n v="0"/>
  </r>
  <r>
    <x v="0"/>
    <x v="3"/>
    <x v="2"/>
    <x v="4"/>
    <x v="27"/>
    <x v="0"/>
    <x v="6"/>
    <n v="0"/>
  </r>
  <r>
    <x v="0"/>
    <x v="3"/>
    <x v="2"/>
    <x v="4"/>
    <x v="28"/>
    <x v="0"/>
    <x v="0"/>
    <n v="0"/>
  </r>
  <r>
    <x v="0"/>
    <x v="3"/>
    <x v="2"/>
    <x v="4"/>
    <x v="28"/>
    <x v="0"/>
    <x v="1"/>
    <n v="0"/>
  </r>
  <r>
    <x v="0"/>
    <x v="3"/>
    <x v="2"/>
    <x v="4"/>
    <x v="28"/>
    <x v="0"/>
    <x v="2"/>
    <n v="0"/>
  </r>
  <r>
    <x v="0"/>
    <x v="3"/>
    <x v="2"/>
    <x v="4"/>
    <x v="28"/>
    <x v="0"/>
    <x v="3"/>
    <n v="0"/>
  </r>
  <r>
    <x v="0"/>
    <x v="3"/>
    <x v="2"/>
    <x v="4"/>
    <x v="28"/>
    <x v="0"/>
    <x v="4"/>
    <n v="0"/>
  </r>
  <r>
    <x v="0"/>
    <x v="3"/>
    <x v="2"/>
    <x v="4"/>
    <x v="28"/>
    <x v="0"/>
    <x v="5"/>
    <n v="0"/>
  </r>
  <r>
    <x v="0"/>
    <x v="3"/>
    <x v="2"/>
    <x v="4"/>
    <x v="28"/>
    <x v="0"/>
    <x v="6"/>
    <n v="0"/>
  </r>
  <r>
    <x v="0"/>
    <x v="3"/>
    <x v="2"/>
    <x v="4"/>
    <x v="29"/>
    <x v="0"/>
    <x v="0"/>
    <n v="0"/>
  </r>
  <r>
    <x v="0"/>
    <x v="3"/>
    <x v="2"/>
    <x v="4"/>
    <x v="29"/>
    <x v="0"/>
    <x v="1"/>
    <n v="0"/>
  </r>
  <r>
    <x v="0"/>
    <x v="3"/>
    <x v="2"/>
    <x v="4"/>
    <x v="29"/>
    <x v="0"/>
    <x v="2"/>
    <n v="0"/>
  </r>
  <r>
    <x v="0"/>
    <x v="3"/>
    <x v="2"/>
    <x v="4"/>
    <x v="29"/>
    <x v="0"/>
    <x v="3"/>
    <n v="0"/>
  </r>
  <r>
    <x v="0"/>
    <x v="3"/>
    <x v="2"/>
    <x v="4"/>
    <x v="29"/>
    <x v="0"/>
    <x v="4"/>
    <n v="0"/>
  </r>
  <r>
    <x v="0"/>
    <x v="3"/>
    <x v="2"/>
    <x v="4"/>
    <x v="29"/>
    <x v="0"/>
    <x v="5"/>
    <n v="0"/>
  </r>
  <r>
    <x v="0"/>
    <x v="3"/>
    <x v="2"/>
    <x v="4"/>
    <x v="29"/>
    <x v="0"/>
    <x v="6"/>
    <n v="0"/>
  </r>
  <r>
    <x v="0"/>
    <x v="3"/>
    <x v="3"/>
    <x v="5"/>
    <x v="30"/>
    <x v="0"/>
    <x v="0"/>
    <n v="1.1602572007412397"/>
  </r>
  <r>
    <x v="0"/>
    <x v="3"/>
    <x v="3"/>
    <x v="5"/>
    <x v="30"/>
    <x v="0"/>
    <x v="1"/>
    <n v="3.7887703121544201"/>
  </r>
  <r>
    <x v="0"/>
    <x v="3"/>
    <x v="3"/>
    <x v="5"/>
    <x v="30"/>
    <x v="0"/>
    <x v="2"/>
    <n v="16.255758140688354"/>
  </r>
  <r>
    <x v="0"/>
    <x v="3"/>
    <x v="3"/>
    <x v="5"/>
    <x v="30"/>
    <x v="0"/>
    <x v="3"/>
    <n v="36.342596824568858"/>
  </r>
  <r>
    <x v="0"/>
    <x v="3"/>
    <x v="3"/>
    <x v="5"/>
    <x v="30"/>
    <x v="0"/>
    <x v="4"/>
    <n v="53.834219228129065"/>
  </r>
  <r>
    <x v="0"/>
    <x v="3"/>
    <x v="3"/>
    <x v="5"/>
    <x v="30"/>
    <x v="0"/>
    <x v="5"/>
    <n v="68.555103853128671"/>
  </r>
  <r>
    <x v="0"/>
    <x v="3"/>
    <x v="3"/>
    <x v="5"/>
    <x v="30"/>
    <x v="0"/>
    <x v="6"/>
    <n v="90.584033219922077"/>
  </r>
  <r>
    <x v="0"/>
    <x v="3"/>
    <x v="2"/>
    <x v="4"/>
    <x v="31"/>
    <x v="0"/>
    <x v="0"/>
    <n v="2.910289380346466"/>
  </r>
  <r>
    <x v="0"/>
    <x v="3"/>
    <x v="2"/>
    <x v="4"/>
    <x v="31"/>
    <x v="0"/>
    <x v="1"/>
    <n v="11.911713062247761"/>
  </r>
  <r>
    <x v="0"/>
    <x v="3"/>
    <x v="2"/>
    <x v="4"/>
    <x v="31"/>
    <x v="0"/>
    <x v="2"/>
    <n v="36.4300868769853"/>
  </r>
  <r>
    <x v="0"/>
    <x v="3"/>
    <x v="2"/>
    <x v="4"/>
    <x v="31"/>
    <x v="0"/>
    <x v="3"/>
    <n v="110.71236683057222"/>
  </r>
  <r>
    <x v="0"/>
    <x v="3"/>
    <x v="2"/>
    <x v="4"/>
    <x v="31"/>
    <x v="0"/>
    <x v="4"/>
    <n v="217.75671382942858"/>
  </r>
  <r>
    <x v="0"/>
    <x v="3"/>
    <x v="2"/>
    <x v="4"/>
    <x v="31"/>
    <x v="0"/>
    <x v="5"/>
    <n v="332.53984058476658"/>
  </r>
  <r>
    <x v="0"/>
    <x v="3"/>
    <x v="2"/>
    <x v="4"/>
    <x v="31"/>
    <x v="0"/>
    <x v="6"/>
    <n v="523.29767681136889"/>
  </r>
  <r>
    <x v="0"/>
    <x v="3"/>
    <x v="2"/>
    <x v="4"/>
    <x v="32"/>
    <x v="0"/>
    <x v="0"/>
    <n v="3.9987843830191832E-3"/>
  </r>
  <r>
    <x v="0"/>
    <x v="3"/>
    <x v="2"/>
    <x v="4"/>
    <x v="32"/>
    <x v="0"/>
    <x v="1"/>
    <n v="1.0264596219995864E-2"/>
  </r>
  <r>
    <x v="0"/>
    <x v="3"/>
    <x v="2"/>
    <x v="4"/>
    <x v="32"/>
    <x v="0"/>
    <x v="2"/>
    <n v="2.5567357889510606E-2"/>
  </r>
  <r>
    <x v="0"/>
    <x v="3"/>
    <x v="2"/>
    <x v="4"/>
    <x v="32"/>
    <x v="0"/>
    <x v="3"/>
    <n v="5.4662297634058978E-2"/>
  </r>
  <r>
    <x v="0"/>
    <x v="3"/>
    <x v="2"/>
    <x v="4"/>
    <x v="32"/>
    <x v="0"/>
    <x v="4"/>
    <n v="0.10208630573095311"/>
  </r>
  <r>
    <x v="0"/>
    <x v="3"/>
    <x v="2"/>
    <x v="4"/>
    <x v="32"/>
    <x v="0"/>
    <x v="5"/>
    <n v="0.18529077393109766"/>
  </r>
  <r>
    <x v="0"/>
    <x v="3"/>
    <x v="2"/>
    <x v="4"/>
    <x v="32"/>
    <x v="0"/>
    <x v="6"/>
    <n v="0.34050284885442461"/>
  </r>
  <r>
    <x v="0"/>
    <x v="3"/>
    <x v="2"/>
    <x v="4"/>
    <x v="33"/>
    <x v="0"/>
    <x v="0"/>
    <n v="0"/>
  </r>
  <r>
    <x v="0"/>
    <x v="3"/>
    <x v="2"/>
    <x v="4"/>
    <x v="33"/>
    <x v="0"/>
    <x v="1"/>
    <n v="0"/>
  </r>
  <r>
    <x v="0"/>
    <x v="3"/>
    <x v="2"/>
    <x v="4"/>
    <x v="33"/>
    <x v="0"/>
    <x v="2"/>
    <n v="0"/>
  </r>
  <r>
    <x v="0"/>
    <x v="3"/>
    <x v="2"/>
    <x v="4"/>
    <x v="33"/>
    <x v="0"/>
    <x v="3"/>
    <n v="0"/>
  </r>
  <r>
    <x v="0"/>
    <x v="3"/>
    <x v="2"/>
    <x v="4"/>
    <x v="33"/>
    <x v="0"/>
    <x v="4"/>
    <n v="0"/>
  </r>
  <r>
    <x v="0"/>
    <x v="3"/>
    <x v="2"/>
    <x v="4"/>
    <x v="33"/>
    <x v="0"/>
    <x v="5"/>
    <n v="0"/>
  </r>
  <r>
    <x v="0"/>
    <x v="3"/>
    <x v="2"/>
    <x v="4"/>
    <x v="33"/>
    <x v="0"/>
    <x v="6"/>
    <n v="0"/>
  </r>
  <r>
    <x v="0"/>
    <x v="3"/>
    <x v="2"/>
    <x v="4"/>
    <x v="34"/>
    <x v="0"/>
    <x v="0"/>
    <n v="0.4286627137323466"/>
  </r>
  <r>
    <x v="0"/>
    <x v="3"/>
    <x v="2"/>
    <x v="4"/>
    <x v="34"/>
    <x v="0"/>
    <x v="1"/>
    <n v="1.3426085667223393"/>
  </r>
  <r>
    <x v="0"/>
    <x v="3"/>
    <x v="2"/>
    <x v="4"/>
    <x v="34"/>
    <x v="0"/>
    <x v="2"/>
    <n v="3.634783452946778"/>
  </r>
  <r>
    <x v="0"/>
    <x v="3"/>
    <x v="2"/>
    <x v="4"/>
    <x v="34"/>
    <x v="0"/>
    <x v="3"/>
    <n v="9.1218447125576034"/>
  </r>
  <r>
    <x v="0"/>
    <x v="3"/>
    <x v="2"/>
    <x v="4"/>
    <x v="34"/>
    <x v="0"/>
    <x v="4"/>
    <n v="15.977552694437069"/>
  </r>
  <r>
    <x v="0"/>
    <x v="3"/>
    <x v="2"/>
    <x v="4"/>
    <x v="34"/>
    <x v="0"/>
    <x v="5"/>
    <n v="22.326028621583173"/>
  </r>
  <r>
    <x v="0"/>
    <x v="3"/>
    <x v="2"/>
    <x v="4"/>
    <x v="34"/>
    <x v="0"/>
    <x v="6"/>
    <n v="31.942868924602617"/>
  </r>
  <r>
    <x v="0"/>
    <x v="3"/>
    <x v="2"/>
    <x v="6"/>
    <x v="35"/>
    <x v="0"/>
    <x v="0"/>
    <n v="0"/>
  </r>
  <r>
    <x v="0"/>
    <x v="3"/>
    <x v="2"/>
    <x v="6"/>
    <x v="35"/>
    <x v="0"/>
    <x v="1"/>
    <n v="0"/>
  </r>
  <r>
    <x v="0"/>
    <x v="3"/>
    <x v="2"/>
    <x v="6"/>
    <x v="35"/>
    <x v="0"/>
    <x v="2"/>
    <n v="0"/>
  </r>
  <r>
    <x v="0"/>
    <x v="3"/>
    <x v="2"/>
    <x v="6"/>
    <x v="35"/>
    <x v="0"/>
    <x v="3"/>
    <n v="0"/>
  </r>
  <r>
    <x v="0"/>
    <x v="3"/>
    <x v="2"/>
    <x v="6"/>
    <x v="35"/>
    <x v="0"/>
    <x v="4"/>
    <n v="0"/>
  </r>
  <r>
    <x v="0"/>
    <x v="3"/>
    <x v="2"/>
    <x v="6"/>
    <x v="35"/>
    <x v="0"/>
    <x v="5"/>
    <n v="0"/>
  </r>
  <r>
    <x v="0"/>
    <x v="3"/>
    <x v="2"/>
    <x v="6"/>
    <x v="35"/>
    <x v="0"/>
    <x v="6"/>
    <n v="0"/>
  </r>
  <r>
    <x v="0"/>
    <x v="3"/>
    <x v="2"/>
    <x v="6"/>
    <x v="36"/>
    <x v="0"/>
    <x v="0"/>
    <n v="0"/>
  </r>
  <r>
    <x v="0"/>
    <x v="3"/>
    <x v="2"/>
    <x v="6"/>
    <x v="36"/>
    <x v="0"/>
    <x v="1"/>
    <n v="0"/>
  </r>
  <r>
    <x v="0"/>
    <x v="3"/>
    <x v="2"/>
    <x v="6"/>
    <x v="36"/>
    <x v="0"/>
    <x v="2"/>
    <n v="0"/>
  </r>
  <r>
    <x v="0"/>
    <x v="3"/>
    <x v="2"/>
    <x v="6"/>
    <x v="36"/>
    <x v="0"/>
    <x v="3"/>
    <n v="0"/>
  </r>
  <r>
    <x v="0"/>
    <x v="3"/>
    <x v="2"/>
    <x v="6"/>
    <x v="36"/>
    <x v="0"/>
    <x v="4"/>
    <n v="0"/>
  </r>
  <r>
    <x v="0"/>
    <x v="3"/>
    <x v="2"/>
    <x v="6"/>
    <x v="36"/>
    <x v="0"/>
    <x v="5"/>
    <n v="0"/>
  </r>
  <r>
    <x v="0"/>
    <x v="3"/>
    <x v="2"/>
    <x v="6"/>
    <x v="36"/>
    <x v="0"/>
    <x v="6"/>
    <n v="0"/>
  </r>
  <r>
    <x v="0"/>
    <x v="3"/>
    <x v="2"/>
    <x v="6"/>
    <x v="37"/>
    <x v="0"/>
    <x v="0"/>
    <n v="0"/>
  </r>
  <r>
    <x v="0"/>
    <x v="3"/>
    <x v="2"/>
    <x v="6"/>
    <x v="37"/>
    <x v="0"/>
    <x v="1"/>
    <n v="0"/>
  </r>
  <r>
    <x v="0"/>
    <x v="3"/>
    <x v="2"/>
    <x v="6"/>
    <x v="37"/>
    <x v="0"/>
    <x v="2"/>
    <n v="0"/>
  </r>
  <r>
    <x v="0"/>
    <x v="3"/>
    <x v="2"/>
    <x v="6"/>
    <x v="37"/>
    <x v="0"/>
    <x v="3"/>
    <n v="0"/>
  </r>
  <r>
    <x v="0"/>
    <x v="3"/>
    <x v="2"/>
    <x v="6"/>
    <x v="37"/>
    <x v="0"/>
    <x v="4"/>
    <n v="0"/>
  </r>
  <r>
    <x v="0"/>
    <x v="3"/>
    <x v="2"/>
    <x v="6"/>
    <x v="37"/>
    <x v="0"/>
    <x v="5"/>
    <n v="0"/>
  </r>
  <r>
    <x v="0"/>
    <x v="3"/>
    <x v="2"/>
    <x v="6"/>
    <x v="37"/>
    <x v="0"/>
    <x v="6"/>
    <n v="0"/>
  </r>
  <r>
    <x v="0"/>
    <x v="3"/>
    <x v="2"/>
    <x v="6"/>
    <x v="38"/>
    <x v="0"/>
    <x v="0"/>
    <n v="1.246503827618181E-2"/>
  </r>
  <r>
    <x v="0"/>
    <x v="3"/>
    <x v="2"/>
    <x v="6"/>
    <x v="38"/>
    <x v="0"/>
    <x v="1"/>
    <n v="4.8911051536215444E-2"/>
  </r>
  <r>
    <x v="0"/>
    <x v="3"/>
    <x v="2"/>
    <x v="6"/>
    <x v="38"/>
    <x v="0"/>
    <x v="2"/>
    <n v="0.32186438432745229"/>
  </r>
  <r>
    <x v="0"/>
    <x v="3"/>
    <x v="2"/>
    <x v="6"/>
    <x v="38"/>
    <x v="0"/>
    <x v="3"/>
    <n v="1.2678306169695517"/>
  </r>
  <r>
    <x v="0"/>
    <x v="3"/>
    <x v="2"/>
    <x v="6"/>
    <x v="38"/>
    <x v="0"/>
    <x v="4"/>
    <n v="3.7015425057840528"/>
  </r>
  <r>
    <x v="0"/>
    <x v="3"/>
    <x v="2"/>
    <x v="6"/>
    <x v="38"/>
    <x v="0"/>
    <x v="5"/>
    <n v="9.1276086798240836"/>
  </r>
  <r>
    <x v="0"/>
    <x v="3"/>
    <x v="2"/>
    <x v="6"/>
    <x v="38"/>
    <x v="0"/>
    <x v="6"/>
    <n v="14.047736177218578"/>
  </r>
  <r>
    <x v="0"/>
    <x v="3"/>
    <x v="3"/>
    <x v="5"/>
    <x v="39"/>
    <x v="0"/>
    <x v="0"/>
    <n v="0.54631134957995142"/>
  </r>
  <r>
    <x v="0"/>
    <x v="3"/>
    <x v="3"/>
    <x v="5"/>
    <x v="39"/>
    <x v="0"/>
    <x v="1"/>
    <n v="1.2782786349509347"/>
  </r>
  <r>
    <x v="0"/>
    <x v="3"/>
    <x v="3"/>
    <x v="5"/>
    <x v="39"/>
    <x v="0"/>
    <x v="2"/>
    <n v="2.4050778265342316"/>
  </r>
  <r>
    <x v="0"/>
    <x v="3"/>
    <x v="3"/>
    <x v="5"/>
    <x v="39"/>
    <x v="0"/>
    <x v="3"/>
    <n v="4.0082076409185134"/>
  </r>
  <r>
    <x v="0"/>
    <x v="3"/>
    <x v="3"/>
    <x v="5"/>
    <x v="39"/>
    <x v="0"/>
    <x v="4"/>
    <n v="6.4807574104229628"/>
  </r>
  <r>
    <x v="0"/>
    <x v="3"/>
    <x v="3"/>
    <x v="5"/>
    <x v="39"/>
    <x v="0"/>
    <x v="5"/>
    <n v="9.8518987870235435"/>
  </r>
  <r>
    <x v="0"/>
    <x v="3"/>
    <x v="3"/>
    <x v="5"/>
    <x v="39"/>
    <x v="0"/>
    <x v="6"/>
    <n v="12.572254841158275"/>
  </r>
  <r>
    <x v="0"/>
    <x v="3"/>
    <x v="2"/>
    <x v="6"/>
    <x v="40"/>
    <x v="0"/>
    <x v="0"/>
    <n v="3.1169872563148536E-2"/>
  </r>
  <r>
    <x v="0"/>
    <x v="3"/>
    <x v="2"/>
    <x v="6"/>
    <x v="40"/>
    <x v="0"/>
    <x v="1"/>
    <n v="0.12504998883144197"/>
  </r>
  <r>
    <x v="0"/>
    <x v="3"/>
    <x v="2"/>
    <x v="6"/>
    <x v="40"/>
    <x v="0"/>
    <x v="2"/>
    <n v="0.61264464271475882"/>
  </r>
  <r>
    <x v="0"/>
    <x v="3"/>
    <x v="2"/>
    <x v="6"/>
    <x v="40"/>
    <x v="0"/>
    <x v="3"/>
    <n v="2.4531957849040844"/>
  </r>
  <r>
    <x v="0"/>
    <x v="3"/>
    <x v="2"/>
    <x v="6"/>
    <x v="40"/>
    <x v="0"/>
    <x v="4"/>
    <n v="7.4134970636823612"/>
  </r>
  <r>
    <x v="0"/>
    <x v="3"/>
    <x v="2"/>
    <x v="6"/>
    <x v="40"/>
    <x v="0"/>
    <x v="5"/>
    <n v="15.63597817280122"/>
  </r>
  <r>
    <x v="0"/>
    <x v="3"/>
    <x v="2"/>
    <x v="6"/>
    <x v="40"/>
    <x v="0"/>
    <x v="6"/>
    <n v="25.75970362161814"/>
  </r>
  <r>
    <x v="0"/>
    <x v="3"/>
    <x v="2"/>
    <x v="6"/>
    <x v="41"/>
    <x v="0"/>
    <x v="0"/>
    <n v="1.8904345091411628E-2"/>
  </r>
  <r>
    <x v="0"/>
    <x v="3"/>
    <x v="2"/>
    <x v="6"/>
    <x v="41"/>
    <x v="0"/>
    <x v="1"/>
    <n v="7.4098692062228841E-2"/>
  </r>
  <r>
    <x v="0"/>
    <x v="3"/>
    <x v="2"/>
    <x v="6"/>
    <x v="41"/>
    <x v="0"/>
    <x v="2"/>
    <n v="0.36709268063823297"/>
  </r>
  <r>
    <x v="0"/>
    <x v="3"/>
    <x v="2"/>
    <x v="6"/>
    <x v="41"/>
    <x v="0"/>
    <x v="3"/>
    <n v="1.4750204800021944"/>
  </r>
  <r>
    <x v="0"/>
    <x v="3"/>
    <x v="2"/>
    <x v="6"/>
    <x v="41"/>
    <x v="0"/>
    <x v="4"/>
    <n v="4.3655721022812308"/>
  </r>
  <r>
    <x v="0"/>
    <x v="3"/>
    <x v="2"/>
    <x v="6"/>
    <x v="41"/>
    <x v="0"/>
    <x v="5"/>
    <n v="9.1420033563642704"/>
  </r>
  <r>
    <x v="0"/>
    <x v="3"/>
    <x v="2"/>
    <x v="6"/>
    <x v="41"/>
    <x v="0"/>
    <x v="6"/>
    <n v="14.97853633073051"/>
  </r>
  <r>
    <x v="0"/>
    <x v="3"/>
    <x v="2"/>
    <x v="6"/>
    <x v="42"/>
    <x v="0"/>
    <x v="0"/>
    <n v="0"/>
  </r>
  <r>
    <x v="0"/>
    <x v="3"/>
    <x v="2"/>
    <x v="6"/>
    <x v="42"/>
    <x v="0"/>
    <x v="1"/>
    <n v="0"/>
  </r>
  <r>
    <x v="0"/>
    <x v="3"/>
    <x v="2"/>
    <x v="6"/>
    <x v="42"/>
    <x v="0"/>
    <x v="2"/>
    <n v="0"/>
  </r>
  <r>
    <x v="0"/>
    <x v="3"/>
    <x v="2"/>
    <x v="6"/>
    <x v="42"/>
    <x v="0"/>
    <x v="3"/>
    <n v="0"/>
  </r>
  <r>
    <x v="0"/>
    <x v="3"/>
    <x v="2"/>
    <x v="6"/>
    <x v="42"/>
    <x v="0"/>
    <x v="4"/>
    <n v="0"/>
  </r>
  <r>
    <x v="0"/>
    <x v="3"/>
    <x v="2"/>
    <x v="6"/>
    <x v="42"/>
    <x v="0"/>
    <x v="5"/>
    <n v="0"/>
  </r>
  <r>
    <x v="0"/>
    <x v="3"/>
    <x v="2"/>
    <x v="6"/>
    <x v="42"/>
    <x v="0"/>
    <x v="6"/>
    <n v="0"/>
  </r>
  <r>
    <x v="0"/>
    <x v="3"/>
    <x v="2"/>
    <x v="6"/>
    <x v="43"/>
    <x v="0"/>
    <x v="0"/>
    <n v="0"/>
  </r>
  <r>
    <x v="0"/>
    <x v="3"/>
    <x v="2"/>
    <x v="6"/>
    <x v="43"/>
    <x v="0"/>
    <x v="1"/>
    <n v="0"/>
  </r>
  <r>
    <x v="0"/>
    <x v="3"/>
    <x v="2"/>
    <x v="6"/>
    <x v="43"/>
    <x v="0"/>
    <x v="2"/>
    <n v="0"/>
  </r>
  <r>
    <x v="0"/>
    <x v="3"/>
    <x v="2"/>
    <x v="6"/>
    <x v="43"/>
    <x v="0"/>
    <x v="3"/>
    <n v="0"/>
  </r>
  <r>
    <x v="0"/>
    <x v="3"/>
    <x v="2"/>
    <x v="6"/>
    <x v="43"/>
    <x v="0"/>
    <x v="4"/>
    <n v="0"/>
  </r>
  <r>
    <x v="0"/>
    <x v="3"/>
    <x v="2"/>
    <x v="6"/>
    <x v="43"/>
    <x v="0"/>
    <x v="5"/>
    <n v="0"/>
  </r>
  <r>
    <x v="0"/>
    <x v="3"/>
    <x v="2"/>
    <x v="6"/>
    <x v="43"/>
    <x v="0"/>
    <x v="6"/>
    <n v="0"/>
  </r>
  <r>
    <x v="0"/>
    <x v="3"/>
    <x v="4"/>
    <x v="7"/>
    <x v="44"/>
    <x v="0"/>
    <x v="0"/>
    <n v="0"/>
  </r>
  <r>
    <x v="0"/>
    <x v="3"/>
    <x v="4"/>
    <x v="7"/>
    <x v="44"/>
    <x v="0"/>
    <x v="1"/>
    <n v="0"/>
  </r>
  <r>
    <x v="0"/>
    <x v="3"/>
    <x v="4"/>
    <x v="7"/>
    <x v="44"/>
    <x v="0"/>
    <x v="2"/>
    <n v="0"/>
  </r>
  <r>
    <x v="0"/>
    <x v="3"/>
    <x v="4"/>
    <x v="7"/>
    <x v="44"/>
    <x v="0"/>
    <x v="3"/>
    <n v="0"/>
  </r>
  <r>
    <x v="0"/>
    <x v="3"/>
    <x v="4"/>
    <x v="7"/>
    <x v="44"/>
    <x v="0"/>
    <x v="4"/>
    <n v="0"/>
  </r>
  <r>
    <x v="0"/>
    <x v="3"/>
    <x v="4"/>
    <x v="7"/>
    <x v="44"/>
    <x v="0"/>
    <x v="5"/>
    <n v="0"/>
  </r>
  <r>
    <x v="0"/>
    <x v="3"/>
    <x v="4"/>
    <x v="7"/>
    <x v="44"/>
    <x v="0"/>
    <x v="6"/>
    <n v="0"/>
  </r>
  <r>
    <x v="0"/>
    <x v="3"/>
    <x v="4"/>
    <x v="7"/>
    <x v="45"/>
    <x v="0"/>
    <x v="0"/>
    <n v="1.2630468881494381E-5"/>
  </r>
  <r>
    <x v="0"/>
    <x v="3"/>
    <x v="4"/>
    <x v="7"/>
    <x v="45"/>
    <x v="0"/>
    <x v="1"/>
    <n v="3.3515110813482238E-5"/>
  </r>
  <r>
    <x v="0"/>
    <x v="3"/>
    <x v="4"/>
    <x v="7"/>
    <x v="45"/>
    <x v="0"/>
    <x v="2"/>
    <n v="7.682472395802746E-5"/>
  </r>
  <r>
    <x v="0"/>
    <x v="3"/>
    <x v="4"/>
    <x v="7"/>
    <x v="45"/>
    <x v="0"/>
    <x v="3"/>
    <n v="1.7339866225144838E-4"/>
  </r>
  <r>
    <x v="0"/>
    <x v="3"/>
    <x v="4"/>
    <x v="7"/>
    <x v="45"/>
    <x v="0"/>
    <x v="4"/>
    <n v="3.9056114072598917E-4"/>
  </r>
  <r>
    <x v="0"/>
    <x v="3"/>
    <x v="4"/>
    <x v="7"/>
    <x v="45"/>
    <x v="0"/>
    <x v="5"/>
    <n v="8.0309367875567336E-4"/>
  </r>
  <r>
    <x v="0"/>
    <x v="3"/>
    <x v="4"/>
    <x v="7"/>
    <x v="45"/>
    <x v="0"/>
    <x v="6"/>
    <n v="1.5716076236977118E-3"/>
  </r>
  <r>
    <x v="0"/>
    <x v="3"/>
    <x v="4"/>
    <x v="7"/>
    <x v="46"/>
    <x v="0"/>
    <x v="0"/>
    <n v="0"/>
  </r>
  <r>
    <x v="0"/>
    <x v="3"/>
    <x v="4"/>
    <x v="7"/>
    <x v="46"/>
    <x v="0"/>
    <x v="1"/>
    <n v="0"/>
  </r>
  <r>
    <x v="0"/>
    <x v="3"/>
    <x v="4"/>
    <x v="7"/>
    <x v="46"/>
    <x v="0"/>
    <x v="2"/>
    <n v="0"/>
  </r>
  <r>
    <x v="0"/>
    <x v="3"/>
    <x v="4"/>
    <x v="7"/>
    <x v="46"/>
    <x v="0"/>
    <x v="3"/>
    <n v="0"/>
  </r>
  <r>
    <x v="0"/>
    <x v="3"/>
    <x v="4"/>
    <x v="7"/>
    <x v="46"/>
    <x v="0"/>
    <x v="4"/>
    <n v="0"/>
  </r>
  <r>
    <x v="0"/>
    <x v="3"/>
    <x v="4"/>
    <x v="7"/>
    <x v="46"/>
    <x v="0"/>
    <x v="5"/>
    <n v="0"/>
  </r>
  <r>
    <x v="0"/>
    <x v="3"/>
    <x v="4"/>
    <x v="7"/>
    <x v="46"/>
    <x v="0"/>
    <x v="6"/>
    <n v="0"/>
  </r>
  <r>
    <x v="0"/>
    <x v="3"/>
    <x v="4"/>
    <x v="7"/>
    <x v="47"/>
    <x v="0"/>
    <x v="0"/>
    <n v="0"/>
  </r>
  <r>
    <x v="0"/>
    <x v="3"/>
    <x v="4"/>
    <x v="7"/>
    <x v="47"/>
    <x v="0"/>
    <x v="1"/>
    <n v="0"/>
  </r>
  <r>
    <x v="0"/>
    <x v="3"/>
    <x v="4"/>
    <x v="7"/>
    <x v="47"/>
    <x v="0"/>
    <x v="2"/>
    <n v="0"/>
  </r>
  <r>
    <x v="0"/>
    <x v="3"/>
    <x v="4"/>
    <x v="7"/>
    <x v="47"/>
    <x v="0"/>
    <x v="3"/>
    <n v="0"/>
  </r>
  <r>
    <x v="0"/>
    <x v="3"/>
    <x v="4"/>
    <x v="7"/>
    <x v="47"/>
    <x v="0"/>
    <x v="4"/>
    <n v="0"/>
  </r>
  <r>
    <x v="0"/>
    <x v="3"/>
    <x v="4"/>
    <x v="7"/>
    <x v="47"/>
    <x v="0"/>
    <x v="5"/>
    <n v="0"/>
  </r>
  <r>
    <x v="0"/>
    <x v="3"/>
    <x v="4"/>
    <x v="7"/>
    <x v="47"/>
    <x v="0"/>
    <x v="6"/>
    <n v="0"/>
  </r>
  <r>
    <x v="0"/>
    <x v="3"/>
    <x v="4"/>
    <x v="7"/>
    <x v="48"/>
    <x v="0"/>
    <x v="0"/>
    <n v="0"/>
  </r>
  <r>
    <x v="0"/>
    <x v="3"/>
    <x v="4"/>
    <x v="7"/>
    <x v="48"/>
    <x v="0"/>
    <x v="1"/>
    <n v="0"/>
  </r>
  <r>
    <x v="0"/>
    <x v="3"/>
    <x v="4"/>
    <x v="7"/>
    <x v="48"/>
    <x v="0"/>
    <x v="2"/>
    <n v="0"/>
  </r>
  <r>
    <x v="0"/>
    <x v="3"/>
    <x v="4"/>
    <x v="7"/>
    <x v="48"/>
    <x v="0"/>
    <x v="3"/>
    <n v="0"/>
  </r>
  <r>
    <x v="0"/>
    <x v="3"/>
    <x v="4"/>
    <x v="7"/>
    <x v="48"/>
    <x v="0"/>
    <x v="4"/>
    <n v="0"/>
  </r>
  <r>
    <x v="0"/>
    <x v="3"/>
    <x v="4"/>
    <x v="7"/>
    <x v="48"/>
    <x v="0"/>
    <x v="5"/>
    <n v="0"/>
  </r>
  <r>
    <x v="0"/>
    <x v="3"/>
    <x v="4"/>
    <x v="7"/>
    <x v="48"/>
    <x v="0"/>
    <x v="6"/>
    <n v="0"/>
  </r>
  <r>
    <x v="0"/>
    <x v="3"/>
    <x v="4"/>
    <x v="7"/>
    <x v="49"/>
    <x v="0"/>
    <x v="0"/>
    <n v="0"/>
  </r>
  <r>
    <x v="0"/>
    <x v="3"/>
    <x v="4"/>
    <x v="7"/>
    <x v="49"/>
    <x v="0"/>
    <x v="1"/>
    <n v="0"/>
  </r>
  <r>
    <x v="0"/>
    <x v="3"/>
    <x v="4"/>
    <x v="7"/>
    <x v="49"/>
    <x v="0"/>
    <x v="2"/>
    <n v="0"/>
  </r>
  <r>
    <x v="0"/>
    <x v="3"/>
    <x v="4"/>
    <x v="7"/>
    <x v="49"/>
    <x v="0"/>
    <x v="3"/>
    <n v="0"/>
  </r>
  <r>
    <x v="0"/>
    <x v="3"/>
    <x v="4"/>
    <x v="7"/>
    <x v="49"/>
    <x v="0"/>
    <x v="4"/>
    <n v="0"/>
  </r>
  <r>
    <x v="0"/>
    <x v="3"/>
    <x v="4"/>
    <x v="7"/>
    <x v="49"/>
    <x v="0"/>
    <x v="5"/>
    <n v="0"/>
  </r>
  <r>
    <x v="0"/>
    <x v="3"/>
    <x v="4"/>
    <x v="7"/>
    <x v="49"/>
    <x v="0"/>
    <x v="6"/>
    <n v="0"/>
  </r>
  <r>
    <x v="0"/>
    <x v="3"/>
    <x v="4"/>
    <x v="7"/>
    <x v="50"/>
    <x v="0"/>
    <x v="0"/>
    <n v="0"/>
  </r>
  <r>
    <x v="0"/>
    <x v="3"/>
    <x v="4"/>
    <x v="7"/>
    <x v="50"/>
    <x v="0"/>
    <x v="1"/>
    <n v="0"/>
  </r>
  <r>
    <x v="0"/>
    <x v="3"/>
    <x v="4"/>
    <x v="7"/>
    <x v="50"/>
    <x v="0"/>
    <x v="2"/>
    <n v="0"/>
  </r>
  <r>
    <x v="0"/>
    <x v="3"/>
    <x v="4"/>
    <x v="7"/>
    <x v="50"/>
    <x v="0"/>
    <x v="3"/>
    <n v="0"/>
  </r>
  <r>
    <x v="0"/>
    <x v="3"/>
    <x v="4"/>
    <x v="7"/>
    <x v="50"/>
    <x v="0"/>
    <x v="4"/>
    <n v="0"/>
  </r>
  <r>
    <x v="0"/>
    <x v="3"/>
    <x v="4"/>
    <x v="7"/>
    <x v="50"/>
    <x v="0"/>
    <x v="5"/>
    <n v="0"/>
  </r>
  <r>
    <x v="0"/>
    <x v="3"/>
    <x v="4"/>
    <x v="7"/>
    <x v="50"/>
    <x v="0"/>
    <x v="6"/>
    <n v="0"/>
  </r>
  <r>
    <x v="0"/>
    <x v="3"/>
    <x v="5"/>
    <x v="8"/>
    <x v="51"/>
    <x v="0"/>
    <x v="0"/>
    <n v="3.0543700530767746E-3"/>
  </r>
  <r>
    <x v="0"/>
    <x v="3"/>
    <x v="5"/>
    <x v="8"/>
    <x v="51"/>
    <x v="0"/>
    <x v="1"/>
    <n v="8.48639840120252E-3"/>
  </r>
  <r>
    <x v="0"/>
    <x v="3"/>
    <x v="5"/>
    <x v="8"/>
    <x v="51"/>
    <x v="0"/>
    <x v="2"/>
    <n v="2.3798504276744504E-2"/>
  </r>
  <r>
    <x v="0"/>
    <x v="3"/>
    <x v="5"/>
    <x v="8"/>
    <x v="51"/>
    <x v="0"/>
    <x v="3"/>
    <n v="7.8860412191504053E-2"/>
  </r>
  <r>
    <x v="0"/>
    <x v="3"/>
    <x v="5"/>
    <x v="8"/>
    <x v="51"/>
    <x v="0"/>
    <x v="4"/>
    <n v="0.1874174703697776"/>
  </r>
  <r>
    <x v="0"/>
    <x v="3"/>
    <x v="5"/>
    <x v="8"/>
    <x v="51"/>
    <x v="0"/>
    <x v="5"/>
    <n v="0.25646953601150518"/>
  </r>
  <r>
    <x v="0"/>
    <x v="3"/>
    <x v="5"/>
    <x v="8"/>
    <x v="51"/>
    <x v="0"/>
    <x v="6"/>
    <n v="0.35578083416224865"/>
  </r>
  <r>
    <x v="0"/>
    <x v="3"/>
    <x v="3"/>
    <x v="5"/>
    <x v="52"/>
    <x v="0"/>
    <x v="0"/>
    <n v="0"/>
  </r>
  <r>
    <x v="0"/>
    <x v="3"/>
    <x v="3"/>
    <x v="5"/>
    <x v="52"/>
    <x v="0"/>
    <x v="1"/>
    <n v="0"/>
  </r>
  <r>
    <x v="0"/>
    <x v="3"/>
    <x v="3"/>
    <x v="5"/>
    <x v="52"/>
    <x v="0"/>
    <x v="2"/>
    <n v="0"/>
  </r>
  <r>
    <x v="0"/>
    <x v="3"/>
    <x v="3"/>
    <x v="5"/>
    <x v="52"/>
    <x v="0"/>
    <x v="3"/>
    <n v="3.5138878328584973E-3"/>
  </r>
  <r>
    <x v="0"/>
    <x v="3"/>
    <x v="3"/>
    <x v="5"/>
    <x v="52"/>
    <x v="0"/>
    <x v="4"/>
    <n v="1.9146074551750991E-2"/>
  </r>
  <r>
    <x v="0"/>
    <x v="3"/>
    <x v="3"/>
    <x v="5"/>
    <x v="52"/>
    <x v="0"/>
    <x v="5"/>
    <n v="5.8855795838103776E-2"/>
  </r>
  <r>
    <x v="0"/>
    <x v="3"/>
    <x v="3"/>
    <x v="5"/>
    <x v="52"/>
    <x v="0"/>
    <x v="6"/>
    <n v="0"/>
  </r>
  <r>
    <x v="0"/>
    <x v="3"/>
    <x v="5"/>
    <x v="8"/>
    <x v="53"/>
    <x v="0"/>
    <x v="0"/>
    <n v="3.9588545882450102E-2"/>
  </r>
  <r>
    <x v="0"/>
    <x v="3"/>
    <x v="5"/>
    <x v="8"/>
    <x v="53"/>
    <x v="0"/>
    <x v="1"/>
    <n v="0.13621961942677954"/>
  </r>
  <r>
    <x v="0"/>
    <x v="3"/>
    <x v="5"/>
    <x v="8"/>
    <x v="53"/>
    <x v="0"/>
    <x v="2"/>
    <n v="0.40768249832201869"/>
  </r>
  <r>
    <x v="0"/>
    <x v="3"/>
    <x v="5"/>
    <x v="8"/>
    <x v="53"/>
    <x v="0"/>
    <x v="3"/>
    <n v="1.2486037732315125"/>
  </r>
  <r>
    <x v="0"/>
    <x v="3"/>
    <x v="5"/>
    <x v="8"/>
    <x v="53"/>
    <x v="0"/>
    <x v="4"/>
    <n v="3.5161335746836215"/>
  </r>
  <r>
    <x v="0"/>
    <x v="3"/>
    <x v="5"/>
    <x v="8"/>
    <x v="53"/>
    <x v="0"/>
    <x v="5"/>
    <n v="5.6606939547032606"/>
  </r>
  <r>
    <x v="0"/>
    <x v="3"/>
    <x v="5"/>
    <x v="8"/>
    <x v="53"/>
    <x v="0"/>
    <x v="6"/>
    <n v="8.1381480296381508"/>
  </r>
  <r>
    <x v="0"/>
    <x v="3"/>
    <x v="4"/>
    <x v="7"/>
    <x v="54"/>
    <x v="0"/>
    <x v="0"/>
    <n v="0"/>
  </r>
  <r>
    <x v="0"/>
    <x v="3"/>
    <x v="4"/>
    <x v="7"/>
    <x v="54"/>
    <x v="0"/>
    <x v="1"/>
    <n v="0"/>
  </r>
  <r>
    <x v="0"/>
    <x v="3"/>
    <x v="4"/>
    <x v="7"/>
    <x v="54"/>
    <x v="0"/>
    <x v="2"/>
    <n v="0"/>
  </r>
  <r>
    <x v="0"/>
    <x v="3"/>
    <x v="4"/>
    <x v="7"/>
    <x v="54"/>
    <x v="0"/>
    <x v="3"/>
    <n v="0"/>
  </r>
  <r>
    <x v="0"/>
    <x v="3"/>
    <x v="4"/>
    <x v="7"/>
    <x v="54"/>
    <x v="0"/>
    <x v="4"/>
    <n v="0"/>
  </r>
  <r>
    <x v="0"/>
    <x v="3"/>
    <x v="4"/>
    <x v="7"/>
    <x v="54"/>
    <x v="0"/>
    <x v="5"/>
    <n v="0"/>
  </r>
  <r>
    <x v="0"/>
    <x v="3"/>
    <x v="4"/>
    <x v="7"/>
    <x v="54"/>
    <x v="0"/>
    <x v="6"/>
    <n v="0"/>
  </r>
  <r>
    <x v="0"/>
    <x v="3"/>
    <x v="4"/>
    <x v="7"/>
    <x v="55"/>
    <x v="0"/>
    <x v="0"/>
    <n v="2.1308021199826586E-5"/>
  </r>
  <r>
    <x v="0"/>
    <x v="3"/>
    <x v="4"/>
    <x v="7"/>
    <x v="55"/>
    <x v="0"/>
    <x v="1"/>
    <n v="7.7286321772757004E-5"/>
  </r>
  <r>
    <x v="0"/>
    <x v="3"/>
    <x v="4"/>
    <x v="7"/>
    <x v="55"/>
    <x v="0"/>
    <x v="2"/>
    <n v="2.3338905457503036E-4"/>
  </r>
  <r>
    <x v="0"/>
    <x v="3"/>
    <x v="4"/>
    <x v="7"/>
    <x v="55"/>
    <x v="0"/>
    <x v="3"/>
    <n v="7.3605773618069597E-4"/>
  </r>
  <r>
    <x v="0"/>
    <x v="3"/>
    <x v="4"/>
    <x v="7"/>
    <x v="55"/>
    <x v="0"/>
    <x v="4"/>
    <n v="2.2907463300149322E-3"/>
  </r>
  <r>
    <x v="0"/>
    <x v="3"/>
    <x v="4"/>
    <x v="7"/>
    <x v="55"/>
    <x v="0"/>
    <x v="5"/>
    <n v="5.7468664600740221E-3"/>
  </r>
  <r>
    <x v="0"/>
    <x v="3"/>
    <x v="4"/>
    <x v="7"/>
    <x v="55"/>
    <x v="0"/>
    <x v="6"/>
    <n v="1.3602316910773132E-2"/>
  </r>
  <r>
    <x v="0"/>
    <x v="3"/>
    <x v="4"/>
    <x v="7"/>
    <x v="56"/>
    <x v="0"/>
    <x v="0"/>
    <n v="0"/>
  </r>
  <r>
    <x v="0"/>
    <x v="3"/>
    <x v="4"/>
    <x v="7"/>
    <x v="56"/>
    <x v="0"/>
    <x v="1"/>
    <n v="0"/>
  </r>
  <r>
    <x v="0"/>
    <x v="3"/>
    <x v="4"/>
    <x v="7"/>
    <x v="56"/>
    <x v="0"/>
    <x v="2"/>
    <n v="0"/>
  </r>
  <r>
    <x v="0"/>
    <x v="3"/>
    <x v="4"/>
    <x v="7"/>
    <x v="56"/>
    <x v="0"/>
    <x v="3"/>
    <n v="0"/>
  </r>
  <r>
    <x v="0"/>
    <x v="3"/>
    <x v="4"/>
    <x v="7"/>
    <x v="56"/>
    <x v="0"/>
    <x v="4"/>
    <n v="0"/>
  </r>
  <r>
    <x v="0"/>
    <x v="3"/>
    <x v="4"/>
    <x v="7"/>
    <x v="56"/>
    <x v="0"/>
    <x v="5"/>
    <n v="0"/>
  </r>
  <r>
    <x v="0"/>
    <x v="3"/>
    <x v="4"/>
    <x v="7"/>
    <x v="56"/>
    <x v="0"/>
    <x v="6"/>
    <n v="0"/>
  </r>
  <r>
    <x v="0"/>
    <x v="3"/>
    <x v="4"/>
    <x v="7"/>
    <x v="57"/>
    <x v="0"/>
    <x v="0"/>
    <n v="0"/>
  </r>
  <r>
    <x v="0"/>
    <x v="3"/>
    <x v="4"/>
    <x v="7"/>
    <x v="57"/>
    <x v="0"/>
    <x v="1"/>
    <n v="0"/>
  </r>
  <r>
    <x v="0"/>
    <x v="3"/>
    <x v="4"/>
    <x v="7"/>
    <x v="57"/>
    <x v="0"/>
    <x v="2"/>
    <n v="0"/>
  </r>
  <r>
    <x v="0"/>
    <x v="3"/>
    <x v="4"/>
    <x v="7"/>
    <x v="57"/>
    <x v="0"/>
    <x v="3"/>
    <n v="0"/>
  </r>
  <r>
    <x v="0"/>
    <x v="3"/>
    <x v="4"/>
    <x v="7"/>
    <x v="57"/>
    <x v="0"/>
    <x v="4"/>
    <n v="0"/>
  </r>
  <r>
    <x v="0"/>
    <x v="3"/>
    <x v="4"/>
    <x v="7"/>
    <x v="57"/>
    <x v="0"/>
    <x v="5"/>
    <n v="0"/>
  </r>
  <r>
    <x v="0"/>
    <x v="3"/>
    <x v="4"/>
    <x v="7"/>
    <x v="57"/>
    <x v="0"/>
    <x v="6"/>
    <n v="0"/>
  </r>
  <r>
    <x v="0"/>
    <x v="3"/>
    <x v="4"/>
    <x v="7"/>
    <x v="58"/>
    <x v="0"/>
    <x v="0"/>
    <n v="0"/>
  </r>
  <r>
    <x v="0"/>
    <x v="3"/>
    <x v="4"/>
    <x v="7"/>
    <x v="58"/>
    <x v="0"/>
    <x v="1"/>
    <n v="0"/>
  </r>
  <r>
    <x v="0"/>
    <x v="3"/>
    <x v="4"/>
    <x v="7"/>
    <x v="58"/>
    <x v="0"/>
    <x v="2"/>
    <n v="0"/>
  </r>
  <r>
    <x v="0"/>
    <x v="3"/>
    <x v="4"/>
    <x v="7"/>
    <x v="58"/>
    <x v="0"/>
    <x v="3"/>
    <n v="0"/>
  </r>
  <r>
    <x v="0"/>
    <x v="3"/>
    <x v="4"/>
    <x v="7"/>
    <x v="58"/>
    <x v="0"/>
    <x v="4"/>
    <n v="0"/>
  </r>
  <r>
    <x v="0"/>
    <x v="3"/>
    <x v="4"/>
    <x v="7"/>
    <x v="58"/>
    <x v="0"/>
    <x v="5"/>
    <n v="0"/>
  </r>
  <r>
    <x v="0"/>
    <x v="3"/>
    <x v="4"/>
    <x v="7"/>
    <x v="58"/>
    <x v="0"/>
    <x v="6"/>
    <n v="0"/>
  </r>
  <r>
    <x v="0"/>
    <x v="3"/>
    <x v="4"/>
    <x v="7"/>
    <x v="59"/>
    <x v="0"/>
    <x v="0"/>
    <n v="0"/>
  </r>
  <r>
    <x v="0"/>
    <x v="3"/>
    <x v="4"/>
    <x v="7"/>
    <x v="59"/>
    <x v="0"/>
    <x v="1"/>
    <n v="0"/>
  </r>
  <r>
    <x v="0"/>
    <x v="3"/>
    <x v="4"/>
    <x v="7"/>
    <x v="59"/>
    <x v="0"/>
    <x v="2"/>
    <n v="0"/>
  </r>
  <r>
    <x v="0"/>
    <x v="3"/>
    <x v="4"/>
    <x v="7"/>
    <x v="59"/>
    <x v="0"/>
    <x v="3"/>
    <n v="0"/>
  </r>
  <r>
    <x v="0"/>
    <x v="3"/>
    <x v="4"/>
    <x v="7"/>
    <x v="59"/>
    <x v="0"/>
    <x v="4"/>
    <n v="0"/>
  </r>
  <r>
    <x v="0"/>
    <x v="3"/>
    <x v="4"/>
    <x v="7"/>
    <x v="59"/>
    <x v="0"/>
    <x v="5"/>
    <n v="0"/>
  </r>
  <r>
    <x v="0"/>
    <x v="3"/>
    <x v="4"/>
    <x v="7"/>
    <x v="59"/>
    <x v="0"/>
    <x v="6"/>
    <n v="0"/>
  </r>
  <r>
    <x v="0"/>
    <x v="3"/>
    <x v="4"/>
    <x v="7"/>
    <x v="60"/>
    <x v="0"/>
    <x v="0"/>
    <n v="0"/>
  </r>
  <r>
    <x v="0"/>
    <x v="3"/>
    <x v="4"/>
    <x v="7"/>
    <x v="60"/>
    <x v="0"/>
    <x v="1"/>
    <n v="0"/>
  </r>
  <r>
    <x v="0"/>
    <x v="3"/>
    <x v="4"/>
    <x v="7"/>
    <x v="60"/>
    <x v="0"/>
    <x v="2"/>
    <n v="0"/>
  </r>
  <r>
    <x v="0"/>
    <x v="3"/>
    <x v="4"/>
    <x v="7"/>
    <x v="60"/>
    <x v="0"/>
    <x v="3"/>
    <n v="0"/>
  </r>
  <r>
    <x v="0"/>
    <x v="3"/>
    <x v="4"/>
    <x v="7"/>
    <x v="60"/>
    <x v="0"/>
    <x v="4"/>
    <n v="0"/>
  </r>
  <r>
    <x v="0"/>
    <x v="3"/>
    <x v="4"/>
    <x v="7"/>
    <x v="60"/>
    <x v="0"/>
    <x v="5"/>
    <n v="0"/>
  </r>
  <r>
    <x v="0"/>
    <x v="3"/>
    <x v="4"/>
    <x v="7"/>
    <x v="60"/>
    <x v="0"/>
    <x v="6"/>
    <n v="0"/>
  </r>
  <r>
    <x v="0"/>
    <x v="3"/>
    <x v="4"/>
    <x v="7"/>
    <x v="61"/>
    <x v="0"/>
    <x v="0"/>
    <n v="0"/>
  </r>
  <r>
    <x v="0"/>
    <x v="3"/>
    <x v="4"/>
    <x v="7"/>
    <x v="61"/>
    <x v="0"/>
    <x v="1"/>
    <n v="0"/>
  </r>
  <r>
    <x v="0"/>
    <x v="3"/>
    <x v="4"/>
    <x v="7"/>
    <x v="61"/>
    <x v="0"/>
    <x v="2"/>
    <n v="0"/>
  </r>
  <r>
    <x v="0"/>
    <x v="3"/>
    <x v="4"/>
    <x v="7"/>
    <x v="61"/>
    <x v="0"/>
    <x v="3"/>
    <n v="0"/>
  </r>
  <r>
    <x v="0"/>
    <x v="3"/>
    <x v="4"/>
    <x v="7"/>
    <x v="61"/>
    <x v="0"/>
    <x v="4"/>
    <n v="0"/>
  </r>
  <r>
    <x v="0"/>
    <x v="3"/>
    <x v="4"/>
    <x v="7"/>
    <x v="61"/>
    <x v="0"/>
    <x v="5"/>
    <n v="0"/>
  </r>
  <r>
    <x v="0"/>
    <x v="3"/>
    <x v="4"/>
    <x v="7"/>
    <x v="61"/>
    <x v="0"/>
    <x v="6"/>
    <n v="0"/>
  </r>
  <r>
    <x v="0"/>
    <x v="3"/>
    <x v="4"/>
    <x v="7"/>
    <x v="62"/>
    <x v="0"/>
    <x v="0"/>
    <n v="0"/>
  </r>
  <r>
    <x v="0"/>
    <x v="3"/>
    <x v="4"/>
    <x v="7"/>
    <x v="62"/>
    <x v="0"/>
    <x v="1"/>
    <n v="0"/>
  </r>
  <r>
    <x v="0"/>
    <x v="3"/>
    <x v="4"/>
    <x v="7"/>
    <x v="62"/>
    <x v="0"/>
    <x v="2"/>
    <n v="0"/>
  </r>
  <r>
    <x v="0"/>
    <x v="3"/>
    <x v="4"/>
    <x v="7"/>
    <x v="62"/>
    <x v="0"/>
    <x v="3"/>
    <n v="0"/>
  </r>
  <r>
    <x v="0"/>
    <x v="3"/>
    <x v="4"/>
    <x v="7"/>
    <x v="62"/>
    <x v="0"/>
    <x v="4"/>
    <n v="0"/>
  </r>
  <r>
    <x v="0"/>
    <x v="3"/>
    <x v="4"/>
    <x v="7"/>
    <x v="62"/>
    <x v="0"/>
    <x v="5"/>
    <n v="0"/>
  </r>
  <r>
    <x v="0"/>
    <x v="3"/>
    <x v="4"/>
    <x v="7"/>
    <x v="62"/>
    <x v="0"/>
    <x v="6"/>
    <n v="0"/>
  </r>
  <r>
    <x v="0"/>
    <x v="3"/>
    <x v="4"/>
    <x v="7"/>
    <x v="63"/>
    <x v="0"/>
    <x v="0"/>
    <n v="0"/>
  </r>
  <r>
    <x v="0"/>
    <x v="3"/>
    <x v="4"/>
    <x v="7"/>
    <x v="63"/>
    <x v="0"/>
    <x v="1"/>
    <n v="0"/>
  </r>
  <r>
    <x v="0"/>
    <x v="3"/>
    <x v="4"/>
    <x v="7"/>
    <x v="63"/>
    <x v="0"/>
    <x v="2"/>
    <n v="0"/>
  </r>
  <r>
    <x v="0"/>
    <x v="3"/>
    <x v="4"/>
    <x v="7"/>
    <x v="63"/>
    <x v="0"/>
    <x v="3"/>
    <n v="0"/>
  </r>
  <r>
    <x v="0"/>
    <x v="3"/>
    <x v="4"/>
    <x v="7"/>
    <x v="63"/>
    <x v="0"/>
    <x v="4"/>
    <n v="0"/>
  </r>
  <r>
    <x v="0"/>
    <x v="3"/>
    <x v="4"/>
    <x v="7"/>
    <x v="63"/>
    <x v="0"/>
    <x v="5"/>
    <n v="0"/>
  </r>
  <r>
    <x v="0"/>
    <x v="3"/>
    <x v="4"/>
    <x v="7"/>
    <x v="63"/>
    <x v="0"/>
    <x v="6"/>
    <n v="0"/>
  </r>
  <r>
    <x v="0"/>
    <x v="3"/>
    <x v="4"/>
    <x v="7"/>
    <x v="64"/>
    <x v="0"/>
    <x v="0"/>
    <n v="1.4519063254518351E-4"/>
  </r>
  <r>
    <x v="0"/>
    <x v="3"/>
    <x v="4"/>
    <x v="7"/>
    <x v="64"/>
    <x v="0"/>
    <x v="1"/>
    <n v="5.9781651604093105E-4"/>
  </r>
  <r>
    <x v="0"/>
    <x v="3"/>
    <x v="4"/>
    <x v="7"/>
    <x v="64"/>
    <x v="0"/>
    <x v="2"/>
    <n v="1.8699532389997615E-3"/>
  </r>
  <r>
    <x v="0"/>
    <x v="3"/>
    <x v="4"/>
    <x v="7"/>
    <x v="64"/>
    <x v="0"/>
    <x v="3"/>
    <n v="5.9557366419974531E-3"/>
  </r>
  <r>
    <x v="0"/>
    <x v="3"/>
    <x v="4"/>
    <x v="7"/>
    <x v="64"/>
    <x v="0"/>
    <x v="4"/>
    <n v="1.9508881782477425E-2"/>
  </r>
  <r>
    <x v="0"/>
    <x v="3"/>
    <x v="4"/>
    <x v="7"/>
    <x v="64"/>
    <x v="0"/>
    <x v="5"/>
    <n v="4.9611967134924613E-2"/>
  </r>
  <r>
    <x v="0"/>
    <x v="3"/>
    <x v="4"/>
    <x v="7"/>
    <x v="64"/>
    <x v="0"/>
    <x v="6"/>
    <n v="0.1189658250116733"/>
  </r>
  <r>
    <x v="0"/>
    <x v="3"/>
    <x v="3"/>
    <x v="5"/>
    <x v="65"/>
    <x v="0"/>
    <x v="0"/>
    <n v="1.514044174017301"/>
  </r>
  <r>
    <x v="0"/>
    <x v="3"/>
    <x v="3"/>
    <x v="5"/>
    <x v="65"/>
    <x v="0"/>
    <x v="1"/>
    <n v="4.2223669009904263"/>
  </r>
  <r>
    <x v="0"/>
    <x v="3"/>
    <x v="3"/>
    <x v="5"/>
    <x v="65"/>
    <x v="0"/>
    <x v="2"/>
    <n v="10.29745964901657"/>
  </r>
  <r>
    <x v="0"/>
    <x v="3"/>
    <x v="3"/>
    <x v="5"/>
    <x v="65"/>
    <x v="0"/>
    <x v="3"/>
    <n v="20.514492598435098"/>
  </r>
  <r>
    <x v="0"/>
    <x v="3"/>
    <x v="3"/>
    <x v="5"/>
    <x v="65"/>
    <x v="0"/>
    <x v="4"/>
    <n v="39.548501653707099"/>
  </r>
  <r>
    <x v="0"/>
    <x v="3"/>
    <x v="3"/>
    <x v="5"/>
    <x v="65"/>
    <x v="0"/>
    <x v="5"/>
    <n v="69.750848243438313"/>
  </r>
  <r>
    <x v="0"/>
    <x v="3"/>
    <x v="3"/>
    <x v="5"/>
    <x v="65"/>
    <x v="0"/>
    <x v="6"/>
    <n v="109.34104017246152"/>
  </r>
  <r>
    <x v="0"/>
    <x v="3"/>
    <x v="3"/>
    <x v="5"/>
    <x v="66"/>
    <x v="0"/>
    <x v="0"/>
    <n v="0"/>
  </r>
  <r>
    <x v="0"/>
    <x v="3"/>
    <x v="3"/>
    <x v="5"/>
    <x v="66"/>
    <x v="0"/>
    <x v="1"/>
    <n v="0"/>
  </r>
  <r>
    <x v="0"/>
    <x v="3"/>
    <x v="3"/>
    <x v="5"/>
    <x v="66"/>
    <x v="0"/>
    <x v="2"/>
    <n v="0"/>
  </r>
  <r>
    <x v="0"/>
    <x v="3"/>
    <x v="3"/>
    <x v="5"/>
    <x v="66"/>
    <x v="0"/>
    <x v="3"/>
    <n v="0"/>
  </r>
  <r>
    <x v="0"/>
    <x v="3"/>
    <x v="3"/>
    <x v="5"/>
    <x v="66"/>
    <x v="0"/>
    <x v="4"/>
    <n v="0"/>
  </r>
  <r>
    <x v="0"/>
    <x v="3"/>
    <x v="3"/>
    <x v="5"/>
    <x v="66"/>
    <x v="0"/>
    <x v="5"/>
    <n v="0"/>
  </r>
  <r>
    <x v="0"/>
    <x v="3"/>
    <x v="3"/>
    <x v="5"/>
    <x v="66"/>
    <x v="0"/>
    <x v="6"/>
    <n v="0"/>
  </r>
  <r>
    <x v="0"/>
    <x v="3"/>
    <x v="3"/>
    <x v="5"/>
    <x v="67"/>
    <x v="0"/>
    <x v="0"/>
    <n v="0"/>
  </r>
  <r>
    <x v="0"/>
    <x v="3"/>
    <x v="3"/>
    <x v="5"/>
    <x v="67"/>
    <x v="0"/>
    <x v="1"/>
    <n v="0"/>
  </r>
  <r>
    <x v="0"/>
    <x v="3"/>
    <x v="3"/>
    <x v="5"/>
    <x v="67"/>
    <x v="0"/>
    <x v="2"/>
    <n v="0"/>
  </r>
  <r>
    <x v="0"/>
    <x v="3"/>
    <x v="3"/>
    <x v="5"/>
    <x v="67"/>
    <x v="0"/>
    <x v="3"/>
    <n v="0"/>
  </r>
  <r>
    <x v="0"/>
    <x v="3"/>
    <x v="3"/>
    <x v="5"/>
    <x v="67"/>
    <x v="0"/>
    <x v="4"/>
    <n v="0"/>
  </r>
  <r>
    <x v="0"/>
    <x v="3"/>
    <x v="3"/>
    <x v="5"/>
    <x v="67"/>
    <x v="0"/>
    <x v="5"/>
    <n v="0"/>
  </r>
  <r>
    <x v="0"/>
    <x v="3"/>
    <x v="3"/>
    <x v="5"/>
    <x v="67"/>
    <x v="0"/>
    <x v="6"/>
    <n v="0"/>
  </r>
  <r>
    <x v="0"/>
    <x v="3"/>
    <x v="3"/>
    <x v="5"/>
    <x v="68"/>
    <x v="0"/>
    <x v="0"/>
    <n v="0"/>
  </r>
  <r>
    <x v="0"/>
    <x v="3"/>
    <x v="3"/>
    <x v="5"/>
    <x v="68"/>
    <x v="0"/>
    <x v="1"/>
    <n v="0"/>
  </r>
  <r>
    <x v="0"/>
    <x v="3"/>
    <x v="3"/>
    <x v="5"/>
    <x v="68"/>
    <x v="0"/>
    <x v="2"/>
    <n v="0"/>
  </r>
  <r>
    <x v="0"/>
    <x v="3"/>
    <x v="3"/>
    <x v="5"/>
    <x v="68"/>
    <x v="0"/>
    <x v="3"/>
    <n v="0"/>
  </r>
  <r>
    <x v="0"/>
    <x v="3"/>
    <x v="3"/>
    <x v="5"/>
    <x v="68"/>
    <x v="0"/>
    <x v="4"/>
    <n v="0"/>
  </r>
  <r>
    <x v="0"/>
    <x v="3"/>
    <x v="3"/>
    <x v="5"/>
    <x v="68"/>
    <x v="0"/>
    <x v="5"/>
    <n v="0"/>
  </r>
  <r>
    <x v="0"/>
    <x v="3"/>
    <x v="3"/>
    <x v="5"/>
    <x v="68"/>
    <x v="0"/>
    <x v="6"/>
    <n v="0"/>
  </r>
  <r>
    <x v="0"/>
    <x v="3"/>
    <x v="3"/>
    <x v="5"/>
    <x v="69"/>
    <x v="0"/>
    <x v="0"/>
    <n v="0.12429517271696601"/>
  </r>
  <r>
    <x v="0"/>
    <x v="3"/>
    <x v="3"/>
    <x v="5"/>
    <x v="69"/>
    <x v="0"/>
    <x v="1"/>
    <n v="0.40866053702854166"/>
  </r>
  <r>
    <x v="0"/>
    <x v="3"/>
    <x v="3"/>
    <x v="5"/>
    <x v="69"/>
    <x v="0"/>
    <x v="2"/>
    <n v="1.1406764667389993"/>
  </r>
  <r>
    <x v="0"/>
    <x v="3"/>
    <x v="3"/>
    <x v="5"/>
    <x v="69"/>
    <x v="0"/>
    <x v="3"/>
    <n v="2.8163894208441707"/>
  </r>
  <r>
    <x v="0"/>
    <x v="3"/>
    <x v="3"/>
    <x v="5"/>
    <x v="69"/>
    <x v="0"/>
    <x v="4"/>
    <n v="7.1473977397217032"/>
  </r>
  <r>
    <x v="0"/>
    <x v="3"/>
    <x v="3"/>
    <x v="5"/>
    <x v="69"/>
    <x v="0"/>
    <x v="5"/>
    <n v="11.14894558109531"/>
  </r>
  <r>
    <x v="0"/>
    <x v="3"/>
    <x v="3"/>
    <x v="5"/>
    <x v="69"/>
    <x v="0"/>
    <x v="6"/>
    <n v="17.761377878419292"/>
  </r>
  <r>
    <x v="0"/>
    <x v="3"/>
    <x v="3"/>
    <x v="5"/>
    <x v="70"/>
    <x v="0"/>
    <x v="0"/>
    <n v="0"/>
  </r>
  <r>
    <x v="0"/>
    <x v="3"/>
    <x v="3"/>
    <x v="5"/>
    <x v="70"/>
    <x v="0"/>
    <x v="1"/>
    <n v="0"/>
  </r>
  <r>
    <x v="0"/>
    <x v="3"/>
    <x v="3"/>
    <x v="5"/>
    <x v="70"/>
    <x v="0"/>
    <x v="2"/>
    <n v="0"/>
  </r>
  <r>
    <x v="0"/>
    <x v="3"/>
    <x v="3"/>
    <x v="5"/>
    <x v="70"/>
    <x v="0"/>
    <x v="3"/>
    <n v="0"/>
  </r>
  <r>
    <x v="0"/>
    <x v="3"/>
    <x v="3"/>
    <x v="5"/>
    <x v="70"/>
    <x v="0"/>
    <x v="4"/>
    <n v="0"/>
  </r>
  <r>
    <x v="0"/>
    <x v="3"/>
    <x v="3"/>
    <x v="5"/>
    <x v="70"/>
    <x v="0"/>
    <x v="5"/>
    <n v="0"/>
  </r>
  <r>
    <x v="0"/>
    <x v="3"/>
    <x v="3"/>
    <x v="5"/>
    <x v="70"/>
    <x v="0"/>
    <x v="6"/>
    <n v="0"/>
  </r>
  <r>
    <x v="0"/>
    <x v="3"/>
    <x v="3"/>
    <x v="5"/>
    <x v="71"/>
    <x v="0"/>
    <x v="0"/>
    <n v="0"/>
  </r>
  <r>
    <x v="0"/>
    <x v="3"/>
    <x v="3"/>
    <x v="5"/>
    <x v="71"/>
    <x v="0"/>
    <x v="1"/>
    <n v="0"/>
  </r>
  <r>
    <x v="0"/>
    <x v="3"/>
    <x v="3"/>
    <x v="5"/>
    <x v="71"/>
    <x v="0"/>
    <x v="2"/>
    <n v="0"/>
  </r>
  <r>
    <x v="0"/>
    <x v="3"/>
    <x v="3"/>
    <x v="5"/>
    <x v="71"/>
    <x v="0"/>
    <x v="3"/>
    <n v="0"/>
  </r>
  <r>
    <x v="0"/>
    <x v="3"/>
    <x v="3"/>
    <x v="5"/>
    <x v="71"/>
    <x v="0"/>
    <x v="4"/>
    <n v="0"/>
  </r>
  <r>
    <x v="0"/>
    <x v="3"/>
    <x v="3"/>
    <x v="5"/>
    <x v="71"/>
    <x v="0"/>
    <x v="5"/>
    <n v="0"/>
  </r>
  <r>
    <x v="0"/>
    <x v="3"/>
    <x v="3"/>
    <x v="5"/>
    <x v="71"/>
    <x v="0"/>
    <x v="6"/>
    <n v="0"/>
  </r>
  <r>
    <x v="0"/>
    <x v="3"/>
    <x v="3"/>
    <x v="5"/>
    <x v="72"/>
    <x v="0"/>
    <x v="0"/>
    <n v="1.2701515255991147E-4"/>
  </r>
  <r>
    <x v="0"/>
    <x v="3"/>
    <x v="3"/>
    <x v="5"/>
    <x v="72"/>
    <x v="0"/>
    <x v="1"/>
    <n v="8.4086476764059072E-4"/>
  </r>
  <r>
    <x v="0"/>
    <x v="3"/>
    <x v="3"/>
    <x v="5"/>
    <x v="72"/>
    <x v="0"/>
    <x v="2"/>
    <n v="4.0955931136931172E-3"/>
  </r>
  <r>
    <x v="0"/>
    <x v="3"/>
    <x v="3"/>
    <x v="5"/>
    <x v="72"/>
    <x v="0"/>
    <x v="3"/>
    <n v="1.637033311700916E-2"/>
  </r>
  <r>
    <x v="0"/>
    <x v="3"/>
    <x v="3"/>
    <x v="5"/>
    <x v="72"/>
    <x v="0"/>
    <x v="4"/>
    <n v="6.401542128777718E-2"/>
  </r>
  <r>
    <x v="0"/>
    <x v="3"/>
    <x v="3"/>
    <x v="5"/>
    <x v="72"/>
    <x v="0"/>
    <x v="5"/>
    <n v="0.10781437255359652"/>
  </r>
  <r>
    <x v="0"/>
    <x v="3"/>
    <x v="3"/>
    <x v="5"/>
    <x v="72"/>
    <x v="0"/>
    <x v="6"/>
    <n v="0.3455893170043049"/>
  </r>
  <r>
    <x v="0"/>
    <x v="3"/>
    <x v="3"/>
    <x v="5"/>
    <x v="73"/>
    <x v="0"/>
    <x v="0"/>
    <n v="3.3234744331064235E-4"/>
  </r>
  <r>
    <x v="0"/>
    <x v="3"/>
    <x v="3"/>
    <x v="5"/>
    <x v="73"/>
    <x v="0"/>
    <x v="1"/>
    <n v="2.2647848793984366E-3"/>
  </r>
  <r>
    <x v="0"/>
    <x v="3"/>
    <x v="3"/>
    <x v="5"/>
    <x v="73"/>
    <x v="0"/>
    <x v="2"/>
    <n v="1.150479432159956E-2"/>
  </r>
  <r>
    <x v="0"/>
    <x v="3"/>
    <x v="3"/>
    <x v="5"/>
    <x v="73"/>
    <x v="0"/>
    <x v="3"/>
    <n v="5.4349911549732767E-2"/>
  </r>
  <r>
    <x v="0"/>
    <x v="3"/>
    <x v="3"/>
    <x v="5"/>
    <x v="73"/>
    <x v="0"/>
    <x v="4"/>
    <n v="0.24248422299575148"/>
  </r>
  <r>
    <x v="0"/>
    <x v="3"/>
    <x v="3"/>
    <x v="5"/>
    <x v="73"/>
    <x v="0"/>
    <x v="5"/>
    <n v="0.52342681388462742"/>
  </r>
  <r>
    <x v="0"/>
    <x v="3"/>
    <x v="3"/>
    <x v="5"/>
    <x v="73"/>
    <x v="0"/>
    <x v="6"/>
    <n v="0.89115703704654514"/>
  </r>
  <r>
    <x v="0"/>
    <x v="3"/>
    <x v="5"/>
    <x v="8"/>
    <x v="74"/>
    <x v="0"/>
    <x v="0"/>
    <n v="1.064192387845048E-2"/>
  </r>
  <r>
    <x v="0"/>
    <x v="3"/>
    <x v="5"/>
    <x v="8"/>
    <x v="74"/>
    <x v="0"/>
    <x v="1"/>
    <n v="3.0207972134235213E-2"/>
  </r>
  <r>
    <x v="0"/>
    <x v="3"/>
    <x v="5"/>
    <x v="8"/>
    <x v="74"/>
    <x v="0"/>
    <x v="2"/>
    <n v="9.4562812369127308E-2"/>
  </r>
  <r>
    <x v="0"/>
    <x v="3"/>
    <x v="5"/>
    <x v="8"/>
    <x v="74"/>
    <x v="0"/>
    <x v="3"/>
    <n v="0.2599490873109857"/>
  </r>
  <r>
    <x v="0"/>
    <x v="3"/>
    <x v="5"/>
    <x v="8"/>
    <x v="74"/>
    <x v="0"/>
    <x v="4"/>
    <n v="0.7308137276485247"/>
  </r>
  <r>
    <x v="0"/>
    <x v="3"/>
    <x v="5"/>
    <x v="8"/>
    <x v="74"/>
    <x v="0"/>
    <x v="5"/>
    <n v="1.1949339064995097"/>
  </r>
  <r>
    <x v="0"/>
    <x v="3"/>
    <x v="5"/>
    <x v="8"/>
    <x v="74"/>
    <x v="0"/>
    <x v="6"/>
    <n v="1.9028864761916409"/>
  </r>
  <r>
    <x v="0"/>
    <x v="3"/>
    <x v="5"/>
    <x v="8"/>
    <x v="75"/>
    <x v="0"/>
    <x v="0"/>
    <n v="0.21498869634982173"/>
  </r>
  <r>
    <x v="0"/>
    <x v="3"/>
    <x v="5"/>
    <x v="8"/>
    <x v="75"/>
    <x v="0"/>
    <x v="1"/>
    <n v="0.69629084725415158"/>
  </r>
  <r>
    <x v="0"/>
    <x v="3"/>
    <x v="5"/>
    <x v="8"/>
    <x v="75"/>
    <x v="0"/>
    <x v="2"/>
    <n v="2.2041707887049484"/>
  </r>
  <r>
    <x v="0"/>
    <x v="3"/>
    <x v="5"/>
    <x v="8"/>
    <x v="75"/>
    <x v="0"/>
    <x v="3"/>
    <n v="6.4899248863556558"/>
  </r>
  <r>
    <x v="0"/>
    <x v="3"/>
    <x v="5"/>
    <x v="8"/>
    <x v="75"/>
    <x v="0"/>
    <x v="4"/>
    <n v="18.433177232079835"/>
  </r>
  <r>
    <x v="0"/>
    <x v="3"/>
    <x v="5"/>
    <x v="8"/>
    <x v="75"/>
    <x v="0"/>
    <x v="5"/>
    <n v="31.06220671687506"/>
  </r>
  <r>
    <x v="0"/>
    <x v="3"/>
    <x v="5"/>
    <x v="8"/>
    <x v="75"/>
    <x v="0"/>
    <x v="6"/>
    <n v="50.045381128334604"/>
  </r>
  <r>
    <x v="0"/>
    <x v="3"/>
    <x v="5"/>
    <x v="8"/>
    <x v="76"/>
    <x v="0"/>
    <x v="0"/>
    <n v="0.11491360812010196"/>
  </r>
  <r>
    <x v="0"/>
    <x v="3"/>
    <x v="5"/>
    <x v="8"/>
    <x v="76"/>
    <x v="0"/>
    <x v="1"/>
    <n v="0.33573582067482316"/>
  </r>
  <r>
    <x v="0"/>
    <x v="3"/>
    <x v="5"/>
    <x v="8"/>
    <x v="76"/>
    <x v="0"/>
    <x v="2"/>
    <n v="1.0421331049895288"/>
  </r>
  <r>
    <x v="0"/>
    <x v="3"/>
    <x v="5"/>
    <x v="8"/>
    <x v="76"/>
    <x v="0"/>
    <x v="3"/>
    <n v="2.9339207713820641"/>
  </r>
  <r>
    <x v="0"/>
    <x v="3"/>
    <x v="5"/>
    <x v="8"/>
    <x v="76"/>
    <x v="0"/>
    <x v="4"/>
    <n v="8.0245424739345168"/>
  </r>
  <r>
    <x v="0"/>
    <x v="3"/>
    <x v="5"/>
    <x v="8"/>
    <x v="76"/>
    <x v="0"/>
    <x v="5"/>
    <n v="12.799494300456587"/>
  </r>
  <r>
    <x v="0"/>
    <x v="3"/>
    <x v="5"/>
    <x v="8"/>
    <x v="76"/>
    <x v="0"/>
    <x v="6"/>
    <n v="19.635267996255703"/>
  </r>
  <r>
    <x v="0"/>
    <x v="3"/>
    <x v="5"/>
    <x v="8"/>
    <x v="77"/>
    <x v="0"/>
    <x v="0"/>
    <n v="0"/>
  </r>
  <r>
    <x v="0"/>
    <x v="3"/>
    <x v="5"/>
    <x v="8"/>
    <x v="77"/>
    <x v="0"/>
    <x v="1"/>
    <n v="0"/>
  </r>
  <r>
    <x v="0"/>
    <x v="3"/>
    <x v="5"/>
    <x v="8"/>
    <x v="77"/>
    <x v="0"/>
    <x v="2"/>
    <n v="0"/>
  </r>
  <r>
    <x v="0"/>
    <x v="3"/>
    <x v="5"/>
    <x v="8"/>
    <x v="77"/>
    <x v="0"/>
    <x v="3"/>
    <n v="0"/>
  </r>
  <r>
    <x v="0"/>
    <x v="3"/>
    <x v="5"/>
    <x v="8"/>
    <x v="77"/>
    <x v="0"/>
    <x v="4"/>
    <n v="0"/>
  </r>
  <r>
    <x v="0"/>
    <x v="3"/>
    <x v="5"/>
    <x v="8"/>
    <x v="77"/>
    <x v="0"/>
    <x v="5"/>
    <n v="0"/>
  </r>
  <r>
    <x v="0"/>
    <x v="3"/>
    <x v="5"/>
    <x v="8"/>
    <x v="77"/>
    <x v="0"/>
    <x v="6"/>
    <n v="0"/>
  </r>
  <r>
    <x v="0"/>
    <x v="3"/>
    <x v="5"/>
    <x v="8"/>
    <x v="78"/>
    <x v="0"/>
    <x v="0"/>
    <n v="0.4255419619005506"/>
  </r>
  <r>
    <x v="0"/>
    <x v="3"/>
    <x v="5"/>
    <x v="8"/>
    <x v="78"/>
    <x v="0"/>
    <x v="1"/>
    <n v="1.1447762865260931"/>
  </r>
  <r>
    <x v="0"/>
    <x v="3"/>
    <x v="5"/>
    <x v="8"/>
    <x v="78"/>
    <x v="0"/>
    <x v="2"/>
    <n v="3.0590807963025006"/>
  </r>
  <r>
    <x v="0"/>
    <x v="3"/>
    <x v="5"/>
    <x v="8"/>
    <x v="78"/>
    <x v="0"/>
    <x v="3"/>
    <n v="8.0243968893085231"/>
  </r>
  <r>
    <x v="0"/>
    <x v="3"/>
    <x v="5"/>
    <x v="8"/>
    <x v="78"/>
    <x v="0"/>
    <x v="4"/>
    <n v="19.171710006803416"/>
  </r>
  <r>
    <x v="0"/>
    <x v="3"/>
    <x v="5"/>
    <x v="8"/>
    <x v="78"/>
    <x v="0"/>
    <x v="5"/>
    <n v="29.962885375893933"/>
  </r>
  <r>
    <x v="0"/>
    <x v="3"/>
    <x v="5"/>
    <x v="8"/>
    <x v="78"/>
    <x v="0"/>
    <x v="6"/>
    <n v="41.328854556499678"/>
  </r>
  <r>
    <x v="0"/>
    <x v="3"/>
    <x v="5"/>
    <x v="8"/>
    <x v="79"/>
    <x v="0"/>
    <x v="0"/>
    <n v="0.44839947273471892"/>
  </r>
  <r>
    <x v="0"/>
    <x v="3"/>
    <x v="5"/>
    <x v="8"/>
    <x v="79"/>
    <x v="0"/>
    <x v="1"/>
    <n v="1.3562184432694635"/>
  </r>
  <r>
    <x v="0"/>
    <x v="3"/>
    <x v="5"/>
    <x v="8"/>
    <x v="79"/>
    <x v="0"/>
    <x v="2"/>
    <n v="3.7748360964164833"/>
  </r>
  <r>
    <x v="0"/>
    <x v="3"/>
    <x v="5"/>
    <x v="8"/>
    <x v="79"/>
    <x v="0"/>
    <x v="3"/>
    <n v="9.3530314006110924"/>
  </r>
  <r>
    <x v="0"/>
    <x v="3"/>
    <x v="5"/>
    <x v="8"/>
    <x v="79"/>
    <x v="0"/>
    <x v="4"/>
    <n v="24.894077066322442"/>
  </r>
  <r>
    <x v="0"/>
    <x v="3"/>
    <x v="5"/>
    <x v="8"/>
    <x v="79"/>
    <x v="0"/>
    <x v="5"/>
    <n v="38.268813486061795"/>
  </r>
  <r>
    <x v="0"/>
    <x v="3"/>
    <x v="5"/>
    <x v="8"/>
    <x v="79"/>
    <x v="0"/>
    <x v="6"/>
    <n v="58.275892332010962"/>
  </r>
  <r>
    <x v="0"/>
    <x v="3"/>
    <x v="5"/>
    <x v="8"/>
    <x v="80"/>
    <x v="0"/>
    <x v="0"/>
    <n v="0.19576637498566013"/>
  </r>
  <r>
    <x v="0"/>
    <x v="3"/>
    <x v="5"/>
    <x v="8"/>
    <x v="80"/>
    <x v="0"/>
    <x v="1"/>
    <n v="0.55270269673759753"/>
  </r>
  <r>
    <x v="0"/>
    <x v="3"/>
    <x v="5"/>
    <x v="8"/>
    <x v="80"/>
    <x v="0"/>
    <x v="2"/>
    <n v="1.4527729026053211"/>
  </r>
  <r>
    <x v="0"/>
    <x v="3"/>
    <x v="5"/>
    <x v="8"/>
    <x v="80"/>
    <x v="0"/>
    <x v="3"/>
    <n v="3.4496443511581614"/>
  </r>
  <r>
    <x v="0"/>
    <x v="3"/>
    <x v="5"/>
    <x v="8"/>
    <x v="80"/>
    <x v="0"/>
    <x v="4"/>
    <n v="8.6117199221033172"/>
  </r>
  <r>
    <x v="0"/>
    <x v="3"/>
    <x v="5"/>
    <x v="8"/>
    <x v="80"/>
    <x v="0"/>
    <x v="5"/>
    <n v="12.796939231092312"/>
  </r>
  <r>
    <x v="0"/>
    <x v="3"/>
    <x v="5"/>
    <x v="8"/>
    <x v="80"/>
    <x v="0"/>
    <x v="6"/>
    <n v="18.430432622218834"/>
  </r>
  <r>
    <x v="0"/>
    <x v="3"/>
    <x v="5"/>
    <x v="8"/>
    <x v="81"/>
    <x v="0"/>
    <x v="0"/>
    <n v="8.9772612203740401E-2"/>
  </r>
  <r>
    <x v="0"/>
    <x v="3"/>
    <x v="5"/>
    <x v="8"/>
    <x v="81"/>
    <x v="0"/>
    <x v="1"/>
    <n v="0.28239424210773845"/>
  </r>
  <r>
    <x v="0"/>
    <x v="3"/>
    <x v="5"/>
    <x v="8"/>
    <x v="81"/>
    <x v="0"/>
    <x v="2"/>
    <n v="0.8631139647598659"/>
  </r>
  <r>
    <x v="0"/>
    <x v="3"/>
    <x v="5"/>
    <x v="8"/>
    <x v="81"/>
    <x v="0"/>
    <x v="3"/>
    <n v="2.3258721837875242"/>
  </r>
  <r>
    <x v="0"/>
    <x v="3"/>
    <x v="5"/>
    <x v="8"/>
    <x v="81"/>
    <x v="0"/>
    <x v="4"/>
    <n v="6.3035830603827554"/>
  </r>
  <r>
    <x v="0"/>
    <x v="3"/>
    <x v="5"/>
    <x v="8"/>
    <x v="81"/>
    <x v="0"/>
    <x v="5"/>
    <n v="10.248280978326287"/>
  </r>
  <r>
    <x v="0"/>
    <x v="3"/>
    <x v="5"/>
    <x v="8"/>
    <x v="81"/>
    <x v="0"/>
    <x v="6"/>
    <n v="15.921799185374807"/>
  </r>
  <r>
    <x v="0"/>
    <x v="3"/>
    <x v="5"/>
    <x v="8"/>
    <x v="82"/>
    <x v="0"/>
    <x v="0"/>
    <n v="0.92307496426485824"/>
  </r>
  <r>
    <x v="0"/>
    <x v="3"/>
    <x v="5"/>
    <x v="8"/>
    <x v="82"/>
    <x v="0"/>
    <x v="1"/>
    <n v="2.5746489775342996"/>
  </r>
  <r>
    <x v="0"/>
    <x v="3"/>
    <x v="5"/>
    <x v="8"/>
    <x v="82"/>
    <x v="0"/>
    <x v="2"/>
    <n v="7.0978295929359625"/>
  </r>
  <r>
    <x v="0"/>
    <x v="3"/>
    <x v="5"/>
    <x v="8"/>
    <x v="82"/>
    <x v="0"/>
    <x v="3"/>
    <n v="26.530071349757147"/>
  </r>
  <r>
    <x v="0"/>
    <x v="3"/>
    <x v="5"/>
    <x v="8"/>
    <x v="82"/>
    <x v="0"/>
    <x v="4"/>
    <n v="54.323159837090053"/>
  </r>
  <r>
    <x v="0"/>
    <x v="3"/>
    <x v="5"/>
    <x v="8"/>
    <x v="82"/>
    <x v="0"/>
    <x v="5"/>
    <n v="89.026377032257074"/>
  </r>
  <r>
    <x v="0"/>
    <x v="3"/>
    <x v="5"/>
    <x v="8"/>
    <x v="82"/>
    <x v="0"/>
    <x v="6"/>
    <n v="128.79557022861522"/>
  </r>
  <r>
    <x v="0"/>
    <x v="3"/>
    <x v="5"/>
    <x v="8"/>
    <x v="83"/>
    <x v="0"/>
    <x v="0"/>
    <n v="1.3394229210662008"/>
  </r>
  <r>
    <x v="0"/>
    <x v="3"/>
    <x v="5"/>
    <x v="8"/>
    <x v="83"/>
    <x v="0"/>
    <x v="1"/>
    <n v="4.5053307991579548"/>
  </r>
  <r>
    <x v="0"/>
    <x v="3"/>
    <x v="5"/>
    <x v="8"/>
    <x v="83"/>
    <x v="0"/>
    <x v="2"/>
    <n v="12.717640754764215"/>
  </r>
  <r>
    <x v="0"/>
    <x v="3"/>
    <x v="5"/>
    <x v="8"/>
    <x v="83"/>
    <x v="0"/>
    <x v="3"/>
    <n v="48.194833630790676"/>
  </r>
  <r>
    <x v="0"/>
    <x v="3"/>
    <x v="5"/>
    <x v="8"/>
    <x v="83"/>
    <x v="0"/>
    <x v="4"/>
    <n v="103.93281308547698"/>
  </r>
  <r>
    <x v="0"/>
    <x v="3"/>
    <x v="5"/>
    <x v="8"/>
    <x v="83"/>
    <x v="0"/>
    <x v="5"/>
    <n v="176.55416598329333"/>
  </r>
  <r>
    <x v="0"/>
    <x v="3"/>
    <x v="5"/>
    <x v="8"/>
    <x v="83"/>
    <x v="0"/>
    <x v="6"/>
    <n v="265.19083016286106"/>
  </r>
  <r>
    <x v="0"/>
    <x v="4"/>
    <x v="0"/>
    <x v="0"/>
    <x v="0"/>
    <x v="0"/>
    <x v="0"/>
    <n v="0"/>
  </r>
  <r>
    <x v="0"/>
    <x v="4"/>
    <x v="0"/>
    <x v="0"/>
    <x v="0"/>
    <x v="0"/>
    <x v="1"/>
    <n v="0"/>
  </r>
  <r>
    <x v="0"/>
    <x v="4"/>
    <x v="0"/>
    <x v="0"/>
    <x v="0"/>
    <x v="0"/>
    <x v="2"/>
    <n v="0"/>
  </r>
  <r>
    <x v="0"/>
    <x v="4"/>
    <x v="0"/>
    <x v="0"/>
    <x v="0"/>
    <x v="0"/>
    <x v="3"/>
    <n v="0"/>
  </r>
  <r>
    <x v="0"/>
    <x v="4"/>
    <x v="0"/>
    <x v="0"/>
    <x v="0"/>
    <x v="0"/>
    <x v="4"/>
    <n v="0"/>
  </r>
  <r>
    <x v="0"/>
    <x v="4"/>
    <x v="0"/>
    <x v="0"/>
    <x v="0"/>
    <x v="0"/>
    <x v="5"/>
    <n v="0"/>
  </r>
  <r>
    <x v="0"/>
    <x v="4"/>
    <x v="0"/>
    <x v="0"/>
    <x v="0"/>
    <x v="0"/>
    <x v="6"/>
    <n v="0"/>
  </r>
  <r>
    <x v="0"/>
    <x v="4"/>
    <x v="0"/>
    <x v="1"/>
    <x v="1"/>
    <x v="0"/>
    <x v="0"/>
    <n v="0"/>
  </r>
  <r>
    <x v="0"/>
    <x v="4"/>
    <x v="0"/>
    <x v="1"/>
    <x v="1"/>
    <x v="0"/>
    <x v="1"/>
    <n v="0"/>
  </r>
  <r>
    <x v="0"/>
    <x v="4"/>
    <x v="0"/>
    <x v="1"/>
    <x v="1"/>
    <x v="0"/>
    <x v="2"/>
    <n v="0"/>
  </r>
  <r>
    <x v="0"/>
    <x v="4"/>
    <x v="0"/>
    <x v="1"/>
    <x v="1"/>
    <x v="0"/>
    <x v="3"/>
    <n v="0"/>
  </r>
  <r>
    <x v="0"/>
    <x v="4"/>
    <x v="0"/>
    <x v="1"/>
    <x v="1"/>
    <x v="0"/>
    <x v="4"/>
    <n v="0"/>
  </r>
  <r>
    <x v="0"/>
    <x v="4"/>
    <x v="0"/>
    <x v="1"/>
    <x v="1"/>
    <x v="0"/>
    <x v="5"/>
    <n v="0"/>
  </r>
  <r>
    <x v="0"/>
    <x v="4"/>
    <x v="0"/>
    <x v="1"/>
    <x v="1"/>
    <x v="0"/>
    <x v="6"/>
    <n v="0"/>
  </r>
  <r>
    <x v="0"/>
    <x v="4"/>
    <x v="0"/>
    <x v="1"/>
    <x v="2"/>
    <x v="0"/>
    <x v="0"/>
    <n v="0"/>
  </r>
  <r>
    <x v="0"/>
    <x v="4"/>
    <x v="0"/>
    <x v="1"/>
    <x v="2"/>
    <x v="0"/>
    <x v="1"/>
    <n v="0"/>
  </r>
  <r>
    <x v="0"/>
    <x v="4"/>
    <x v="0"/>
    <x v="1"/>
    <x v="2"/>
    <x v="0"/>
    <x v="2"/>
    <n v="0"/>
  </r>
  <r>
    <x v="0"/>
    <x v="4"/>
    <x v="0"/>
    <x v="1"/>
    <x v="2"/>
    <x v="0"/>
    <x v="3"/>
    <n v="0"/>
  </r>
  <r>
    <x v="0"/>
    <x v="4"/>
    <x v="0"/>
    <x v="1"/>
    <x v="2"/>
    <x v="0"/>
    <x v="4"/>
    <n v="0"/>
  </r>
  <r>
    <x v="0"/>
    <x v="4"/>
    <x v="0"/>
    <x v="1"/>
    <x v="2"/>
    <x v="0"/>
    <x v="5"/>
    <n v="0"/>
  </r>
  <r>
    <x v="0"/>
    <x v="4"/>
    <x v="0"/>
    <x v="1"/>
    <x v="2"/>
    <x v="0"/>
    <x v="6"/>
    <n v="0"/>
  </r>
  <r>
    <x v="0"/>
    <x v="4"/>
    <x v="0"/>
    <x v="1"/>
    <x v="3"/>
    <x v="0"/>
    <x v="0"/>
    <n v="0"/>
  </r>
  <r>
    <x v="0"/>
    <x v="4"/>
    <x v="0"/>
    <x v="1"/>
    <x v="3"/>
    <x v="0"/>
    <x v="1"/>
    <n v="0"/>
  </r>
  <r>
    <x v="0"/>
    <x v="4"/>
    <x v="0"/>
    <x v="1"/>
    <x v="3"/>
    <x v="0"/>
    <x v="2"/>
    <n v="0"/>
  </r>
  <r>
    <x v="0"/>
    <x v="4"/>
    <x v="0"/>
    <x v="1"/>
    <x v="3"/>
    <x v="0"/>
    <x v="3"/>
    <n v="0"/>
  </r>
  <r>
    <x v="0"/>
    <x v="4"/>
    <x v="0"/>
    <x v="1"/>
    <x v="3"/>
    <x v="0"/>
    <x v="4"/>
    <n v="0"/>
  </r>
  <r>
    <x v="0"/>
    <x v="4"/>
    <x v="0"/>
    <x v="1"/>
    <x v="3"/>
    <x v="0"/>
    <x v="5"/>
    <n v="0"/>
  </r>
  <r>
    <x v="0"/>
    <x v="4"/>
    <x v="0"/>
    <x v="1"/>
    <x v="3"/>
    <x v="0"/>
    <x v="6"/>
    <n v="0"/>
  </r>
  <r>
    <x v="0"/>
    <x v="4"/>
    <x v="0"/>
    <x v="1"/>
    <x v="4"/>
    <x v="0"/>
    <x v="0"/>
    <n v="0"/>
  </r>
  <r>
    <x v="0"/>
    <x v="4"/>
    <x v="0"/>
    <x v="1"/>
    <x v="4"/>
    <x v="0"/>
    <x v="1"/>
    <n v="0"/>
  </r>
  <r>
    <x v="0"/>
    <x v="4"/>
    <x v="0"/>
    <x v="1"/>
    <x v="4"/>
    <x v="0"/>
    <x v="2"/>
    <n v="0"/>
  </r>
  <r>
    <x v="0"/>
    <x v="4"/>
    <x v="0"/>
    <x v="1"/>
    <x v="4"/>
    <x v="0"/>
    <x v="3"/>
    <n v="0"/>
  </r>
  <r>
    <x v="0"/>
    <x v="4"/>
    <x v="0"/>
    <x v="1"/>
    <x v="4"/>
    <x v="0"/>
    <x v="4"/>
    <n v="0"/>
  </r>
  <r>
    <x v="0"/>
    <x v="4"/>
    <x v="0"/>
    <x v="1"/>
    <x v="4"/>
    <x v="0"/>
    <x v="5"/>
    <n v="0"/>
  </r>
  <r>
    <x v="0"/>
    <x v="4"/>
    <x v="0"/>
    <x v="1"/>
    <x v="4"/>
    <x v="0"/>
    <x v="6"/>
    <n v="0"/>
  </r>
  <r>
    <x v="0"/>
    <x v="4"/>
    <x v="0"/>
    <x v="1"/>
    <x v="5"/>
    <x v="0"/>
    <x v="0"/>
    <n v="0"/>
  </r>
  <r>
    <x v="0"/>
    <x v="4"/>
    <x v="0"/>
    <x v="1"/>
    <x v="5"/>
    <x v="0"/>
    <x v="1"/>
    <n v="0"/>
  </r>
  <r>
    <x v="0"/>
    <x v="4"/>
    <x v="0"/>
    <x v="1"/>
    <x v="5"/>
    <x v="0"/>
    <x v="2"/>
    <n v="0"/>
  </r>
  <r>
    <x v="0"/>
    <x v="4"/>
    <x v="0"/>
    <x v="1"/>
    <x v="5"/>
    <x v="0"/>
    <x v="3"/>
    <n v="0"/>
  </r>
  <r>
    <x v="0"/>
    <x v="4"/>
    <x v="0"/>
    <x v="1"/>
    <x v="5"/>
    <x v="0"/>
    <x v="4"/>
    <n v="0"/>
  </r>
  <r>
    <x v="0"/>
    <x v="4"/>
    <x v="0"/>
    <x v="1"/>
    <x v="5"/>
    <x v="0"/>
    <x v="5"/>
    <n v="0"/>
  </r>
  <r>
    <x v="0"/>
    <x v="4"/>
    <x v="0"/>
    <x v="1"/>
    <x v="5"/>
    <x v="0"/>
    <x v="6"/>
    <n v="0"/>
  </r>
  <r>
    <x v="0"/>
    <x v="4"/>
    <x v="0"/>
    <x v="1"/>
    <x v="6"/>
    <x v="0"/>
    <x v="0"/>
    <n v="0"/>
  </r>
  <r>
    <x v="0"/>
    <x v="4"/>
    <x v="0"/>
    <x v="1"/>
    <x v="6"/>
    <x v="0"/>
    <x v="1"/>
    <n v="0"/>
  </r>
  <r>
    <x v="0"/>
    <x v="4"/>
    <x v="0"/>
    <x v="1"/>
    <x v="6"/>
    <x v="0"/>
    <x v="2"/>
    <n v="0"/>
  </r>
  <r>
    <x v="0"/>
    <x v="4"/>
    <x v="0"/>
    <x v="1"/>
    <x v="6"/>
    <x v="0"/>
    <x v="3"/>
    <n v="0"/>
  </r>
  <r>
    <x v="0"/>
    <x v="4"/>
    <x v="0"/>
    <x v="1"/>
    <x v="6"/>
    <x v="0"/>
    <x v="4"/>
    <n v="0"/>
  </r>
  <r>
    <x v="0"/>
    <x v="4"/>
    <x v="0"/>
    <x v="1"/>
    <x v="6"/>
    <x v="0"/>
    <x v="5"/>
    <n v="0"/>
  </r>
  <r>
    <x v="0"/>
    <x v="4"/>
    <x v="0"/>
    <x v="1"/>
    <x v="6"/>
    <x v="0"/>
    <x v="6"/>
    <n v="0"/>
  </r>
  <r>
    <x v="0"/>
    <x v="4"/>
    <x v="0"/>
    <x v="1"/>
    <x v="7"/>
    <x v="0"/>
    <x v="0"/>
    <n v="0"/>
  </r>
  <r>
    <x v="0"/>
    <x v="4"/>
    <x v="0"/>
    <x v="1"/>
    <x v="7"/>
    <x v="0"/>
    <x v="1"/>
    <n v="0"/>
  </r>
  <r>
    <x v="0"/>
    <x v="4"/>
    <x v="0"/>
    <x v="1"/>
    <x v="7"/>
    <x v="0"/>
    <x v="2"/>
    <n v="0"/>
  </r>
  <r>
    <x v="0"/>
    <x v="4"/>
    <x v="0"/>
    <x v="1"/>
    <x v="7"/>
    <x v="0"/>
    <x v="3"/>
    <n v="0"/>
  </r>
  <r>
    <x v="0"/>
    <x v="4"/>
    <x v="0"/>
    <x v="1"/>
    <x v="7"/>
    <x v="0"/>
    <x v="4"/>
    <n v="0"/>
  </r>
  <r>
    <x v="0"/>
    <x v="4"/>
    <x v="0"/>
    <x v="1"/>
    <x v="7"/>
    <x v="0"/>
    <x v="5"/>
    <n v="0"/>
  </r>
  <r>
    <x v="0"/>
    <x v="4"/>
    <x v="0"/>
    <x v="1"/>
    <x v="7"/>
    <x v="0"/>
    <x v="6"/>
    <n v="0"/>
  </r>
  <r>
    <x v="0"/>
    <x v="4"/>
    <x v="0"/>
    <x v="1"/>
    <x v="8"/>
    <x v="0"/>
    <x v="0"/>
    <n v="0"/>
  </r>
  <r>
    <x v="0"/>
    <x v="4"/>
    <x v="0"/>
    <x v="1"/>
    <x v="8"/>
    <x v="0"/>
    <x v="1"/>
    <n v="0"/>
  </r>
  <r>
    <x v="0"/>
    <x v="4"/>
    <x v="0"/>
    <x v="1"/>
    <x v="8"/>
    <x v="0"/>
    <x v="2"/>
    <n v="0"/>
  </r>
  <r>
    <x v="0"/>
    <x v="4"/>
    <x v="0"/>
    <x v="1"/>
    <x v="8"/>
    <x v="0"/>
    <x v="3"/>
    <n v="0"/>
  </r>
  <r>
    <x v="0"/>
    <x v="4"/>
    <x v="0"/>
    <x v="1"/>
    <x v="8"/>
    <x v="0"/>
    <x v="4"/>
    <n v="0"/>
  </r>
  <r>
    <x v="0"/>
    <x v="4"/>
    <x v="0"/>
    <x v="1"/>
    <x v="8"/>
    <x v="0"/>
    <x v="5"/>
    <n v="0"/>
  </r>
  <r>
    <x v="0"/>
    <x v="4"/>
    <x v="0"/>
    <x v="1"/>
    <x v="8"/>
    <x v="0"/>
    <x v="6"/>
    <n v="0"/>
  </r>
  <r>
    <x v="0"/>
    <x v="4"/>
    <x v="0"/>
    <x v="1"/>
    <x v="9"/>
    <x v="0"/>
    <x v="0"/>
    <n v="0"/>
  </r>
  <r>
    <x v="0"/>
    <x v="4"/>
    <x v="0"/>
    <x v="1"/>
    <x v="9"/>
    <x v="0"/>
    <x v="1"/>
    <n v="0"/>
  </r>
  <r>
    <x v="0"/>
    <x v="4"/>
    <x v="0"/>
    <x v="1"/>
    <x v="9"/>
    <x v="0"/>
    <x v="2"/>
    <n v="0"/>
  </r>
  <r>
    <x v="0"/>
    <x v="4"/>
    <x v="0"/>
    <x v="1"/>
    <x v="9"/>
    <x v="0"/>
    <x v="3"/>
    <n v="0"/>
  </r>
  <r>
    <x v="0"/>
    <x v="4"/>
    <x v="0"/>
    <x v="1"/>
    <x v="9"/>
    <x v="0"/>
    <x v="4"/>
    <n v="0"/>
  </r>
  <r>
    <x v="0"/>
    <x v="4"/>
    <x v="0"/>
    <x v="1"/>
    <x v="9"/>
    <x v="0"/>
    <x v="5"/>
    <n v="0"/>
  </r>
  <r>
    <x v="0"/>
    <x v="4"/>
    <x v="0"/>
    <x v="1"/>
    <x v="9"/>
    <x v="0"/>
    <x v="6"/>
    <n v="0"/>
  </r>
  <r>
    <x v="0"/>
    <x v="4"/>
    <x v="0"/>
    <x v="1"/>
    <x v="10"/>
    <x v="0"/>
    <x v="0"/>
    <n v="0"/>
  </r>
  <r>
    <x v="0"/>
    <x v="4"/>
    <x v="0"/>
    <x v="1"/>
    <x v="10"/>
    <x v="0"/>
    <x v="1"/>
    <n v="0"/>
  </r>
  <r>
    <x v="0"/>
    <x v="4"/>
    <x v="0"/>
    <x v="1"/>
    <x v="10"/>
    <x v="0"/>
    <x v="2"/>
    <n v="0"/>
  </r>
  <r>
    <x v="0"/>
    <x v="4"/>
    <x v="0"/>
    <x v="1"/>
    <x v="10"/>
    <x v="0"/>
    <x v="3"/>
    <n v="0"/>
  </r>
  <r>
    <x v="0"/>
    <x v="4"/>
    <x v="0"/>
    <x v="1"/>
    <x v="10"/>
    <x v="0"/>
    <x v="4"/>
    <n v="0"/>
  </r>
  <r>
    <x v="0"/>
    <x v="4"/>
    <x v="0"/>
    <x v="1"/>
    <x v="10"/>
    <x v="0"/>
    <x v="5"/>
    <n v="0"/>
  </r>
  <r>
    <x v="0"/>
    <x v="4"/>
    <x v="0"/>
    <x v="1"/>
    <x v="10"/>
    <x v="0"/>
    <x v="6"/>
    <n v="0"/>
  </r>
  <r>
    <x v="0"/>
    <x v="4"/>
    <x v="0"/>
    <x v="0"/>
    <x v="11"/>
    <x v="0"/>
    <x v="0"/>
    <n v="0"/>
  </r>
  <r>
    <x v="0"/>
    <x v="4"/>
    <x v="0"/>
    <x v="0"/>
    <x v="11"/>
    <x v="0"/>
    <x v="1"/>
    <n v="0"/>
  </r>
  <r>
    <x v="0"/>
    <x v="4"/>
    <x v="0"/>
    <x v="0"/>
    <x v="11"/>
    <x v="0"/>
    <x v="2"/>
    <n v="0"/>
  </r>
  <r>
    <x v="0"/>
    <x v="4"/>
    <x v="0"/>
    <x v="0"/>
    <x v="11"/>
    <x v="0"/>
    <x v="3"/>
    <n v="0"/>
  </r>
  <r>
    <x v="0"/>
    <x v="4"/>
    <x v="0"/>
    <x v="0"/>
    <x v="11"/>
    <x v="0"/>
    <x v="4"/>
    <n v="0"/>
  </r>
  <r>
    <x v="0"/>
    <x v="4"/>
    <x v="0"/>
    <x v="0"/>
    <x v="11"/>
    <x v="0"/>
    <x v="5"/>
    <n v="0"/>
  </r>
  <r>
    <x v="0"/>
    <x v="4"/>
    <x v="0"/>
    <x v="0"/>
    <x v="11"/>
    <x v="0"/>
    <x v="6"/>
    <n v="0"/>
  </r>
  <r>
    <x v="0"/>
    <x v="4"/>
    <x v="0"/>
    <x v="0"/>
    <x v="12"/>
    <x v="0"/>
    <x v="0"/>
    <n v="0"/>
  </r>
  <r>
    <x v="0"/>
    <x v="4"/>
    <x v="0"/>
    <x v="0"/>
    <x v="12"/>
    <x v="0"/>
    <x v="1"/>
    <n v="0"/>
  </r>
  <r>
    <x v="0"/>
    <x v="4"/>
    <x v="0"/>
    <x v="0"/>
    <x v="12"/>
    <x v="0"/>
    <x v="2"/>
    <n v="0"/>
  </r>
  <r>
    <x v="0"/>
    <x v="4"/>
    <x v="0"/>
    <x v="0"/>
    <x v="12"/>
    <x v="0"/>
    <x v="3"/>
    <n v="0"/>
  </r>
  <r>
    <x v="0"/>
    <x v="4"/>
    <x v="0"/>
    <x v="0"/>
    <x v="12"/>
    <x v="0"/>
    <x v="4"/>
    <n v="0"/>
  </r>
  <r>
    <x v="0"/>
    <x v="4"/>
    <x v="0"/>
    <x v="0"/>
    <x v="12"/>
    <x v="0"/>
    <x v="5"/>
    <n v="0"/>
  </r>
  <r>
    <x v="0"/>
    <x v="4"/>
    <x v="0"/>
    <x v="0"/>
    <x v="12"/>
    <x v="0"/>
    <x v="6"/>
    <n v="0"/>
  </r>
  <r>
    <x v="0"/>
    <x v="4"/>
    <x v="0"/>
    <x v="0"/>
    <x v="13"/>
    <x v="0"/>
    <x v="0"/>
    <n v="0"/>
  </r>
  <r>
    <x v="0"/>
    <x v="4"/>
    <x v="0"/>
    <x v="0"/>
    <x v="13"/>
    <x v="0"/>
    <x v="1"/>
    <n v="0"/>
  </r>
  <r>
    <x v="0"/>
    <x v="4"/>
    <x v="0"/>
    <x v="0"/>
    <x v="13"/>
    <x v="0"/>
    <x v="2"/>
    <n v="0"/>
  </r>
  <r>
    <x v="0"/>
    <x v="4"/>
    <x v="0"/>
    <x v="0"/>
    <x v="13"/>
    <x v="0"/>
    <x v="3"/>
    <n v="0"/>
  </r>
  <r>
    <x v="0"/>
    <x v="4"/>
    <x v="0"/>
    <x v="0"/>
    <x v="13"/>
    <x v="0"/>
    <x v="4"/>
    <n v="0"/>
  </r>
  <r>
    <x v="0"/>
    <x v="4"/>
    <x v="0"/>
    <x v="0"/>
    <x v="13"/>
    <x v="0"/>
    <x v="5"/>
    <n v="0"/>
  </r>
  <r>
    <x v="0"/>
    <x v="4"/>
    <x v="0"/>
    <x v="0"/>
    <x v="13"/>
    <x v="0"/>
    <x v="6"/>
    <n v="0"/>
  </r>
  <r>
    <x v="0"/>
    <x v="4"/>
    <x v="0"/>
    <x v="2"/>
    <x v="14"/>
    <x v="0"/>
    <x v="0"/>
    <n v="0"/>
  </r>
  <r>
    <x v="0"/>
    <x v="4"/>
    <x v="0"/>
    <x v="2"/>
    <x v="14"/>
    <x v="0"/>
    <x v="1"/>
    <n v="0"/>
  </r>
  <r>
    <x v="0"/>
    <x v="4"/>
    <x v="0"/>
    <x v="2"/>
    <x v="14"/>
    <x v="0"/>
    <x v="2"/>
    <n v="0"/>
  </r>
  <r>
    <x v="0"/>
    <x v="4"/>
    <x v="0"/>
    <x v="2"/>
    <x v="14"/>
    <x v="0"/>
    <x v="3"/>
    <n v="0"/>
  </r>
  <r>
    <x v="0"/>
    <x v="4"/>
    <x v="0"/>
    <x v="2"/>
    <x v="14"/>
    <x v="0"/>
    <x v="4"/>
    <n v="0"/>
  </r>
  <r>
    <x v="0"/>
    <x v="4"/>
    <x v="0"/>
    <x v="2"/>
    <x v="14"/>
    <x v="0"/>
    <x v="5"/>
    <n v="0"/>
  </r>
  <r>
    <x v="0"/>
    <x v="4"/>
    <x v="0"/>
    <x v="2"/>
    <x v="14"/>
    <x v="0"/>
    <x v="6"/>
    <n v="0"/>
  </r>
  <r>
    <x v="0"/>
    <x v="4"/>
    <x v="0"/>
    <x v="2"/>
    <x v="15"/>
    <x v="0"/>
    <x v="0"/>
    <n v="0"/>
  </r>
  <r>
    <x v="0"/>
    <x v="4"/>
    <x v="0"/>
    <x v="2"/>
    <x v="15"/>
    <x v="0"/>
    <x v="1"/>
    <n v="0"/>
  </r>
  <r>
    <x v="0"/>
    <x v="4"/>
    <x v="0"/>
    <x v="2"/>
    <x v="15"/>
    <x v="0"/>
    <x v="2"/>
    <n v="0"/>
  </r>
  <r>
    <x v="0"/>
    <x v="4"/>
    <x v="0"/>
    <x v="2"/>
    <x v="15"/>
    <x v="0"/>
    <x v="3"/>
    <n v="0"/>
  </r>
  <r>
    <x v="0"/>
    <x v="4"/>
    <x v="0"/>
    <x v="2"/>
    <x v="15"/>
    <x v="0"/>
    <x v="4"/>
    <n v="0"/>
  </r>
  <r>
    <x v="0"/>
    <x v="4"/>
    <x v="0"/>
    <x v="2"/>
    <x v="15"/>
    <x v="0"/>
    <x v="5"/>
    <n v="0"/>
  </r>
  <r>
    <x v="0"/>
    <x v="4"/>
    <x v="0"/>
    <x v="2"/>
    <x v="15"/>
    <x v="0"/>
    <x v="6"/>
    <n v="0"/>
  </r>
  <r>
    <x v="0"/>
    <x v="4"/>
    <x v="0"/>
    <x v="2"/>
    <x v="16"/>
    <x v="0"/>
    <x v="0"/>
    <n v="0"/>
  </r>
  <r>
    <x v="0"/>
    <x v="4"/>
    <x v="0"/>
    <x v="2"/>
    <x v="16"/>
    <x v="0"/>
    <x v="1"/>
    <n v="0"/>
  </r>
  <r>
    <x v="0"/>
    <x v="4"/>
    <x v="0"/>
    <x v="2"/>
    <x v="16"/>
    <x v="0"/>
    <x v="2"/>
    <n v="0"/>
  </r>
  <r>
    <x v="0"/>
    <x v="4"/>
    <x v="0"/>
    <x v="2"/>
    <x v="16"/>
    <x v="0"/>
    <x v="3"/>
    <n v="0"/>
  </r>
  <r>
    <x v="0"/>
    <x v="4"/>
    <x v="0"/>
    <x v="2"/>
    <x v="16"/>
    <x v="0"/>
    <x v="4"/>
    <n v="0"/>
  </r>
  <r>
    <x v="0"/>
    <x v="4"/>
    <x v="0"/>
    <x v="2"/>
    <x v="16"/>
    <x v="0"/>
    <x v="5"/>
    <n v="0"/>
  </r>
  <r>
    <x v="0"/>
    <x v="4"/>
    <x v="0"/>
    <x v="2"/>
    <x v="16"/>
    <x v="0"/>
    <x v="6"/>
    <n v="0"/>
  </r>
  <r>
    <x v="0"/>
    <x v="4"/>
    <x v="0"/>
    <x v="0"/>
    <x v="17"/>
    <x v="0"/>
    <x v="0"/>
    <n v="0"/>
  </r>
  <r>
    <x v="0"/>
    <x v="4"/>
    <x v="0"/>
    <x v="0"/>
    <x v="17"/>
    <x v="0"/>
    <x v="1"/>
    <n v="0"/>
  </r>
  <r>
    <x v="0"/>
    <x v="4"/>
    <x v="0"/>
    <x v="0"/>
    <x v="17"/>
    <x v="0"/>
    <x v="2"/>
    <n v="0"/>
  </r>
  <r>
    <x v="0"/>
    <x v="4"/>
    <x v="0"/>
    <x v="0"/>
    <x v="17"/>
    <x v="0"/>
    <x v="3"/>
    <n v="0"/>
  </r>
  <r>
    <x v="0"/>
    <x v="4"/>
    <x v="0"/>
    <x v="0"/>
    <x v="17"/>
    <x v="0"/>
    <x v="4"/>
    <n v="0"/>
  </r>
  <r>
    <x v="0"/>
    <x v="4"/>
    <x v="0"/>
    <x v="0"/>
    <x v="17"/>
    <x v="0"/>
    <x v="5"/>
    <n v="0"/>
  </r>
  <r>
    <x v="0"/>
    <x v="4"/>
    <x v="0"/>
    <x v="0"/>
    <x v="17"/>
    <x v="0"/>
    <x v="6"/>
    <n v="0"/>
  </r>
  <r>
    <x v="0"/>
    <x v="4"/>
    <x v="0"/>
    <x v="2"/>
    <x v="18"/>
    <x v="0"/>
    <x v="0"/>
    <n v="0"/>
  </r>
  <r>
    <x v="0"/>
    <x v="4"/>
    <x v="0"/>
    <x v="2"/>
    <x v="18"/>
    <x v="0"/>
    <x v="1"/>
    <n v="0"/>
  </r>
  <r>
    <x v="0"/>
    <x v="4"/>
    <x v="0"/>
    <x v="2"/>
    <x v="18"/>
    <x v="0"/>
    <x v="2"/>
    <n v="0"/>
  </r>
  <r>
    <x v="0"/>
    <x v="4"/>
    <x v="0"/>
    <x v="2"/>
    <x v="18"/>
    <x v="0"/>
    <x v="3"/>
    <n v="0"/>
  </r>
  <r>
    <x v="0"/>
    <x v="4"/>
    <x v="0"/>
    <x v="2"/>
    <x v="18"/>
    <x v="0"/>
    <x v="4"/>
    <n v="0"/>
  </r>
  <r>
    <x v="0"/>
    <x v="4"/>
    <x v="0"/>
    <x v="2"/>
    <x v="18"/>
    <x v="0"/>
    <x v="5"/>
    <n v="0"/>
  </r>
  <r>
    <x v="0"/>
    <x v="4"/>
    <x v="0"/>
    <x v="2"/>
    <x v="18"/>
    <x v="0"/>
    <x v="6"/>
    <n v="0"/>
  </r>
  <r>
    <x v="0"/>
    <x v="4"/>
    <x v="1"/>
    <x v="3"/>
    <x v="19"/>
    <x v="0"/>
    <x v="0"/>
    <n v="0"/>
  </r>
  <r>
    <x v="0"/>
    <x v="4"/>
    <x v="1"/>
    <x v="3"/>
    <x v="19"/>
    <x v="0"/>
    <x v="1"/>
    <n v="0"/>
  </r>
  <r>
    <x v="0"/>
    <x v="4"/>
    <x v="1"/>
    <x v="3"/>
    <x v="19"/>
    <x v="0"/>
    <x v="2"/>
    <n v="0"/>
  </r>
  <r>
    <x v="0"/>
    <x v="4"/>
    <x v="1"/>
    <x v="3"/>
    <x v="19"/>
    <x v="0"/>
    <x v="3"/>
    <n v="0"/>
  </r>
  <r>
    <x v="0"/>
    <x v="4"/>
    <x v="1"/>
    <x v="3"/>
    <x v="19"/>
    <x v="0"/>
    <x v="4"/>
    <n v="0"/>
  </r>
  <r>
    <x v="0"/>
    <x v="4"/>
    <x v="1"/>
    <x v="3"/>
    <x v="19"/>
    <x v="0"/>
    <x v="5"/>
    <n v="0"/>
  </r>
  <r>
    <x v="0"/>
    <x v="4"/>
    <x v="1"/>
    <x v="3"/>
    <x v="19"/>
    <x v="0"/>
    <x v="6"/>
    <n v="0"/>
  </r>
  <r>
    <x v="0"/>
    <x v="4"/>
    <x v="1"/>
    <x v="3"/>
    <x v="20"/>
    <x v="0"/>
    <x v="0"/>
    <n v="0"/>
  </r>
  <r>
    <x v="0"/>
    <x v="4"/>
    <x v="1"/>
    <x v="3"/>
    <x v="20"/>
    <x v="0"/>
    <x v="1"/>
    <n v="0"/>
  </r>
  <r>
    <x v="0"/>
    <x v="4"/>
    <x v="1"/>
    <x v="3"/>
    <x v="20"/>
    <x v="0"/>
    <x v="2"/>
    <n v="0"/>
  </r>
  <r>
    <x v="0"/>
    <x v="4"/>
    <x v="1"/>
    <x v="3"/>
    <x v="20"/>
    <x v="0"/>
    <x v="3"/>
    <n v="0"/>
  </r>
  <r>
    <x v="0"/>
    <x v="4"/>
    <x v="1"/>
    <x v="3"/>
    <x v="20"/>
    <x v="0"/>
    <x v="4"/>
    <n v="0"/>
  </r>
  <r>
    <x v="0"/>
    <x v="4"/>
    <x v="1"/>
    <x v="3"/>
    <x v="20"/>
    <x v="0"/>
    <x v="5"/>
    <n v="0"/>
  </r>
  <r>
    <x v="0"/>
    <x v="4"/>
    <x v="1"/>
    <x v="3"/>
    <x v="20"/>
    <x v="0"/>
    <x v="6"/>
    <n v="0"/>
  </r>
  <r>
    <x v="0"/>
    <x v="4"/>
    <x v="1"/>
    <x v="3"/>
    <x v="21"/>
    <x v="0"/>
    <x v="0"/>
    <n v="0"/>
  </r>
  <r>
    <x v="0"/>
    <x v="4"/>
    <x v="1"/>
    <x v="3"/>
    <x v="21"/>
    <x v="0"/>
    <x v="1"/>
    <n v="0"/>
  </r>
  <r>
    <x v="0"/>
    <x v="4"/>
    <x v="1"/>
    <x v="3"/>
    <x v="21"/>
    <x v="0"/>
    <x v="2"/>
    <n v="0"/>
  </r>
  <r>
    <x v="0"/>
    <x v="4"/>
    <x v="1"/>
    <x v="3"/>
    <x v="21"/>
    <x v="0"/>
    <x v="3"/>
    <n v="0"/>
  </r>
  <r>
    <x v="0"/>
    <x v="4"/>
    <x v="1"/>
    <x v="3"/>
    <x v="21"/>
    <x v="0"/>
    <x v="4"/>
    <n v="0"/>
  </r>
  <r>
    <x v="0"/>
    <x v="4"/>
    <x v="1"/>
    <x v="3"/>
    <x v="21"/>
    <x v="0"/>
    <x v="5"/>
    <n v="0"/>
  </r>
  <r>
    <x v="0"/>
    <x v="4"/>
    <x v="1"/>
    <x v="3"/>
    <x v="21"/>
    <x v="0"/>
    <x v="6"/>
    <n v="0"/>
  </r>
  <r>
    <x v="0"/>
    <x v="4"/>
    <x v="1"/>
    <x v="3"/>
    <x v="22"/>
    <x v="0"/>
    <x v="0"/>
    <n v="0"/>
  </r>
  <r>
    <x v="0"/>
    <x v="4"/>
    <x v="1"/>
    <x v="3"/>
    <x v="22"/>
    <x v="0"/>
    <x v="1"/>
    <n v="0"/>
  </r>
  <r>
    <x v="0"/>
    <x v="4"/>
    <x v="1"/>
    <x v="3"/>
    <x v="22"/>
    <x v="0"/>
    <x v="2"/>
    <n v="0"/>
  </r>
  <r>
    <x v="0"/>
    <x v="4"/>
    <x v="1"/>
    <x v="3"/>
    <x v="22"/>
    <x v="0"/>
    <x v="3"/>
    <n v="0"/>
  </r>
  <r>
    <x v="0"/>
    <x v="4"/>
    <x v="1"/>
    <x v="3"/>
    <x v="22"/>
    <x v="0"/>
    <x v="4"/>
    <n v="0"/>
  </r>
  <r>
    <x v="0"/>
    <x v="4"/>
    <x v="1"/>
    <x v="3"/>
    <x v="22"/>
    <x v="0"/>
    <x v="5"/>
    <n v="0"/>
  </r>
  <r>
    <x v="0"/>
    <x v="4"/>
    <x v="1"/>
    <x v="3"/>
    <x v="22"/>
    <x v="0"/>
    <x v="6"/>
    <n v="0"/>
  </r>
  <r>
    <x v="0"/>
    <x v="4"/>
    <x v="1"/>
    <x v="3"/>
    <x v="23"/>
    <x v="0"/>
    <x v="0"/>
    <n v="0"/>
  </r>
  <r>
    <x v="0"/>
    <x v="4"/>
    <x v="1"/>
    <x v="3"/>
    <x v="23"/>
    <x v="0"/>
    <x v="1"/>
    <n v="0"/>
  </r>
  <r>
    <x v="0"/>
    <x v="4"/>
    <x v="1"/>
    <x v="3"/>
    <x v="23"/>
    <x v="0"/>
    <x v="2"/>
    <n v="0"/>
  </r>
  <r>
    <x v="0"/>
    <x v="4"/>
    <x v="1"/>
    <x v="3"/>
    <x v="23"/>
    <x v="0"/>
    <x v="3"/>
    <n v="0"/>
  </r>
  <r>
    <x v="0"/>
    <x v="4"/>
    <x v="1"/>
    <x v="3"/>
    <x v="23"/>
    <x v="0"/>
    <x v="4"/>
    <n v="0"/>
  </r>
  <r>
    <x v="0"/>
    <x v="4"/>
    <x v="1"/>
    <x v="3"/>
    <x v="23"/>
    <x v="0"/>
    <x v="5"/>
    <n v="0"/>
  </r>
  <r>
    <x v="0"/>
    <x v="4"/>
    <x v="1"/>
    <x v="3"/>
    <x v="23"/>
    <x v="0"/>
    <x v="6"/>
    <n v="0"/>
  </r>
  <r>
    <x v="0"/>
    <x v="4"/>
    <x v="1"/>
    <x v="3"/>
    <x v="24"/>
    <x v="0"/>
    <x v="0"/>
    <n v="0"/>
  </r>
  <r>
    <x v="0"/>
    <x v="4"/>
    <x v="1"/>
    <x v="3"/>
    <x v="24"/>
    <x v="0"/>
    <x v="1"/>
    <n v="0"/>
  </r>
  <r>
    <x v="0"/>
    <x v="4"/>
    <x v="1"/>
    <x v="3"/>
    <x v="24"/>
    <x v="0"/>
    <x v="2"/>
    <n v="0"/>
  </r>
  <r>
    <x v="0"/>
    <x v="4"/>
    <x v="1"/>
    <x v="3"/>
    <x v="24"/>
    <x v="0"/>
    <x v="3"/>
    <n v="0"/>
  </r>
  <r>
    <x v="0"/>
    <x v="4"/>
    <x v="1"/>
    <x v="3"/>
    <x v="24"/>
    <x v="0"/>
    <x v="4"/>
    <n v="0"/>
  </r>
  <r>
    <x v="0"/>
    <x v="4"/>
    <x v="1"/>
    <x v="3"/>
    <x v="24"/>
    <x v="0"/>
    <x v="5"/>
    <n v="0"/>
  </r>
  <r>
    <x v="0"/>
    <x v="4"/>
    <x v="1"/>
    <x v="3"/>
    <x v="24"/>
    <x v="0"/>
    <x v="6"/>
    <n v="0"/>
  </r>
  <r>
    <x v="0"/>
    <x v="4"/>
    <x v="1"/>
    <x v="3"/>
    <x v="25"/>
    <x v="0"/>
    <x v="0"/>
    <n v="0"/>
  </r>
  <r>
    <x v="0"/>
    <x v="4"/>
    <x v="1"/>
    <x v="3"/>
    <x v="25"/>
    <x v="0"/>
    <x v="1"/>
    <n v="0"/>
  </r>
  <r>
    <x v="0"/>
    <x v="4"/>
    <x v="1"/>
    <x v="3"/>
    <x v="25"/>
    <x v="0"/>
    <x v="2"/>
    <n v="0"/>
  </r>
  <r>
    <x v="0"/>
    <x v="4"/>
    <x v="1"/>
    <x v="3"/>
    <x v="25"/>
    <x v="0"/>
    <x v="3"/>
    <n v="0"/>
  </r>
  <r>
    <x v="0"/>
    <x v="4"/>
    <x v="1"/>
    <x v="3"/>
    <x v="25"/>
    <x v="0"/>
    <x v="4"/>
    <n v="0"/>
  </r>
  <r>
    <x v="0"/>
    <x v="4"/>
    <x v="1"/>
    <x v="3"/>
    <x v="25"/>
    <x v="0"/>
    <x v="5"/>
    <n v="0"/>
  </r>
  <r>
    <x v="0"/>
    <x v="4"/>
    <x v="1"/>
    <x v="3"/>
    <x v="25"/>
    <x v="0"/>
    <x v="6"/>
    <n v="0"/>
  </r>
  <r>
    <x v="0"/>
    <x v="4"/>
    <x v="2"/>
    <x v="4"/>
    <x v="26"/>
    <x v="0"/>
    <x v="0"/>
    <n v="0"/>
  </r>
  <r>
    <x v="0"/>
    <x v="4"/>
    <x v="2"/>
    <x v="4"/>
    <x v="26"/>
    <x v="0"/>
    <x v="1"/>
    <n v="0"/>
  </r>
  <r>
    <x v="0"/>
    <x v="4"/>
    <x v="2"/>
    <x v="4"/>
    <x v="26"/>
    <x v="0"/>
    <x v="2"/>
    <n v="0"/>
  </r>
  <r>
    <x v="0"/>
    <x v="4"/>
    <x v="2"/>
    <x v="4"/>
    <x v="26"/>
    <x v="0"/>
    <x v="3"/>
    <n v="0"/>
  </r>
  <r>
    <x v="0"/>
    <x v="4"/>
    <x v="2"/>
    <x v="4"/>
    <x v="26"/>
    <x v="0"/>
    <x v="4"/>
    <n v="0"/>
  </r>
  <r>
    <x v="0"/>
    <x v="4"/>
    <x v="2"/>
    <x v="4"/>
    <x v="26"/>
    <x v="0"/>
    <x v="5"/>
    <n v="0"/>
  </r>
  <r>
    <x v="0"/>
    <x v="4"/>
    <x v="2"/>
    <x v="4"/>
    <x v="26"/>
    <x v="0"/>
    <x v="6"/>
    <n v="0"/>
  </r>
  <r>
    <x v="0"/>
    <x v="4"/>
    <x v="2"/>
    <x v="4"/>
    <x v="27"/>
    <x v="0"/>
    <x v="0"/>
    <n v="0"/>
  </r>
  <r>
    <x v="0"/>
    <x v="4"/>
    <x v="2"/>
    <x v="4"/>
    <x v="27"/>
    <x v="0"/>
    <x v="1"/>
    <n v="0"/>
  </r>
  <r>
    <x v="0"/>
    <x v="4"/>
    <x v="2"/>
    <x v="4"/>
    <x v="27"/>
    <x v="0"/>
    <x v="2"/>
    <n v="0"/>
  </r>
  <r>
    <x v="0"/>
    <x v="4"/>
    <x v="2"/>
    <x v="4"/>
    <x v="27"/>
    <x v="0"/>
    <x v="3"/>
    <n v="0"/>
  </r>
  <r>
    <x v="0"/>
    <x v="4"/>
    <x v="2"/>
    <x v="4"/>
    <x v="27"/>
    <x v="0"/>
    <x v="4"/>
    <n v="0"/>
  </r>
  <r>
    <x v="0"/>
    <x v="4"/>
    <x v="2"/>
    <x v="4"/>
    <x v="27"/>
    <x v="0"/>
    <x v="5"/>
    <n v="0"/>
  </r>
  <r>
    <x v="0"/>
    <x v="4"/>
    <x v="2"/>
    <x v="4"/>
    <x v="27"/>
    <x v="0"/>
    <x v="6"/>
    <n v="0"/>
  </r>
  <r>
    <x v="0"/>
    <x v="4"/>
    <x v="2"/>
    <x v="4"/>
    <x v="28"/>
    <x v="0"/>
    <x v="0"/>
    <n v="0"/>
  </r>
  <r>
    <x v="0"/>
    <x v="4"/>
    <x v="2"/>
    <x v="4"/>
    <x v="28"/>
    <x v="0"/>
    <x v="1"/>
    <n v="0"/>
  </r>
  <r>
    <x v="0"/>
    <x v="4"/>
    <x v="2"/>
    <x v="4"/>
    <x v="28"/>
    <x v="0"/>
    <x v="2"/>
    <n v="0"/>
  </r>
  <r>
    <x v="0"/>
    <x v="4"/>
    <x v="2"/>
    <x v="4"/>
    <x v="28"/>
    <x v="0"/>
    <x v="3"/>
    <n v="0"/>
  </r>
  <r>
    <x v="0"/>
    <x v="4"/>
    <x v="2"/>
    <x v="4"/>
    <x v="28"/>
    <x v="0"/>
    <x v="4"/>
    <n v="0"/>
  </r>
  <r>
    <x v="0"/>
    <x v="4"/>
    <x v="2"/>
    <x v="4"/>
    <x v="28"/>
    <x v="0"/>
    <x v="5"/>
    <n v="0"/>
  </r>
  <r>
    <x v="0"/>
    <x v="4"/>
    <x v="2"/>
    <x v="4"/>
    <x v="28"/>
    <x v="0"/>
    <x v="6"/>
    <n v="0"/>
  </r>
  <r>
    <x v="0"/>
    <x v="4"/>
    <x v="2"/>
    <x v="4"/>
    <x v="29"/>
    <x v="0"/>
    <x v="0"/>
    <n v="0"/>
  </r>
  <r>
    <x v="0"/>
    <x v="4"/>
    <x v="2"/>
    <x v="4"/>
    <x v="29"/>
    <x v="0"/>
    <x v="1"/>
    <n v="0"/>
  </r>
  <r>
    <x v="0"/>
    <x v="4"/>
    <x v="2"/>
    <x v="4"/>
    <x v="29"/>
    <x v="0"/>
    <x v="2"/>
    <n v="0"/>
  </r>
  <r>
    <x v="0"/>
    <x v="4"/>
    <x v="2"/>
    <x v="4"/>
    <x v="29"/>
    <x v="0"/>
    <x v="3"/>
    <n v="0"/>
  </r>
  <r>
    <x v="0"/>
    <x v="4"/>
    <x v="2"/>
    <x v="4"/>
    <x v="29"/>
    <x v="0"/>
    <x v="4"/>
    <n v="0"/>
  </r>
  <r>
    <x v="0"/>
    <x v="4"/>
    <x v="2"/>
    <x v="4"/>
    <x v="29"/>
    <x v="0"/>
    <x v="5"/>
    <n v="0"/>
  </r>
  <r>
    <x v="0"/>
    <x v="4"/>
    <x v="2"/>
    <x v="4"/>
    <x v="29"/>
    <x v="0"/>
    <x v="6"/>
    <n v="0"/>
  </r>
  <r>
    <x v="0"/>
    <x v="4"/>
    <x v="3"/>
    <x v="5"/>
    <x v="30"/>
    <x v="0"/>
    <x v="0"/>
    <n v="0"/>
  </r>
  <r>
    <x v="0"/>
    <x v="4"/>
    <x v="3"/>
    <x v="5"/>
    <x v="30"/>
    <x v="0"/>
    <x v="1"/>
    <n v="0"/>
  </r>
  <r>
    <x v="0"/>
    <x v="4"/>
    <x v="3"/>
    <x v="5"/>
    <x v="30"/>
    <x v="0"/>
    <x v="2"/>
    <n v="0"/>
  </r>
  <r>
    <x v="0"/>
    <x v="4"/>
    <x v="3"/>
    <x v="5"/>
    <x v="30"/>
    <x v="0"/>
    <x v="3"/>
    <n v="0"/>
  </r>
  <r>
    <x v="0"/>
    <x v="4"/>
    <x v="3"/>
    <x v="5"/>
    <x v="30"/>
    <x v="0"/>
    <x v="4"/>
    <n v="0"/>
  </r>
  <r>
    <x v="0"/>
    <x v="4"/>
    <x v="3"/>
    <x v="5"/>
    <x v="30"/>
    <x v="0"/>
    <x v="5"/>
    <n v="0"/>
  </r>
  <r>
    <x v="0"/>
    <x v="4"/>
    <x v="3"/>
    <x v="5"/>
    <x v="30"/>
    <x v="0"/>
    <x v="6"/>
    <n v="0"/>
  </r>
  <r>
    <x v="0"/>
    <x v="4"/>
    <x v="2"/>
    <x v="4"/>
    <x v="31"/>
    <x v="0"/>
    <x v="0"/>
    <n v="0"/>
  </r>
  <r>
    <x v="0"/>
    <x v="4"/>
    <x v="2"/>
    <x v="4"/>
    <x v="31"/>
    <x v="0"/>
    <x v="1"/>
    <n v="0"/>
  </r>
  <r>
    <x v="0"/>
    <x v="4"/>
    <x v="2"/>
    <x v="4"/>
    <x v="31"/>
    <x v="0"/>
    <x v="2"/>
    <n v="0"/>
  </r>
  <r>
    <x v="0"/>
    <x v="4"/>
    <x v="2"/>
    <x v="4"/>
    <x v="31"/>
    <x v="0"/>
    <x v="3"/>
    <n v="0"/>
  </r>
  <r>
    <x v="0"/>
    <x v="4"/>
    <x v="2"/>
    <x v="4"/>
    <x v="31"/>
    <x v="0"/>
    <x v="4"/>
    <n v="0"/>
  </r>
  <r>
    <x v="0"/>
    <x v="4"/>
    <x v="2"/>
    <x v="4"/>
    <x v="31"/>
    <x v="0"/>
    <x v="5"/>
    <n v="0"/>
  </r>
  <r>
    <x v="0"/>
    <x v="4"/>
    <x v="2"/>
    <x v="4"/>
    <x v="31"/>
    <x v="0"/>
    <x v="6"/>
    <n v="0"/>
  </r>
  <r>
    <x v="0"/>
    <x v="4"/>
    <x v="2"/>
    <x v="4"/>
    <x v="32"/>
    <x v="0"/>
    <x v="0"/>
    <n v="0"/>
  </r>
  <r>
    <x v="0"/>
    <x v="4"/>
    <x v="2"/>
    <x v="4"/>
    <x v="32"/>
    <x v="0"/>
    <x v="1"/>
    <n v="0"/>
  </r>
  <r>
    <x v="0"/>
    <x v="4"/>
    <x v="2"/>
    <x v="4"/>
    <x v="32"/>
    <x v="0"/>
    <x v="2"/>
    <n v="0"/>
  </r>
  <r>
    <x v="0"/>
    <x v="4"/>
    <x v="2"/>
    <x v="4"/>
    <x v="32"/>
    <x v="0"/>
    <x v="3"/>
    <n v="0"/>
  </r>
  <r>
    <x v="0"/>
    <x v="4"/>
    <x v="2"/>
    <x v="4"/>
    <x v="32"/>
    <x v="0"/>
    <x v="4"/>
    <n v="0"/>
  </r>
  <r>
    <x v="0"/>
    <x v="4"/>
    <x v="2"/>
    <x v="4"/>
    <x v="32"/>
    <x v="0"/>
    <x v="5"/>
    <n v="0"/>
  </r>
  <r>
    <x v="0"/>
    <x v="4"/>
    <x v="2"/>
    <x v="4"/>
    <x v="32"/>
    <x v="0"/>
    <x v="6"/>
    <n v="0"/>
  </r>
  <r>
    <x v="0"/>
    <x v="4"/>
    <x v="2"/>
    <x v="4"/>
    <x v="33"/>
    <x v="0"/>
    <x v="0"/>
    <n v="0"/>
  </r>
  <r>
    <x v="0"/>
    <x v="4"/>
    <x v="2"/>
    <x v="4"/>
    <x v="33"/>
    <x v="0"/>
    <x v="1"/>
    <n v="0"/>
  </r>
  <r>
    <x v="0"/>
    <x v="4"/>
    <x v="2"/>
    <x v="4"/>
    <x v="33"/>
    <x v="0"/>
    <x v="2"/>
    <n v="0"/>
  </r>
  <r>
    <x v="0"/>
    <x v="4"/>
    <x v="2"/>
    <x v="4"/>
    <x v="33"/>
    <x v="0"/>
    <x v="3"/>
    <n v="0"/>
  </r>
  <r>
    <x v="0"/>
    <x v="4"/>
    <x v="2"/>
    <x v="4"/>
    <x v="33"/>
    <x v="0"/>
    <x v="4"/>
    <n v="0"/>
  </r>
  <r>
    <x v="0"/>
    <x v="4"/>
    <x v="2"/>
    <x v="4"/>
    <x v="33"/>
    <x v="0"/>
    <x v="5"/>
    <n v="0"/>
  </r>
  <r>
    <x v="0"/>
    <x v="4"/>
    <x v="2"/>
    <x v="4"/>
    <x v="33"/>
    <x v="0"/>
    <x v="6"/>
    <n v="0"/>
  </r>
  <r>
    <x v="0"/>
    <x v="4"/>
    <x v="2"/>
    <x v="4"/>
    <x v="34"/>
    <x v="0"/>
    <x v="0"/>
    <n v="0"/>
  </r>
  <r>
    <x v="0"/>
    <x v="4"/>
    <x v="2"/>
    <x v="4"/>
    <x v="34"/>
    <x v="0"/>
    <x v="1"/>
    <n v="0"/>
  </r>
  <r>
    <x v="0"/>
    <x v="4"/>
    <x v="2"/>
    <x v="4"/>
    <x v="34"/>
    <x v="0"/>
    <x v="2"/>
    <n v="0"/>
  </r>
  <r>
    <x v="0"/>
    <x v="4"/>
    <x v="2"/>
    <x v="4"/>
    <x v="34"/>
    <x v="0"/>
    <x v="3"/>
    <n v="0"/>
  </r>
  <r>
    <x v="0"/>
    <x v="4"/>
    <x v="2"/>
    <x v="4"/>
    <x v="34"/>
    <x v="0"/>
    <x v="4"/>
    <n v="0"/>
  </r>
  <r>
    <x v="0"/>
    <x v="4"/>
    <x v="2"/>
    <x v="4"/>
    <x v="34"/>
    <x v="0"/>
    <x v="5"/>
    <n v="0"/>
  </r>
  <r>
    <x v="0"/>
    <x v="4"/>
    <x v="2"/>
    <x v="4"/>
    <x v="34"/>
    <x v="0"/>
    <x v="6"/>
    <n v="0"/>
  </r>
  <r>
    <x v="0"/>
    <x v="4"/>
    <x v="2"/>
    <x v="6"/>
    <x v="35"/>
    <x v="0"/>
    <x v="0"/>
    <n v="0"/>
  </r>
  <r>
    <x v="0"/>
    <x v="4"/>
    <x v="2"/>
    <x v="6"/>
    <x v="35"/>
    <x v="0"/>
    <x v="1"/>
    <n v="0"/>
  </r>
  <r>
    <x v="0"/>
    <x v="4"/>
    <x v="2"/>
    <x v="6"/>
    <x v="35"/>
    <x v="0"/>
    <x v="2"/>
    <n v="0"/>
  </r>
  <r>
    <x v="0"/>
    <x v="4"/>
    <x v="2"/>
    <x v="6"/>
    <x v="35"/>
    <x v="0"/>
    <x v="3"/>
    <n v="0"/>
  </r>
  <r>
    <x v="0"/>
    <x v="4"/>
    <x v="2"/>
    <x v="6"/>
    <x v="35"/>
    <x v="0"/>
    <x v="4"/>
    <n v="0"/>
  </r>
  <r>
    <x v="0"/>
    <x v="4"/>
    <x v="2"/>
    <x v="6"/>
    <x v="35"/>
    <x v="0"/>
    <x v="5"/>
    <n v="0"/>
  </r>
  <r>
    <x v="0"/>
    <x v="4"/>
    <x v="2"/>
    <x v="6"/>
    <x v="35"/>
    <x v="0"/>
    <x v="6"/>
    <n v="0"/>
  </r>
  <r>
    <x v="0"/>
    <x v="4"/>
    <x v="2"/>
    <x v="6"/>
    <x v="36"/>
    <x v="0"/>
    <x v="0"/>
    <n v="0"/>
  </r>
  <r>
    <x v="0"/>
    <x v="4"/>
    <x v="2"/>
    <x v="6"/>
    <x v="36"/>
    <x v="0"/>
    <x v="1"/>
    <n v="0"/>
  </r>
  <r>
    <x v="0"/>
    <x v="4"/>
    <x v="2"/>
    <x v="6"/>
    <x v="36"/>
    <x v="0"/>
    <x v="2"/>
    <n v="0"/>
  </r>
  <r>
    <x v="0"/>
    <x v="4"/>
    <x v="2"/>
    <x v="6"/>
    <x v="36"/>
    <x v="0"/>
    <x v="3"/>
    <n v="0"/>
  </r>
  <r>
    <x v="0"/>
    <x v="4"/>
    <x v="2"/>
    <x v="6"/>
    <x v="36"/>
    <x v="0"/>
    <x v="4"/>
    <n v="0"/>
  </r>
  <r>
    <x v="0"/>
    <x v="4"/>
    <x v="2"/>
    <x v="6"/>
    <x v="36"/>
    <x v="0"/>
    <x v="5"/>
    <n v="0"/>
  </r>
  <r>
    <x v="0"/>
    <x v="4"/>
    <x v="2"/>
    <x v="6"/>
    <x v="36"/>
    <x v="0"/>
    <x v="6"/>
    <n v="0"/>
  </r>
  <r>
    <x v="0"/>
    <x v="4"/>
    <x v="2"/>
    <x v="6"/>
    <x v="37"/>
    <x v="0"/>
    <x v="0"/>
    <n v="0"/>
  </r>
  <r>
    <x v="0"/>
    <x v="4"/>
    <x v="2"/>
    <x v="6"/>
    <x v="37"/>
    <x v="0"/>
    <x v="1"/>
    <n v="0"/>
  </r>
  <r>
    <x v="0"/>
    <x v="4"/>
    <x v="2"/>
    <x v="6"/>
    <x v="37"/>
    <x v="0"/>
    <x v="2"/>
    <n v="0"/>
  </r>
  <r>
    <x v="0"/>
    <x v="4"/>
    <x v="2"/>
    <x v="6"/>
    <x v="37"/>
    <x v="0"/>
    <x v="3"/>
    <n v="0"/>
  </r>
  <r>
    <x v="0"/>
    <x v="4"/>
    <x v="2"/>
    <x v="6"/>
    <x v="37"/>
    <x v="0"/>
    <x v="4"/>
    <n v="0"/>
  </r>
  <r>
    <x v="0"/>
    <x v="4"/>
    <x v="2"/>
    <x v="6"/>
    <x v="37"/>
    <x v="0"/>
    <x v="5"/>
    <n v="0"/>
  </r>
  <r>
    <x v="0"/>
    <x v="4"/>
    <x v="2"/>
    <x v="6"/>
    <x v="37"/>
    <x v="0"/>
    <x v="6"/>
    <n v="0"/>
  </r>
  <r>
    <x v="0"/>
    <x v="4"/>
    <x v="2"/>
    <x v="6"/>
    <x v="38"/>
    <x v="0"/>
    <x v="0"/>
    <n v="0"/>
  </r>
  <r>
    <x v="0"/>
    <x v="4"/>
    <x v="2"/>
    <x v="6"/>
    <x v="38"/>
    <x v="0"/>
    <x v="1"/>
    <n v="0"/>
  </r>
  <r>
    <x v="0"/>
    <x v="4"/>
    <x v="2"/>
    <x v="6"/>
    <x v="38"/>
    <x v="0"/>
    <x v="2"/>
    <n v="0"/>
  </r>
  <r>
    <x v="0"/>
    <x v="4"/>
    <x v="2"/>
    <x v="6"/>
    <x v="38"/>
    <x v="0"/>
    <x v="3"/>
    <n v="0"/>
  </r>
  <r>
    <x v="0"/>
    <x v="4"/>
    <x v="2"/>
    <x v="6"/>
    <x v="38"/>
    <x v="0"/>
    <x v="4"/>
    <n v="0"/>
  </r>
  <r>
    <x v="0"/>
    <x v="4"/>
    <x v="2"/>
    <x v="6"/>
    <x v="38"/>
    <x v="0"/>
    <x v="5"/>
    <n v="0"/>
  </r>
  <r>
    <x v="0"/>
    <x v="4"/>
    <x v="2"/>
    <x v="6"/>
    <x v="38"/>
    <x v="0"/>
    <x v="6"/>
    <n v="0"/>
  </r>
  <r>
    <x v="0"/>
    <x v="4"/>
    <x v="3"/>
    <x v="5"/>
    <x v="39"/>
    <x v="0"/>
    <x v="0"/>
    <n v="0"/>
  </r>
  <r>
    <x v="0"/>
    <x v="4"/>
    <x v="3"/>
    <x v="5"/>
    <x v="39"/>
    <x v="0"/>
    <x v="1"/>
    <n v="0"/>
  </r>
  <r>
    <x v="0"/>
    <x v="4"/>
    <x v="3"/>
    <x v="5"/>
    <x v="39"/>
    <x v="0"/>
    <x v="2"/>
    <n v="0"/>
  </r>
  <r>
    <x v="0"/>
    <x v="4"/>
    <x v="3"/>
    <x v="5"/>
    <x v="39"/>
    <x v="0"/>
    <x v="3"/>
    <n v="0"/>
  </r>
  <r>
    <x v="0"/>
    <x v="4"/>
    <x v="3"/>
    <x v="5"/>
    <x v="39"/>
    <x v="0"/>
    <x v="4"/>
    <n v="0"/>
  </r>
  <r>
    <x v="0"/>
    <x v="4"/>
    <x v="3"/>
    <x v="5"/>
    <x v="39"/>
    <x v="0"/>
    <x v="5"/>
    <n v="0"/>
  </r>
  <r>
    <x v="0"/>
    <x v="4"/>
    <x v="3"/>
    <x v="5"/>
    <x v="39"/>
    <x v="0"/>
    <x v="6"/>
    <n v="0"/>
  </r>
  <r>
    <x v="0"/>
    <x v="4"/>
    <x v="2"/>
    <x v="6"/>
    <x v="40"/>
    <x v="0"/>
    <x v="0"/>
    <n v="0"/>
  </r>
  <r>
    <x v="0"/>
    <x v="4"/>
    <x v="2"/>
    <x v="6"/>
    <x v="40"/>
    <x v="0"/>
    <x v="1"/>
    <n v="0"/>
  </r>
  <r>
    <x v="0"/>
    <x v="4"/>
    <x v="2"/>
    <x v="6"/>
    <x v="40"/>
    <x v="0"/>
    <x v="2"/>
    <n v="0"/>
  </r>
  <r>
    <x v="0"/>
    <x v="4"/>
    <x v="2"/>
    <x v="6"/>
    <x v="40"/>
    <x v="0"/>
    <x v="3"/>
    <n v="0"/>
  </r>
  <r>
    <x v="0"/>
    <x v="4"/>
    <x v="2"/>
    <x v="6"/>
    <x v="40"/>
    <x v="0"/>
    <x v="4"/>
    <n v="0"/>
  </r>
  <r>
    <x v="0"/>
    <x v="4"/>
    <x v="2"/>
    <x v="6"/>
    <x v="40"/>
    <x v="0"/>
    <x v="5"/>
    <n v="0"/>
  </r>
  <r>
    <x v="0"/>
    <x v="4"/>
    <x v="2"/>
    <x v="6"/>
    <x v="40"/>
    <x v="0"/>
    <x v="6"/>
    <n v="0"/>
  </r>
  <r>
    <x v="0"/>
    <x v="4"/>
    <x v="2"/>
    <x v="6"/>
    <x v="41"/>
    <x v="0"/>
    <x v="0"/>
    <n v="0"/>
  </r>
  <r>
    <x v="0"/>
    <x v="4"/>
    <x v="2"/>
    <x v="6"/>
    <x v="41"/>
    <x v="0"/>
    <x v="1"/>
    <n v="0"/>
  </r>
  <r>
    <x v="0"/>
    <x v="4"/>
    <x v="2"/>
    <x v="6"/>
    <x v="41"/>
    <x v="0"/>
    <x v="2"/>
    <n v="0"/>
  </r>
  <r>
    <x v="0"/>
    <x v="4"/>
    <x v="2"/>
    <x v="6"/>
    <x v="41"/>
    <x v="0"/>
    <x v="3"/>
    <n v="0"/>
  </r>
  <r>
    <x v="0"/>
    <x v="4"/>
    <x v="2"/>
    <x v="6"/>
    <x v="41"/>
    <x v="0"/>
    <x v="4"/>
    <n v="0"/>
  </r>
  <r>
    <x v="0"/>
    <x v="4"/>
    <x v="2"/>
    <x v="6"/>
    <x v="41"/>
    <x v="0"/>
    <x v="5"/>
    <n v="0"/>
  </r>
  <r>
    <x v="0"/>
    <x v="4"/>
    <x v="2"/>
    <x v="6"/>
    <x v="41"/>
    <x v="0"/>
    <x v="6"/>
    <n v="0"/>
  </r>
  <r>
    <x v="0"/>
    <x v="4"/>
    <x v="2"/>
    <x v="6"/>
    <x v="42"/>
    <x v="0"/>
    <x v="0"/>
    <n v="0"/>
  </r>
  <r>
    <x v="0"/>
    <x v="4"/>
    <x v="2"/>
    <x v="6"/>
    <x v="42"/>
    <x v="0"/>
    <x v="1"/>
    <n v="0"/>
  </r>
  <r>
    <x v="0"/>
    <x v="4"/>
    <x v="2"/>
    <x v="6"/>
    <x v="42"/>
    <x v="0"/>
    <x v="2"/>
    <n v="0"/>
  </r>
  <r>
    <x v="0"/>
    <x v="4"/>
    <x v="2"/>
    <x v="6"/>
    <x v="42"/>
    <x v="0"/>
    <x v="3"/>
    <n v="0"/>
  </r>
  <r>
    <x v="0"/>
    <x v="4"/>
    <x v="2"/>
    <x v="6"/>
    <x v="42"/>
    <x v="0"/>
    <x v="4"/>
    <n v="0"/>
  </r>
  <r>
    <x v="0"/>
    <x v="4"/>
    <x v="2"/>
    <x v="6"/>
    <x v="42"/>
    <x v="0"/>
    <x v="5"/>
    <n v="0"/>
  </r>
  <r>
    <x v="0"/>
    <x v="4"/>
    <x v="2"/>
    <x v="6"/>
    <x v="42"/>
    <x v="0"/>
    <x v="6"/>
    <n v="0"/>
  </r>
  <r>
    <x v="0"/>
    <x v="4"/>
    <x v="2"/>
    <x v="6"/>
    <x v="43"/>
    <x v="0"/>
    <x v="0"/>
    <n v="0"/>
  </r>
  <r>
    <x v="0"/>
    <x v="4"/>
    <x v="2"/>
    <x v="6"/>
    <x v="43"/>
    <x v="0"/>
    <x v="1"/>
    <n v="0"/>
  </r>
  <r>
    <x v="0"/>
    <x v="4"/>
    <x v="2"/>
    <x v="6"/>
    <x v="43"/>
    <x v="0"/>
    <x v="2"/>
    <n v="0"/>
  </r>
  <r>
    <x v="0"/>
    <x v="4"/>
    <x v="2"/>
    <x v="6"/>
    <x v="43"/>
    <x v="0"/>
    <x v="3"/>
    <n v="0"/>
  </r>
  <r>
    <x v="0"/>
    <x v="4"/>
    <x v="2"/>
    <x v="6"/>
    <x v="43"/>
    <x v="0"/>
    <x v="4"/>
    <n v="0"/>
  </r>
  <r>
    <x v="0"/>
    <x v="4"/>
    <x v="2"/>
    <x v="6"/>
    <x v="43"/>
    <x v="0"/>
    <x v="5"/>
    <n v="0"/>
  </r>
  <r>
    <x v="0"/>
    <x v="4"/>
    <x v="2"/>
    <x v="6"/>
    <x v="43"/>
    <x v="0"/>
    <x v="6"/>
    <n v="0"/>
  </r>
  <r>
    <x v="0"/>
    <x v="4"/>
    <x v="4"/>
    <x v="7"/>
    <x v="44"/>
    <x v="0"/>
    <x v="0"/>
    <n v="0"/>
  </r>
  <r>
    <x v="0"/>
    <x v="4"/>
    <x v="4"/>
    <x v="7"/>
    <x v="44"/>
    <x v="0"/>
    <x v="1"/>
    <n v="0"/>
  </r>
  <r>
    <x v="0"/>
    <x v="4"/>
    <x v="4"/>
    <x v="7"/>
    <x v="44"/>
    <x v="0"/>
    <x v="2"/>
    <n v="0"/>
  </r>
  <r>
    <x v="0"/>
    <x v="4"/>
    <x v="4"/>
    <x v="7"/>
    <x v="44"/>
    <x v="0"/>
    <x v="3"/>
    <n v="0"/>
  </r>
  <r>
    <x v="0"/>
    <x v="4"/>
    <x v="4"/>
    <x v="7"/>
    <x v="44"/>
    <x v="0"/>
    <x v="4"/>
    <n v="0"/>
  </r>
  <r>
    <x v="0"/>
    <x v="4"/>
    <x v="4"/>
    <x v="7"/>
    <x v="44"/>
    <x v="0"/>
    <x v="5"/>
    <n v="0"/>
  </r>
  <r>
    <x v="0"/>
    <x v="4"/>
    <x v="4"/>
    <x v="7"/>
    <x v="44"/>
    <x v="0"/>
    <x v="6"/>
    <n v="0"/>
  </r>
  <r>
    <x v="0"/>
    <x v="4"/>
    <x v="4"/>
    <x v="7"/>
    <x v="45"/>
    <x v="0"/>
    <x v="0"/>
    <n v="0"/>
  </r>
  <r>
    <x v="0"/>
    <x v="4"/>
    <x v="4"/>
    <x v="7"/>
    <x v="45"/>
    <x v="0"/>
    <x v="1"/>
    <n v="0"/>
  </r>
  <r>
    <x v="0"/>
    <x v="4"/>
    <x v="4"/>
    <x v="7"/>
    <x v="45"/>
    <x v="0"/>
    <x v="2"/>
    <n v="0"/>
  </r>
  <r>
    <x v="0"/>
    <x v="4"/>
    <x v="4"/>
    <x v="7"/>
    <x v="45"/>
    <x v="0"/>
    <x v="3"/>
    <n v="0"/>
  </r>
  <r>
    <x v="0"/>
    <x v="4"/>
    <x v="4"/>
    <x v="7"/>
    <x v="45"/>
    <x v="0"/>
    <x v="4"/>
    <n v="0"/>
  </r>
  <r>
    <x v="0"/>
    <x v="4"/>
    <x v="4"/>
    <x v="7"/>
    <x v="45"/>
    <x v="0"/>
    <x v="5"/>
    <n v="0"/>
  </r>
  <r>
    <x v="0"/>
    <x v="4"/>
    <x v="4"/>
    <x v="7"/>
    <x v="45"/>
    <x v="0"/>
    <x v="6"/>
    <n v="0"/>
  </r>
  <r>
    <x v="0"/>
    <x v="4"/>
    <x v="4"/>
    <x v="7"/>
    <x v="46"/>
    <x v="0"/>
    <x v="0"/>
    <n v="0"/>
  </r>
  <r>
    <x v="0"/>
    <x v="4"/>
    <x v="4"/>
    <x v="7"/>
    <x v="46"/>
    <x v="0"/>
    <x v="1"/>
    <n v="0"/>
  </r>
  <r>
    <x v="0"/>
    <x v="4"/>
    <x v="4"/>
    <x v="7"/>
    <x v="46"/>
    <x v="0"/>
    <x v="2"/>
    <n v="0"/>
  </r>
  <r>
    <x v="0"/>
    <x v="4"/>
    <x v="4"/>
    <x v="7"/>
    <x v="46"/>
    <x v="0"/>
    <x v="3"/>
    <n v="0"/>
  </r>
  <r>
    <x v="0"/>
    <x v="4"/>
    <x v="4"/>
    <x v="7"/>
    <x v="46"/>
    <x v="0"/>
    <x v="4"/>
    <n v="0"/>
  </r>
  <r>
    <x v="0"/>
    <x v="4"/>
    <x v="4"/>
    <x v="7"/>
    <x v="46"/>
    <x v="0"/>
    <x v="5"/>
    <n v="0"/>
  </r>
  <r>
    <x v="0"/>
    <x v="4"/>
    <x v="4"/>
    <x v="7"/>
    <x v="46"/>
    <x v="0"/>
    <x v="6"/>
    <n v="0"/>
  </r>
  <r>
    <x v="0"/>
    <x v="4"/>
    <x v="4"/>
    <x v="7"/>
    <x v="47"/>
    <x v="0"/>
    <x v="0"/>
    <n v="0"/>
  </r>
  <r>
    <x v="0"/>
    <x v="4"/>
    <x v="4"/>
    <x v="7"/>
    <x v="47"/>
    <x v="0"/>
    <x v="1"/>
    <n v="0"/>
  </r>
  <r>
    <x v="0"/>
    <x v="4"/>
    <x v="4"/>
    <x v="7"/>
    <x v="47"/>
    <x v="0"/>
    <x v="2"/>
    <n v="0"/>
  </r>
  <r>
    <x v="0"/>
    <x v="4"/>
    <x v="4"/>
    <x v="7"/>
    <x v="47"/>
    <x v="0"/>
    <x v="3"/>
    <n v="0"/>
  </r>
  <r>
    <x v="0"/>
    <x v="4"/>
    <x v="4"/>
    <x v="7"/>
    <x v="47"/>
    <x v="0"/>
    <x v="4"/>
    <n v="0"/>
  </r>
  <r>
    <x v="0"/>
    <x v="4"/>
    <x v="4"/>
    <x v="7"/>
    <x v="47"/>
    <x v="0"/>
    <x v="5"/>
    <n v="0"/>
  </r>
  <r>
    <x v="0"/>
    <x v="4"/>
    <x v="4"/>
    <x v="7"/>
    <x v="47"/>
    <x v="0"/>
    <x v="6"/>
    <n v="0"/>
  </r>
  <r>
    <x v="0"/>
    <x v="4"/>
    <x v="4"/>
    <x v="7"/>
    <x v="48"/>
    <x v="0"/>
    <x v="0"/>
    <n v="0"/>
  </r>
  <r>
    <x v="0"/>
    <x v="4"/>
    <x v="4"/>
    <x v="7"/>
    <x v="48"/>
    <x v="0"/>
    <x v="1"/>
    <n v="0"/>
  </r>
  <r>
    <x v="0"/>
    <x v="4"/>
    <x v="4"/>
    <x v="7"/>
    <x v="48"/>
    <x v="0"/>
    <x v="2"/>
    <n v="0"/>
  </r>
  <r>
    <x v="0"/>
    <x v="4"/>
    <x v="4"/>
    <x v="7"/>
    <x v="48"/>
    <x v="0"/>
    <x v="3"/>
    <n v="0"/>
  </r>
  <r>
    <x v="0"/>
    <x v="4"/>
    <x v="4"/>
    <x v="7"/>
    <x v="48"/>
    <x v="0"/>
    <x v="4"/>
    <n v="0"/>
  </r>
  <r>
    <x v="0"/>
    <x v="4"/>
    <x v="4"/>
    <x v="7"/>
    <x v="48"/>
    <x v="0"/>
    <x v="5"/>
    <n v="0"/>
  </r>
  <r>
    <x v="0"/>
    <x v="4"/>
    <x v="4"/>
    <x v="7"/>
    <x v="48"/>
    <x v="0"/>
    <x v="6"/>
    <n v="0"/>
  </r>
  <r>
    <x v="0"/>
    <x v="4"/>
    <x v="4"/>
    <x v="7"/>
    <x v="49"/>
    <x v="0"/>
    <x v="0"/>
    <n v="0"/>
  </r>
  <r>
    <x v="0"/>
    <x v="4"/>
    <x v="4"/>
    <x v="7"/>
    <x v="49"/>
    <x v="0"/>
    <x v="1"/>
    <n v="0"/>
  </r>
  <r>
    <x v="0"/>
    <x v="4"/>
    <x v="4"/>
    <x v="7"/>
    <x v="49"/>
    <x v="0"/>
    <x v="2"/>
    <n v="0"/>
  </r>
  <r>
    <x v="0"/>
    <x v="4"/>
    <x v="4"/>
    <x v="7"/>
    <x v="49"/>
    <x v="0"/>
    <x v="3"/>
    <n v="0"/>
  </r>
  <r>
    <x v="0"/>
    <x v="4"/>
    <x v="4"/>
    <x v="7"/>
    <x v="49"/>
    <x v="0"/>
    <x v="4"/>
    <n v="0"/>
  </r>
  <r>
    <x v="0"/>
    <x v="4"/>
    <x v="4"/>
    <x v="7"/>
    <x v="49"/>
    <x v="0"/>
    <x v="5"/>
    <n v="0"/>
  </r>
  <r>
    <x v="0"/>
    <x v="4"/>
    <x v="4"/>
    <x v="7"/>
    <x v="49"/>
    <x v="0"/>
    <x v="6"/>
    <n v="0"/>
  </r>
  <r>
    <x v="0"/>
    <x v="4"/>
    <x v="4"/>
    <x v="7"/>
    <x v="50"/>
    <x v="0"/>
    <x v="0"/>
    <n v="0"/>
  </r>
  <r>
    <x v="0"/>
    <x v="4"/>
    <x v="4"/>
    <x v="7"/>
    <x v="50"/>
    <x v="0"/>
    <x v="1"/>
    <n v="0"/>
  </r>
  <r>
    <x v="0"/>
    <x v="4"/>
    <x v="4"/>
    <x v="7"/>
    <x v="50"/>
    <x v="0"/>
    <x v="2"/>
    <n v="0"/>
  </r>
  <r>
    <x v="0"/>
    <x v="4"/>
    <x v="4"/>
    <x v="7"/>
    <x v="50"/>
    <x v="0"/>
    <x v="3"/>
    <n v="0"/>
  </r>
  <r>
    <x v="0"/>
    <x v="4"/>
    <x v="4"/>
    <x v="7"/>
    <x v="50"/>
    <x v="0"/>
    <x v="4"/>
    <n v="0"/>
  </r>
  <r>
    <x v="0"/>
    <x v="4"/>
    <x v="4"/>
    <x v="7"/>
    <x v="50"/>
    <x v="0"/>
    <x v="5"/>
    <n v="0"/>
  </r>
  <r>
    <x v="0"/>
    <x v="4"/>
    <x v="4"/>
    <x v="7"/>
    <x v="50"/>
    <x v="0"/>
    <x v="6"/>
    <n v="0"/>
  </r>
  <r>
    <x v="0"/>
    <x v="4"/>
    <x v="5"/>
    <x v="8"/>
    <x v="51"/>
    <x v="0"/>
    <x v="0"/>
    <n v="0"/>
  </r>
  <r>
    <x v="0"/>
    <x v="4"/>
    <x v="5"/>
    <x v="8"/>
    <x v="51"/>
    <x v="0"/>
    <x v="1"/>
    <n v="0"/>
  </r>
  <r>
    <x v="0"/>
    <x v="4"/>
    <x v="5"/>
    <x v="8"/>
    <x v="51"/>
    <x v="0"/>
    <x v="2"/>
    <n v="0"/>
  </r>
  <r>
    <x v="0"/>
    <x v="4"/>
    <x v="5"/>
    <x v="8"/>
    <x v="51"/>
    <x v="0"/>
    <x v="3"/>
    <n v="0"/>
  </r>
  <r>
    <x v="0"/>
    <x v="4"/>
    <x v="5"/>
    <x v="8"/>
    <x v="51"/>
    <x v="0"/>
    <x v="4"/>
    <n v="0"/>
  </r>
  <r>
    <x v="0"/>
    <x v="4"/>
    <x v="5"/>
    <x v="8"/>
    <x v="51"/>
    <x v="0"/>
    <x v="5"/>
    <n v="0"/>
  </r>
  <r>
    <x v="0"/>
    <x v="4"/>
    <x v="5"/>
    <x v="8"/>
    <x v="51"/>
    <x v="0"/>
    <x v="6"/>
    <n v="0"/>
  </r>
  <r>
    <x v="0"/>
    <x v="4"/>
    <x v="3"/>
    <x v="5"/>
    <x v="52"/>
    <x v="0"/>
    <x v="0"/>
    <n v="0"/>
  </r>
  <r>
    <x v="0"/>
    <x v="4"/>
    <x v="3"/>
    <x v="5"/>
    <x v="52"/>
    <x v="0"/>
    <x v="1"/>
    <n v="0"/>
  </r>
  <r>
    <x v="0"/>
    <x v="4"/>
    <x v="3"/>
    <x v="5"/>
    <x v="52"/>
    <x v="0"/>
    <x v="2"/>
    <n v="0"/>
  </r>
  <r>
    <x v="0"/>
    <x v="4"/>
    <x v="3"/>
    <x v="5"/>
    <x v="52"/>
    <x v="0"/>
    <x v="3"/>
    <n v="0"/>
  </r>
  <r>
    <x v="0"/>
    <x v="4"/>
    <x v="3"/>
    <x v="5"/>
    <x v="52"/>
    <x v="0"/>
    <x v="4"/>
    <n v="0"/>
  </r>
  <r>
    <x v="0"/>
    <x v="4"/>
    <x v="3"/>
    <x v="5"/>
    <x v="52"/>
    <x v="0"/>
    <x v="5"/>
    <n v="0"/>
  </r>
  <r>
    <x v="0"/>
    <x v="4"/>
    <x v="3"/>
    <x v="5"/>
    <x v="52"/>
    <x v="0"/>
    <x v="6"/>
    <n v="0"/>
  </r>
  <r>
    <x v="0"/>
    <x v="4"/>
    <x v="5"/>
    <x v="8"/>
    <x v="53"/>
    <x v="0"/>
    <x v="0"/>
    <n v="0"/>
  </r>
  <r>
    <x v="0"/>
    <x v="4"/>
    <x v="5"/>
    <x v="8"/>
    <x v="53"/>
    <x v="0"/>
    <x v="1"/>
    <n v="0"/>
  </r>
  <r>
    <x v="0"/>
    <x v="4"/>
    <x v="5"/>
    <x v="8"/>
    <x v="53"/>
    <x v="0"/>
    <x v="2"/>
    <n v="0"/>
  </r>
  <r>
    <x v="0"/>
    <x v="4"/>
    <x v="5"/>
    <x v="8"/>
    <x v="53"/>
    <x v="0"/>
    <x v="3"/>
    <n v="0"/>
  </r>
  <r>
    <x v="0"/>
    <x v="4"/>
    <x v="5"/>
    <x v="8"/>
    <x v="53"/>
    <x v="0"/>
    <x v="4"/>
    <n v="0"/>
  </r>
  <r>
    <x v="0"/>
    <x v="4"/>
    <x v="5"/>
    <x v="8"/>
    <x v="53"/>
    <x v="0"/>
    <x v="5"/>
    <n v="0"/>
  </r>
  <r>
    <x v="0"/>
    <x v="4"/>
    <x v="5"/>
    <x v="8"/>
    <x v="53"/>
    <x v="0"/>
    <x v="6"/>
    <n v="0"/>
  </r>
  <r>
    <x v="0"/>
    <x v="4"/>
    <x v="4"/>
    <x v="7"/>
    <x v="54"/>
    <x v="0"/>
    <x v="0"/>
    <n v="0"/>
  </r>
  <r>
    <x v="0"/>
    <x v="4"/>
    <x v="4"/>
    <x v="7"/>
    <x v="54"/>
    <x v="0"/>
    <x v="1"/>
    <n v="0"/>
  </r>
  <r>
    <x v="0"/>
    <x v="4"/>
    <x v="4"/>
    <x v="7"/>
    <x v="54"/>
    <x v="0"/>
    <x v="2"/>
    <n v="0"/>
  </r>
  <r>
    <x v="0"/>
    <x v="4"/>
    <x v="4"/>
    <x v="7"/>
    <x v="54"/>
    <x v="0"/>
    <x v="3"/>
    <n v="0"/>
  </r>
  <r>
    <x v="0"/>
    <x v="4"/>
    <x v="4"/>
    <x v="7"/>
    <x v="54"/>
    <x v="0"/>
    <x v="4"/>
    <n v="0"/>
  </r>
  <r>
    <x v="0"/>
    <x v="4"/>
    <x v="4"/>
    <x v="7"/>
    <x v="54"/>
    <x v="0"/>
    <x v="5"/>
    <n v="0"/>
  </r>
  <r>
    <x v="0"/>
    <x v="4"/>
    <x v="4"/>
    <x v="7"/>
    <x v="54"/>
    <x v="0"/>
    <x v="6"/>
    <n v="0"/>
  </r>
  <r>
    <x v="0"/>
    <x v="4"/>
    <x v="4"/>
    <x v="7"/>
    <x v="55"/>
    <x v="0"/>
    <x v="0"/>
    <n v="0"/>
  </r>
  <r>
    <x v="0"/>
    <x v="4"/>
    <x v="4"/>
    <x v="7"/>
    <x v="55"/>
    <x v="0"/>
    <x v="1"/>
    <n v="0"/>
  </r>
  <r>
    <x v="0"/>
    <x v="4"/>
    <x v="4"/>
    <x v="7"/>
    <x v="55"/>
    <x v="0"/>
    <x v="2"/>
    <n v="0"/>
  </r>
  <r>
    <x v="0"/>
    <x v="4"/>
    <x v="4"/>
    <x v="7"/>
    <x v="55"/>
    <x v="0"/>
    <x v="3"/>
    <n v="0"/>
  </r>
  <r>
    <x v="0"/>
    <x v="4"/>
    <x v="4"/>
    <x v="7"/>
    <x v="55"/>
    <x v="0"/>
    <x v="4"/>
    <n v="0"/>
  </r>
  <r>
    <x v="0"/>
    <x v="4"/>
    <x v="4"/>
    <x v="7"/>
    <x v="55"/>
    <x v="0"/>
    <x v="5"/>
    <n v="0"/>
  </r>
  <r>
    <x v="0"/>
    <x v="4"/>
    <x v="4"/>
    <x v="7"/>
    <x v="55"/>
    <x v="0"/>
    <x v="6"/>
    <n v="0"/>
  </r>
  <r>
    <x v="0"/>
    <x v="4"/>
    <x v="4"/>
    <x v="7"/>
    <x v="56"/>
    <x v="0"/>
    <x v="0"/>
    <n v="0"/>
  </r>
  <r>
    <x v="0"/>
    <x v="4"/>
    <x v="4"/>
    <x v="7"/>
    <x v="56"/>
    <x v="0"/>
    <x v="1"/>
    <n v="0"/>
  </r>
  <r>
    <x v="0"/>
    <x v="4"/>
    <x v="4"/>
    <x v="7"/>
    <x v="56"/>
    <x v="0"/>
    <x v="2"/>
    <n v="0"/>
  </r>
  <r>
    <x v="0"/>
    <x v="4"/>
    <x v="4"/>
    <x v="7"/>
    <x v="56"/>
    <x v="0"/>
    <x v="3"/>
    <n v="0"/>
  </r>
  <r>
    <x v="0"/>
    <x v="4"/>
    <x v="4"/>
    <x v="7"/>
    <x v="56"/>
    <x v="0"/>
    <x v="4"/>
    <n v="0"/>
  </r>
  <r>
    <x v="0"/>
    <x v="4"/>
    <x v="4"/>
    <x v="7"/>
    <x v="56"/>
    <x v="0"/>
    <x v="5"/>
    <n v="0"/>
  </r>
  <r>
    <x v="0"/>
    <x v="4"/>
    <x v="4"/>
    <x v="7"/>
    <x v="56"/>
    <x v="0"/>
    <x v="6"/>
    <n v="0"/>
  </r>
  <r>
    <x v="0"/>
    <x v="4"/>
    <x v="4"/>
    <x v="7"/>
    <x v="57"/>
    <x v="0"/>
    <x v="0"/>
    <n v="0"/>
  </r>
  <r>
    <x v="0"/>
    <x v="4"/>
    <x v="4"/>
    <x v="7"/>
    <x v="57"/>
    <x v="0"/>
    <x v="1"/>
    <n v="0"/>
  </r>
  <r>
    <x v="0"/>
    <x v="4"/>
    <x v="4"/>
    <x v="7"/>
    <x v="57"/>
    <x v="0"/>
    <x v="2"/>
    <n v="0"/>
  </r>
  <r>
    <x v="0"/>
    <x v="4"/>
    <x v="4"/>
    <x v="7"/>
    <x v="57"/>
    <x v="0"/>
    <x v="3"/>
    <n v="0"/>
  </r>
  <r>
    <x v="0"/>
    <x v="4"/>
    <x v="4"/>
    <x v="7"/>
    <x v="57"/>
    <x v="0"/>
    <x v="4"/>
    <n v="0"/>
  </r>
  <r>
    <x v="0"/>
    <x v="4"/>
    <x v="4"/>
    <x v="7"/>
    <x v="57"/>
    <x v="0"/>
    <x v="5"/>
    <n v="0"/>
  </r>
  <r>
    <x v="0"/>
    <x v="4"/>
    <x v="4"/>
    <x v="7"/>
    <x v="57"/>
    <x v="0"/>
    <x v="6"/>
    <n v="0"/>
  </r>
  <r>
    <x v="0"/>
    <x v="4"/>
    <x v="4"/>
    <x v="7"/>
    <x v="58"/>
    <x v="0"/>
    <x v="0"/>
    <n v="0"/>
  </r>
  <r>
    <x v="0"/>
    <x v="4"/>
    <x v="4"/>
    <x v="7"/>
    <x v="58"/>
    <x v="0"/>
    <x v="1"/>
    <n v="0"/>
  </r>
  <r>
    <x v="0"/>
    <x v="4"/>
    <x v="4"/>
    <x v="7"/>
    <x v="58"/>
    <x v="0"/>
    <x v="2"/>
    <n v="0"/>
  </r>
  <r>
    <x v="0"/>
    <x v="4"/>
    <x v="4"/>
    <x v="7"/>
    <x v="58"/>
    <x v="0"/>
    <x v="3"/>
    <n v="0"/>
  </r>
  <r>
    <x v="0"/>
    <x v="4"/>
    <x v="4"/>
    <x v="7"/>
    <x v="58"/>
    <x v="0"/>
    <x v="4"/>
    <n v="0"/>
  </r>
  <r>
    <x v="0"/>
    <x v="4"/>
    <x v="4"/>
    <x v="7"/>
    <x v="58"/>
    <x v="0"/>
    <x v="5"/>
    <n v="0"/>
  </r>
  <r>
    <x v="0"/>
    <x v="4"/>
    <x v="4"/>
    <x v="7"/>
    <x v="58"/>
    <x v="0"/>
    <x v="6"/>
    <n v="0"/>
  </r>
  <r>
    <x v="0"/>
    <x v="4"/>
    <x v="4"/>
    <x v="7"/>
    <x v="59"/>
    <x v="0"/>
    <x v="0"/>
    <n v="0"/>
  </r>
  <r>
    <x v="0"/>
    <x v="4"/>
    <x v="4"/>
    <x v="7"/>
    <x v="59"/>
    <x v="0"/>
    <x v="1"/>
    <n v="0"/>
  </r>
  <r>
    <x v="0"/>
    <x v="4"/>
    <x v="4"/>
    <x v="7"/>
    <x v="59"/>
    <x v="0"/>
    <x v="2"/>
    <n v="0"/>
  </r>
  <r>
    <x v="0"/>
    <x v="4"/>
    <x v="4"/>
    <x v="7"/>
    <x v="59"/>
    <x v="0"/>
    <x v="3"/>
    <n v="0"/>
  </r>
  <r>
    <x v="0"/>
    <x v="4"/>
    <x v="4"/>
    <x v="7"/>
    <x v="59"/>
    <x v="0"/>
    <x v="4"/>
    <n v="0"/>
  </r>
  <r>
    <x v="0"/>
    <x v="4"/>
    <x v="4"/>
    <x v="7"/>
    <x v="59"/>
    <x v="0"/>
    <x v="5"/>
    <n v="0"/>
  </r>
  <r>
    <x v="0"/>
    <x v="4"/>
    <x v="4"/>
    <x v="7"/>
    <x v="59"/>
    <x v="0"/>
    <x v="6"/>
    <n v="0"/>
  </r>
  <r>
    <x v="0"/>
    <x v="4"/>
    <x v="4"/>
    <x v="7"/>
    <x v="60"/>
    <x v="0"/>
    <x v="0"/>
    <n v="0"/>
  </r>
  <r>
    <x v="0"/>
    <x v="4"/>
    <x v="4"/>
    <x v="7"/>
    <x v="60"/>
    <x v="0"/>
    <x v="1"/>
    <n v="0"/>
  </r>
  <r>
    <x v="0"/>
    <x v="4"/>
    <x v="4"/>
    <x v="7"/>
    <x v="60"/>
    <x v="0"/>
    <x v="2"/>
    <n v="0"/>
  </r>
  <r>
    <x v="0"/>
    <x v="4"/>
    <x v="4"/>
    <x v="7"/>
    <x v="60"/>
    <x v="0"/>
    <x v="3"/>
    <n v="0"/>
  </r>
  <r>
    <x v="0"/>
    <x v="4"/>
    <x v="4"/>
    <x v="7"/>
    <x v="60"/>
    <x v="0"/>
    <x v="4"/>
    <n v="0"/>
  </r>
  <r>
    <x v="0"/>
    <x v="4"/>
    <x v="4"/>
    <x v="7"/>
    <x v="60"/>
    <x v="0"/>
    <x v="5"/>
    <n v="0"/>
  </r>
  <r>
    <x v="0"/>
    <x v="4"/>
    <x v="4"/>
    <x v="7"/>
    <x v="60"/>
    <x v="0"/>
    <x v="6"/>
    <n v="0"/>
  </r>
  <r>
    <x v="0"/>
    <x v="4"/>
    <x v="4"/>
    <x v="7"/>
    <x v="61"/>
    <x v="0"/>
    <x v="0"/>
    <n v="0"/>
  </r>
  <r>
    <x v="0"/>
    <x v="4"/>
    <x v="4"/>
    <x v="7"/>
    <x v="61"/>
    <x v="0"/>
    <x v="1"/>
    <n v="0"/>
  </r>
  <r>
    <x v="0"/>
    <x v="4"/>
    <x v="4"/>
    <x v="7"/>
    <x v="61"/>
    <x v="0"/>
    <x v="2"/>
    <n v="0"/>
  </r>
  <r>
    <x v="0"/>
    <x v="4"/>
    <x v="4"/>
    <x v="7"/>
    <x v="61"/>
    <x v="0"/>
    <x v="3"/>
    <n v="0"/>
  </r>
  <r>
    <x v="0"/>
    <x v="4"/>
    <x v="4"/>
    <x v="7"/>
    <x v="61"/>
    <x v="0"/>
    <x v="4"/>
    <n v="0"/>
  </r>
  <r>
    <x v="0"/>
    <x v="4"/>
    <x v="4"/>
    <x v="7"/>
    <x v="61"/>
    <x v="0"/>
    <x v="5"/>
    <n v="0"/>
  </r>
  <r>
    <x v="0"/>
    <x v="4"/>
    <x v="4"/>
    <x v="7"/>
    <x v="61"/>
    <x v="0"/>
    <x v="6"/>
    <n v="0"/>
  </r>
  <r>
    <x v="0"/>
    <x v="4"/>
    <x v="4"/>
    <x v="7"/>
    <x v="62"/>
    <x v="0"/>
    <x v="0"/>
    <n v="0"/>
  </r>
  <r>
    <x v="0"/>
    <x v="4"/>
    <x v="4"/>
    <x v="7"/>
    <x v="62"/>
    <x v="0"/>
    <x v="1"/>
    <n v="0"/>
  </r>
  <r>
    <x v="0"/>
    <x v="4"/>
    <x v="4"/>
    <x v="7"/>
    <x v="62"/>
    <x v="0"/>
    <x v="2"/>
    <n v="0"/>
  </r>
  <r>
    <x v="0"/>
    <x v="4"/>
    <x v="4"/>
    <x v="7"/>
    <x v="62"/>
    <x v="0"/>
    <x v="3"/>
    <n v="0"/>
  </r>
  <r>
    <x v="0"/>
    <x v="4"/>
    <x v="4"/>
    <x v="7"/>
    <x v="62"/>
    <x v="0"/>
    <x v="4"/>
    <n v="0"/>
  </r>
  <r>
    <x v="0"/>
    <x v="4"/>
    <x v="4"/>
    <x v="7"/>
    <x v="62"/>
    <x v="0"/>
    <x v="5"/>
    <n v="0"/>
  </r>
  <r>
    <x v="0"/>
    <x v="4"/>
    <x v="4"/>
    <x v="7"/>
    <x v="62"/>
    <x v="0"/>
    <x v="6"/>
    <n v="0"/>
  </r>
  <r>
    <x v="0"/>
    <x v="4"/>
    <x v="4"/>
    <x v="7"/>
    <x v="63"/>
    <x v="0"/>
    <x v="0"/>
    <n v="0"/>
  </r>
  <r>
    <x v="0"/>
    <x v="4"/>
    <x v="4"/>
    <x v="7"/>
    <x v="63"/>
    <x v="0"/>
    <x v="1"/>
    <n v="0"/>
  </r>
  <r>
    <x v="0"/>
    <x v="4"/>
    <x v="4"/>
    <x v="7"/>
    <x v="63"/>
    <x v="0"/>
    <x v="2"/>
    <n v="0"/>
  </r>
  <r>
    <x v="0"/>
    <x v="4"/>
    <x v="4"/>
    <x v="7"/>
    <x v="63"/>
    <x v="0"/>
    <x v="3"/>
    <n v="0"/>
  </r>
  <r>
    <x v="0"/>
    <x v="4"/>
    <x v="4"/>
    <x v="7"/>
    <x v="63"/>
    <x v="0"/>
    <x v="4"/>
    <n v="0"/>
  </r>
  <r>
    <x v="0"/>
    <x v="4"/>
    <x v="4"/>
    <x v="7"/>
    <x v="63"/>
    <x v="0"/>
    <x v="5"/>
    <n v="0"/>
  </r>
  <r>
    <x v="0"/>
    <x v="4"/>
    <x v="4"/>
    <x v="7"/>
    <x v="63"/>
    <x v="0"/>
    <x v="6"/>
    <n v="0"/>
  </r>
  <r>
    <x v="0"/>
    <x v="4"/>
    <x v="4"/>
    <x v="7"/>
    <x v="64"/>
    <x v="0"/>
    <x v="0"/>
    <n v="0"/>
  </r>
  <r>
    <x v="0"/>
    <x v="4"/>
    <x v="4"/>
    <x v="7"/>
    <x v="64"/>
    <x v="0"/>
    <x v="1"/>
    <n v="0"/>
  </r>
  <r>
    <x v="0"/>
    <x v="4"/>
    <x v="4"/>
    <x v="7"/>
    <x v="64"/>
    <x v="0"/>
    <x v="2"/>
    <n v="0"/>
  </r>
  <r>
    <x v="0"/>
    <x v="4"/>
    <x v="4"/>
    <x v="7"/>
    <x v="64"/>
    <x v="0"/>
    <x v="3"/>
    <n v="0"/>
  </r>
  <r>
    <x v="0"/>
    <x v="4"/>
    <x v="4"/>
    <x v="7"/>
    <x v="64"/>
    <x v="0"/>
    <x v="4"/>
    <n v="0"/>
  </r>
  <r>
    <x v="0"/>
    <x v="4"/>
    <x v="4"/>
    <x v="7"/>
    <x v="64"/>
    <x v="0"/>
    <x v="5"/>
    <n v="0"/>
  </r>
  <r>
    <x v="0"/>
    <x v="4"/>
    <x v="4"/>
    <x v="7"/>
    <x v="64"/>
    <x v="0"/>
    <x v="6"/>
    <n v="0"/>
  </r>
  <r>
    <x v="0"/>
    <x v="4"/>
    <x v="3"/>
    <x v="5"/>
    <x v="65"/>
    <x v="0"/>
    <x v="0"/>
    <n v="0"/>
  </r>
  <r>
    <x v="0"/>
    <x v="4"/>
    <x v="3"/>
    <x v="5"/>
    <x v="65"/>
    <x v="0"/>
    <x v="1"/>
    <n v="0"/>
  </r>
  <r>
    <x v="0"/>
    <x v="4"/>
    <x v="3"/>
    <x v="5"/>
    <x v="65"/>
    <x v="0"/>
    <x v="2"/>
    <n v="0"/>
  </r>
  <r>
    <x v="0"/>
    <x v="4"/>
    <x v="3"/>
    <x v="5"/>
    <x v="65"/>
    <x v="0"/>
    <x v="3"/>
    <n v="0"/>
  </r>
  <r>
    <x v="0"/>
    <x v="4"/>
    <x v="3"/>
    <x v="5"/>
    <x v="65"/>
    <x v="0"/>
    <x v="4"/>
    <n v="0"/>
  </r>
  <r>
    <x v="0"/>
    <x v="4"/>
    <x v="3"/>
    <x v="5"/>
    <x v="65"/>
    <x v="0"/>
    <x v="5"/>
    <n v="0"/>
  </r>
  <r>
    <x v="0"/>
    <x v="4"/>
    <x v="3"/>
    <x v="5"/>
    <x v="65"/>
    <x v="0"/>
    <x v="6"/>
    <n v="0"/>
  </r>
  <r>
    <x v="0"/>
    <x v="4"/>
    <x v="3"/>
    <x v="5"/>
    <x v="66"/>
    <x v="0"/>
    <x v="0"/>
    <n v="0"/>
  </r>
  <r>
    <x v="0"/>
    <x v="4"/>
    <x v="3"/>
    <x v="5"/>
    <x v="66"/>
    <x v="0"/>
    <x v="1"/>
    <n v="0"/>
  </r>
  <r>
    <x v="0"/>
    <x v="4"/>
    <x v="3"/>
    <x v="5"/>
    <x v="66"/>
    <x v="0"/>
    <x v="2"/>
    <n v="0"/>
  </r>
  <r>
    <x v="0"/>
    <x v="4"/>
    <x v="3"/>
    <x v="5"/>
    <x v="66"/>
    <x v="0"/>
    <x v="3"/>
    <n v="0"/>
  </r>
  <r>
    <x v="0"/>
    <x v="4"/>
    <x v="3"/>
    <x v="5"/>
    <x v="66"/>
    <x v="0"/>
    <x v="4"/>
    <n v="0"/>
  </r>
  <r>
    <x v="0"/>
    <x v="4"/>
    <x v="3"/>
    <x v="5"/>
    <x v="66"/>
    <x v="0"/>
    <x v="5"/>
    <n v="0"/>
  </r>
  <r>
    <x v="0"/>
    <x v="4"/>
    <x v="3"/>
    <x v="5"/>
    <x v="66"/>
    <x v="0"/>
    <x v="6"/>
    <n v="0"/>
  </r>
  <r>
    <x v="0"/>
    <x v="4"/>
    <x v="3"/>
    <x v="5"/>
    <x v="67"/>
    <x v="0"/>
    <x v="0"/>
    <n v="0"/>
  </r>
  <r>
    <x v="0"/>
    <x v="4"/>
    <x v="3"/>
    <x v="5"/>
    <x v="67"/>
    <x v="0"/>
    <x v="1"/>
    <n v="0"/>
  </r>
  <r>
    <x v="0"/>
    <x v="4"/>
    <x v="3"/>
    <x v="5"/>
    <x v="67"/>
    <x v="0"/>
    <x v="2"/>
    <n v="0"/>
  </r>
  <r>
    <x v="0"/>
    <x v="4"/>
    <x v="3"/>
    <x v="5"/>
    <x v="67"/>
    <x v="0"/>
    <x v="3"/>
    <n v="0"/>
  </r>
  <r>
    <x v="0"/>
    <x v="4"/>
    <x v="3"/>
    <x v="5"/>
    <x v="67"/>
    <x v="0"/>
    <x v="4"/>
    <n v="0"/>
  </r>
  <r>
    <x v="0"/>
    <x v="4"/>
    <x v="3"/>
    <x v="5"/>
    <x v="67"/>
    <x v="0"/>
    <x v="5"/>
    <n v="0"/>
  </r>
  <r>
    <x v="0"/>
    <x v="4"/>
    <x v="3"/>
    <x v="5"/>
    <x v="67"/>
    <x v="0"/>
    <x v="6"/>
    <n v="0"/>
  </r>
  <r>
    <x v="0"/>
    <x v="4"/>
    <x v="3"/>
    <x v="5"/>
    <x v="68"/>
    <x v="0"/>
    <x v="0"/>
    <n v="0"/>
  </r>
  <r>
    <x v="0"/>
    <x v="4"/>
    <x v="3"/>
    <x v="5"/>
    <x v="68"/>
    <x v="0"/>
    <x v="1"/>
    <n v="0"/>
  </r>
  <r>
    <x v="0"/>
    <x v="4"/>
    <x v="3"/>
    <x v="5"/>
    <x v="68"/>
    <x v="0"/>
    <x v="2"/>
    <n v="0"/>
  </r>
  <r>
    <x v="0"/>
    <x v="4"/>
    <x v="3"/>
    <x v="5"/>
    <x v="68"/>
    <x v="0"/>
    <x v="3"/>
    <n v="0"/>
  </r>
  <r>
    <x v="0"/>
    <x v="4"/>
    <x v="3"/>
    <x v="5"/>
    <x v="68"/>
    <x v="0"/>
    <x v="4"/>
    <n v="0"/>
  </r>
  <r>
    <x v="0"/>
    <x v="4"/>
    <x v="3"/>
    <x v="5"/>
    <x v="68"/>
    <x v="0"/>
    <x v="5"/>
    <n v="0"/>
  </r>
  <r>
    <x v="0"/>
    <x v="4"/>
    <x v="3"/>
    <x v="5"/>
    <x v="68"/>
    <x v="0"/>
    <x v="6"/>
    <n v="0"/>
  </r>
  <r>
    <x v="0"/>
    <x v="4"/>
    <x v="3"/>
    <x v="5"/>
    <x v="69"/>
    <x v="0"/>
    <x v="0"/>
    <n v="0"/>
  </r>
  <r>
    <x v="0"/>
    <x v="4"/>
    <x v="3"/>
    <x v="5"/>
    <x v="69"/>
    <x v="0"/>
    <x v="1"/>
    <n v="0"/>
  </r>
  <r>
    <x v="0"/>
    <x v="4"/>
    <x v="3"/>
    <x v="5"/>
    <x v="69"/>
    <x v="0"/>
    <x v="2"/>
    <n v="0"/>
  </r>
  <r>
    <x v="0"/>
    <x v="4"/>
    <x v="3"/>
    <x v="5"/>
    <x v="69"/>
    <x v="0"/>
    <x v="3"/>
    <n v="0"/>
  </r>
  <r>
    <x v="0"/>
    <x v="4"/>
    <x v="3"/>
    <x v="5"/>
    <x v="69"/>
    <x v="0"/>
    <x v="4"/>
    <n v="0"/>
  </r>
  <r>
    <x v="0"/>
    <x v="4"/>
    <x v="3"/>
    <x v="5"/>
    <x v="69"/>
    <x v="0"/>
    <x v="5"/>
    <n v="0"/>
  </r>
  <r>
    <x v="0"/>
    <x v="4"/>
    <x v="3"/>
    <x v="5"/>
    <x v="69"/>
    <x v="0"/>
    <x v="6"/>
    <n v="0"/>
  </r>
  <r>
    <x v="0"/>
    <x v="4"/>
    <x v="3"/>
    <x v="5"/>
    <x v="70"/>
    <x v="0"/>
    <x v="0"/>
    <n v="0"/>
  </r>
  <r>
    <x v="0"/>
    <x v="4"/>
    <x v="3"/>
    <x v="5"/>
    <x v="70"/>
    <x v="0"/>
    <x v="1"/>
    <n v="0"/>
  </r>
  <r>
    <x v="0"/>
    <x v="4"/>
    <x v="3"/>
    <x v="5"/>
    <x v="70"/>
    <x v="0"/>
    <x v="2"/>
    <n v="0"/>
  </r>
  <r>
    <x v="0"/>
    <x v="4"/>
    <x v="3"/>
    <x v="5"/>
    <x v="70"/>
    <x v="0"/>
    <x v="3"/>
    <n v="0"/>
  </r>
  <r>
    <x v="0"/>
    <x v="4"/>
    <x v="3"/>
    <x v="5"/>
    <x v="70"/>
    <x v="0"/>
    <x v="4"/>
    <n v="0"/>
  </r>
  <r>
    <x v="0"/>
    <x v="4"/>
    <x v="3"/>
    <x v="5"/>
    <x v="70"/>
    <x v="0"/>
    <x v="5"/>
    <n v="0"/>
  </r>
  <r>
    <x v="0"/>
    <x v="4"/>
    <x v="3"/>
    <x v="5"/>
    <x v="70"/>
    <x v="0"/>
    <x v="6"/>
    <n v="0"/>
  </r>
  <r>
    <x v="0"/>
    <x v="4"/>
    <x v="3"/>
    <x v="5"/>
    <x v="71"/>
    <x v="0"/>
    <x v="0"/>
    <n v="0"/>
  </r>
  <r>
    <x v="0"/>
    <x v="4"/>
    <x v="3"/>
    <x v="5"/>
    <x v="71"/>
    <x v="0"/>
    <x v="1"/>
    <n v="0"/>
  </r>
  <r>
    <x v="0"/>
    <x v="4"/>
    <x v="3"/>
    <x v="5"/>
    <x v="71"/>
    <x v="0"/>
    <x v="2"/>
    <n v="0"/>
  </r>
  <r>
    <x v="0"/>
    <x v="4"/>
    <x v="3"/>
    <x v="5"/>
    <x v="71"/>
    <x v="0"/>
    <x v="3"/>
    <n v="0"/>
  </r>
  <r>
    <x v="0"/>
    <x v="4"/>
    <x v="3"/>
    <x v="5"/>
    <x v="71"/>
    <x v="0"/>
    <x v="4"/>
    <n v="0"/>
  </r>
  <r>
    <x v="0"/>
    <x v="4"/>
    <x v="3"/>
    <x v="5"/>
    <x v="71"/>
    <x v="0"/>
    <x v="5"/>
    <n v="0"/>
  </r>
  <r>
    <x v="0"/>
    <x v="4"/>
    <x v="3"/>
    <x v="5"/>
    <x v="71"/>
    <x v="0"/>
    <x v="6"/>
    <n v="0"/>
  </r>
  <r>
    <x v="0"/>
    <x v="4"/>
    <x v="3"/>
    <x v="5"/>
    <x v="72"/>
    <x v="0"/>
    <x v="0"/>
    <n v="0"/>
  </r>
  <r>
    <x v="0"/>
    <x v="4"/>
    <x v="3"/>
    <x v="5"/>
    <x v="72"/>
    <x v="0"/>
    <x v="1"/>
    <n v="0"/>
  </r>
  <r>
    <x v="0"/>
    <x v="4"/>
    <x v="3"/>
    <x v="5"/>
    <x v="72"/>
    <x v="0"/>
    <x v="2"/>
    <n v="0"/>
  </r>
  <r>
    <x v="0"/>
    <x v="4"/>
    <x v="3"/>
    <x v="5"/>
    <x v="72"/>
    <x v="0"/>
    <x v="3"/>
    <n v="0"/>
  </r>
  <r>
    <x v="0"/>
    <x v="4"/>
    <x v="3"/>
    <x v="5"/>
    <x v="72"/>
    <x v="0"/>
    <x v="4"/>
    <n v="0"/>
  </r>
  <r>
    <x v="0"/>
    <x v="4"/>
    <x v="3"/>
    <x v="5"/>
    <x v="72"/>
    <x v="0"/>
    <x v="5"/>
    <n v="0"/>
  </r>
  <r>
    <x v="0"/>
    <x v="4"/>
    <x v="3"/>
    <x v="5"/>
    <x v="72"/>
    <x v="0"/>
    <x v="6"/>
    <n v="0"/>
  </r>
  <r>
    <x v="0"/>
    <x v="4"/>
    <x v="3"/>
    <x v="5"/>
    <x v="73"/>
    <x v="0"/>
    <x v="0"/>
    <n v="0"/>
  </r>
  <r>
    <x v="0"/>
    <x v="4"/>
    <x v="3"/>
    <x v="5"/>
    <x v="73"/>
    <x v="0"/>
    <x v="1"/>
    <n v="0"/>
  </r>
  <r>
    <x v="0"/>
    <x v="4"/>
    <x v="3"/>
    <x v="5"/>
    <x v="73"/>
    <x v="0"/>
    <x v="2"/>
    <n v="0"/>
  </r>
  <r>
    <x v="0"/>
    <x v="4"/>
    <x v="3"/>
    <x v="5"/>
    <x v="73"/>
    <x v="0"/>
    <x v="3"/>
    <n v="0"/>
  </r>
  <r>
    <x v="0"/>
    <x v="4"/>
    <x v="3"/>
    <x v="5"/>
    <x v="73"/>
    <x v="0"/>
    <x v="4"/>
    <n v="0"/>
  </r>
  <r>
    <x v="0"/>
    <x v="4"/>
    <x v="3"/>
    <x v="5"/>
    <x v="73"/>
    <x v="0"/>
    <x v="5"/>
    <n v="0"/>
  </r>
  <r>
    <x v="0"/>
    <x v="4"/>
    <x v="3"/>
    <x v="5"/>
    <x v="73"/>
    <x v="0"/>
    <x v="6"/>
    <n v="0"/>
  </r>
  <r>
    <x v="0"/>
    <x v="4"/>
    <x v="5"/>
    <x v="8"/>
    <x v="74"/>
    <x v="0"/>
    <x v="0"/>
    <n v="0"/>
  </r>
  <r>
    <x v="0"/>
    <x v="4"/>
    <x v="5"/>
    <x v="8"/>
    <x v="74"/>
    <x v="0"/>
    <x v="1"/>
    <n v="0"/>
  </r>
  <r>
    <x v="0"/>
    <x v="4"/>
    <x v="5"/>
    <x v="8"/>
    <x v="74"/>
    <x v="0"/>
    <x v="2"/>
    <n v="0"/>
  </r>
  <r>
    <x v="0"/>
    <x v="4"/>
    <x v="5"/>
    <x v="8"/>
    <x v="74"/>
    <x v="0"/>
    <x v="3"/>
    <n v="0"/>
  </r>
  <r>
    <x v="0"/>
    <x v="4"/>
    <x v="5"/>
    <x v="8"/>
    <x v="74"/>
    <x v="0"/>
    <x v="4"/>
    <n v="0"/>
  </r>
  <r>
    <x v="0"/>
    <x v="4"/>
    <x v="5"/>
    <x v="8"/>
    <x v="74"/>
    <x v="0"/>
    <x v="5"/>
    <n v="0"/>
  </r>
  <r>
    <x v="0"/>
    <x v="4"/>
    <x v="5"/>
    <x v="8"/>
    <x v="74"/>
    <x v="0"/>
    <x v="6"/>
    <n v="0"/>
  </r>
  <r>
    <x v="0"/>
    <x v="4"/>
    <x v="5"/>
    <x v="8"/>
    <x v="75"/>
    <x v="0"/>
    <x v="0"/>
    <n v="0"/>
  </r>
  <r>
    <x v="0"/>
    <x v="4"/>
    <x v="5"/>
    <x v="8"/>
    <x v="75"/>
    <x v="0"/>
    <x v="1"/>
    <n v="0"/>
  </r>
  <r>
    <x v="0"/>
    <x v="4"/>
    <x v="5"/>
    <x v="8"/>
    <x v="75"/>
    <x v="0"/>
    <x v="2"/>
    <n v="0"/>
  </r>
  <r>
    <x v="0"/>
    <x v="4"/>
    <x v="5"/>
    <x v="8"/>
    <x v="75"/>
    <x v="0"/>
    <x v="3"/>
    <n v="0"/>
  </r>
  <r>
    <x v="0"/>
    <x v="4"/>
    <x v="5"/>
    <x v="8"/>
    <x v="75"/>
    <x v="0"/>
    <x v="4"/>
    <n v="0"/>
  </r>
  <r>
    <x v="0"/>
    <x v="4"/>
    <x v="5"/>
    <x v="8"/>
    <x v="75"/>
    <x v="0"/>
    <x v="5"/>
    <n v="0"/>
  </r>
  <r>
    <x v="0"/>
    <x v="4"/>
    <x v="5"/>
    <x v="8"/>
    <x v="75"/>
    <x v="0"/>
    <x v="6"/>
    <n v="0"/>
  </r>
  <r>
    <x v="0"/>
    <x v="4"/>
    <x v="5"/>
    <x v="8"/>
    <x v="76"/>
    <x v="0"/>
    <x v="0"/>
    <n v="0"/>
  </r>
  <r>
    <x v="0"/>
    <x v="4"/>
    <x v="5"/>
    <x v="8"/>
    <x v="76"/>
    <x v="0"/>
    <x v="1"/>
    <n v="0"/>
  </r>
  <r>
    <x v="0"/>
    <x v="4"/>
    <x v="5"/>
    <x v="8"/>
    <x v="76"/>
    <x v="0"/>
    <x v="2"/>
    <n v="0"/>
  </r>
  <r>
    <x v="0"/>
    <x v="4"/>
    <x v="5"/>
    <x v="8"/>
    <x v="76"/>
    <x v="0"/>
    <x v="3"/>
    <n v="0"/>
  </r>
  <r>
    <x v="0"/>
    <x v="4"/>
    <x v="5"/>
    <x v="8"/>
    <x v="76"/>
    <x v="0"/>
    <x v="4"/>
    <n v="0"/>
  </r>
  <r>
    <x v="0"/>
    <x v="4"/>
    <x v="5"/>
    <x v="8"/>
    <x v="76"/>
    <x v="0"/>
    <x v="5"/>
    <n v="0"/>
  </r>
  <r>
    <x v="0"/>
    <x v="4"/>
    <x v="5"/>
    <x v="8"/>
    <x v="76"/>
    <x v="0"/>
    <x v="6"/>
    <n v="0"/>
  </r>
  <r>
    <x v="0"/>
    <x v="4"/>
    <x v="5"/>
    <x v="8"/>
    <x v="77"/>
    <x v="0"/>
    <x v="0"/>
    <n v="0"/>
  </r>
  <r>
    <x v="0"/>
    <x v="4"/>
    <x v="5"/>
    <x v="8"/>
    <x v="77"/>
    <x v="0"/>
    <x v="1"/>
    <n v="0"/>
  </r>
  <r>
    <x v="0"/>
    <x v="4"/>
    <x v="5"/>
    <x v="8"/>
    <x v="77"/>
    <x v="0"/>
    <x v="2"/>
    <n v="0"/>
  </r>
  <r>
    <x v="0"/>
    <x v="4"/>
    <x v="5"/>
    <x v="8"/>
    <x v="77"/>
    <x v="0"/>
    <x v="3"/>
    <n v="0"/>
  </r>
  <r>
    <x v="0"/>
    <x v="4"/>
    <x v="5"/>
    <x v="8"/>
    <x v="77"/>
    <x v="0"/>
    <x v="4"/>
    <n v="0"/>
  </r>
  <r>
    <x v="0"/>
    <x v="4"/>
    <x v="5"/>
    <x v="8"/>
    <x v="77"/>
    <x v="0"/>
    <x v="5"/>
    <n v="0"/>
  </r>
  <r>
    <x v="0"/>
    <x v="4"/>
    <x v="5"/>
    <x v="8"/>
    <x v="77"/>
    <x v="0"/>
    <x v="6"/>
    <n v="0"/>
  </r>
  <r>
    <x v="0"/>
    <x v="4"/>
    <x v="5"/>
    <x v="8"/>
    <x v="78"/>
    <x v="0"/>
    <x v="0"/>
    <n v="0"/>
  </r>
  <r>
    <x v="0"/>
    <x v="4"/>
    <x v="5"/>
    <x v="8"/>
    <x v="78"/>
    <x v="0"/>
    <x v="1"/>
    <n v="0"/>
  </r>
  <r>
    <x v="0"/>
    <x v="4"/>
    <x v="5"/>
    <x v="8"/>
    <x v="78"/>
    <x v="0"/>
    <x v="2"/>
    <n v="0"/>
  </r>
  <r>
    <x v="0"/>
    <x v="4"/>
    <x v="5"/>
    <x v="8"/>
    <x v="78"/>
    <x v="0"/>
    <x v="3"/>
    <n v="0"/>
  </r>
  <r>
    <x v="0"/>
    <x v="4"/>
    <x v="5"/>
    <x v="8"/>
    <x v="78"/>
    <x v="0"/>
    <x v="4"/>
    <n v="0"/>
  </r>
  <r>
    <x v="0"/>
    <x v="4"/>
    <x v="5"/>
    <x v="8"/>
    <x v="78"/>
    <x v="0"/>
    <x v="5"/>
    <n v="0"/>
  </r>
  <r>
    <x v="0"/>
    <x v="4"/>
    <x v="5"/>
    <x v="8"/>
    <x v="78"/>
    <x v="0"/>
    <x v="6"/>
    <n v="0"/>
  </r>
  <r>
    <x v="0"/>
    <x v="4"/>
    <x v="5"/>
    <x v="8"/>
    <x v="79"/>
    <x v="0"/>
    <x v="0"/>
    <n v="0"/>
  </r>
  <r>
    <x v="0"/>
    <x v="4"/>
    <x v="5"/>
    <x v="8"/>
    <x v="79"/>
    <x v="0"/>
    <x v="1"/>
    <n v="0"/>
  </r>
  <r>
    <x v="0"/>
    <x v="4"/>
    <x v="5"/>
    <x v="8"/>
    <x v="79"/>
    <x v="0"/>
    <x v="2"/>
    <n v="0"/>
  </r>
  <r>
    <x v="0"/>
    <x v="4"/>
    <x v="5"/>
    <x v="8"/>
    <x v="79"/>
    <x v="0"/>
    <x v="3"/>
    <n v="0"/>
  </r>
  <r>
    <x v="0"/>
    <x v="4"/>
    <x v="5"/>
    <x v="8"/>
    <x v="79"/>
    <x v="0"/>
    <x v="4"/>
    <n v="0"/>
  </r>
  <r>
    <x v="0"/>
    <x v="4"/>
    <x v="5"/>
    <x v="8"/>
    <x v="79"/>
    <x v="0"/>
    <x v="5"/>
    <n v="0"/>
  </r>
  <r>
    <x v="0"/>
    <x v="4"/>
    <x v="5"/>
    <x v="8"/>
    <x v="79"/>
    <x v="0"/>
    <x v="6"/>
    <n v="0"/>
  </r>
  <r>
    <x v="0"/>
    <x v="4"/>
    <x v="5"/>
    <x v="8"/>
    <x v="80"/>
    <x v="0"/>
    <x v="0"/>
    <n v="0"/>
  </r>
  <r>
    <x v="0"/>
    <x v="4"/>
    <x v="5"/>
    <x v="8"/>
    <x v="80"/>
    <x v="0"/>
    <x v="1"/>
    <n v="0"/>
  </r>
  <r>
    <x v="0"/>
    <x v="4"/>
    <x v="5"/>
    <x v="8"/>
    <x v="80"/>
    <x v="0"/>
    <x v="2"/>
    <n v="0"/>
  </r>
  <r>
    <x v="0"/>
    <x v="4"/>
    <x v="5"/>
    <x v="8"/>
    <x v="80"/>
    <x v="0"/>
    <x v="3"/>
    <n v="0"/>
  </r>
  <r>
    <x v="0"/>
    <x v="4"/>
    <x v="5"/>
    <x v="8"/>
    <x v="80"/>
    <x v="0"/>
    <x v="4"/>
    <n v="0"/>
  </r>
  <r>
    <x v="0"/>
    <x v="4"/>
    <x v="5"/>
    <x v="8"/>
    <x v="80"/>
    <x v="0"/>
    <x v="5"/>
    <n v="0"/>
  </r>
  <r>
    <x v="0"/>
    <x v="4"/>
    <x v="5"/>
    <x v="8"/>
    <x v="80"/>
    <x v="0"/>
    <x v="6"/>
    <n v="0"/>
  </r>
  <r>
    <x v="0"/>
    <x v="4"/>
    <x v="5"/>
    <x v="8"/>
    <x v="81"/>
    <x v="0"/>
    <x v="0"/>
    <n v="0"/>
  </r>
  <r>
    <x v="0"/>
    <x v="4"/>
    <x v="5"/>
    <x v="8"/>
    <x v="81"/>
    <x v="0"/>
    <x v="1"/>
    <n v="0"/>
  </r>
  <r>
    <x v="0"/>
    <x v="4"/>
    <x v="5"/>
    <x v="8"/>
    <x v="81"/>
    <x v="0"/>
    <x v="2"/>
    <n v="0"/>
  </r>
  <r>
    <x v="0"/>
    <x v="4"/>
    <x v="5"/>
    <x v="8"/>
    <x v="81"/>
    <x v="0"/>
    <x v="3"/>
    <n v="0"/>
  </r>
  <r>
    <x v="0"/>
    <x v="4"/>
    <x v="5"/>
    <x v="8"/>
    <x v="81"/>
    <x v="0"/>
    <x v="4"/>
    <n v="0"/>
  </r>
  <r>
    <x v="0"/>
    <x v="4"/>
    <x v="5"/>
    <x v="8"/>
    <x v="81"/>
    <x v="0"/>
    <x v="5"/>
    <n v="0"/>
  </r>
  <r>
    <x v="0"/>
    <x v="4"/>
    <x v="5"/>
    <x v="8"/>
    <x v="81"/>
    <x v="0"/>
    <x v="6"/>
    <n v="0"/>
  </r>
  <r>
    <x v="0"/>
    <x v="4"/>
    <x v="5"/>
    <x v="8"/>
    <x v="82"/>
    <x v="0"/>
    <x v="0"/>
    <n v="0"/>
  </r>
  <r>
    <x v="0"/>
    <x v="4"/>
    <x v="5"/>
    <x v="8"/>
    <x v="82"/>
    <x v="0"/>
    <x v="1"/>
    <n v="0"/>
  </r>
  <r>
    <x v="0"/>
    <x v="4"/>
    <x v="5"/>
    <x v="8"/>
    <x v="82"/>
    <x v="0"/>
    <x v="2"/>
    <n v="0"/>
  </r>
  <r>
    <x v="0"/>
    <x v="4"/>
    <x v="5"/>
    <x v="8"/>
    <x v="82"/>
    <x v="0"/>
    <x v="3"/>
    <n v="0"/>
  </r>
  <r>
    <x v="0"/>
    <x v="4"/>
    <x v="5"/>
    <x v="8"/>
    <x v="82"/>
    <x v="0"/>
    <x v="4"/>
    <n v="0"/>
  </r>
  <r>
    <x v="0"/>
    <x v="4"/>
    <x v="5"/>
    <x v="8"/>
    <x v="82"/>
    <x v="0"/>
    <x v="5"/>
    <n v="0"/>
  </r>
  <r>
    <x v="0"/>
    <x v="4"/>
    <x v="5"/>
    <x v="8"/>
    <x v="82"/>
    <x v="0"/>
    <x v="6"/>
    <n v="0"/>
  </r>
  <r>
    <x v="0"/>
    <x v="4"/>
    <x v="5"/>
    <x v="8"/>
    <x v="83"/>
    <x v="0"/>
    <x v="0"/>
    <n v="0"/>
  </r>
  <r>
    <x v="0"/>
    <x v="4"/>
    <x v="5"/>
    <x v="8"/>
    <x v="83"/>
    <x v="0"/>
    <x v="1"/>
    <n v="0"/>
  </r>
  <r>
    <x v="0"/>
    <x v="4"/>
    <x v="5"/>
    <x v="8"/>
    <x v="83"/>
    <x v="0"/>
    <x v="2"/>
    <n v="0"/>
  </r>
  <r>
    <x v="0"/>
    <x v="4"/>
    <x v="5"/>
    <x v="8"/>
    <x v="83"/>
    <x v="0"/>
    <x v="3"/>
    <n v="0"/>
  </r>
  <r>
    <x v="0"/>
    <x v="4"/>
    <x v="5"/>
    <x v="8"/>
    <x v="83"/>
    <x v="0"/>
    <x v="4"/>
    <n v="0"/>
  </r>
  <r>
    <x v="0"/>
    <x v="4"/>
    <x v="5"/>
    <x v="8"/>
    <x v="83"/>
    <x v="0"/>
    <x v="5"/>
    <n v="0"/>
  </r>
  <r>
    <x v="0"/>
    <x v="4"/>
    <x v="5"/>
    <x v="8"/>
    <x v="83"/>
    <x v="0"/>
    <x v="6"/>
    <n v="0"/>
  </r>
  <r>
    <x v="0"/>
    <x v="5"/>
    <x v="0"/>
    <x v="0"/>
    <x v="0"/>
    <x v="0"/>
    <x v="0"/>
    <n v="0"/>
  </r>
  <r>
    <x v="0"/>
    <x v="5"/>
    <x v="0"/>
    <x v="0"/>
    <x v="0"/>
    <x v="0"/>
    <x v="1"/>
    <n v="0"/>
  </r>
  <r>
    <x v="0"/>
    <x v="5"/>
    <x v="0"/>
    <x v="0"/>
    <x v="0"/>
    <x v="0"/>
    <x v="2"/>
    <n v="0"/>
  </r>
  <r>
    <x v="0"/>
    <x v="5"/>
    <x v="0"/>
    <x v="0"/>
    <x v="0"/>
    <x v="0"/>
    <x v="3"/>
    <n v="0"/>
  </r>
  <r>
    <x v="0"/>
    <x v="5"/>
    <x v="0"/>
    <x v="0"/>
    <x v="0"/>
    <x v="0"/>
    <x v="4"/>
    <n v="0"/>
  </r>
  <r>
    <x v="0"/>
    <x v="5"/>
    <x v="0"/>
    <x v="0"/>
    <x v="0"/>
    <x v="0"/>
    <x v="5"/>
    <n v="0"/>
  </r>
  <r>
    <x v="0"/>
    <x v="5"/>
    <x v="0"/>
    <x v="0"/>
    <x v="0"/>
    <x v="0"/>
    <x v="6"/>
    <n v="0"/>
  </r>
  <r>
    <x v="0"/>
    <x v="5"/>
    <x v="0"/>
    <x v="1"/>
    <x v="1"/>
    <x v="0"/>
    <x v="0"/>
    <n v="0"/>
  </r>
  <r>
    <x v="0"/>
    <x v="5"/>
    <x v="0"/>
    <x v="1"/>
    <x v="1"/>
    <x v="0"/>
    <x v="1"/>
    <n v="0"/>
  </r>
  <r>
    <x v="0"/>
    <x v="5"/>
    <x v="0"/>
    <x v="1"/>
    <x v="1"/>
    <x v="0"/>
    <x v="2"/>
    <n v="0"/>
  </r>
  <r>
    <x v="0"/>
    <x v="5"/>
    <x v="0"/>
    <x v="1"/>
    <x v="1"/>
    <x v="0"/>
    <x v="3"/>
    <n v="0"/>
  </r>
  <r>
    <x v="0"/>
    <x v="5"/>
    <x v="0"/>
    <x v="1"/>
    <x v="1"/>
    <x v="0"/>
    <x v="4"/>
    <n v="0"/>
  </r>
  <r>
    <x v="0"/>
    <x v="5"/>
    <x v="0"/>
    <x v="1"/>
    <x v="1"/>
    <x v="0"/>
    <x v="5"/>
    <n v="0"/>
  </r>
  <r>
    <x v="0"/>
    <x v="5"/>
    <x v="0"/>
    <x v="1"/>
    <x v="1"/>
    <x v="0"/>
    <x v="6"/>
    <n v="0"/>
  </r>
  <r>
    <x v="0"/>
    <x v="5"/>
    <x v="0"/>
    <x v="1"/>
    <x v="2"/>
    <x v="0"/>
    <x v="0"/>
    <n v="0"/>
  </r>
  <r>
    <x v="0"/>
    <x v="5"/>
    <x v="0"/>
    <x v="1"/>
    <x v="2"/>
    <x v="0"/>
    <x v="1"/>
    <n v="0"/>
  </r>
  <r>
    <x v="0"/>
    <x v="5"/>
    <x v="0"/>
    <x v="1"/>
    <x v="2"/>
    <x v="0"/>
    <x v="2"/>
    <n v="0"/>
  </r>
  <r>
    <x v="0"/>
    <x v="5"/>
    <x v="0"/>
    <x v="1"/>
    <x v="2"/>
    <x v="0"/>
    <x v="3"/>
    <n v="0"/>
  </r>
  <r>
    <x v="0"/>
    <x v="5"/>
    <x v="0"/>
    <x v="1"/>
    <x v="2"/>
    <x v="0"/>
    <x v="4"/>
    <n v="0"/>
  </r>
  <r>
    <x v="0"/>
    <x v="5"/>
    <x v="0"/>
    <x v="1"/>
    <x v="2"/>
    <x v="0"/>
    <x v="5"/>
    <n v="0"/>
  </r>
  <r>
    <x v="0"/>
    <x v="5"/>
    <x v="0"/>
    <x v="1"/>
    <x v="2"/>
    <x v="0"/>
    <x v="6"/>
    <n v="0"/>
  </r>
  <r>
    <x v="0"/>
    <x v="5"/>
    <x v="0"/>
    <x v="1"/>
    <x v="3"/>
    <x v="0"/>
    <x v="0"/>
    <n v="0"/>
  </r>
  <r>
    <x v="0"/>
    <x v="5"/>
    <x v="0"/>
    <x v="1"/>
    <x v="3"/>
    <x v="0"/>
    <x v="1"/>
    <n v="0"/>
  </r>
  <r>
    <x v="0"/>
    <x v="5"/>
    <x v="0"/>
    <x v="1"/>
    <x v="3"/>
    <x v="0"/>
    <x v="2"/>
    <n v="0"/>
  </r>
  <r>
    <x v="0"/>
    <x v="5"/>
    <x v="0"/>
    <x v="1"/>
    <x v="3"/>
    <x v="0"/>
    <x v="3"/>
    <n v="0"/>
  </r>
  <r>
    <x v="0"/>
    <x v="5"/>
    <x v="0"/>
    <x v="1"/>
    <x v="3"/>
    <x v="0"/>
    <x v="4"/>
    <n v="0"/>
  </r>
  <r>
    <x v="0"/>
    <x v="5"/>
    <x v="0"/>
    <x v="1"/>
    <x v="3"/>
    <x v="0"/>
    <x v="5"/>
    <n v="0"/>
  </r>
  <r>
    <x v="0"/>
    <x v="5"/>
    <x v="0"/>
    <x v="1"/>
    <x v="3"/>
    <x v="0"/>
    <x v="6"/>
    <n v="0"/>
  </r>
  <r>
    <x v="0"/>
    <x v="5"/>
    <x v="0"/>
    <x v="1"/>
    <x v="4"/>
    <x v="0"/>
    <x v="0"/>
    <n v="0"/>
  </r>
  <r>
    <x v="0"/>
    <x v="5"/>
    <x v="0"/>
    <x v="1"/>
    <x v="4"/>
    <x v="0"/>
    <x v="1"/>
    <n v="0"/>
  </r>
  <r>
    <x v="0"/>
    <x v="5"/>
    <x v="0"/>
    <x v="1"/>
    <x v="4"/>
    <x v="0"/>
    <x v="2"/>
    <n v="0"/>
  </r>
  <r>
    <x v="0"/>
    <x v="5"/>
    <x v="0"/>
    <x v="1"/>
    <x v="4"/>
    <x v="0"/>
    <x v="3"/>
    <n v="0"/>
  </r>
  <r>
    <x v="0"/>
    <x v="5"/>
    <x v="0"/>
    <x v="1"/>
    <x v="4"/>
    <x v="0"/>
    <x v="4"/>
    <n v="0"/>
  </r>
  <r>
    <x v="0"/>
    <x v="5"/>
    <x v="0"/>
    <x v="1"/>
    <x v="4"/>
    <x v="0"/>
    <x v="5"/>
    <n v="0"/>
  </r>
  <r>
    <x v="0"/>
    <x v="5"/>
    <x v="0"/>
    <x v="1"/>
    <x v="4"/>
    <x v="0"/>
    <x v="6"/>
    <n v="0"/>
  </r>
  <r>
    <x v="0"/>
    <x v="5"/>
    <x v="0"/>
    <x v="1"/>
    <x v="5"/>
    <x v="0"/>
    <x v="0"/>
    <n v="0"/>
  </r>
  <r>
    <x v="0"/>
    <x v="5"/>
    <x v="0"/>
    <x v="1"/>
    <x v="5"/>
    <x v="0"/>
    <x v="1"/>
    <n v="0"/>
  </r>
  <r>
    <x v="0"/>
    <x v="5"/>
    <x v="0"/>
    <x v="1"/>
    <x v="5"/>
    <x v="0"/>
    <x v="2"/>
    <n v="0"/>
  </r>
  <r>
    <x v="0"/>
    <x v="5"/>
    <x v="0"/>
    <x v="1"/>
    <x v="5"/>
    <x v="0"/>
    <x v="3"/>
    <n v="0"/>
  </r>
  <r>
    <x v="0"/>
    <x v="5"/>
    <x v="0"/>
    <x v="1"/>
    <x v="5"/>
    <x v="0"/>
    <x v="4"/>
    <n v="0"/>
  </r>
  <r>
    <x v="0"/>
    <x v="5"/>
    <x v="0"/>
    <x v="1"/>
    <x v="5"/>
    <x v="0"/>
    <x v="5"/>
    <n v="0"/>
  </r>
  <r>
    <x v="0"/>
    <x v="5"/>
    <x v="0"/>
    <x v="1"/>
    <x v="5"/>
    <x v="0"/>
    <x v="6"/>
    <n v="0"/>
  </r>
  <r>
    <x v="0"/>
    <x v="5"/>
    <x v="0"/>
    <x v="1"/>
    <x v="6"/>
    <x v="0"/>
    <x v="0"/>
    <n v="0"/>
  </r>
  <r>
    <x v="0"/>
    <x v="5"/>
    <x v="0"/>
    <x v="1"/>
    <x v="6"/>
    <x v="0"/>
    <x v="1"/>
    <n v="0"/>
  </r>
  <r>
    <x v="0"/>
    <x v="5"/>
    <x v="0"/>
    <x v="1"/>
    <x v="6"/>
    <x v="0"/>
    <x v="2"/>
    <n v="0"/>
  </r>
  <r>
    <x v="0"/>
    <x v="5"/>
    <x v="0"/>
    <x v="1"/>
    <x v="6"/>
    <x v="0"/>
    <x v="3"/>
    <n v="0"/>
  </r>
  <r>
    <x v="0"/>
    <x v="5"/>
    <x v="0"/>
    <x v="1"/>
    <x v="6"/>
    <x v="0"/>
    <x v="4"/>
    <n v="0"/>
  </r>
  <r>
    <x v="0"/>
    <x v="5"/>
    <x v="0"/>
    <x v="1"/>
    <x v="6"/>
    <x v="0"/>
    <x v="5"/>
    <n v="0"/>
  </r>
  <r>
    <x v="0"/>
    <x v="5"/>
    <x v="0"/>
    <x v="1"/>
    <x v="6"/>
    <x v="0"/>
    <x v="6"/>
    <n v="0"/>
  </r>
  <r>
    <x v="0"/>
    <x v="5"/>
    <x v="0"/>
    <x v="1"/>
    <x v="7"/>
    <x v="0"/>
    <x v="0"/>
    <n v="0"/>
  </r>
  <r>
    <x v="0"/>
    <x v="5"/>
    <x v="0"/>
    <x v="1"/>
    <x v="7"/>
    <x v="0"/>
    <x v="1"/>
    <n v="0"/>
  </r>
  <r>
    <x v="0"/>
    <x v="5"/>
    <x v="0"/>
    <x v="1"/>
    <x v="7"/>
    <x v="0"/>
    <x v="2"/>
    <n v="0"/>
  </r>
  <r>
    <x v="0"/>
    <x v="5"/>
    <x v="0"/>
    <x v="1"/>
    <x v="7"/>
    <x v="0"/>
    <x v="3"/>
    <n v="0"/>
  </r>
  <r>
    <x v="0"/>
    <x v="5"/>
    <x v="0"/>
    <x v="1"/>
    <x v="7"/>
    <x v="0"/>
    <x v="4"/>
    <n v="0"/>
  </r>
  <r>
    <x v="0"/>
    <x v="5"/>
    <x v="0"/>
    <x v="1"/>
    <x v="7"/>
    <x v="0"/>
    <x v="5"/>
    <n v="0"/>
  </r>
  <r>
    <x v="0"/>
    <x v="5"/>
    <x v="0"/>
    <x v="1"/>
    <x v="7"/>
    <x v="0"/>
    <x v="6"/>
    <n v="0"/>
  </r>
  <r>
    <x v="0"/>
    <x v="5"/>
    <x v="0"/>
    <x v="1"/>
    <x v="8"/>
    <x v="0"/>
    <x v="0"/>
    <n v="0"/>
  </r>
  <r>
    <x v="0"/>
    <x v="5"/>
    <x v="0"/>
    <x v="1"/>
    <x v="8"/>
    <x v="0"/>
    <x v="1"/>
    <n v="0"/>
  </r>
  <r>
    <x v="0"/>
    <x v="5"/>
    <x v="0"/>
    <x v="1"/>
    <x v="8"/>
    <x v="0"/>
    <x v="2"/>
    <n v="0"/>
  </r>
  <r>
    <x v="0"/>
    <x v="5"/>
    <x v="0"/>
    <x v="1"/>
    <x v="8"/>
    <x v="0"/>
    <x v="3"/>
    <n v="0"/>
  </r>
  <r>
    <x v="0"/>
    <x v="5"/>
    <x v="0"/>
    <x v="1"/>
    <x v="8"/>
    <x v="0"/>
    <x v="4"/>
    <n v="0"/>
  </r>
  <r>
    <x v="0"/>
    <x v="5"/>
    <x v="0"/>
    <x v="1"/>
    <x v="8"/>
    <x v="0"/>
    <x v="5"/>
    <n v="0"/>
  </r>
  <r>
    <x v="0"/>
    <x v="5"/>
    <x v="0"/>
    <x v="1"/>
    <x v="8"/>
    <x v="0"/>
    <x v="6"/>
    <n v="0"/>
  </r>
  <r>
    <x v="0"/>
    <x v="5"/>
    <x v="0"/>
    <x v="1"/>
    <x v="9"/>
    <x v="0"/>
    <x v="0"/>
    <n v="0"/>
  </r>
  <r>
    <x v="0"/>
    <x v="5"/>
    <x v="0"/>
    <x v="1"/>
    <x v="9"/>
    <x v="0"/>
    <x v="1"/>
    <n v="0"/>
  </r>
  <r>
    <x v="0"/>
    <x v="5"/>
    <x v="0"/>
    <x v="1"/>
    <x v="9"/>
    <x v="0"/>
    <x v="2"/>
    <n v="0"/>
  </r>
  <r>
    <x v="0"/>
    <x v="5"/>
    <x v="0"/>
    <x v="1"/>
    <x v="9"/>
    <x v="0"/>
    <x v="3"/>
    <n v="0"/>
  </r>
  <r>
    <x v="0"/>
    <x v="5"/>
    <x v="0"/>
    <x v="1"/>
    <x v="9"/>
    <x v="0"/>
    <x v="4"/>
    <n v="0"/>
  </r>
  <r>
    <x v="0"/>
    <x v="5"/>
    <x v="0"/>
    <x v="1"/>
    <x v="9"/>
    <x v="0"/>
    <x v="5"/>
    <n v="0"/>
  </r>
  <r>
    <x v="0"/>
    <x v="5"/>
    <x v="0"/>
    <x v="1"/>
    <x v="9"/>
    <x v="0"/>
    <x v="6"/>
    <n v="0"/>
  </r>
  <r>
    <x v="0"/>
    <x v="5"/>
    <x v="0"/>
    <x v="1"/>
    <x v="10"/>
    <x v="0"/>
    <x v="0"/>
    <n v="0"/>
  </r>
  <r>
    <x v="0"/>
    <x v="5"/>
    <x v="0"/>
    <x v="1"/>
    <x v="10"/>
    <x v="0"/>
    <x v="1"/>
    <n v="0"/>
  </r>
  <r>
    <x v="0"/>
    <x v="5"/>
    <x v="0"/>
    <x v="1"/>
    <x v="10"/>
    <x v="0"/>
    <x v="2"/>
    <n v="0"/>
  </r>
  <r>
    <x v="0"/>
    <x v="5"/>
    <x v="0"/>
    <x v="1"/>
    <x v="10"/>
    <x v="0"/>
    <x v="3"/>
    <n v="0"/>
  </r>
  <r>
    <x v="0"/>
    <x v="5"/>
    <x v="0"/>
    <x v="1"/>
    <x v="10"/>
    <x v="0"/>
    <x v="4"/>
    <n v="0"/>
  </r>
  <r>
    <x v="0"/>
    <x v="5"/>
    <x v="0"/>
    <x v="1"/>
    <x v="10"/>
    <x v="0"/>
    <x v="5"/>
    <n v="0"/>
  </r>
  <r>
    <x v="0"/>
    <x v="5"/>
    <x v="0"/>
    <x v="1"/>
    <x v="10"/>
    <x v="0"/>
    <x v="6"/>
    <n v="0"/>
  </r>
  <r>
    <x v="0"/>
    <x v="5"/>
    <x v="0"/>
    <x v="0"/>
    <x v="11"/>
    <x v="0"/>
    <x v="0"/>
    <n v="0"/>
  </r>
  <r>
    <x v="0"/>
    <x v="5"/>
    <x v="0"/>
    <x v="0"/>
    <x v="11"/>
    <x v="0"/>
    <x v="1"/>
    <n v="0"/>
  </r>
  <r>
    <x v="0"/>
    <x v="5"/>
    <x v="0"/>
    <x v="0"/>
    <x v="11"/>
    <x v="0"/>
    <x v="2"/>
    <n v="0"/>
  </r>
  <r>
    <x v="0"/>
    <x v="5"/>
    <x v="0"/>
    <x v="0"/>
    <x v="11"/>
    <x v="0"/>
    <x v="3"/>
    <n v="0"/>
  </r>
  <r>
    <x v="0"/>
    <x v="5"/>
    <x v="0"/>
    <x v="0"/>
    <x v="11"/>
    <x v="0"/>
    <x v="4"/>
    <n v="0"/>
  </r>
  <r>
    <x v="0"/>
    <x v="5"/>
    <x v="0"/>
    <x v="0"/>
    <x v="11"/>
    <x v="0"/>
    <x v="5"/>
    <n v="0"/>
  </r>
  <r>
    <x v="0"/>
    <x v="5"/>
    <x v="0"/>
    <x v="0"/>
    <x v="11"/>
    <x v="0"/>
    <x v="6"/>
    <n v="0"/>
  </r>
  <r>
    <x v="0"/>
    <x v="5"/>
    <x v="0"/>
    <x v="0"/>
    <x v="12"/>
    <x v="0"/>
    <x v="0"/>
    <n v="0"/>
  </r>
  <r>
    <x v="0"/>
    <x v="5"/>
    <x v="0"/>
    <x v="0"/>
    <x v="12"/>
    <x v="0"/>
    <x v="1"/>
    <n v="0"/>
  </r>
  <r>
    <x v="0"/>
    <x v="5"/>
    <x v="0"/>
    <x v="0"/>
    <x v="12"/>
    <x v="0"/>
    <x v="2"/>
    <n v="0"/>
  </r>
  <r>
    <x v="0"/>
    <x v="5"/>
    <x v="0"/>
    <x v="0"/>
    <x v="12"/>
    <x v="0"/>
    <x v="3"/>
    <n v="0"/>
  </r>
  <r>
    <x v="0"/>
    <x v="5"/>
    <x v="0"/>
    <x v="0"/>
    <x v="12"/>
    <x v="0"/>
    <x v="4"/>
    <n v="0"/>
  </r>
  <r>
    <x v="0"/>
    <x v="5"/>
    <x v="0"/>
    <x v="0"/>
    <x v="12"/>
    <x v="0"/>
    <x v="5"/>
    <n v="0"/>
  </r>
  <r>
    <x v="0"/>
    <x v="5"/>
    <x v="0"/>
    <x v="0"/>
    <x v="12"/>
    <x v="0"/>
    <x v="6"/>
    <n v="0"/>
  </r>
  <r>
    <x v="0"/>
    <x v="5"/>
    <x v="0"/>
    <x v="0"/>
    <x v="13"/>
    <x v="0"/>
    <x v="0"/>
    <n v="0"/>
  </r>
  <r>
    <x v="0"/>
    <x v="5"/>
    <x v="0"/>
    <x v="0"/>
    <x v="13"/>
    <x v="0"/>
    <x v="1"/>
    <n v="0"/>
  </r>
  <r>
    <x v="0"/>
    <x v="5"/>
    <x v="0"/>
    <x v="0"/>
    <x v="13"/>
    <x v="0"/>
    <x v="2"/>
    <n v="0"/>
  </r>
  <r>
    <x v="0"/>
    <x v="5"/>
    <x v="0"/>
    <x v="0"/>
    <x v="13"/>
    <x v="0"/>
    <x v="3"/>
    <n v="0"/>
  </r>
  <r>
    <x v="0"/>
    <x v="5"/>
    <x v="0"/>
    <x v="0"/>
    <x v="13"/>
    <x v="0"/>
    <x v="4"/>
    <n v="0"/>
  </r>
  <r>
    <x v="0"/>
    <x v="5"/>
    <x v="0"/>
    <x v="0"/>
    <x v="13"/>
    <x v="0"/>
    <x v="5"/>
    <n v="0"/>
  </r>
  <r>
    <x v="0"/>
    <x v="5"/>
    <x v="0"/>
    <x v="0"/>
    <x v="13"/>
    <x v="0"/>
    <x v="6"/>
    <n v="0"/>
  </r>
  <r>
    <x v="0"/>
    <x v="5"/>
    <x v="0"/>
    <x v="2"/>
    <x v="14"/>
    <x v="0"/>
    <x v="0"/>
    <n v="0"/>
  </r>
  <r>
    <x v="0"/>
    <x v="5"/>
    <x v="0"/>
    <x v="2"/>
    <x v="14"/>
    <x v="0"/>
    <x v="1"/>
    <n v="0"/>
  </r>
  <r>
    <x v="0"/>
    <x v="5"/>
    <x v="0"/>
    <x v="2"/>
    <x v="14"/>
    <x v="0"/>
    <x v="2"/>
    <n v="0"/>
  </r>
  <r>
    <x v="0"/>
    <x v="5"/>
    <x v="0"/>
    <x v="2"/>
    <x v="14"/>
    <x v="0"/>
    <x v="3"/>
    <n v="0"/>
  </r>
  <r>
    <x v="0"/>
    <x v="5"/>
    <x v="0"/>
    <x v="2"/>
    <x v="14"/>
    <x v="0"/>
    <x v="4"/>
    <n v="0"/>
  </r>
  <r>
    <x v="0"/>
    <x v="5"/>
    <x v="0"/>
    <x v="2"/>
    <x v="14"/>
    <x v="0"/>
    <x v="5"/>
    <n v="0"/>
  </r>
  <r>
    <x v="0"/>
    <x v="5"/>
    <x v="0"/>
    <x v="2"/>
    <x v="14"/>
    <x v="0"/>
    <x v="6"/>
    <n v="0"/>
  </r>
  <r>
    <x v="0"/>
    <x v="5"/>
    <x v="0"/>
    <x v="2"/>
    <x v="15"/>
    <x v="0"/>
    <x v="0"/>
    <n v="0"/>
  </r>
  <r>
    <x v="0"/>
    <x v="5"/>
    <x v="0"/>
    <x v="2"/>
    <x v="15"/>
    <x v="0"/>
    <x v="1"/>
    <n v="0"/>
  </r>
  <r>
    <x v="0"/>
    <x v="5"/>
    <x v="0"/>
    <x v="2"/>
    <x v="15"/>
    <x v="0"/>
    <x v="2"/>
    <n v="0"/>
  </r>
  <r>
    <x v="0"/>
    <x v="5"/>
    <x v="0"/>
    <x v="2"/>
    <x v="15"/>
    <x v="0"/>
    <x v="3"/>
    <n v="0"/>
  </r>
  <r>
    <x v="0"/>
    <x v="5"/>
    <x v="0"/>
    <x v="2"/>
    <x v="15"/>
    <x v="0"/>
    <x v="4"/>
    <n v="0"/>
  </r>
  <r>
    <x v="0"/>
    <x v="5"/>
    <x v="0"/>
    <x v="2"/>
    <x v="15"/>
    <x v="0"/>
    <x v="5"/>
    <n v="0"/>
  </r>
  <r>
    <x v="0"/>
    <x v="5"/>
    <x v="0"/>
    <x v="2"/>
    <x v="15"/>
    <x v="0"/>
    <x v="6"/>
    <n v="0"/>
  </r>
  <r>
    <x v="0"/>
    <x v="5"/>
    <x v="0"/>
    <x v="2"/>
    <x v="16"/>
    <x v="0"/>
    <x v="0"/>
    <n v="0"/>
  </r>
  <r>
    <x v="0"/>
    <x v="5"/>
    <x v="0"/>
    <x v="2"/>
    <x v="16"/>
    <x v="0"/>
    <x v="1"/>
    <n v="0"/>
  </r>
  <r>
    <x v="0"/>
    <x v="5"/>
    <x v="0"/>
    <x v="2"/>
    <x v="16"/>
    <x v="0"/>
    <x v="2"/>
    <n v="0"/>
  </r>
  <r>
    <x v="0"/>
    <x v="5"/>
    <x v="0"/>
    <x v="2"/>
    <x v="16"/>
    <x v="0"/>
    <x v="3"/>
    <n v="0"/>
  </r>
  <r>
    <x v="0"/>
    <x v="5"/>
    <x v="0"/>
    <x v="2"/>
    <x v="16"/>
    <x v="0"/>
    <x v="4"/>
    <n v="0"/>
  </r>
  <r>
    <x v="0"/>
    <x v="5"/>
    <x v="0"/>
    <x v="2"/>
    <x v="16"/>
    <x v="0"/>
    <x v="5"/>
    <n v="0"/>
  </r>
  <r>
    <x v="0"/>
    <x v="5"/>
    <x v="0"/>
    <x v="2"/>
    <x v="16"/>
    <x v="0"/>
    <x v="6"/>
    <n v="0"/>
  </r>
  <r>
    <x v="0"/>
    <x v="5"/>
    <x v="0"/>
    <x v="0"/>
    <x v="17"/>
    <x v="0"/>
    <x v="0"/>
    <n v="0"/>
  </r>
  <r>
    <x v="0"/>
    <x v="5"/>
    <x v="0"/>
    <x v="0"/>
    <x v="17"/>
    <x v="0"/>
    <x v="1"/>
    <n v="0"/>
  </r>
  <r>
    <x v="0"/>
    <x v="5"/>
    <x v="0"/>
    <x v="0"/>
    <x v="17"/>
    <x v="0"/>
    <x v="2"/>
    <n v="0"/>
  </r>
  <r>
    <x v="0"/>
    <x v="5"/>
    <x v="0"/>
    <x v="0"/>
    <x v="17"/>
    <x v="0"/>
    <x v="3"/>
    <n v="0"/>
  </r>
  <r>
    <x v="0"/>
    <x v="5"/>
    <x v="0"/>
    <x v="0"/>
    <x v="17"/>
    <x v="0"/>
    <x v="4"/>
    <n v="0"/>
  </r>
  <r>
    <x v="0"/>
    <x v="5"/>
    <x v="0"/>
    <x v="0"/>
    <x v="17"/>
    <x v="0"/>
    <x v="5"/>
    <n v="0"/>
  </r>
  <r>
    <x v="0"/>
    <x v="5"/>
    <x v="0"/>
    <x v="0"/>
    <x v="17"/>
    <x v="0"/>
    <x v="6"/>
    <n v="0"/>
  </r>
  <r>
    <x v="0"/>
    <x v="5"/>
    <x v="0"/>
    <x v="2"/>
    <x v="18"/>
    <x v="0"/>
    <x v="0"/>
    <n v="0"/>
  </r>
  <r>
    <x v="0"/>
    <x v="5"/>
    <x v="0"/>
    <x v="2"/>
    <x v="18"/>
    <x v="0"/>
    <x v="1"/>
    <n v="0"/>
  </r>
  <r>
    <x v="0"/>
    <x v="5"/>
    <x v="0"/>
    <x v="2"/>
    <x v="18"/>
    <x v="0"/>
    <x v="2"/>
    <n v="0"/>
  </r>
  <r>
    <x v="0"/>
    <x v="5"/>
    <x v="0"/>
    <x v="2"/>
    <x v="18"/>
    <x v="0"/>
    <x v="3"/>
    <n v="0"/>
  </r>
  <r>
    <x v="0"/>
    <x v="5"/>
    <x v="0"/>
    <x v="2"/>
    <x v="18"/>
    <x v="0"/>
    <x v="4"/>
    <n v="0"/>
  </r>
  <r>
    <x v="0"/>
    <x v="5"/>
    <x v="0"/>
    <x v="2"/>
    <x v="18"/>
    <x v="0"/>
    <x v="5"/>
    <n v="0"/>
  </r>
  <r>
    <x v="0"/>
    <x v="5"/>
    <x v="0"/>
    <x v="2"/>
    <x v="18"/>
    <x v="0"/>
    <x v="6"/>
    <n v="0"/>
  </r>
  <r>
    <x v="0"/>
    <x v="5"/>
    <x v="1"/>
    <x v="3"/>
    <x v="19"/>
    <x v="0"/>
    <x v="0"/>
    <n v="2.8075312836765463E-6"/>
  </r>
  <r>
    <x v="0"/>
    <x v="5"/>
    <x v="1"/>
    <x v="3"/>
    <x v="19"/>
    <x v="0"/>
    <x v="1"/>
    <n v="2.5746700057033393E-6"/>
  </r>
  <r>
    <x v="0"/>
    <x v="5"/>
    <x v="1"/>
    <x v="3"/>
    <x v="19"/>
    <x v="0"/>
    <x v="2"/>
    <n v="5.7380708977101346E-6"/>
  </r>
  <r>
    <x v="0"/>
    <x v="5"/>
    <x v="1"/>
    <x v="3"/>
    <x v="19"/>
    <x v="0"/>
    <x v="3"/>
    <n v="1.1513331312928748E-5"/>
  </r>
  <r>
    <x v="0"/>
    <x v="5"/>
    <x v="1"/>
    <x v="3"/>
    <x v="19"/>
    <x v="0"/>
    <x v="4"/>
    <n v="2.5886740158624887E-5"/>
  </r>
  <r>
    <x v="0"/>
    <x v="5"/>
    <x v="1"/>
    <x v="3"/>
    <x v="19"/>
    <x v="0"/>
    <x v="5"/>
    <n v="4.9743032488492617E-5"/>
  </r>
  <r>
    <x v="0"/>
    <x v="5"/>
    <x v="1"/>
    <x v="3"/>
    <x v="19"/>
    <x v="0"/>
    <x v="6"/>
    <n v="9.497430962803159E-5"/>
  </r>
  <r>
    <x v="0"/>
    <x v="5"/>
    <x v="1"/>
    <x v="3"/>
    <x v="20"/>
    <x v="0"/>
    <x v="0"/>
    <n v="1.6858373757431228E-5"/>
  </r>
  <r>
    <x v="0"/>
    <x v="5"/>
    <x v="1"/>
    <x v="3"/>
    <x v="20"/>
    <x v="0"/>
    <x v="1"/>
    <n v="1.4593706875962724E-5"/>
  </r>
  <r>
    <x v="0"/>
    <x v="5"/>
    <x v="1"/>
    <x v="3"/>
    <x v="20"/>
    <x v="0"/>
    <x v="2"/>
    <n v="2.9522031648778812E-5"/>
  </r>
  <r>
    <x v="0"/>
    <x v="5"/>
    <x v="1"/>
    <x v="3"/>
    <x v="20"/>
    <x v="0"/>
    <x v="3"/>
    <n v="5.4954179057175319E-5"/>
  </r>
  <r>
    <x v="0"/>
    <x v="5"/>
    <x v="1"/>
    <x v="3"/>
    <x v="20"/>
    <x v="0"/>
    <x v="4"/>
    <n v="1.170521167673901E-4"/>
  </r>
  <r>
    <x v="0"/>
    <x v="5"/>
    <x v="1"/>
    <x v="3"/>
    <x v="20"/>
    <x v="0"/>
    <x v="5"/>
    <n v="2.2045611367264606E-4"/>
  </r>
  <r>
    <x v="0"/>
    <x v="5"/>
    <x v="1"/>
    <x v="3"/>
    <x v="20"/>
    <x v="0"/>
    <x v="6"/>
    <n v="4.0985212703787489E-4"/>
  </r>
  <r>
    <x v="0"/>
    <x v="5"/>
    <x v="1"/>
    <x v="3"/>
    <x v="21"/>
    <x v="0"/>
    <x v="0"/>
    <n v="1.3232320355381974E-4"/>
  </r>
  <r>
    <x v="0"/>
    <x v="5"/>
    <x v="1"/>
    <x v="3"/>
    <x v="21"/>
    <x v="0"/>
    <x v="1"/>
    <n v="1.1774632689296255E-4"/>
  </r>
  <r>
    <x v="0"/>
    <x v="5"/>
    <x v="1"/>
    <x v="3"/>
    <x v="21"/>
    <x v="0"/>
    <x v="2"/>
    <n v="2.3892169091850807E-4"/>
  </r>
  <r>
    <x v="0"/>
    <x v="5"/>
    <x v="1"/>
    <x v="3"/>
    <x v="21"/>
    <x v="0"/>
    <x v="3"/>
    <n v="4.4277818029467037E-4"/>
  </r>
  <r>
    <x v="0"/>
    <x v="5"/>
    <x v="1"/>
    <x v="3"/>
    <x v="21"/>
    <x v="0"/>
    <x v="4"/>
    <n v="9.3191235447906873E-4"/>
  </r>
  <r>
    <x v="0"/>
    <x v="5"/>
    <x v="1"/>
    <x v="3"/>
    <x v="21"/>
    <x v="0"/>
    <x v="5"/>
    <n v="1.7181654935034493E-3"/>
  </r>
  <r>
    <x v="0"/>
    <x v="5"/>
    <x v="1"/>
    <x v="3"/>
    <x v="21"/>
    <x v="0"/>
    <x v="6"/>
    <n v="3.1109626176320398E-3"/>
  </r>
  <r>
    <x v="0"/>
    <x v="5"/>
    <x v="1"/>
    <x v="3"/>
    <x v="22"/>
    <x v="0"/>
    <x v="0"/>
    <n v="0"/>
  </r>
  <r>
    <x v="0"/>
    <x v="5"/>
    <x v="1"/>
    <x v="3"/>
    <x v="22"/>
    <x v="0"/>
    <x v="1"/>
    <n v="0"/>
  </r>
  <r>
    <x v="0"/>
    <x v="5"/>
    <x v="1"/>
    <x v="3"/>
    <x v="22"/>
    <x v="0"/>
    <x v="2"/>
    <n v="0"/>
  </r>
  <r>
    <x v="0"/>
    <x v="5"/>
    <x v="1"/>
    <x v="3"/>
    <x v="22"/>
    <x v="0"/>
    <x v="3"/>
    <n v="0"/>
  </r>
  <r>
    <x v="0"/>
    <x v="5"/>
    <x v="1"/>
    <x v="3"/>
    <x v="22"/>
    <x v="0"/>
    <x v="4"/>
    <n v="0"/>
  </r>
  <r>
    <x v="0"/>
    <x v="5"/>
    <x v="1"/>
    <x v="3"/>
    <x v="22"/>
    <x v="0"/>
    <x v="5"/>
    <n v="0"/>
  </r>
  <r>
    <x v="0"/>
    <x v="5"/>
    <x v="1"/>
    <x v="3"/>
    <x v="22"/>
    <x v="0"/>
    <x v="6"/>
    <n v="0"/>
  </r>
  <r>
    <x v="0"/>
    <x v="5"/>
    <x v="1"/>
    <x v="3"/>
    <x v="23"/>
    <x v="0"/>
    <x v="0"/>
    <n v="0"/>
  </r>
  <r>
    <x v="0"/>
    <x v="5"/>
    <x v="1"/>
    <x v="3"/>
    <x v="23"/>
    <x v="0"/>
    <x v="1"/>
    <n v="0"/>
  </r>
  <r>
    <x v="0"/>
    <x v="5"/>
    <x v="1"/>
    <x v="3"/>
    <x v="23"/>
    <x v="0"/>
    <x v="2"/>
    <n v="0"/>
  </r>
  <r>
    <x v="0"/>
    <x v="5"/>
    <x v="1"/>
    <x v="3"/>
    <x v="23"/>
    <x v="0"/>
    <x v="3"/>
    <n v="0"/>
  </r>
  <r>
    <x v="0"/>
    <x v="5"/>
    <x v="1"/>
    <x v="3"/>
    <x v="23"/>
    <x v="0"/>
    <x v="4"/>
    <n v="0"/>
  </r>
  <r>
    <x v="0"/>
    <x v="5"/>
    <x v="1"/>
    <x v="3"/>
    <x v="23"/>
    <x v="0"/>
    <x v="5"/>
    <n v="0"/>
  </r>
  <r>
    <x v="0"/>
    <x v="5"/>
    <x v="1"/>
    <x v="3"/>
    <x v="23"/>
    <x v="0"/>
    <x v="6"/>
    <n v="0"/>
  </r>
  <r>
    <x v="0"/>
    <x v="5"/>
    <x v="1"/>
    <x v="3"/>
    <x v="24"/>
    <x v="0"/>
    <x v="0"/>
    <n v="0"/>
  </r>
  <r>
    <x v="0"/>
    <x v="5"/>
    <x v="1"/>
    <x v="3"/>
    <x v="24"/>
    <x v="0"/>
    <x v="1"/>
    <n v="0"/>
  </r>
  <r>
    <x v="0"/>
    <x v="5"/>
    <x v="1"/>
    <x v="3"/>
    <x v="24"/>
    <x v="0"/>
    <x v="2"/>
    <n v="0"/>
  </r>
  <r>
    <x v="0"/>
    <x v="5"/>
    <x v="1"/>
    <x v="3"/>
    <x v="24"/>
    <x v="0"/>
    <x v="3"/>
    <n v="0"/>
  </r>
  <r>
    <x v="0"/>
    <x v="5"/>
    <x v="1"/>
    <x v="3"/>
    <x v="24"/>
    <x v="0"/>
    <x v="4"/>
    <n v="0"/>
  </r>
  <r>
    <x v="0"/>
    <x v="5"/>
    <x v="1"/>
    <x v="3"/>
    <x v="24"/>
    <x v="0"/>
    <x v="5"/>
    <n v="0"/>
  </r>
  <r>
    <x v="0"/>
    <x v="5"/>
    <x v="1"/>
    <x v="3"/>
    <x v="24"/>
    <x v="0"/>
    <x v="6"/>
    <n v="0"/>
  </r>
  <r>
    <x v="0"/>
    <x v="5"/>
    <x v="1"/>
    <x v="3"/>
    <x v="25"/>
    <x v="0"/>
    <x v="0"/>
    <n v="3.2046199460721836E-5"/>
  </r>
  <r>
    <x v="0"/>
    <x v="5"/>
    <x v="1"/>
    <x v="3"/>
    <x v="25"/>
    <x v="0"/>
    <x v="1"/>
    <n v="7.9053193041159111E-5"/>
  </r>
  <r>
    <x v="0"/>
    <x v="5"/>
    <x v="1"/>
    <x v="3"/>
    <x v="25"/>
    <x v="0"/>
    <x v="2"/>
    <n v="1.0093326276407939E-4"/>
  </r>
  <r>
    <x v="0"/>
    <x v="5"/>
    <x v="1"/>
    <x v="3"/>
    <x v="25"/>
    <x v="0"/>
    <x v="3"/>
    <n v="1.9536544988217478E-4"/>
  </r>
  <r>
    <x v="0"/>
    <x v="5"/>
    <x v="1"/>
    <x v="3"/>
    <x v="25"/>
    <x v="0"/>
    <x v="4"/>
    <n v="4.0361103656979532E-4"/>
  </r>
  <r>
    <x v="0"/>
    <x v="5"/>
    <x v="1"/>
    <x v="3"/>
    <x v="25"/>
    <x v="0"/>
    <x v="5"/>
    <n v="7.6920960710694943E-4"/>
  </r>
  <r>
    <x v="0"/>
    <x v="5"/>
    <x v="1"/>
    <x v="3"/>
    <x v="25"/>
    <x v="0"/>
    <x v="6"/>
    <n v="1.3781430621712762E-3"/>
  </r>
  <r>
    <x v="0"/>
    <x v="5"/>
    <x v="2"/>
    <x v="4"/>
    <x v="26"/>
    <x v="0"/>
    <x v="0"/>
    <n v="0"/>
  </r>
  <r>
    <x v="0"/>
    <x v="5"/>
    <x v="2"/>
    <x v="4"/>
    <x v="26"/>
    <x v="0"/>
    <x v="1"/>
    <n v="0"/>
  </r>
  <r>
    <x v="0"/>
    <x v="5"/>
    <x v="2"/>
    <x v="4"/>
    <x v="26"/>
    <x v="0"/>
    <x v="2"/>
    <n v="0"/>
  </r>
  <r>
    <x v="0"/>
    <x v="5"/>
    <x v="2"/>
    <x v="4"/>
    <x v="26"/>
    <x v="0"/>
    <x v="3"/>
    <n v="0"/>
  </r>
  <r>
    <x v="0"/>
    <x v="5"/>
    <x v="2"/>
    <x v="4"/>
    <x v="26"/>
    <x v="0"/>
    <x v="4"/>
    <n v="0"/>
  </r>
  <r>
    <x v="0"/>
    <x v="5"/>
    <x v="2"/>
    <x v="4"/>
    <x v="26"/>
    <x v="0"/>
    <x v="5"/>
    <n v="0"/>
  </r>
  <r>
    <x v="0"/>
    <x v="5"/>
    <x v="2"/>
    <x v="4"/>
    <x v="26"/>
    <x v="0"/>
    <x v="6"/>
    <n v="0"/>
  </r>
  <r>
    <x v="0"/>
    <x v="5"/>
    <x v="2"/>
    <x v="4"/>
    <x v="27"/>
    <x v="0"/>
    <x v="0"/>
    <n v="0"/>
  </r>
  <r>
    <x v="0"/>
    <x v="5"/>
    <x v="2"/>
    <x v="4"/>
    <x v="27"/>
    <x v="0"/>
    <x v="1"/>
    <n v="0"/>
  </r>
  <r>
    <x v="0"/>
    <x v="5"/>
    <x v="2"/>
    <x v="4"/>
    <x v="27"/>
    <x v="0"/>
    <x v="2"/>
    <n v="0"/>
  </r>
  <r>
    <x v="0"/>
    <x v="5"/>
    <x v="2"/>
    <x v="4"/>
    <x v="27"/>
    <x v="0"/>
    <x v="3"/>
    <n v="0"/>
  </r>
  <r>
    <x v="0"/>
    <x v="5"/>
    <x v="2"/>
    <x v="4"/>
    <x v="27"/>
    <x v="0"/>
    <x v="4"/>
    <n v="0"/>
  </r>
  <r>
    <x v="0"/>
    <x v="5"/>
    <x v="2"/>
    <x v="4"/>
    <x v="27"/>
    <x v="0"/>
    <x v="5"/>
    <n v="0"/>
  </r>
  <r>
    <x v="0"/>
    <x v="5"/>
    <x v="2"/>
    <x v="4"/>
    <x v="27"/>
    <x v="0"/>
    <x v="6"/>
    <n v="0"/>
  </r>
  <r>
    <x v="0"/>
    <x v="5"/>
    <x v="2"/>
    <x v="4"/>
    <x v="28"/>
    <x v="0"/>
    <x v="0"/>
    <n v="0"/>
  </r>
  <r>
    <x v="0"/>
    <x v="5"/>
    <x v="2"/>
    <x v="4"/>
    <x v="28"/>
    <x v="0"/>
    <x v="1"/>
    <n v="0"/>
  </r>
  <r>
    <x v="0"/>
    <x v="5"/>
    <x v="2"/>
    <x v="4"/>
    <x v="28"/>
    <x v="0"/>
    <x v="2"/>
    <n v="0"/>
  </r>
  <r>
    <x v="0"/>
    <x v="5"/>
    <x v="2"/>
    <x v="4"/>
    <x v="28"/>
    <x v="0"/>
    <x v="3"/>
    <n v="0"/>
  </r>
  <r>
    <x v="0"/>
    <x v="5"/>
    <x v="2"/>
    <x v="4"/>
    <x v="28"/>
    <x v="0"/>
    <x v="4"/>
    <n v="0"/>
  </r>
  <r>
    <x v="0"/>
    <x v="5"/>
    <x v="2"/>
    <x v="4"/>
    <x v="28"/>
    <x v="0"/>
    <x v="5"/>
    <n v="0"/>
  </r>
  <r>
    <x v="0"/>
    <x v="5"/>
    <x v="2"/>
    <x v="4"/>
    <x v="28"/>
    <x v="0"/>
    <x v="6"/>
    <n v="0"/>
  </r>
  <r>
    <x v="0"/>
    <x v="5"/>
    <x v="2"/>
    <x v="4"/>
    <x v="29"/>
    <x v="0"/>
    <x v="0"/>
    <n v="0"/>
  </r>
  <r>
    <x v="0"/>
    <x v="5"/>
    <x v="2"/>
    <x v="4"/>
    <x v="29"/>
    <x v="0"/>
    <x v="1"/>
    <n v="0"/>
  </r>
  <r>
    <x v="0"/>
    <x v="5"/>
    <x v="2"/>
    <x v="4"/>
    <x v="29"/>
    <x v="0"/>
    <x v="2"/>
    <n v="0"/>
  </r>
  <r>
    <x v="0"/>
    <x v="5"/>
    <x v="2"/>
    <x v="4"/>
    <x v="29"/>
    <x v="0"/>
    <x v="3"/>
    <n v="0"/>
  </r>
  <r>
    <x v="0"/>
    <x v="5"/>
    <x v="2"/>
    <x v="4"/>
    <x v="29"/>
    <x v="0"/>
    <x v="4"/>
    <n v="0"/>
  </r>
  <r>
    <x v="0"/>
    <x v="5"/>
    <x v="2"/>
    <x v="4"/>
    <x v="29"/>
    <x v="0"/>
    <x v="5"/>
    <n v="0"/>
  </r>
  <r>
    <x v="0"/>
    <x v="5"/>
    <x v="2"/>
    <x v="4"/>
    <x v="29"/>
    <x v="0"/>
    <x v="6"/>
    <n v="0"/>
  </r>
  <r>
    <x v="0"/>
    <x v="5"/>
    <x v="3"/>
    <x v="5"/>
    <x v="30"/>
    <x v="0"/>
    <x v="0"/>
    <n v="0.22749528473274552"/>
  </r>
  <r>
    <x v="0"/>
    <x v="5"/>
    <x v="3"/>
    <x v="5"/>
    <x v="30"/>
    <x v="0"/>
    <x v="1"/>
    <n v="0.91432170386352052"/>
  </r>
  <r>
    <x v="0"/>
    <x v="5"/>
    <x v="3"/>
    <x v="5"/>
    <x v="30"/>
    <x v="0"/>
    <x v="2"/>
    <n v="3.4820296062399181"/>
  </r>
  <r>
    <x v="0"/>
    <x v="5"/>
    <x v="3"/>
    <x v="5"/>
    <x v="30"/>
    <x v="0"/>
    <x v="3"/>
    <n v="9.272821079916989"/>
  </r>
  <r>
    <x v="0"/>
    <x v="5"/>
    <x v="3"/>
    <x v="5"/>
    <x v="30"/>
    <x v="0"/>
    <x v="4"/>
    <n v="11.406793749305502"/>
  </r>
  <r>
    <x v="0"/>
    <x v="5"/>
    <x v="3"/>
    <x v="5"/>
    <x v="30"/>
    <x v="0"/>
    <x v="5"/>
    <n v="18.846288384248052"/>
  </r>
  <r>
    <x v="0"/>
    <x v="5"/>
    <x v="3"/>
    <x v="5"/>
    <x v="30"/>
    <x v="0"/>
    <x v="6"/>
    <n v="27.335988550962742"/>
  </r>
  <r>
    <x v="0"/>
    <x v="5"/>
    <x v="2"/>
    <x v="4"/>
    <x v="31"/>
    <x v="0"/>
    <x v="0"/>
    <n v="2.6651438525438402E-3"/>
  </r>
  <r>
    <x v="0"/>
    <x v="5"/>
    <x v="2"/>
    <x v="4"/>
    <x v="31"/>
    <x v="0"/>
    <x v="1"/>
    <n v="1.0291281895432935E-2"/>
  </r>
  <r>
    <x v="0"/>
    <x v="5"/>
    <x v="2"/>
    <x v="4"/>
    <x v="31"/>
    <x v="0"/>
    <x v="2"/>
    <n v="3.3233414988894594E-2"/>
  </r>
  <r>
    <x v="0"/>
    <x v="5"/>
    <x v="2"/>
    <x v="4"/>
    <x v="31"/>
    <x v="0"/>
    <x v="3"/>
    <n v="0.11472537875622871"/>
  </r>
  <r>
    <x v="0"/>
    <x v="5"/>
    <x v="2"/>
    <x v="4"/>
    <x v="31"/>
    <x v="0"/>
    <x v="4"/>
    <n v="0.39285318516576823"/>
  </r>
  <r>
    <x v="0"/>
    <x v="5"/>
    <x v="2"/>
    <x v="4"/>
    <x v="31"/>
    <x v="0"/>
    <x v="5"/>
    <n v="1.0320563877239859"/>
  </r>
  <r>
    <x v="0"/>
    <x v="5"/>
    <x v="2"/>
    <x v="4"/>
    <x v="31"/>
    <x v="0"/>
    <x v="6"/>
    <n v="2.690689084014759"/>
  </r>
  <r>
    <x v="0"/>
    <x v="5"/>
    <x v="2"/>
    <x v="4"/>
    <x v="32"/>
    <x v="0"/>
    <x v="0"/>
    <n v="1.7419787076646547E-3"/>
  </r>
  <r>
    <x v="0"/>
    <x v="5"/>
    <x v="2"/>
    <x v="4"/>
    <x v="32"/>
    <x v="0"/>
    <x v="1"/>
    <n v="7.3304596024511342E-3"/>
  </r>
  <r>
    <x v="0"/>
    <x v="5"/>
    <x v="2"/>
    <x v="4"/>
    <x v="32"/>
    <x v="0"/>
    <x v="2"/>
    <n v="2.4225124631208822E-2"/>
  </r>
  <r>
    <x v="0"/>
    <x v="5"/>
    <x v="2"/>
    <x v="4"/>
    <x v="32"/>
    <x v="0"/>
    <x v="3"/>
    <n v="7.2279810566401245E-2"/>
  </r>
  <r>
    <x v="0"/>
    <x v="5"/>
    <x v="2"/>
    <x v="4"/>
    <x v="32"/>
    <x v="0"/>
    <x v="4"/>
    <n v="0.22844603049719242"/>
  </r>
  <r>
    <x v="0"/>
    <x v="5"/>
    <x v="2"/>
    <x v="4"/>
    <x v="32"/>
    <x v="0"/>
    <x v="5"/>
    <n v="0.58950443546216047"/>
  </r>
  <r>
    <x v="0"/>
    <x v="5"/>
    <x v="2"/>
    <x v="4"/>
    <x v="32"/>
    <x v="0"/>
    <x v="6"/>
    <n v="1.5427134942977048"/>
  </r>
  <r>
    <x v="0"/>
    <x v="5"/>
    <x v="2"/>
    <x v="4"/>
    <x v="33"/>
    <x v="0"/>
    <x v="0"/>
    <n v="2.8480467804272943E-4"/>
  </r>
  <r>
    <x v="0"/>
    <x v="5"/>
    <x v="2"/>
    <x v="4"/>
    <x v="33"/>
    <x v="0"/>
    <x v="1"/>
    <n v="1.1064686780484457E-3"/>
  </r>
  <r>
    <x v="0"/>
    <x v="5"/>
    <x v="2"/>
    <x v="4"/>
    <x v="33"/>
    <x v="0"/>
    <x v="2"/>
    <n v="3.6177170918194872E-3"/>
  </r>
  <r>
    <x v="0"/>
    <x v="5"/>
    <x v="2"/>
    <x v="4"/>
    <x v="33"/>
    <x v="0"/>
    <x v="3"/>
    <n v="1.1057179811080351E-2"/>
  </r>
  <r>
    <x v="0"/>
    <x v="5"/>
    <x v="2"/>
    <x v="4"/>
    <x v="33"/>
    <x v="0"/>
    <x v="4"/>
    <n v="3.579916941682737E-2"/>
  </r>
  <r>
    <x v="0"/>
    <x v="5"/>
    <x v="2"/>
    <x v="4"/>
    <x v="33"/>
    <x v="0"/>
    <x v="5"/>
    <n v="9.255431984916139E-2"/>
  </r>
  <r>
    <x v="0"/>
    <x v="5"/>
    <x v="2"/>
    <x v="4"/>
    <x v="33"/>
    <x v="0"/>
    <x v="6"/>
    <n v="0.22358452854934716"/>
  </r>
  <r>
    <x v="0"/>
    <x v="5"/>
    <x v="2"/>
    <x v="4"/>
    <x v="34"/>
    <x v="0"/>
    <x v="0"/>
    <n v="7.0826701345710315E-3"/>
  </r>
  <r>
    <x v="0"/>
    <x v="5"/>
    <x v="2"/>
    <x v="4"/>
    <x v="34"/>
    <x v="0"/>
    <x v="1"/>
    <n v="2.7188838046002056E-2"/>
  </r>
  <r>
    <x v="0"/>
    <x v="5"/>
    <x v="2"/>
    <x v="4"/>
    <x v="34"/>
    <x v="0"/>
    <x v="2"/>
    <n v="8.5443563900882438E-2"/>
  </r>
  <r>
    <x v="0"/>
    <x v="5"/>
    <x v="2"/>
    <x v="4"/>
    <x v="34"/>
    <x v="0"/>
    <x v="3"/>
    <n v="0.25345331670173837"/>
  </r>
  <r>
    <x v="0"/>
    <x v="5"/>
    <x v="2"/>
    <x v="4"/>
    <x v="34"/>
    <x v="0"/>
    <x v="4"/>
    <n v="0.81284696985711391"/>
  </r>
  <r>
    <x v="0"/>
    <x v="5"/>
    <x v="2"/>
    <x v="4"/>
    <x v="34"/>
    <x v="0"/>
    <x v="5"/>
    <n v="2.0876711257613922"/>
  </r>
  <r>
    <x v="0"/>
    <x v="5"/>
    <x v="2"/>
    <x v="4"/>
    <x v="34"/>
    <x v="0"/>
    <x v="6"/>
    <n v="5.2026989283361038"/>
  </r>
  <r>
    <x v="0"/>
    <x v="5"/>
    <x v="2"/>
    <x v="6"/>
    <x v="35"/>
    <x v="0"/>
    <x v="0"/>
    <n v="3.4343018150370684E-2"/>
  </r>
  <r>
    <x v="0"/>
    <x v="5"/>
    <x v="2"/>
    <x v="6"/>
    <x v="35"/>
    <x v="0"/>
    <x v="1"/>
    <n v="7.3833226374767344E-2"/>
  </r>
  <r>
    <x v="0"/>
    <x v="5"/>
    <x v="2"/>
    <x v="6"/>
    <x v="35"/>
    <x v="0"/>
    <x v="2"/>
    <n v="0.13433148629869138"/>
  </r>
  <r>
    <x v="0"/>
    <x v="5"/>
    <x v="2"/>
    <x v="6"/>
    <x v="35"/>
    <x v="0"/>
    <x v="3"/>
    <n v="0.23833417361937742"/>
  </r>
  <r>
    <x v="0"/>
    <x v="5"/>
    <x v="2"/>
    <x v="6"/>
    <x v="35"/>
    <x v="0"/>
    <x v="4"/>
    <n v="0.45365206592756468"/>
  </r>
  <r>
    <x v="0"/>
    <x v="5"/>
    <x v="2"/>
    <x v="6"/>
    <x v="35"/>
    <x v="0"/>
    <x v="5"/>
    <n v="0.75088859759907223"/>
  </r>
  <r>
    <x v="0"/>
    <x v="5"/>
    <x v="2"/>
    <x v="6"/>
    <x v="35"/>
    <x v="0"/>
    <x v="6"/>
    <n v="1.2545881681577942"/>
  </r>
  <r>
    <x v="0"/>
    <x v="5"/>
    <x v="2"/>
    <x v="6"/>
    <x v="36"/>
    <x v="0"/>
    <x v="0"/>
    <n v="8.595297114156606E-3"/>
  </r>
  <r>
    <x v="0"/>
    <x v="5"/>
    <x v="2"/>
    <x v="6"/>
    <x v="36"/>
    <x v="0"/>
    <x v="1"/>
    <n v="1.8748966857281828E-2"/>
  </r>
  <r>
    <x v="0"/>
    <x v="5"/>
    <x v="2"/>
    <x v="6"/>
    <x v="36"/>
    <x v="0"/>
    <x v="2"/>
    <n v="3.4224320260315744E-2"/>
  </r>
  <r>
    <x v="0"/>
    <x v="5"/>
    <x v="2"/>
    <x v="6"/>
    <x v="36"/>
    <x v="0"/>
    <x v="3"/>
    <n v="6.0567609612208279E-2"/>
  </r>
  <r>
    <x v="0"/>
    <x v="5"/>
    <x v="2"/>
    <x v="6"/>
    <x v="36"/>
    <x v="0"/>
    <x v="4"/>
    <n v="0.11549644783480904"/>
  </r>
  <r>
    <x v="0"/>
    <x v="5"/>
    <x v="2"/>
    <x v="6"/>
    <x v="36"/>
    <x v="0"/>
    <x v="5"/>
    <n v="0.19348109325518084"/>
  </r>
  <r>
    <x v="0"/>
    <x v="5"/>
    <x v="2"/>
    <x v="6"/>
    <x v="36"/>
    <x v="0"/>
    <x v="6"/>
    <n v="0.31994631845166166"/>
  </r>
  <r>
    <x v="0"/>
    <x v="5"/>
    <x v="2"/>
    <x v="6"/>
    <x v="37"/>
    <x v="0"/>
    <x v="0"/>
    <n v="3.1945740680456216E-3"/>
  </r>
  <r>
    <x v="0"/>
    <x v="5"/>
    <x v="2"/>
    <x v="6"/>
    <x v="37"/>
    <x v="0"/>
    <x v="1"/>
    <n v="6.7132969210711548E-3"/>
  </r>
  <r>
    <x v="0"/>
    <x v="5"/>
    <x v="2"/>
    <x v="6"/>
    <x v="37"/>
    <x v="0"/>
    <x v="2"/>
    <n v="1.16994564061261E-2"/>
  </r>
  <r>
    <x v="0"/>
    <x v="5"/>
    <x v="2"/>
    <x v="6"/>
    <x v="37"/>
    <x v="0"/>
    <x v="3"/>
    <n v="2.0107761809795881E-2"/>
  </r>
  <r>
    <x v="0"/>
    <x v="5"/>
    <x v="2"/>
    <x v="6"/>
    <x v="37"/>
    <x v="0"/>
    <x v="4"/>
    <n v="3.7686535030386256E-2"/>
  </r>
  <r>
    <x v="0"/>
    <x v="5"/>
    <x v="2"/>
    <x v="6"/>
    <x v="37"/>
    <x v="0"/>
    <x v="5"/>
    <n v="6.2819359256198443E-2"/>
  </r>
  <r>
    <x v="0"/>
    <x v="5"/>
    <x v="2"/>
    <x v="6"/>
    <x v="37"/>
    <x v="0"/>
    <x v="6"/>
    <n v="0.10539819349602168"/>
  </r>
  <r>
    <x v="0"/>
    <x v="5"/>
    <x v="2"/>
    <x v="6"/>
    <x v="38"/>
    <x v="0"/>
    <x v="0"/>
    <n v="4.9159273749687135E-2"/>
  </r>
  <r>
    <x v="0"/>
    <x v="5"/>
    <x v="2"/>
    <x v="6"/>
    <x v="38"/>
    <x v="0"/>
    <x v="1"/>
    <n v="0.11059173064351444"/>
  </r>
  <r>
    <x v="0"/>
    <x v="5"/>
    <x v="2"/>
    <x v="6"/>
    <x v="38"/>
    <x v="0"/>
    <x v="2"/>
    <n v="0.20044425382883826"/>
  </r>
  <r>
    <x v="0"/>
    <x v="5"/>
    <x v="2"/>
    <x v="6"/>
    <x v="38"/>
    <x v="0"/>
    <x v="3"/>
    <n v="0.35434611668342331"/>
  </r>
  <r>
    <x v="0"/>
    <x v="5"/>
    <x v="2"/>
    <x v="6"/>
    <x v="38"/>
    <x v="0"/>
    <x v="4"/>
    <n v="0.67547165010168031"/>
  </r>
  <r>
    <x v="0"/>
    <x v="5"/>
    <x v="2"/>
    <x v="6"/>
    <x v="38"/>
    <x v="0"/>
    <x v="5"/>
    <n v="1.1185091535669569"/>
  </r>
  <r>
    <x v="0"/>
    <x v="5"/>
    <x v="2"/>
    <x v="6"/>
    <x v="38"/>
    <x v="0"/>
    <x v="6"/>
    <n v="1.8289975073699454"/>
  </r>
  <r>
    <x v="0"/>
    <x v="5"/>
    <x v="3"/>
    <x v="5"/>
    <x v="39"/>
    <x v="0"/>
    <x v="0"/>
    <n v="1.3660696421131802"/>
  </r>
  <r>
    <x v="0"/>
    <x v="5"/>
    <x v="3"/>
    <x v="5"/>
    <x v="39"/>
    <x v="0"/>
    <x v="1"/>
    <n v="3.4876150008975593"/>
  </r>
  <r>
    <x v="0"/>
    <x v="5"/>
    <x v="3"/>
    <x v="5"/>
    <x v="39"/>
    <x v="0"/>
    <x v="2"/>
    <n v="8.7229676146653219"/>
  </r>
  <r>
    <x v="0"/>
    <x v="5"/>
    <x v="3"/>
    <x v="5"/>
    <x v="39"/>
    <x v="0"/>
    <x v="3"/>
    <n v="17.047162221675944"/>
  </r>
  <r>
    <x v="0"/>
    <x v="5"/>
    <x v="3"/>
    <x v="5"/>
    <x v="39"/>
    <x v="0"/>
    <x v="4"/>
    <n v="21.081658140468122"/>
  </r>
  <r>
    <x v="0"/>
    <x v="5"/>
    <x v="3"/>
    <x v="5"/>
    <x v="39"/>
    <x v="0"/>
    <x v="5"/>
    <n v="36.170592598812789"/>
  </r>
  <r>
    <x v="0"/>
    <x v="5"/>
    <x v="3"/>
    <x v="5"/>
    <x v="39"/>
    <x v="0"/>
    <x v="6"/>
    <n v="60.593955891564853"/>
  </r>
  <r>
    <x v="0"/>
    <x v="5"/>
    <x v="2"/>
    <x v="6"/>
    <x v="40"/>
    <x v="0"/>
    <x v="0"/>
    <n v="5.5007230879819694E-2"/>
  </r>
  <r>
    <x v="0"/>
    <x v="5"/>
    <x v="2"/>
    <x v="6"/>
    <x v="40"/>
    <x v="0"/>
    <x v="1"/>
    <n v="0.12429334193682962"/>
  </r>
  <r>
    <x v="0"/>
    <x v="5"/>
    <x v="2"/>
    <x v="6"/>
    <x v="40"/>
    <x v="0"/>
    <x v="2"/>
    <n v="0.23755648660067469"/>
  </r>
  <r>
    <x v="0"/>
    <x v="5"/>
    <x v="2"/>
    <x v="6"/>
    <x v="40"/>
    <x v="0"/>
    <x v="3"/>
    <n v="0.43185755588091507"/>
  </r>
  <r>
    <x v="0"/>
    <x v="5"/>
    <x v="2"/>
    <x v="6"/>
    <x v="40"/>
    <x v="0"/>
    <x v="4"/>
    <n v="0.84574163759463383"/>
  </r>
  <r>
    <x v="0"/>
    <x v="5"/>
    <x v="2"/>
    <x v="6"/>
    <x v="40"/>
    <x v="0"/>
    <x v="5"/>
    <n v="1.4312056163090163"/>
  </r>
  <r>
    <x v="0"/>
    <x v="5"/>
    <x v="2"/>
    <x v="6"/>
    <x v="40"/>
    <x v="0"/>
    <x v="6"/>
    <n v="2.3926122166428838"/>
  </r>
  <r>
    <x v="0"/>
    <x v="5"/>
    <x v="2"/>
    <x v="6"/>
    <x v="41"/>
    <x v="0"/>
    <x v="0"/>
    <n v="1.8789086608347865E-2"/>
  </r>
  <r>
    <x v="0"/>
    <x v="5"/>
    <x v="2"/>
    <x v="6"/>
    <x v="41"/>
    <x v="0"/>
    <x v="1"/>
    <n v="4.1894755381895715E-2"/>
  </r>
  <r>
    <x v="0"/>
    <x v="5"/>
    <x v="2"/>
    <x v="6"/>
    <x v="41"/>
    <x v="0"/>
    <x v="2"/>
    <n v="7.9591763613327648E-2"/>
  </r>
  <r>
    <x v="0"/>
    <x v="5"/>
    <x v="2"/>
    <x v="6"/>
    <x v="41"/>
    <x v="0"/>
    <x v="3"/>
    <n v="0.1465901836740251"/>
  </r>
  <r>
    <x v="0"/>
    <x v="5"/>
    <x v="2"/>
    <x v="6"/>
    <x v="41"/>
    <x v="0"/>
    <x v="4"/>
    <n v="0.28510507398452811"/>
  </r>
  <r>
    <x v="0"/>
    <x v="5"/>
    <x v="2"/>
    <x v="6"/>
    <x v="41"/>
    <x v="0"/>
    <x v="5"/>
    <n v="0.48137111646274783"/>
  </r>
  <r>
    <x v="0"/>
    <x v="5"/>
    <x v="2"/>
    <x v="6"/>
    <x v="41"/>
    <x v="0"/>
    <x v="6"/>
    <n v="0.80787511468188755"/>
  </r>
  <r>
    <x v="0"/>
    <x v="5"/>
    <x v="2"/>
    <x v="6"/>
    <x v="42"/>
    <x v="0"/>
    <x v="0"/>
    <n v="2.7446344053537575E-2"/>
  </r>
  <r>
    <x v="0"/>
    <x v="5"/>
    <x v="2"/>
    <x v="6"/>
    <x v="42"/>
    <x v="0"/>
    <x v="1"/>
    <n v="6.1199058211685635E-2"/>
  </r>
  <r>
    <x v="0"/>
    <x v="5"/>
    <x v="2"/>
    <x v="6"/>
    <x v="42"/>
    <x v="0"/>
    <x v="2"/>
    <n v="0.11447538664694454"/>
  </r>
  <r>
    <x v="0"/>
    <x v="5"/>
    <x v="2"/>
    <x v="6"/>
    <x v="42"/>
    <x v="0"/>
    <x v="3"/>
    <n v="0.20674414939036476"/>
  </r>
  <r>
    <x v="0"/>
    <x v="5"/>
    <x v="2"/>
    <x v="6"/>
    <x v="42"/>
    <x v="0"/>
    <x v="4"/>
    <n v="0.40084447095278236"/>
  </r>
  <r>
    <x v="0"/>
    <x v="5"/>
    <x v="2"/>
    <x v="6"/>
    <x v="42"/>
    <x v="0"/>
    <x v="5"/>
    <n v="0.67530278155054324"/>
  </r>
  <r>
    <x v="0"/>
    <x v="5"/>
    <x v="2"/>
    <x v="6"/>
    <x v="42"/>
    <x v="0"/>
    <x v="6"/>
    <n v="1.1187677784231191"/>
  </r>
  <r>
    <x v="0"/>
    <x v="5"/>
    <x v="2"/>
    <x v="6"/>
    <x v="43"/>
    <x v="0"/>
    <x v="0"/>
    <n v="0.12612885612391422"/>
  </r>
  <r>
    <x v="0"/>
    <x v="5"/>
    <x v="2"/>
    <x v="6"/>
    <x v="43"/>
    <x v="0"/>
    <x v="1"/>
    <n v="0.24388795280911441"/>
  </r>
  <r>
    <x v="0"/>
    <x v="5"/>
    <x v="2"/>
    <x v="6"/>
    <x v="43"/>
    <x v="0"/>
    <x v="2"/>
    <n v="0.43719721699113812"/>
  </r>
  <r>
    <x v="0"/>
    <x v="5"/>
    <x v="2"/>
    <x v="6"/>
    <x v="43"/>
    <x v="0"/>
    <x v="3"/>
    <n v="0.72969004245258884"/>
  </r>
  <r>
    <x v="0"/>
    <x v="5"/>
    <x v="2"/>
    <x v="6"/>
    <x v="43"/>
    <x v="0"/>
    <x v="4"/>
    <n v="1.3279875363108644"/>
  </r>
  <r>
    <x v="0"/>
    <x v="5"/>
    <x v="2"/>
    <x v="6"/>
    <x v="43"/>
    <x v="0"/>
    <x v="5"/>
    <n v="2.1370165947906266"/>
  </r>
  <r>
    <x v="0"/>
    <x v="5"/>
    <x v="2"/>
    <x v="6"/>
    <x v="43"/>
    <x v="0"/>
    <x v="6"/>
    <n v="3.3609459705630296"/>
  </r>
  <r>
    <x v="0"/>
    <x v="5"/>
    <x v="4"/>
    <x v="7"/>
    <x v="44"/>
    <x v="0"/>
    <x v="0"/>
    <n v="0.87415215191513218"/>
  </r>
  <r>
    <x v="0"/>
    <x v="5"/>
    <x v="4"/>
    <x v="7"/>
    <x v="44"/>
    <x v="0"/>
    <x v="1"/>
    <n v="2.548098372011951"/>
  </r>
  <r>
    <x v="0"/>
    <x v="5"/>
    <x v="4"/>
    <x v="7"/>
    <x v="44"/>
    <x v="0"/>
    <x v="2"/>
    <n v="4.9250439563768129"/>
  </r>
  <r>
    <x v="0"/>
    <x v="5"/>
    <x v="4"/>
    <x v="7"/>
    <x v="44"/>
    <x v="0"/>
    <x v="3"/>
    <n v="9.5681858406590088"/>
  </r>
  <r>
    <x v="0"/>
    <x v="5"/>
    <x v="4"/>
    <x v="7"/>
    <x v="44"/>
    <x v="0"/>
    <x v="4"/>
    <n v="16.409561922999373"/>
  </r>
  <r>
    <x v="0"/>
    <x v="5"/>
    <x v="4"/>
    <x v="7"/>
    <x v="44"/>
    <x v="0"/>
    <x v="5"/>
    <n v="31.098368714048473"/>
  </r>
  <r>
    <x v="0"/>
    <x v="5"/>
    <x v="4"/>
    <x v="7"/>
    <x v="44"/>
    <x v="0"/>
    <x v="6"/>
    <n v="57.842941122655489"/>
  </r>
  <r>
    <x v="0"/>
    <x v="5"/>
    <x v="4"/>
    <x v="7"/>
    <x v="45"/>
    <x v="0"/>
    <x v="0"/>
    <n v="0"/>
  </r>
  <r>
    <x v="0"/>
    <x v="5"/>
    <x v="4"/>
    <x v="7"/>
    <x v="45"/>
    <x v="0"/>
    <x v="1"/>
    <n v="0"/>
  </r>
  <r>
    <x v="0"/>
    <x v="5"/>
    <x v="4"/>
    <x v="7"/>
    <x v="45"/>
    <x v="0"/>
    <x v="2"/>
    <n v="0"/>
  </r>
  <r>
    <x v="0"/>
    <x v="5"/>
    <x v="4"/>
    <x v="7"/>
    <x v="45"/>
    <x v="0"/>
    <x v="3"/>
    <n v="0"/>
  </r>
  <r>
    <x v="0"/>
    <x v="5"/>
    <x v="4"/>
    <x v="7"/>
    <x v="45"/>
    <x v="0"/>
    <x v="4"/>
    <n v="0"/>
  </r>
  <r>
    <x v="0"/>
    <x v="5"/>
    <x v="4"/>
    <x v="7"/>
    <x v="45"/>
    <x v="0"/>
    <x v="5"/>
    <n v="0"/>
  </r>
  <r>
    <x v="0"/>
    <x v="5"/>
    <x v="4"/>
    <x v="7"/>
    <x v="45"/>
    <x v="0"/>
    <x v="6"/>
    <n v="0"/>
  </r>
  <r>
    <x v="0"/>
    <x v="5"/>
    <x v="4"/>
    <x v="7"/>
    <x v="46"/>
    <x v="0"/>
    <x v="0"/>
    <n v="0"/>
  </r>
  <r>
    <x v="0"/>
    <x v="5"/>
    <x v="4"/>
    <x v="7"/>
    <x v="46"/>
    <x v="0"/>
    <x v="1"/>
    <n v="0"/>
  </r>
  <r>
    <x v="0"/>
    <x v="5"/>
    <x v="4"/>
    <x v="7"/>
    <x v="46"/>
    <x v="0"/>
    <x v="2"/>
    <n v="0"/>
  </r>
  <r>
    <x v="0"/>
    <x v="5"/>
    <x v="4"/>
    <x v="7"/>
    <x v="46"/>
    <x v="0"/>
    <x v="3"/>
    <n v="0"/>
  </r>
  <r>
    <x v="0"/>
    <x v="5"/>
    <x v="4"/>
    <x v="7"/>
    <x v="46"/>
    <x v="0"/>
    <x v="4"/>
    <n v="0"/>
  </r>
  <r>
    <x v="0"/>
    <x v="5"/>
    <x v="4"/>
    <x v="7"/>
    <x v="46"/>
    <x v="0"/>
    <x v="5"/>
    <n v="0"/>
  </r>
  <r>
    <x v="0"/>
    <x v="5"/>
    <x v="4"/>
    <x v="7"/>
    <x v="46"/>
    <x v="0"/>
    <x v="6"/>
    <n v="0"/>
  </r>
  <r>
    <x v="0"/>
    <x v="5"/>
    <x v="4"/>
    <x v="7"/>
    <x v="47"/>
    <x v="0"/>
    <x v="0"/>
    <n v="0"/>
  </r>
  <r>
    <x v="0"/>
    <x v="5"/>
    <x v="4"/>
    <x v="7"/>
    <x v="47"/>
    <x v="0"/>
    <x v="1"/>
    <n v="0"/>
  </r>
  <r>
    <x v="0"/>
    <x v="5"/>
    <x v="4"/>
    <x v="7"/>
    <x v="47"/>
    <x v="0"/>
    <x v="2"/>
    <n v="0"/>
  </r>
  <r>
    <x v="0"/>
    <x v="5"/>
    <x v="4"/>
    <x v="7"/>
    <x v="47"/>
    <x v="0"/>
    <x v="3"/>
    <n v="0"/>
  </r>
  <r>
    <x v="0"/>
    <x v="5"/>
    <x v="4"/>
    <x v="7"/>
    <x v="47"/>
    <x v="0"/>
    <x v="4"/>
    <n v="0"/>
  </r>
  <r>
    <x v="0"/>
    <x v="5"/>
    <x v="4"/>
    <x v="7"/>
    <x v="47"/>
    <x v="0"/>
    <x v="5"/>
    <n v="0"/>
  </r>
  <r>
    <x v="0"/>
    <x v="5"/>
    <x v="4"/>
    <x v="7"/>
    <x v="47"/>
    <x v="0"/>
    <x v="6"/>
    <n v="0"/>
  </r>
  <r>
    <x v="0"/>
    <x v="5"/>
    <x v="4"/>
    <x v="7"/>
    <x v="48"/>
    <x v="0"/>
    <x v="0"/>
    <n v="0"/>
  </r>
  <r>
    <x v="0"/>
    <x v="5"/>
    <x v="4"/>
    <x v="7"/>
    <x v="48"/>
    <x v="0"/>
    <x v="1"/>
    <n v="0"/>
  </r>
  <r>
    <x v="0"/>
    <x v="5"/>
    <x v="4"/>
    <x v="7"/>
    <x v="48"/>
    <x v="0"/>
    <x v="2"/>
    <n v="0"/>
  </r>
  <r>
    <x v="0"/>
    <x v="5"/>
    <x v="4"/>
    <x v="7"/>
    <x v="48"/>
    <x v="0"/>
    <x v="3"/>
    <n v="0"/>
  </r>
  <r>
    <x v="0"/>
    <x v="5"/>
    <x v="4"/>
    <x v="7"/>
    <x v="48"/>
    <x v="0"/>
    <x v="4"/>
    <n v="0"/>
  </r>
  <r>
    <x v="0"/>
    <x v="5"/>
    <x v="4"/>
    <x v="7"/>
    <x v="48"/>
    <x v="0"/>
    <x v="5"/>
    <n v="0"/>
  </r>
  <r>
    <x v="0"/>
    <x v="5"/>
    <x v="4"/>
    <x v="7"/>
    <x v="48"/>
    <x v="0"/>
    <x v="6"/>
    <n v="0"/>
  </r>
  <r>
    <x v="0"/>
    <x v="5"/>
    <x v="4"/>
    <x v="7"/>
    <x v="49"/>
    <x v="0"/>
    <x v="0"/>
    <n v="0"/>
  </r>
  <r>
    <x v="0"/>
    <x v="5"/>
    <x v="4"/>
    <x v="7"/>
    <x v="49"/>
    <x v="0"/>
    <x v="1"/>
    <n v="0"/>
  </r>
  <r>
    <x v="0"/>
    <x v="5"/>
    <x v="4"/>
    <x v="7"/>
    <x v="49"/>
    <x v="0"/>
    <x v="2"/>
    <n v="0"/>
  </r>
  <r>
    <x v="0"/>
    <x v="5"/>
    <x v="4"/>
    <x v="7"/>
    <x v="49"/>
    <x v="0"/>
    <x v="3"/>
    <n v="0"/>
  </r>
  <r>
    <x v="0"/>
    <x v="5"/>
    <x v="4"/>
    <x v="7"/>
    <x v="49"/>
    <x v="0"/>
    <x v="4"/>
    <n v="0"/>
  </r>
  <r>
    <x v="0"/>
    <x v="5"/>
    <x v="4"/>
    <x v="7"/>
    <x v="49"/>
    <x v="0"/>
    <x v="5"/>
    <n v="0"/>
  </r>
  <r>
    <x v="0"/>
    <x v="5"/>
    <x v="4"/>
    <x v="7"/>
    <x v="49"/>
    <x v="0"/>
    <x v="6"/>
    <n v="0"/>
  </r>
  <r>
    <x v="0"/>
    <x v="5"/>
    <x v="4"/>
    <x v="7"/>
    <x v="50"/>
    <x v="0"/>
    <x v="0"/>
    <n v="0"/>
  </r>
  <r>
    <x v="0"/>
    <x v="5"/>
    <x v="4"/>
    <x v="7"/>
    <x v="50"/>
    <x v="0"/>
    <x v="1"/>
    <n v="0"/>
  </r>
  <r>
    <x v="0"/>
    <x v="5"/>
    <x v="4"/>
    <x v="7"/>
    <x v="50"/>
    <x v="0"/>
    <x v="2"/>
    <n v="0"/>
  </r>
  <r>
    <x v="0"/>
    <x v="5"/>
    <x v="4"/>
    <x v="7"/>
    <x v="50"/>
    <x v="0"/>
    <x v="3"/>
    <n v="0"/>
  </r>
  <r>
    <x v="0"/>
    <x v="5"/>
    <x v="4"/>
    <x v="7"/>
    <x v="50"/>
    <x v="0"/>
    <x v="4"/>
    <n v="0"/>
  </r>
  <r>
    <x v="0"/>
    <x v="5"/>
    <x v="4"/>
    <x v="7"/>
    <x v="50"/>
    <x v="0"/>
    <x v="5"/>
    <n v="0"/>
  </r>
  <r>
    <x v="0"/>
    <x v="5"/>
    <x v="4"/>
    <x v="7"/>
    <x v="50"/>
    <x v="0"/>
    <x v="6"/>
    <n v="0"/>
  </r>
  <r>
    <x v="0"/>
    <x v="5"/>
    <x v="5"/>
    <x v="8"/>
    <x v="51"/>
    <x v="0"/>
    <x v="0"/>
    <n v="0.15094191304912558"/>
  </r>
  <r>
    <x v="0"/>
    <x v="5"/>
    <x v="5"/>
    <x v="8"/>
    <x v="51"/>
    <x v="0"/>
    <x v="1"/>
    <n v="0.36095741040680374"/>
  </r>
  <r>
    <x v="0"/>
    <x v="5"/>
    <x v="5"/>
    <x v="8"/>
    <x v="51"/>
    <x v="0"/>
    <x v="2"/>
    <n v="0.99224239405888182"/>
  </r>
  <r>
    <x v="0"/>
    <x v="5"/>
    <x v="5"/>
    <x v="8"/>
    <x v="51"/>
    <x v="0"/>
    <x v="3"/>
    <n v="2.2508214094222914"/>
  </r>
  <r>
    <x v="0"/>
    <x v="5"/>
    <x v="5"/>
    <x v="8"/>
    <x v="51"/>
    <x v="0"/>
    <x v="4"/>
    <n v="3.0626795724572267"/>
  </r>
  <r>
    <x v="0"/>
    <x v="5"/>
    <x v="5"/>
    <x v="8"/>
    <x v="51"/>
    <x v="0"/>
    <x v="5"/>
    <n v="5.1964697161782727"/>
  </r>
  <r>
    <x v="0"/>
    <x v="5"/>
    <x v="5"/>
    <x v="8"/>
    <x v="51"/>
    <x v="0"/>
    <x v="6"/>
    <n v="7.2242077313008028"/>
  </r>
  <r>
    <x v="0"/>
    <x v="5"/>
    <x v="3"/>
    <x v="5"/>
    <x v="52"/>
    <x v="0"/>
    <x v="0"/>
    <n v="0"/>
  </r>
  <r>
    <x v="0"/>
    <x v="5"/>
    <x v="3"/>
    <x v="5"/>
    <x v="52"/>
    <x v="0"/>
    <x v="1"/>
    <n v="0"/>
  </r>
  <r>
    <x v="0"/>
    <x v="5"/>
    <x v="3"/>
    <x v="5"/>
    <x v="52"/>
    <x v="0"/>
    <x v="2"/>
    <n v="0"/>
  </r>
  <r>
    <x v="0"/>
    <x v="5"/>
    <x v="3"/>
    <x v="5"/>
    <x v="52"/>
    <x v="0"/>
    <x v="3"/>
    <n v="0"/>
  </r>
  <r>
    <x v="0"/>
    <x v="5"/>
    <x v="3"/>
    <x v="5"/>
    <x v="52"/>
    <x v="0"/>
    <x v="4"/>
    <n v="0"/>
  </r>
  <r>
    <x v="0"/>
    <x v="5"/>
    <x v="3"/>
    <x v="5"/>
    <x v="52"/>
    <x v="0"/>
    <x v="5"/>
    <n v="0"/>
  </r>
  <r>
    <x v="0"/>
    <x v="5"/>
    <x v="3"/>
    <x v="5"/>
    <x v="52"/>
    <x v="0"/>
    <x v="6"/>
    <n v="0"/>
  </r>
  <r>
    <x v="0"/>
    <x v="5"/>
    <x v="5"/>
    <x v="8"/>
    <x v="53"/>
    <x v="0"/>
    <x v="0"/>
    <n v="0.25041436124319111"/>
  </r>
  <r>
    <x v="0"/>
    <x v="5"/>
    <x v="5"/>
    <x v="8"/>
    <x v="53"/>
    <x v="0"/>
    <x v="1"/>
    <n v="0.79556624043605995"/>
  </r>
  <r>
    <x v="0"/>
    <x v="5"/>
    <x v="5"/>
    <x v="8"/>
    <x v="53"/>
    <x v="0"/>
    <x v="2"/>
    <n v="1.9582842471004023"/>
  </r>
  <r>
    <x v="0"/>
    <x v="5"/>
    <x v="5"/>
    <x v="8"/>
    <x v="53"/>
    <x v="0"/>
    <x v="3"/>
    <n v="4.9337467503769767"/>
  </r>
  <r>
    <x v="0"/>
    <x v="5"/>
    <x v="5"/>
    <x v="8"/>
    <x v="53"/>
    <x v="0"/>
    <x v="4"/>
    <n v="6.7463333763473443"/>
  </r>
  <r>
    <x v="0"/>
    <x v="5"/>
    <x v="5"/>
    <x v="8"/>
    <x v="53"/>
    <x v="0"/>
    <x v="5"/>
    <n v="11.55614587224925"/>
  </r>
  <r>
    <x v="0"/>
    <x v="5"/>
    <x v="5"/>
    <x v="8"/>
    <x v="53"/>
    <x v="0"/>
    <x v="6"/>
    <n v="15.452289990603504"/>
  </r>
  <r>
    <x v="0"/>
    <x v="5"/>
    <x v="4"/>
    <x v="7"/>
    <x v="54"/>
    <x v="0"/>
    <x v="0"/>
    <n v="0"/>
  </r>
  <r>
    <x v="0"/>
    <x v="5"/>
    <x v="4"/>
    <x v="7"/>
    <x v="54"/>
    <x v="0"/>
    <x v="1"/>
    <n v="0"/>
  </r>
  <r>
    <x v="0"/>
    <x v="5"/>
    <x v="4"/>
    <x v="7"/>
    <x v="54"/>
    <x v="0"/>
    <x v="2"/>
    <n v="0"/>
  </r>
  <r>
    <x v="0"/>
    <x v="5"/>
    <x v="4"/>
    <x v="7"/>
    <x v="54"/>
    <x v="0"/>
    <x v="3"/>
    <n v="0"/>
  </r>
  <r>
    <x v="0"/>
    <x v="5"/>
    <x v="4"/>
    <x v="7"/>
    <x v="54"/>
    <x v="0"/>
    <x v="4"/>
    <n v="0"/>
  </r>
  <r>
    <x v="0"/>
    <x v="5"/>
    <x v="4"/>
    <x v="7"/>
    <x v="54"/>
    <x v="0"/>
    <x v="5"/>
    <n v="0"/>
  </r>
  <r>
    <x v="0"/>
    <x v="5"/>
    <x v="4"/>
    <x v="7"/>
    <x v="54"/>
    <x v="0"/>
    <x v="6"/>
    <n v="0"/>
  </r>
  <r>
    <x v="0"/>
    <x v="5"/>
    <x v="4"/>
    <x v="7"/>
    <x v="55"/>
    <x v="0"/>
    <x v="0"/>
    <n v="0"/>
  </r>
  <r>
    <x v="0"/>
    <x v="5"/>
    <x v="4"/>
    <x v="7"/>
    <x v="55"/>
    <x v="0"/>
    <x v="1"/>
    <n v="0"/>
  </r>
  <r>
    <x v="0"/>
    <x v="5"/>
    <x v="4"/>
    <x v="7"/>
    <x v="55"/>
    <x v="0"/>
    <x v="2"/>
    <n v="0"/>
  </r>
  <r>
    <x v="0"/>
    <x v="5"/>
    <x v="4"/>
    <x v="7"/>
    <x v="55"/>
    <x v="0"/>
    <x v="3"/>
    <n v="0"/>
  </r>
  <r>
    <x v="0"/>
    <x v="5"/>
    <x v="4"/>
    <x v="7"/>
    <x v="55"/>
    <x v="0"/>
    <x v="4"/>
    <n v="0"/>
  </r>
  <r>
    <x v="0"/>
    <x v="5"/>
    <x v="4"/>
    <x v="7"/>
    <x v="55"/>
    <x v="0"/>
    <x v="5"/>
    <n v="0"/>
  </r>
  <r>
    <x v="0"/>
    <x v="5"/>
    <x v="4"/>
    <x v="7"/>
    <x v="55"/>
    <x v="0"/>
    <x v="6"/>
    <n v="0"/>
  </r>
  <r>
    <x v="0"/>
    <x v="5"/>
    <x v="4"/>
    <x v="7"/>
    <x v="56"/>
    <x v="0"/>
    <x v="0"/>
    <n v="0"/>
  </r>
  <r>
    <x v="0"/>
    <x v="5"/>
    <x v="4"/>
    <x v="7"/>
    <x v="56"/>
    <x v="0"/>
    <x v="1"/>
    <n v="0"/>
  </r>
  <r>
    <x v="0"/>
    <x v="5"/>
    <x v="4"/>
    <x v="7"/>
    <x v="56"/>
    <x v="0"/>
    <x v="2"/>
    <n v="0"/>
  </r>
  <r>
    <x v="0"/>
    <x v="5"/>
    <x v="4"/>
    <x v="7"/>
    <x v="56"/>
    <x v="0"/>
    <x v="3"/>
    <n v="0"/>
  </r>
  <r>
    <x v="0"/>
    <x v="5"/>
    <x v="4"/>
    <x v="7"/>
    <x v="56"/>
    <x v="0"/>
    <x v="4"/>
    <n v="0"/>
  </r>
  <r>
    <x v="0"/>
    <x v="5"/>
    <x v="4"/>
    <x v="7"/>
    <x v="56"/>
    <x v="0"/>
    <x v="5"/>
    <n v="0"/>
  </r>
  <r>
    <x v="0"/>
    <x v="5"/>
    <x v="4"/>
    <x v="7"/>
    <x v="56"/>
    <x v="0"/>
    <x v="6"/>
    <n v="0"/>
  </r>
  <r>
    <x v="0"/>
    <x v="5"/>
    <x v="4"/>
    <x v="7"/>
    <x v="57"/>
    <x v="0"/>
    <x v="0"/>
    <n v="9.2059602138720442E-3"/>
  </r>
  <r>
    <x v="0"/>
    <x v="5"/>
    <x v="4"/>
    <x v="7"/>
    <x v="57"/>
    <x v="0"/>
    <x v="1"/>
    <n v="3.767765728428215E-2"/>
  </r>
  <r>
    <x v="0"/>
    <x v="5"/>
    <x v="4"/>
    <x v="7"/>
    <x v="57"/>
    <x v="0"/>
    <x v="2"/>
    <n v="0.11535700251789856"/>
  </r>
  <r>
    <x v="0"/>
    <x v="5"/>
    <x v="4"/>
    <x v="7"/>
    <x v="57"/>
    <x v="0"/>
    <x v="3"/>
    <n v="0.342566704503525"/>
  </r>
  <r>
    <x v="0"/>
    <x v="5"/>
    <x v="4"/>
    <x v="7"/>
    <x v="57"/>
    <x v="0"/>
    <x v="4"/>
    <n v="1.0726684169220435"/>
  </r>
  <r>
    <x v="0"/>
    <x v="5"/>
    <x v="4"/>
    <x v="7"/>
    <x v="57"/>
    <x v="0"/>
    <x v="5"/>
    <n v="2.7332368397043401"/>
  </r>
  <r>
    <x v="0"/>
    <x v="5"/>
    <x v="4"/>
    <x v="7"/>
    <x v="57"/>
    <x v="0"/>
    <x v="6"/>
    <n v="6.771714216585039"/>
  </r>
  <r>
    <x v="0"/>
    <x v="5"/>
    <x v="4"/>
    <x v="7"/>
    <x v="58"/>
    <x v="0"/>
    <x v="0"/>
    <n v="0.12141285237023994"/>
  </r>
  <r>
    <x v="0"/>
    <x v="5"/>
    <x v="4"/>
    <x v="7"/>
    <x v="58"/>
    <x v="0"/>
    <x v="1"/>
    <n v="0.3042039818765247"/>
  </r>
  <r>
    <x v="0"/>
    <x v="5"/>
    <x v="4"/>
    <x v="7"/>
    <x v="58"/>
    <x v="0"/>
    <x v="2"/>
    <n v="0.54711436194360663"/>
  </r>
  <r>
    <x v="0"/>
    <x v="5"/>
    <x v="4"/>
    <x v="7"/>
    <x v="58"/>
    <x v="0"/>
    <x v="3"/>
    <n v="0.83689208990820463"/>
  </r>
  <r>
    <x v="0"/>
    <x v="5"/>
    <x v="4"/>
    <x v="7"/>
    <x v="58"/>
    <x v="0"/>
    <x v="4"/>
    <n v="0.97169884135636475"/>
  </r>
  <r>
    <x v="0"/>
    <x v="5"/>
    <x v="4"/>
    <x v="7"/>
    <x v="58"/>
    <x v="0"/>
    <x v="5"/>
    <n v="1.2881449181777915"/>
  </r>
  <r>
    <x v="0"/>
    <x v="5"/>
    <x v="4"/>
    <x v="7"/>
    <x v="58"/>
    <x v="0"/>
    <x v="6"/>
    <n v="1.8202270985114815"/>
  </r>
  <r>
    <x v="0"/>
    <x v="5"/>
    <x v="4"/>
    <x v="7"/>
    <x v="59"/>
    <x v="0"/>
    <x v="0"/>
    <n v="5.4239311516900103E-3"/>
  </r>
  <r>
    <x v="0"/>
    <x v="5"/>
    <x v="4"/>
    <x v="7"/>
    <x v="59"/>
    <x v="0"/>
    <x v="1"/>
    <n v="8.7242685363766777E-3"/>
  </r>
  <r>
    <x v="0"/>
    <x v="5"/>
    <x v="4"/>
    <x v="7"/>
    <x v="59"/>
    <x v="0"/>
    <x v="2"/>
    <n v="2.0315681396963211E-2"/>
  </r>
  <r>
    <x v="0"/>
    <x v="5"/>
    <x v="4"/>
    <x v="7"/>
    <x v="59"/>
    <x v="0"/>
    <x v="3"/>
    <n v="4.6235331729703746E-2"/>
  </r>
  <r>
    <x v="0"/>
    <x v="5"/>
    <x v="4"/>
    <x v="7"/>
    <x v="59"/>
    <x v="0"/>
    <x v="4"/>
    <n v="7.4663707583863884E-2"/>
  </r>
  <r>
    <x v="0"/>
    <x v="5"/>
    <x v="4"/>
    <x v="7"/>
    <x v="59"/>
    <x v="0"/>
    <x v="5"/>
    <n v="0.26678894194212327"/>
  </r>
  <r>
    <x v="0"/>
    <x v="5"/>
    <x v="4"/>
    <x v="7"/>
    <x v="59"/>
    <x v="0"/>
    <x v="6"/>
    <n v="0.71132814354097174"/>
  </r>
  <r>
    <x v="0"/>
    <x v="5"/>
    <x v="4"/>
    <x v="7"/>
    <x v="60"/>
    <x v="0"/>
    <x v="0"/>
    <n v="2.6715227168979419E-5"/>
  </r>
  <r>
    <x v="0"/>
    <x v="5"/>
    <x v="4"/>
    <x v="7"/>
    <x v="60"/>
    <x v="0"/>
    <x v="1"/>
    <n v="1.2219422272702679E-4"/>
  </r>
  <r>
    <x v="0"/>
    <x v="5"/>
    <x v="4"/>
    <x v="7"/>
    <x v="60"/>
    <x v="0"/>
    <x v="2"/>
    <n v="3.1715339568988573E-4"/>
  </r>
  <r>
    <x v="0"/>
    <x v="5"/>
    <x v="4"/>
    <x v="7"/>
    <x v="60"/>
    <x v="0"/>
    <x v="3"/>
    <n v="9.328185938116268E-4"/>
  </r>
  <r>
    <x v="0"/>
    <x v="5"/>
    <x v="4"/>
    <x v="7"/>
    <x v="60"/>
    <x v="0"/>
    <x v="4"/>
    <n v="2.6567671724840049E-3"/>
  </r>
  <r>
    <x v="0"/>
    <x v="5"/>
    <x v="4"/>
    <x v="7"/>
    <x v="60"/>
    <x v="0"/>
    <x v="5"/>
    <n v="6.2586103865413245E-3"/>
  </r>
  <r>
    <x v="0"/>
    <x v="5"/>
    <x v="4"/>
    <x v="7"/>
    <x v="60"/>
    <x v="0"/>
    <x v="6"/>
    <n v="1.4451766548068958E-2"/>
  </r>
  <r>
    <x v="0"/>
    <x v="5"/>
    <x v="4"/>
    <x v="7"/>
    <x v="61"/>
    <x v="0"/>
    <x v="0"/>
    <n v="1.3813496880595475E-3"/>
  </r>
  <r>
    <x v="0"/>
    <x v="5"/>
    <x v="4"/>
    <x v="7"/>
    <x v="61"/>
    <x v="0"/>
    <x v="1"/>
    <n v="8.8989802053543489E-3"/>
  </r>
  <r>
    <x v="0"/>
    <x v="5"/>
    <x v="4"/>
    <x v="7"/>
    <x v="61"/>
    <x v="0"/>
    <x v="2"/>
    <n v="3.4894399110035765E-2"/>
  </r>
  <r>
    <x v="0"/>
    <x v="5"/>
    <x v="4"/>
    <x v="7"/>
    <x v="61"/>
    <x v="0"/>
    <x v="3"/>
    <n v="9.8634273437297859E-2"/>
  </r>
  <r>
    <x v="0"/>
    <x v="5"/>
    <x v="4"/>
    <x v="7"/>
    <x v="61"/>
    <x v="0"/>
    <x v="4"/>
    <n v="0.32041534274904926"/>
  </r>
  <r>
    <x v="0"/>
    <x v="5"/>
    <x v="4"/>
    <x v="7"/>
    <x v="61"/>
    <x v="0"/>
    <x v="5"/>
    <n v="0.94389722416598942"/>
  </r>
  <r>
    <x v="0"/>
    <x v="5"/>
    <x v="4"/>
    <x v="7"/>
    <x v="61"/>
    <x v="0"/>
    <x v="6"/>
    <n v="2.4692144461455983"/>
  </r>
  <r>
    <x v="0"/>
    <x v="5"/>
    <x v="4"/>
    <x v="7"/>
    <x v="62"/>
    <x v="0"/>
    <x v="0"/>
    <n v="6.8973398649180223E-3"/>
  </r>
  <r>
    <x v="0"/>
    <x v="5"/>
    <x v="4"/>
    <x v="7"/>
    <x v="62"/>
    <x v="0"/>
    <x v="1"/>
    <n v="3.4432483380716868E-2"/>
  </r>
  <r>
    <x v="0"/>
    <x v="5"/>
    <x v="4"/>
    <x v="7"/>
    <x v="62"/>
    <x v="0"/>
    <x v="2"/>
    <n v="0.12066615309538613"/>
  </r>
  <r>
    <x v="0"/>
    <x v="5"/>
    <x v="4"/>
    <x v="7"/>
    <x v="62"/>
    <x v="0"/>
    <x v="3"/>
    <n v="0.40540608704388204"/>
  </r>
  <r>
    <x v="0"/>
    <x v="5"/>
    <x v="4"/>
    <x v="7"/>
    <x v="62"/>
    <x v="0"/>
    <x v="4"/>
    <n v="1.380692866767532"/>
  </r>
  <r>
    <x v="0"/>
    <x v="5"/>
    <x v="4"/>
    <x v="7"/>
    <x v="62"/>
    <x v="0"/>
    <x v="5"/>
    <n v="3.864672587997493"/>
  </r>
  <r>
    <x v="0"/>
    <x v="5"/>
    <x v="4"/>
    <x v="7"/>
    <x v="62"/>
    <x v="0"/>
    <x v="6"/>
    <n v="9.6333541856228688"/>
  </r>
  <r>
    <x v="0"/>
    <x v="5"/>
    <x v="4"/>
    <x v="7"/>
    <x v="63"/>
    <x v="0"/>
    <x v="0"/>
    <n v="4.692121193123829E-3"/>
  </r>
  <r>
    <x v="0"/>
    <x v="5"/>
    <x v="4"/>
    <x v="7"/>
    <x v="63"/>
    <x v="0"/>
    <x v="1"/>
    <n v="1.8407676327943372E-2"/>
  </r>
  <r>
    <x v="0"/>
    <x v="5"/>
    <x v="4"/>
    <x v="7"/>
    <x v="63"/>
    <x v="0"/>
    <x v="2"/>
    <n v="5.2841969877898576E-2"/>
  </r>
  <r>
    <x v="0"/>
    <x v="5"/>
    <x v="4"/>
    <x v="7"/>
    <x v="63"/>
    <x v="0"/>
    <x v="3"/>
    <n v="0.14999594418243009"/>
  </r>
  <r>
    <x v="0"/>
    <x v="5"/>
    <x v="4"/>
    <x v="7"/>
    <x v="63"/>
    <x v="0"/>
    <x v="4"/>
    <n v="0.45819110826846693"/>
  </r>
  <r>
    <x v="0"/>
    <x v="5"/>
    <x v="4"/>
    <x v="7"/>
    <x v="63"/>
    <x v="0"/>
    <x v="5"/>
    <n v="1.2137341373717878"/>
  </r>
  <r>
    <x v="0"/>
    <x v="5"/>
    <x v="4"/>
    <x v="7"/>
    <x v="63"/>
    <x v="0"/>
    <x v="6"/>
    <n v="2.8580352790739605"/>
  </r>
  <r>
    <x v="0"/>
    <x v="5"/>
    <x v="4"/>
    <x v="7"/>
    <x v="64"/>
    <x v="0"/>
    <x v="0"/>
    <n v="2.0675285498906542"/>
  </r>
  <r>
    <x v="0"/>
    <x v="5"/>
    <x v="4"/>
    <x v="7"/>
    <x v="64"/>
    <x v="0"/>
    <x v="1"/>
    <n v="6.2067810477056335"/>
  </r>
  <r>
    <x v="0"/>
    <x v="5"/>
    <x v="4"/>
    <x v="7"/>
    <x v="64"/>
    <x v="0"/>
    <x v="2"/>
    <n v="12.57418031456899"/>
  </r>
  <r>
    <x v="0"/>
    <x v="5"/>
    <x v="4"/>
    <x v="7"/>
    <x v="64"/>
    <x v="0"/>
    <x v="3"/>
    <n v="28.795076016754628"/>
  </r>
  <r>
    <x v="0"/>
    <x v="5"/>
    <x v="4"/>
    <x v="7"/>
    <x v="64"/>
    <x v="0"/>
    <x v="4"/>
    <n v="51.35958763564156"/>
  </r>
  <r>
    <x v="0"/>
    <x v="5"/>
    <x v="4"/>
    <x v="7"/>
    <x v="64"/>
    <x v="0"/>
    <x v="5"/>
    <n v="99.056920231212118"/>
  </r>
  <r>
    <x v="0"/>
    <x v="5"/>
    <x v="4"/>
    <x v="7"/>
    <x v="64"/>
    <x v="0"/>
    <x v="6"/>
    <n v="198.2760193067073"/>
  </r>
  <r>
    <x v="0"/>
    <x v="5"/>
    <x v="3"/>
    <x v="5"/>
    <x v="65"/>
    <x v="0"/>
    <x v="0"/>
    <n v="0"/>
  </r>
  <r>
    <x v="0"/>
    <x v="5"/>
    <x v="3"/>
    <x v="5"/>
    <x v="65"/>
    <x v="0"/>
    <x v="1"/>
    <n v="0"/>
  </r>
  <r>
    <x v="0"/>
    <x v="5"/>
    <x v="3"/>
    <x v="5"/>
    <x v="65"/>
    <x v="0"/>
    <x v="2"/>
    <n v="0"/>
  </r>
  <r>
    <x v="0"/>
    <x v="5"/>
    <x v="3"/>
    <x v="5"/>
    <x v="65"/>
    <x v="0"/>
    <x v="3"/>
    <n v="0"/>
  </r>
  <r>
    <x v="0"/>
    <x v="5"/>
    <x v="3"/>
    <x v="5"/>
    <x v="65"/>
    <x v="0"/>
    <x v="4"/>
    <n v="0"/>
  </r>
  <r>
    <x v="0"/>
    <x v="5"/>
    <x v="3"/>
    <x v="5"/>
    <x v="65"/>
    <x v="0"/>
    <x v="5"/>
    <n v="0"/>
  </r>
  <r>
    <x v="0"/>
    <x v="5"/>
    <x v="3"/>
    <x v="5"/>
    <x v="65"/>
    <x v="0"/>
    <x v="6"/>
    <n v="0"/>
  </r>
  <r>
    <x v="0"/>
    <x v="5"/>
    <x v="3"/>
    <x v="5"/>
    <x v="66"/>
    <x v="0"/>
    <x v="0"/>
    <n v="0.46423994260227441"/>
  </r>
  <r>
    <x v="0"/>
    <x v="5"/>
    <x v="3"/>
    <x v="5"/>
    <x v="66"/>
    <x v="0"/>
    <x v="1"/>
    <n v="1.0200330462943441"/>
  </r>
  <r>
    <x v="0"/>
    <x v="5"/>
    <x v="3"/>
    <x v="5"/>
    <x v="66"/>
    <x v="0"/>
    <x v="2"/>
    <n v="1.8944160770370417"/>
  </r>
  <r>
    <x v="0"/>
    <x v="5"/>
    <x v="3"/>
    <x v="5"/>
    <x v="66"/>
    <x v="0"/>
    <x v="3"/>
    <n v="3.2278676241586259"/>
  </r>
  <r>
    <x v="0"/>
    <x v="5"/>
    <x v="3"/>
    <x v="5"/>
    <x v="66"/>
    <x v="0"/>
    <x v="4"/>
    <n v="3.7120672877102594"/>
  </r>
  <r>
    <x v="0"/>
    <x v="5"/>
    <x v="3"/>
    <x v="5"/>
    <x v="66"/>
    <x v="0"/>
    <x v="5"/>
    <n v="4.5936363418461585"/>
  </r>
  <r>
    <x v="0"/>
    <x v="5"/>
    <x v="3"/>
    <x v="5"/>
    <x v="66"/>
    <x v="0"/>
    <x v="6"/>
    <n v="4.2910739266025884"/>
  </r>
  <r>
    <x v="0"/>
    <x v="5"/>
    <x v="3"/>
    <x v="5"/>
    <x v="67"/>
    <x v="0"/>
    <x v="0"/>
    <n v="0"/>
  </r>
  <r>
    <x v="0"/>
    <x v="5"/>
    <x v="3"/>
    <x v="5"/>
    <x v="67"/>
    <x v="0"/>
    <x v="1"/>
    <n v="0"/>
  </r>
  <r>
    <x v="0"/>
    <x v="5"/>
    <x v="3"/>
    <x v="5"/>
    <x v="67"/>
    <x v="0"/>
    <x v="2"/>
    <n v="0"/>
  </r>
  <r>
    <x v="0"/>
    <x v="5"/>
    <x v="3"/>
    <x v="5"/>
    <x v="67"/>
    <x v="0"/>
    <x v="3"/>
    <n v="0"/>
  </r>
  <r>
    <x v="0"/>
    <x v="5"/>
    <x v="3"/>
    <x v="5"/>
    <x v="67"/>
    <x v="0"/>
    <x v="4"/>
    <n v="0"/>
  </r>
  <r>
    <x v="0"/>
    <x v="5"/>
    <x v="3"/>
    <x v="5"/>
    <x v="67"/>
    <x v="0"/>
    <x v="5"/>
    <n v="0"/>
  </r>
  <r>
    <x v="0"/>
    <x v="5"/>
    <x v="3"/>
    <x v="5"/>
    <x v="67"/>
    <x v="0"/>
    <x v="6"/>
    <n v="0"/>
  </r>
  <r>
    <x v="0"/>
    <x v="5"/>
    <x v="3"/>
    <x v="5"/>
    <x v="68"/>
    <x v="0"/>
    <x v="0"/>
    <n v="0.38363336616072119"/>
  </r>
  <r>
    <x v="0"/>
    <x v="5"/>
    <x v="3"/>
    <x v="5"/>
    <x v="68"/>
    <x v="0"/>
    <x v="1"/>
    <n v="1.1174593880065415"/>
  </r>
  <r>
    <x v="0"/>
    <x v="5"/>
    <x v="3"/>
    <x v="5"/>
    <x v="68"/>
    <x v="0"/>
    <x v="2"/>
    <n v="2.6541763832324663"/>
  </r>
  <r>
    <x v="0"/>
    <x v="5"/>
    <x v="3"/>
    <x v="5"/>
    <x v="68"/>
    <x v="0"/>
    <x v="3"/>
    <n v="5.2388678994496649"/>
  </r>
  <r>
    <x v="0"/>
    <x v="5"/>
    <x v="3"/>
    <x v="5"/>
    <x v="68"/>
    <x v="0"/>
    <x v="4"/>
    <n v="5.8506524715128094"/>
  </r>
  <r>
    <x v="0"/>
    <x v="5"/>
    <x v="3"/>
    <x v="5"/>
    <x v="68"/>
    <x v="0"/>
    <x v="5"/>
    <n v="7.1679029385866198"/>
  </r>
  <r>
    <x v="0"/>
    <x v="5"/>
    <x v="3"/>
    <x v="5"/>
    <x v="68"/>
    <x v="0"/>
    <x v="6"/>
    <n v="7.5907432563871371"/>
  </r>
  <r>
    <x v="0"/>
    <x v="5"/>
    <x v="3"/>
    <x v="5"/>
    <x v="69"/>
    <x v="0"/>
    <x v="0"/>
    <n v="0.24881832541710416"/>
  </r>
  <r>
    <x v="0"/>
    <x v="5"/>
    <x v="3"/>
    <x v="5"/>
    <x v="69"/>
    <x v="0"/>
    <x v="1"/>
    <n v="0.62163776550619909"/>
  </r>
  <r>
    <x v="0"/>
    <x v="5"/>
    <x v="3"/>
    <x v="5"/>
    <x v="69"/>
    <x v="0"/>
    <x v="2"/>
    <n v="1.27407565987055"/>
  </r>
  <r>
    <x v="0"/>
    <x v="5"/>
    <x v="3"/>
    <x v="5"/>
    <x v="69"/>
    <x v="0"/>
    <x v="3"/>
    <n v="2.0583367264526609"/>
  </r>
  <r>
    <x v="0"/>
    <x v="5"/>
    <x v="3"/>
    <x v="5"/>
    <x v="69"/>
    <x v="0"/>
    <x v="4"/>
    <n v="2.5591057907120716"/>
  </r>
  <r>
    <x v="0"/>
    <x v="5"/>
    <x v="3"/>
    <x v="5"/>
    <x v="69"/>
    <x v="0"/>
    <x v="5"/>
    <n v="3.4658575760305492"/>
  </r>
  <r>
    <x v="0"/>
    <x v="5"/>
    <x v="3"/>
    <x v="5"/>
    <x v="69"/>
    <x v="0"/>
    <x v="6"/>
    <n v="4.137274518156425"/>
  </r>
  <r>
    <x v="0"/>
    <x v="5"/>
    <x v="3"/>
    <x v="5"/>
    <x v="70"/>
    <x v="0"/>
    <x v="0"/>
    <n v="0.64603687175689295"/>
  </r>
  <r>
    <x v="0"/>
    <x v="5"/>
    <x v="3"/>
    <x v="5"/>
    <x v="70"/>
    <x v="0"/>
    <x v="1"/>
    <n v="1.4915756621472651"/>
  </r>
  <r>
    <x v="0"/>
    <x v="5"/>
    <x v="3"/>
    <x v="5"/>
    <x v="70"/>
    <x v="0"/>
    <x v="2"/>
    <n v="3.1473469338027011"/>
  </r>
  <r>
    <x v="0"/>
    <x v="5"/>
    <x v="3"/>
    <x v="5"/>
    <x v="70"/>
    <x v="0"/>
    <x v="3"/>
    <n v="5.5759133251142705"/>
  </r>
  <r>
    <x v="0"/>
    <x v="5"/>
    <x v="3"/>
    <x v="5"/>
    <x v="70"/>
    <x v="0"/>
    <x v="4"/>
    <n v="7.4829195138186222"/>
  </r>
  <r>
    <x v="0"/>
    <x v="5"/>
    <x v="3"/>
    <x v="5"/>
    <x v="70"/>
    <x v="0"/>
    <x v="5"/>
    <n v="10.994338233665754"/>
  </r>
  <r>
    <x v="0"/>
    <x v="5"/>
    <x v="3"/>
    <x v="5"/>
    <x v="70"/>
    <x v="0"/>
    <x v="6"/>
    <n v="17.029221626924016"/>
  </r>
  <r>
    <x v="0"/>
    <x v="5"/>
    <x v="3"/>
    <x v="5"/>
    <x v="71"/>
    <x v="0"/>
    <x v="0"/>
    <n v="3.2129354556257637"/>
  </r>
  <r>
    <x v="0"/>
    <x v="5"/>
    <x v="3"/>
    <x v="5"/>
    <x v="71"/>
    <x v="0"/>
    <x v="1"/>
    <n v="6.4872198722828136"/>
  </r>
  <r>
    <x v="0"/>
    <x v="5"/>
    <x v="3"/>
    <x v="5"/>
    <x v="71"/>
    <x v="0"/>
    <x v="2"/>
    <n v="11.618447593354976"/>
  </r>
  <r>
    <x v="0"/>
    <x v="5"/>
    <x v="3"/>
    <x v="5"/>
    <x v="71"/>
    <x v="0"/>
    <x v="3"/>
    <n v="17.260017179642041"/>
  </r>
  <r>
    <x v="0"/>
    <x v="5"/>
    <x v="3"/>
    <x v="5"/>
    <x v="71"/>
    <x v="0"/>
    <x v="4"/>
    <n v="18.845675218927621"/>
  </r>
  <r>
    <x v="0"/>
    <x v="5"/>
    <x v="3"/>
    <x v="5"/>
    <x v="71"/>
    <x v="0"/>
    <x v="5"/>
    <n v="23.663684406053928"/>
  </r>
  <r>
    <x v="0"/>
    <x v="5"/>
    <x v="3"/>
    <x v="5"/>
    <x v="71"/>
    <x v="0"/>
    <x v="6"/>
    <n v="28.313513797747333"/>
  </r>
  <r>
    <x v="0"/>
    <x v="5"/>
    <x v="3"/>
    <x v="5"/>
    <x v="72"/>
    <x v="0"/>
    <x v="0"/>
    <n v="1.09671958242718"/>
  </r>
  <r>
    <x v="0"/>
    <x v="5"/>
    <x v="3"/>
    <x v="5"/>
    <x v="72"/>
    <x v="0"/>
    <x v="1"/>
    <n v="2.5083247080769082"/>
  </r>
  <r>
    <x v="0"/>
    <x v="5"/>
    <x v="3"/>
    <x v="5"/>
    <x v="72"/>
    <x v="0"/>
    <x v="2"/>
    <n v="4.8130715934681589"/>
  </r>
  <r>
    <x v="0"/>
    <x v="5"/>
    <x v="3"/>
    <x v="5"/>
    <x v="72"/>
    <x v="0"/>
    <x v="3"/>
    <n v="6.8117239200302961"/>
  </r>
  <r>
    <x v="0"/>
    <x v="5"/>
    <x v="3"/>
    <x v="5"/>
    <x v="72"/>
    <x v="0"/>
    <x v="4"/>
    <n v="7.9192038265662372"/>
  </r>
  <r>
    <x v="0"/>
    <x v="5"/>
    <x v="3"/>
    <x v="5"/>
    <x v="72"/>
    <x v="0"/>
    <x v="5"/>
    <n v="10.440304319598509"/>
  </r>
  <r>
    <x v="0"/>
    <x v="5"/>
    <x v="3"/>
    <x v="5"/>
    <x v="72"/>
    <x v="0"/>
    <x v="6"/>
    <n v="11.904985716606989"/>
  </r>
  <r>
    <x v="0"/>
    <x v="5"/>
    <x v="3"/>
    <x v="5"/>
    <x v="73"/>
    <x v="0"/>
    <x v="0"/>
    <n v="7.0504244058984727E-2"/>
  </r>
  <r>
    <x v="0"/>
    <x v="5"/>
    <x v="3"/>
    <x v="5"/>
    <x v="73"/>
    <x v="0"/>
    <x v="1"/>
    <n v="0.16630166823756784"/>
  </r>
  <r>
    <x v="0"/>
    <x v="5"/>
    <x v="3"/>
    <x v="5"/>
    <x v="73"/>
    <x v="0"/>
    <x v="2"/>
    <n v="0.31945374583006836"/>
  </r>
  <r>
    <x v="0"/>
    <x v="5"/>
    <x v="3"/>
    <x v="5"/>
    <x v="73"/>
    <x v="0"/>
    <x v="3"/>
    <n v="0.538429940327245"/>
  </r>
  <r>
    <x v="0"/>
    <x v="5"/>
    <x v="3"/>
    <x v="5"/>
    <x v="73"/>
    <x v="0"/>
    <x v="4"/>
    <n v="0.6575171390694825"/>
  </r>
  <r>
    <x v="0"/>
    <x v="5"/>
    <x v="3"/>
    <x v="5"/>
    <x v="73"/>
    <x v="0"/>
    <x v="5"/>
    <n v="1.0092861402229272"/>
  </r>
  <r>
    <x v="0"/>
    <x v="5"/>
    <x v="3"/>
    <x v="5"/>
    <x v="73"/>
    <x v="0"/>
    <x v="6"/>
    <n v="1.3978649725369394"/>
  </r>
  <r>
    <x v="0"/>
    <x v="5"/>
    <x v="5"/>
    <x v="8"/>
    <x v="74"/>
    <x v="0"/>
    <x v="0"/>
    <n v="4.1117396505139375E-2"/>
  </r>
  <r>
    <x v="0"/>
    <x v="5"/>
    <x v="5"/>
    <x v="8"/>
    <x v="74"/>
    <x v="0"/>
    <x v="1"/>
    <n v="9.8527045840935704E-2"/>
  </r>
  <r>
    <x v="0"/>
    <x v="5"/>
    <x v="5"/>
    <x v="8"/>
    <x v="74"/>
    <x v="0"/>
    <x v="2"/>
    <n v="0.220611594672663"/>
  </r>
  <r>
    <x v="0"/>
    <x v="5"/>
    <x v="5"/>
    <x v="8"/>
    <x v="74"/>
    <x v="0"/>
    <x v="3"/>
    <n v="0.44750836193092886"/>
  </r>
  <r>
    <x v="0"/>
    <x v="5"/>
    <x v="5"/>
    <x v="8"/>
    <x v="74"/>
    <x v="0"/>
    <x v="4"/>
    <n v="0.7288988256590947"/>
  </r>
  <r>
    <x v="0"/>
    <x v="5"/>
    <x v="5"/>
    <x v="8"/>
    <x v="74"/>
    <x v="0"/>
    <x v="5"/>
    <n v="1.3155807897533613"/>
  </r>
  <r>
    <x v="0"/>
    <x v="5"/>
    <x v="5"/>
    <x v="8"/>
    <x v="74"/>
    <x v="0"/>
    <x v="6"/>
    <n v="1.8010395825264744"/>
  </r>
  <r>
    <x v="0"/>
    <x v="5"/>
    <x v="5"/>
    <x v="8"/>
    <x v="75"/>
    <x v="0"/>
    <x v="0"/>
    <n v="1.3615071513837655"/>
  </r>
  <r>
    <x v="0"/>
    <x v="5"/>
    <x v="5"/>
    <x v="8"/>
    <x v="75"/>
    <x v="0"/>
    <x v="1"/>
    <n v="3.5478232571943655"/>
  </r>
  <r>
    <x v="0"/>
    <x v="5"/>
    <x v="5"/>
    <x v="8"/>
    <x v="75"/>
    <x v="0"/>
    <x v="2"/>
    <n v="7.8315203929541157"/>
  </r>
  <r>
    <x v="0"/>
    <x v="5"/>
    <x v="5"/>
    <x v="8"/>
    <x v="75"/>
    <x v="0"/>
    <x v="3"/>
    <n v="16.144909463466384"/>
  </r>
  <r>
    <x v="0"/>
    <x v="5"/>
    <x v="5"/>
    <x v="8"/>
    <x v="75"/>
    <x v="0"/>
    <x v="4"/>
    <n v="19.802067674024464"/>
  </r>
  <r>
    <x v="0"/>
    <x v="5"/>
    <x v="5"/>
    <x v="8"/>
    <x v="75"/>
    <x v="0"/>
    <x v="5"/>
    <n v="32.134072753176149"/>
  </r>
  <r>
    <x v="0"/>
    <x v="5"/>
    <x v="5"/>
    <x v="8"/>
    <x v="75"/>
    <x v="0"/>
    <x v="6"/>
    <n v="46.569296119033879"/>
  </r>
  <r>
    <x v="0"/>
    <x v="5"/>
    <x v="5"/>
    <x v="8"/>
    <x v="76"/>
    <x v="0"/>
    <x v="0"/>
    <n v="0.78455629221417522"/>
  </r>
  <r>
    <x v="0"/>
    <x v="5"/>
    <x v="5"/>
    <x v="8"/>
    <x v="76"/>
    <x v="0"/>
    <x v="1"/>
    <n v="1.8295991851805655"/>
  </r>
  <r>
    <x v="0"/>
    <x v="5"/>
    <x v="5"/>
    <x v="8"/>
    <x v="76"/>
    <x v="0"/>
    <x v="2"/>
    <n v="3.5352066498320536"/>
  </r>
  <r>
    <x v="0"/>
    <x v="5"/>
    <x v="5"/>
    <x v="8"/>
    <x v="76"/>
    <x v="0"/>
    <x v="3"/>
    <n v="6.655621366754656"/>
  </r>
  <r>
    <x v="0"/>
    <x v="5"/>
    <x v="5"/>
    <x v="8"/>
    <x v="76"/>
    <x v="0"/>
    <x v="4"/>
    <n v="8.74923423089745"/>
  </r>
  <r>
    <x v="0"/>
    <x v="5"/>
    <x v="5"/>
    <x v="8"/>
    <x v="76"/>
    <x v="0"/>
    <x v="5"/>
    <n v="14.364877555830695"/>
  </r>
  <r>
    <x v="0"/>
    <x v="5"/>
    <x v="5"/>
    <x v="8"/>
    <x v="76"/>
    <x v="0"/>
    <x v="6"/>
    <n v="21.293694641487729"/>
  </r>
  <r>
    <x v="0"/>
    <x v="5"/>
    <x v="5"/>
    <x v="8"/>
    <x v="77"/>
    <x v="0"/>
    <x v="0"/>
    <n v="0.15460496297050866"/>
  </r>
  <r>
    <x v="0"/>
    <x v="5"/>
    <x v="5"/>
    <x v="8"/>
    <x v="77"/>
    <x v="0"/>
    <x v="1"/>
    <n v="0.45955298733089844"/>
  </r>
  <r>
    <x v="0"/>
    <x v="5"/>
    <x v="5"/>
    <x v="8"/>
    <x v="77"/>
    <x v="0"/>
    <x v="2"/>
    <n v="0.92546676187937527"/>
  </r>
  <r>
    <x v="0"/>
    <x v="5"/>
    <x v="5"/>
    <x v="8"/>
    <x v="77"/>
    <x v="0"/>
    <x v="3"/>
    <n v="1.760249507361733"/>
  </r>
  <r>
    <x v="0"/>
    <x v="5"/>
    <x v="5"/>
    <x v="8"/>
    <x v="77"/>
    <x v="0"/>
    <x v="4"/>
    <n v="2.0901121109885636"/>
  </r>
  <r>
    <x v="0"/>
    <x v="5"/>
    <x v="5"/>
    <x v="8"/>
    <x v="77"/>
    <x v="0"/>
    <x v="5"/>
    <n v="3.4994806194631254"/>
  </r>
  <r>
    <x v="0"/>
    <x v="5"/>
    <x v="5"/>
    <x v="8"/>
    <x v="77"/>
    <x v="0"/>
    <x v="6"/>
    <n v="5.6527489662423971"/>
  </r>
  <r>
    <x v="0"/>
    <x v="5"/>
    <x v="5"/>
    <x v="8"/>
    <x v="78"/>
    <x v="0"/>
    <x v="0"/>
    <n v="0.80230730002825534"/>
  </r>
  <r>
    <x v="0"/>
    <x v="5"/>
    <x v="5"/>
    <x v="8"/>
    <x v="78"/>
    <x v="0"/>
    <x v="1"/>
    <n v="1.8308443474755911"/>
  </r>
  <r>
    <x v="0"/>
    <x v="5"/>
    <x v="5"/>
    <x v="8"/>
    <x v="78"/>
    <x v="0"/>
    <x v="2"/>
    <n v="3.7006748607111062"/>
  </r>
  <r>
    <x v="0"/>
    <x v="5"/>
    <x v="5"/>
    <x v="8"/>
    <x v="78"/>
    <x v="0"/>
    <x v="3"/>
    <n v="7.3338767296145386"/>
  </r>
  <r>
    <x v="0"/>
    <x v="5"/>
    <x v="5"/>
    <x v="8"/>
    <x v="78"/>
    <x v="0"/>
    <x v="4"/>
    <n v="8.5362313139778152"/>
  </r>
  <r>
    <x v="0"/>
    <x v="5"/>
    <x v="5"/>
    <x v="8"/>
    <x v="78"/>
    <x v="0"/>
    <x v="5"/>
    <n v="13.491713028981849"/>
  </r>
  <r>
    <x v="0"/>
    <x v="5"/>
    <x v="5"/>
    <x v="8"/>
    <x v="78"/>
    <x v="0"/>
    <x v="6"/>
    <n v="19.076397225601536"/>
  </r>
  <r>
    <x v="0"/>
    <x v="5"/>
    <x v="5"/>
    <x v="8"/>
    <x v="79"/>
    <x v="0"/>
    <x v="0"/>
    <n v="0.16453460505607728"/>
  </r>
  <r>
    <x v="0"/>
    <x v="5"/>
    <x v="5"/>
    <x v="8"/>
    <x v="79"/>
    <x v="0"/>
    <x v="1"/>
    <n v="0.43101994459565307"/>
  </r>
  <r>
    <x v="0"/>
    <x v="5"/>
    <x v="5"/>
    <x v="8"/>
    <x v="79"/>
    <x v="0"/>
    <x v="2"/>
    <n v="0.87955390814311862"/>
  </r>
  <r>
    <x v="0"/>
    <x v="5"/>
    <x v="5"/>
    <x v="8"/>
    <x v="79"/>
    <x v="0"/>
    <x v="3"/>
    <n v="1.6359292751607908"/>
  </r>
  <r>
    <x v="0"/>
    <x v="5"/>
    <x v="5"/>
    <x v="8"/>
    <x v="79"/>
    <x v="0"/>
    <x v="4"/>
    <n v="1.9775782538124516"/>
  </r>
  <r>
    <x v="0"/>
    <x v="5"/>
    <x v="5"/>
    <x v="8"/>
    <x v="79"/>
    <x v="0"/>
    <x v="5"/>
    <n v="3.1038095117021318"/>
  </r>
  <r>
    <x v="0"/>
    <x v="5"/>
    <x v="5"/>
    <x v="8"/>
    <x v="79"/>
    <x v="0"/>
    <x v="6"/>
    <n v="4.7339412947793926"/>
  </r>
  <r>
    <x v="0"/>
    <x v="5"/>
    <x v="5"/>
    <x v="8"/>
    <x v="80"/>
    <x v="0"/>
    <x v="0"/>
    <n v="1.5276241857478774"/>
  </r>
  <r>
    <x v="0"/>
    <x v="5"/>
    <x v="5"/>
    <x v="8"/>
    <x v="80"/>
    <x v="0"/>
    <x v="1"/>
    <n v="4.9425201572259425"/>
  </r>
  <r>
    <x v="0"/>
    <x v="5"/>
    <x v="5"/>
    <x v="8"/>
    <x v="80"/>
    <x v="0"/>
    <x v="2"/>
    <n v="13.598971173592531"/>
  </r>
  <r>
    <x v="0"/>
    <x v="5"/>
    <x v="5"/>
    <x v="8"/>
    <x v="80"/>
    <x v="0"/>
    <x v="3"/>
    <n v="31.929580173631816"/>
  </r>
  <r>
    <x v="0"/>
    <x v="5"/>
    <x v="5"/>
    <x v="8"/>
    <x v="80"/>
    <x v="0"/>
    <x v="4"/>
    <n v="43.010419665957691"/>
  </r>
  <r>
    <x v="0"/>
    <x v="5"/>
    <x v="5"/>
    <x v="8"/>
    <x v="80"/>
    <x v="0"/>
    <x v="5"/>
    <n v="64.406269428164023"/>
  </r>
  <r>
    <x v="0"/>
    <x v="5"/>
    <x v="5"/>
    <x v="8"/>
    <x v="80"/>
    <x v="0"/>
    <x v="6"/>
    <n v="82.375254448190574"/>
  </r>
  <r>
    <x v="0"/>
    <x v="5"/>
    <x v="5"/>
    <x v="8"/>
    <x v="81"/>
    <x v="0"/>
    <x v="0"/>
    <n v="0.8167670054224726"/>
  </r>
  <r>
    <x v="0"/>
    <x v="5"/>
    <x v="5"/>
    <x v="8"/>
    <x v="81"/>
    <x v="0"/>
    <x v="1"/>
    <n v="2.5619342837498422"/>
  </r>
  <r>
    <x v="0"/>
    <x v="5"/>
    <x v="5"/>
    <x v="8"/>
    <x v="81"/>
    <x v="0"/>
    <x v="2"/>
    <n v="5.0523254769805792"/>
  </r>
  <r>
    <x v="0"/>
    <x v="5"/>
    <x v="5"/>
    <x v="8"/>
    <x v="81"/>
    <x v="0"/>
    <x v="3"/>
    <n v="9.4832476645812172"/>
  </r>
  <r>
    <x v="0"/>
    <x v="5"/>
    <x v="5"/>
    <x v="8"/>
    <x v="81"/>
    <x v="0"/>
    <x v="4"/>
    <n v="11.652246014035928"/>
  </r>
  <r>
    <x v="0"/>
    <x v="5"/>
    <x v="5"/>
    <x v="8"/>
    <x v="81"/>
    <x v="0"/>
    <x v="5"/>
    <n v="19.511194829341026"/>
  </r>
  <r>
    <x v="0"/>
    <x v="5"/>
    <x v="5"/>
    <x v="8"/>
    <x v="81"/>
    <x v="0"/>
    <x v="6"/>
    <n v="29.924541383601149"/>
  </r>
  <r>
    <x v="0"/>
    <x v="5"/>
    <x v="5"/>
    <x v="8"/>
    <x v="82"/>
    <x v="0"/>
    <x v="0"/>
    <n v="1.6819527632950608"/>
  </r>
  <r>
    <x v="0"/>
    <x v="5"/>
    <x v="5"/>
    <x v="8"/>
    <x v="82"/>
    <x v="0"/>
    <x v="1"/>
    <n v="3.8720115080620463"/>
  </r>
  <r>
    <x v="0"/>
    <x v="5"/>
    <x v="5"/>
    <x v="8"/>
    <x v="82"/>
    <x v="0"/>
    <x v="2"/>
    <n v="8.7720288471362267"/>
  </r>
  <r>
    <x v="0"/>
    <x v="5"/>
    <x v="5"/>
    <x v="8"/>
    <x v="82"/>
    <x v="0"/>
    <x v="3"/>
    <n v="17.786146893297065"/>
  </r>
  <r>
    <x v="0"/>
    <x v="5"/>
    <x v="5"/>
    <x v="8"/>
    <x v="82"/>
    <x v="0"/>
    <x v="4"/>
    <n v="19.78538044997601"/>
  </r>
  <r>
    <x v="0"/>
    <x v="5"/>
    <x v="5"/>
    <x v="8"/>
    <x v="82"/>
    <x v="0"/>
    <x v="5"/>
    <n v="30.384813776904288"/>
  </r>
  <r>
    <x v="0"/>
    <x v="5"/>
    <x v="5"/>
    <x v="8"/>
    <x v="82"/>
    <x v="0"/>
    <x v="6"/>
    <n v="44.178018278882021"/>
  </r>
  <r>
    <x v="0"/>
    <x v="5"/>
    <x v="5"/>
    <x v="8"/>
    <x v="83"/>
    <x v="0"/>
    <x v="0"/>
    <n v="5.6582724664745697E-2"/>
  </r>
  <r>
    <x v="0"/>
    <x v="5"/>
    <x v="5"/>
    <x v="8"/>
    <x v="83"/>
    <x v="0"/>
    <x v="1"/>
    <n v="0.13401387849049465"/>
  </r>
  <r>
    <x v="0"/>
    <x v="5"/>
    <x v="5"/>
    <x v="8"/>
    <x v="83"/>
    <x v="0"/>
    <x v="2"/>
    <n v="0.2770175715127951"/>
  </r>
  <r>
    <x v="0"/>
    <x v="5"/>
    <x v="5"/>
    <x v="8"/>
    <x v="83"/>
    <x v="0"/>
    <x v="3"/>
    <n v="0.48062634611708854"/>
  </r>
  <r>
    <x v="0"/>
    <x v="5"/>
    <x v="5"/>
    <x v="8"/>
    <x v="83"/>
    <x v="0"/>
    <x v="4"/>
    <n v="0.55843707512063734"/>
  </r>
  <r>
    <x v="0"/>
    <x v="5"/>
    <x v="5"/>
    <x v="8"/>
    <x v="83"/>
    <x v="0"/>
    <x v="5"/>
    <n v="0.91594527282379901"/>
  </r>
  <r>
    <x v="0"/>
    <x v="5"/>
    <x v="5"/>
    <x v="8"/>
    <x v="83"/>
    <x v="0"/>
    <x v="6"/>
    <n v="1.4135928047197774"/>
  </r>
  <r>
    <x v="0"/>
    <x v="6"/>
    <x v="0"/>
    <x v="0"/>
    <x v="0"/>
    <x v="0"/>
    <x v="0"/>
    <n v="0"/>
  </r>
  <r>
    <x v="0"/>
    <x v="6"/>
    <x v="0"/>
    <x v="0"/>
    <x v="0"/>
    <x v="0"/>
    <x v="1"/>
    <n v="0"/>
  </r>
  <r>
    <x v="0"/>
    <x v="6"/>
    <x v="0"/>
    <x v="0"/>
    <x v="0"/>
    <x v="0"/>
    <x v="2"/>
    <n v="0"/>
  </r>
  <r>
    <x v="0"/>
    <x v="6"/>
    <x v="0"/>
    <x v="0"/>
    <x v="0"/>
    <x v="0"/>
    <x v="3"/>
    <n v="0"/>
  </r>
  <r>
    <x v="0"/>
    <x v="6"/>
    <x v="0"/>
    <x v="0"/>
    <x v="0"/>
    <x v="0"/>
    <x v="4"/>
    <n v="0"/>
  </r>
  <r>
    <x v="0"/>
    <x v="6"/>
    <x v="0"/>
    <x v="0"/>
    <x v="0"/>
    <x v="0"/>
    <x v="5"/>
    <n v="0"/>
  </r>
  <r>
    <x v="0"/>
    <x v="6"/>
    <x v="0"/>
    <x v="0"/>
    <x v="0"/>
    <x v="0"/>
    <x v="6"/>
    <n v="0"/>
  </r>
  <r>
    <x v="0"/>
    <x v="6"/>
    <x v="0"/>
    <x v="1"/>
    <x v="1"/>
    <x v="0"/>
    <x v="0"/>
    <n v="0"/>
  </r>
  <r>
    <x v="0"/>
    <x v="6"/>
    <x v="0"/>
    <x v="1"/>
    <x v="1"/>
    <x v="0"/>
    <x v="1"/>
    <n v="0"/>
  </r>
  <r>
    <x v="0"/>
    <x v="6"/>
    <x v="0"/>
    <x v="1"/>
    <x v="1"/>
    <x v="0"/>
    <x v="2"/>
    <n v="0"/>
  </r>
  <r>
    <x v="0"/>
    <x v="6"/>
    <x v="0"/>
    <x v="1"/>
    <x v="1"/>
    <x v="0"/>
    <x v="3"/>
    <n v="0"/>
  </r>
  <r>
    <x v="0"/>
    <x v="6"/>
    <x v="0"/>
    <x v="1"/>
    <x v="1"/>
    <x v="0"/>
    <x v="4"/>
    <n v="0"/>
  </r>
  <r>
    <x v="0"/>
    <x v="6"/>
    <x v="0"/>
    <x v="1"/>
    <x v="1"/>
    <x v="0"/>
    <x v="5"/>
    <n v="0"/>
  </r>
  <r>
    <x v="0"/>
    <x v="6"/>
    <x v="0"/>
    <x v="1"/>
    <x v="1"/>
    <x v="0"/>
    <x v="6"/>
    <n v="0"/>
  </r>
  <r>
    <x v="0"/>
    <x v="6"/>
    <x v="0"/>
    <x v="1"/>
    <x v="2"/>
    <x v="0"/>
    <x v="0"/>
    <n v="0"/>
  </r>
  <r>
    <x v="0"/>
    <x v="6"/>
    <x v="0"/>
    <x v="1"/>
    <x v="2"/>
    <x v="0"/>
    <x v="1"/>
    <n v="0"/>
  </r>
  <r>
    <x v="0"/>
    <x v="6"/>
    <x v="0"/>
    <x v="1"/>
    <x v="2"/>
    <x v="0"/>
    <x v="2"/>
    <n v="0"/>
  </r>
  <r>
    <x v="0"/>
    <x v="6"/>
    <x v="0"/>
    <x v="1"/>
    <x v="2"/>
    <x v="0"/>
    <x v="3"/>
    <n v="0"/>
  </r>
  <r>
    <x v="0"/>
    <x v="6"/>
    <x v="0"/>
    <x v="1"/>
    <x v="2"/>
    <x v="0"/>
    <x v="4"/>
    <n v="0"/>
  </r>
  <r>
    <x v="0"/>
    <x v="6"/>
    <x v="0"/>
    <x v="1"/>
    <x v="2"/>
    <x v="0"/>
    <x v="5"/>
    <n v="0"/>
  </r>
  <r>
    <x v="0"/>
    <x v="6"/>
    <x v="0"/>
    <x v="1"/>
    <x v="2"/>
    <x v="0"/>
    <x v="6"/>
    <n v="0"/>
  </r>
  <r>
    <x v="0"/>
    <x v="6"/>
    <x v="0"/>
    <x v="1"/>
    <x v="3"/>
    <x v="0"/>
    <x v="0"/>
    <n v="163.45910028793227"/>
  </r>
  <r>
    <x v="0"/>
    <x v="6"/>
    <x v="0"/>
    <x v="1"/>
    <x v="3"/>
    <x v="0"/>
    <x v="1"/>
    <n v="198.82995889892126"/>
  </r>
  <r>
    <x v="0"/>
    <x v="6"/>
    <x v="0"/>
    <x v="1"/>
    <x v="3"/>
    <x v="0"/>
    <x v="2"/>
    <n v="281.59138323286078"/>
  </r>
  <r>
    <x v="0"/>
    <x v="6"/>
    <x v="0"/>
    <x v="1"/>
    <x v="3"/>
    <x v="0"/>
    <x v="3"/>
    <n v="297.51226217365729"/>
  </r>
  <r>
    <x v="0"/>
    <x v="6"/>
    <x v="0"/>
    <x v="1"/>
    <x v="3"/>
    <x v="0"/>
    <x v="4"/>
    <n v="322.89794076974675"/>
  </r>
  <r>
    <x v="0"/>
    <x v="6"/>
    <x v="0"/>
    <x v="1"/>
    <x v="3"/>
    <x v="0"/>
    <x v="5"/>
    <n v="358.88349273758837"/>
  </r>
  <r>
    <x v="0"/>
    <x v="6"/>
    <x v="0"/>
    <x v="1"/>
    <x v="3"/>
    <x v="0"/>
    <x v="6"/>
    <n v="393.48984775303154"/>
  </r>
  <r>
    <x v="0"/>
    <x v="6"/>
    <x v="0"/>
    <x v="1"/>
    <x v="4"/>
    <x v="0"/>
    <x v="0"/>
    <n v="2.4450940353867266E-3"/>
  </r>
  <r>
    <x v="0"/>
    <x v="6"/>
    <x v="0"/>
    <x v="1"/>
    <x v="4"/>
    <x v="0"/>
    <x v="1"/>
    <n v="6.8274291400012704E-3"/>
  </r>
  <r>
    <x v="0"/>
    <x v="6"/>
    <x v="0"/>
    <x v="1"/>
    <x v="4"/>
    <x v="0"/>
    <x v="2"/>
    <n v="2.611089604613814E-2"/>
  </r>
  <r>
    <x v="0"/>
    <x v="6"/>
    <x v="0"/>
    <x v="1"/>
    <x v="4"/>
    <x v="0"/>
    <x v="3"/>
    <n v="8.3684191995540905E-2"/>
  </r>
  <r>
    <x v="0"/>
    <x v="6"/>
    <x v="0"/>
    <x v="1"/>
    <x v="4"/>
    <x v="0"/>
    <x v="4"/>
    <n v="0.29108361071838823"/>
  </r>
  <r>
    <x v="0"/>
    <x v="6"/>
    <x v="0"/>
    <x v="1"/>
    <x v="4"/>
    <x v="0"/>
    <x v="5"/>
    <n v="0.34114584861068692"/>
  </r>
  <r>
    <x v="0"/>
    <x v="6"/>
    <x v="0"/>
    <x v="1"/>
    <x v="4"/>
    <x v="0"/>
    <x v="6"/>
    <n v="0.42532688194467383"/>
  </r>
  <r>
    <x v="0"/>
    <x v="6"/>
    <x v="0"/>
    <x v="1"/>
    <x v="5"/>
    <x v="0"/>
    <x v="0"/>
    <n v="0"/>
  </r>
  <r>
    <x v="0"/>
    <x v="6"/>
    <x v="0"/>
    <x v="1"/>
    <x v="5"/>
    <x v="0"/>
    <x v="1"/>
    <n v="0"/>
  </r>
  <r>
    <x v="0"/>
    <x v="6"/>
    <x v="0"/>
    <x v="1"/>
    <x v="5"/>
    <x v="0"/>
    <x v="2"/>
    <n v="0"/>
  </r>
  <r>
    <x v="0"/>
    <x v="6"/>
    <x v="0"/>
    <x v="1"/>
    <x v="5"/>
    <x v="0"/>
    <x v="3"/>
    <n v="0"/>
  </r>
  <r>
    <x v="0"/>
    <x v="6"/>
    <x v="0"/>
    <x v="1"/>
    <x v="5"/>
    <x v="0"/>
    <x v="4"/>
    <n v="0"/>
  </r>
  <r>
    <x v="0"/>
    <x v="6"/>
    <x v="0"/>
    <x v="1"/>
    <x v="5"/>
    <x v="0"/>
    <x v="5"/>
    <n v="0"/>
  </r>
  <r>
    <x v="0"/>
    <x v="6"/>
    <x v="0"/>
    <x v="1"/>
    <x v="5"/>
    <x v="0"/>
    <x v="6"/>
    <n v="0"/>
  </r>
  <r>
    <x v="0"/>
    <x v="6"/>
    <x v="0"/>
    <x v="1"/>
    <x v="6"/>
    <x v="0"/>
    <x v="0"/>
    <n v="8.5729510126587583E-3"/>
  </r>
  <r>
    <x v="0"/>
    <x v="6"/>
    <x v="0"/>
    <x v="1"/>
    <x v="6"/>
    <x v="0"/>
    <x v="1"/>
    <n v="5.4755990937592522E-2"/>
  </r>
  <r>
    <x v="0"/>
    <x v="6"/>
    <x v="0"/>
    <x v="1"/>
    <x v="6"/>
    <x v="0"/>
    <x v="2"/>
    <n v="0.24665458603014578"/>
  </r>
  <r>
    <x v="0"/>
    <x v="6"/>
    <x v="0"/>
    <x v="1"/>
    <x v="6"/>
    <x v="0"/>
    <x v="3"/>
    <n v="1.1723704209861598"/>
  </r>
  <r>
    <x v="0"/>
    <x v="6"/>
    <x v="0"/>
    <x v="1"/>
    <x v="6"/>
    <x v="0"/>
    <x v="4"/>
    <n v="5.0424573556664631"/>
  </r>
  <r>
    <x v="0"/>
    <x v="6"/>
    <x v="0"/>
    <x v="1"/>
    <x v="6"/>
    <x v="0"/>
    <x v="5"/>
    <n v="6.6993767805752444"/>
  </r>
  <r>
    <x v="0"/>
    <x v="6"/>
    <x v="0"/>
    <x v="1"/>
    <x v="6"/>
    <x v="0"/>
    <x v="6"/>
    <n v="10.772413347088875"/>
  </r>
  <r>
    <x v="0"/>
    <x v="6"/>
    <x v="0"/>
    <x v="1"/>
    <x v="7"/>
    <x v="0"/>
    <x v="0"/>
    <n v="0"/>
  </r>
  <r>
    <x v="0"/>
    <x v="6"/>
    <x v="0"/>
    <x v="1"/>
    <x v="7"/>
    <x v="0"/>
    <x v="1"/>
    <n v="0"/>
  </r>
  <r>
    <x v="0"/>
    <x v="6"/>
    <x v="0"/>
    <x v="1"/>
    <x v="7"/>
    <x v="0"/>
    <x v="2"/>
    <n v="0"/>
  </r>
  <r>
    <x v="0"/>
    <x v="6"/>
    <x v="0"/>
    <x v="1"/>
    <x v="7"/>
    <x v="0"/>
    <x v="3"/>
    <n v="0"/>
  </r>
  <r>
    <x v="0"/>
    <x v="6"/>
    <x v="0"/>
    <x v="1"/>
    <x v="7"/>
    <x v="0"/>
    <x v="4"/>
    <n v="0"/>
  </r>
  <r>
    <x v="0"/>
    <x v="6"/>
    <x v="0"/>
    <x v="1"/>
    <x v="7"/>
    <x v="0"/>
    <x v="5"/>
    <n v="0"/>
  </r>
  <r>
    <x v="0"/>
    <x v="6"/>
    <x v="0"/>
    <x v="1"/>
    <x v="7"/>
    <x v="0"/>
    <x v="6"/>
    <n v="0"/>
  </r>
  <r>
    <x v="0"/>
    <x v="6"/>
    <x v="0"/>
    <x v="1"/>
    <x v="8"/>
    <x v="0"/>
    <x v="0"/>
    <n v="0"/>
  </r>
  <r>
    <x v="0"/>
    <x v="6"/>
    <x v="0"/>
    <x v="1"/>
    <x v="8"/>
    <x v="0"/>
    <x v="1"/>
    <n v="0"/>
  </r>
  <r>
    <x v="0"/>
    <x v="6"/>
    <x v="0"/>
    <x v="1"/>
    <x v="8"/>
    <x v="0"/>
    <x v="2"/>
    <n v="0"/>
  </r>
  <r>
    <x v="0"/>
    <x v="6"/>
    <x v="0"/>
    <x v="1"/>
    <x v="8"/>
    <x v="0"/>
    <x v="3"/>
    <n v="0"/>
  </r>
  <r>
    <x v="0"/>
    <x v="6"/>
    <x v="0"/>
    <x v="1"/>
    <x v="8"/>
    <x v="0"/>
    <x v="4"/>
    <n v="0"/>
  </r>
  <r>
    <x v="0"/>
    <x v="6"/>
    <x v="0"/>
    <x v="1"/>
    <x v="8"/>
    <x v="0"/>
    <x v="5"/>
    <n v="0"/>
  </r>
  <r>
    <x v="0"/>
    <x v="6"/>
    <x v="0"/>
    <x v="1"/>
    <x v="8"/>
    <x v="0"/>
    <x v="6"/>
    <n v="0"/>
  </r>
  <r>
    <x v="0"/>
    <x v="6"/>
    <x v="0"/>
    <x v="1"/>
    <x v="9"/>
    <x v="0"/>
    <x v="0"/>
    <n v="0"/>
  </r>
  <r>
    <x v="0"/>
    <x v="6"/>
    <x v="0"/>
    <x v="1"/>
    <x v="9"/>
    <x v="0"/>
    <x v="1"/>
    <n v="0"/>
  </r>
  <r>
    <x v="0"/>
    <x v="6"/>
    <x v="0"/>
    <x v="1"/>
    <x v="9"/>
    <x v="0"/>
    <x v="2"/>
    <n v="0"/>
  </r>
  <r>
    <x v="0"/>
    <x v="6"/>
    <x v="0"/>
    <x v="1"/>
    <x v="9"/>
    <x v="0"/>
    <x v="3"/>
    <n v="0"/>
  </r>
  <r>
    <x v="0"/>
    <x v="6"/>
    <x v="0"/>
    <x v="1"/>
    <x v="9"/>
    <x v="0"/>
    <x v="4"/>
    <n v="0"/>
  </r>
  <r>
    <x v="0"/>
    <x v="6"/>
    <x v="0"/>
    <x v="1"/>
    <x v="9"/>
    <x v="0"/>
    <x v="5"/>
    <n v="0"/>
  </r>
  <r>
    <x v="0"/>
    <x v="6"/>
    <x v="0"/>
    <x v="1"/>
    <x v="9"/>
    <x v="0"/>
    <x v="6"/>
    <n v="0"/>
  </r>
  <r>
    <x v="0"/>
    <x v="6"/>
    <x v="0"/>
    <x v="1"/>
    <x v="10"/>
    <x v="0"/>
    <x v="0"/>
    <n v="0"/>
  </r>
  <r>
    <x v="0"/>
    <x v="6"/>
    <x v="0"/>
    <x v="1"/>
    <x v="10"/>
    <x v="0"/>
    <x v="1"/>
    <n v="0"/>
  </r>
  <r>
    <x v="0"/>
    <x v="6"/>
    <x v="0"/>
    <x v="1"/>
    <x v="10"/>
    <x v="0"/>
    <x v="2"/>
    <n v="0"/>
  </r>
  <r>
    <x v="0"/>
    <x v="6"/>
    <x v="0"/>
    <x v="1"/>
    <x v="10"/>
    <x v="0"/>
    <x v="3"/>
    <n v="0"/>
  </r>
  <r>
    <x v="0"/>
    <x v="6"/>
    <x v="0"/>
    <x v="1"/>
    <x v="10"/>
    <x v="0"/>
    <x v="4"/>
    <n v="0"/>
  </r>
  <r>
    <x v="0"/>
    <x v="6"/>
    <x v="0"/>
    <x v="1"/>
    <x v="10"/>
    <x v="0"/>
    <x v="5"/>
    <n v="0"/>
  </r>
  <r>
    <x v="0"/>
    <x v="6"/>
    <x v="0"/>
    <x v="1"/>
    <x v="10"/>
    <x v="0"/>
    <x v="6"/>
    <n v="0"/>
  </r>
  <r>
    <x v="0"/>
    <x v="6"/>
    <x v="0"/>
    <x v="0"/>
    <x v="11"/>
    <x v="0"/>
    <x v="0"/>
    <n v="0"/>
  </r>
  <r>
    <x v="0"/>
    <x v="6"/>
    <x v="0"/>
    <x v="0"/>
    <x v="11"/>
    <x v="0"/>
    <x v="1"/>
    <n v="0"/>
  </r>
  <r>
    <x v="0"/>
    <x v="6"/>
    <x v="0"/>
    <x v="0"/>
    <x v="11"/>
    <x v="0"/>
    <x v="2"/>
    <n v="0"/>
  </r>
  <r>
    <x v="0"/>
    <x v="6"/>
    <x v="0"/>
    <x v="0"/>
    <x v="11"/>
    <x v="0"/>
    <x v="3"/>
    <n v="0"/>
  </r>
  <r>
    <x v="0"/>
    <x v="6"/>
    <x v="0"/>
    <x v="0"/>
    <x v="11"/>
    <x v="0"/>
    <x v="4"/>
    <n v="0"/>
  </r>
  <r>
    <x v="0"/>
    <x v="6"/>
    <x v="0"/>
    <x v="0"/>
    <x v="11"/>
    <x v="0"/>
    <x v="5"/>
    <n v="0"/>
  </r>
  <r>
    <x v="0"/>
    <x v="6"/>
    <x v="0"/>
    <x v="0"/>
    <x v="11"/>
    <x v="0"/>
    <x v="6"/>
    <n v="0"/>
  </r>
  <r>
    <x v="0"/>
    <x v="6"/>
    <x v="0"/>
    <x v="0"/>
    <x v="12"/>
    <x v="0"/>
    <x v="0"/>
    <n v="0"/>
  </r>
  <r>
    <x v="0"/>
    <x v="6"/>
    <x v="0"/>
    <x v="0"/>
    <x v="12"/>
    <x v="0"/>
    <x v="1"/>
    <n v="0"/>
  </r>
  <r>
    <x v="0"/>
    <x v="6"/>
    <x v="0"/>
    <x v="0"/>
    <x v="12"/>
    <x v="0"/>
    <x v="2"/>
    <n v="0"/>
  </r>
  <r>
    <x v="0"/>
    <x v="6"/>
    <x v="0"/>
    <x v="0"/>
    <x v="12"/>
    <x v="0"/>
    <x v="3"/>
    <n v="0"/>
  </r>
  <r>
    <x v="0"/>
    <x v="6"/>
    <x v="0"/>
    <x v="0"/>
    <x v="12"/>
    <x v="0"/>
    <x v="4"/>
    <n v="0"/>
  </r>
  <r>
    <x v="0"/>
    <x v="6"/>
    <x v="0"/>
    <x v="0"/>
    <x v="12"/>
    <x v="0"/>
    <x v="5"/>
    <n v="0"/>
  </r>
  <r>
    <x v="0"/>
    <x v="6"/>
    <x v="0"/>
    <x v="0"/>
    <x v="12"/>
    <x v="0"/>
    <x v="6"/>
    <n v="0"/>
  </r>
  <r>
    <x v="0"/>
    <x v="6"/>
    <x v="0"/>
    <x v="0"/>
    <x v="13"/>
    <x v="0"/>
    <x v="0"/>
    <n v="0"/>
  </r>
  <r>
    <x v="0"/>
    <x v="6"/>
    <x v="0"/>
    <x v="0"/>
    <x v="13"/>
    <x v="0"/>
    <x v="1"/>
    <n v="0"/>
  </r>
  <r>
    <x v="0"/>
    <x v="6"/>
    <x v="0"/>
    <x v="0"/>
    <x v="13"/>
    <x v="0"/>
    <x v="2"/>
    <n v="0"/>
  </r>
  <r>
    <x v="0"/>
    <x v="6"/>
    <x v="0"/>
    <x v="0"/>
    <x v="13"/>
    <x v="0"/>
    <x v="3"/>
    <n v="0"/>
  </r>
  <r>
    <x v="0"/>
    <x v="6"/>
    <x v="0"/>
    <x v="0"/>
    <x v="13"/>
    <x v="0"/>
    <x v="4"/>
    <n v="0"/>
  </r>
  <r>
    <x v="0"/>
    <x v="6"/>
    <x v="0"/>
    <x v="0"/>
    <x v="13"/>
    <x v="0"/>
    <x v="5"/>
    <n v="0"/>
  </r>
  <r>
    <x v="0"/>
    <x v="6"/>
    <x v="0"/>
    <x v="0"/>
    <x v="13"/>
    <x v="0"/>
    <x v="6"/>
    <n v="0"/>
  </r>
  <r>
    <x v="0"/>
    <x v="6"/>
    <x v="0"/>
    <x v="2"/>
    <x v="14"/>
    <x v="0"/>
    <x v="0"/>
    <n v="0"/>
  </r>
  <r>
    <x v="0"/>
    <x v="6"/>
    <x v="0"/>
    <x v="2"/>
    <x v="14"/>
    <x v="0"/>
    <x v="1"/>
    <n v="0"/>
  </r>
  <r>
    <x v="0"/>
    <x v="6"/>
    <x v="0"/>
    <x v="2"/>
    <x v="14"/>
    <x v="0"/>
    <x v="2"/>
    <n v="0"/>
  </r>
  <r>
    <x v="0"/>
    <x v="6"/>
    <x v="0"/>
    <x v="2"/>
    <x v="14"/>
    <x v="0"/>
    <x v="3"/>
    <n v="0"/>
  </r>
  <r>
    <x v="0"/>
    <x v="6"/>
    <x v="0"/>
    <x v="2"/>
    <x v="14"/>
    <x v="0"/>
    <x v="4"/>
    <n v="0"/>
  </r>
  <r>
    <x v="0"/>
    <x v="6"/>
    <x v="0"/>
    <x v="2"/>
    <x v="14"/>
    <x v="0"/>
    <x v="5"/>
    <n v="0"/>
  </r>
  <r>
    <x v="0"/>
    <x v="6"/>
    <x v="0"/>
    <x v="2"/>
    <x v="14"/>
    <x v="0"/>
    <x v="6"/>
    <n v="0"/>
  </r>
  <r>
    <x v="0"/>
    <x v="6"/>
    <x v="0"/>
    <x v="2"/>
    <x v="15"/>
    <x v="0"/>
    <x v="0"/>
    <n v="0"/>
  </r>
  <r>
    <x v="0"/>
    <x v="6"/>
    <x v="0"/>
    <x v="2"/>
    <x v="15"/>
    <x v="0"/>
    <x v="1"/>
    <n v="0"/>
  </r>
  <r>
    <x v="0"/>
    <x v="6"/>
    <x v="0"/>
    <x v="2"/>
    <x v="15"/>
    <x v="0"/>
    <x v="2"/>
    <n v="0"/>
  </r>
  <r>
    <x v="0"/>
    <x v="6"/>
    <x v="0"/>
    <x v="2"/>
    <x v="15"/>
    <x v="0"/>
    <x v="3"/>
    <n v="0"/>
  </r>
  <r>
    <x v="0"/>
    <x v="6"/>
    <x v="0"/>
    <x v="2"/>
    <x v="15"/>
    <x v="0"/>
    <x v="4"/>
    <n v="0"/>
  </r>
  <r>
    <x v="0"/>
    <x v="6"/>
    <x v="0"/>
    <x v="2"/>
    <x v="15"/>
    <x v="0"/>
    <x v="5"/>
    <n v="0"/>
  </r>
  <r>
    <x v="0"/>
    <x v="6"/>
    <x v="0"/>
    <x v="2"/>
    <x v="15"/>
    <x v="0"/>
    <x v="6"/>
    <n v="0"/>
  </r>
  <r>
    <x v="0"/>
    <x v="6"/>
    <x v="0"/>
    <x v="2"/>
    <x v="16"/>
    <x v="0"/>
    <x v="0"/>
    <n v="0"/>
  </r>
  <r>
    <x v="0"/>
    <x v="6"/>
    <x v="0"/>
    <x v="2"/>
    <x v="16"/>
    <x v="0"/>
    <x v="1"/>
    <n v="0"/>
  </r>
  <r>
    <x v="0"/>
    <x v="6"/>
    <x v="0"/>
    <x v="2"/>
    <x v="16"/>
    <x v="0"/>
    <x v="2"/>
    <n v="0"/>
  </r>
  <r>
    <x v="0"/>
    <x v="6"/>
    <x v="0"/>
    <x v="2"/>
    <x v="16"/>
    <x v="0"/>
    <x v="3"/>
    <n v="0"/>
  </r>
  <r>
    <x v="0"/>
    <x v="6"/>
    <x v="0"/>
    <x v="2"/>
    <x v="16"/>
    <x v="0"/>
    <x v="4"/>
    <n v="0"/>
  </r>
  <r>
    <x v="0"/>
    <x v="6"/>
    <x v="0"/>
    <x v="2"/>
    <x v="16"/>
    <x v="0"/>
    <x v="5"/>
    <n v="0"/>
  </r>
  <r>
    <x v="0"/>
    <x v="6"/>
    <x v="0"/>
    <x v="2"/>
    <x v="16"/>
    <x v="0"/>
    <x v="6"/>
    <n v="0"/>
  </r>
  <r>
    <x v="0"/>
    <x v="6"/>
    <x v="0"/>
    <x v="0"/>
    <x v="17"/>
    <x v="0"/>
    <x v="0"/>
    <n v="0"/>
  </r>
  <r>
    <x v="0"/>
    <x v="6"/>
    <x v="0"/>
    <x v="0"/>
    <x v="17"/>
    <x v="0"/>
    <x v="1"/>
    <n v="0"/>
  </r>
  <r>
    <x v="0"/>
    <x v="6"/>
    <x v="0"/>
    <x v="0"/>
    <x v="17"/>
    <x v="0"/>
    <x v="2"/>
    <n v="0"/>
  </r>
  <r>
    <x v="0"/>
    <x v="6"/>
    <x v="0"/>
    <x v="0"/>
    <x v="17"/>
    <x v="0"/>
    <x v="3"/>
    <n v="0"/>
  </r>
  <r>
    <x v="0"/>
    <x v="6"/>
    <x v="0"/>
    <x v="0"/>
    <x v="17"/>
    <x v="0"/>
    <x v="4"/>
    <n v="0"/>
  </r>
  <r>
    <x v="0"/>
    <x v="6"/>
    <x v="0"/>
    <x v="0"/>
    <x v="17"/>
    <x v="0"/>
    <x v="5"/>
    <n v="0"/>
  </r>
  <r>
    <x v="0"/>
    <x v="6"/>
    <x v="0"/>
    <x v="0"/>
    <x v="17"/>
    <x v="0"/>
    <x v="6"/>
    <n v="0"/>
  </r>
  <r>
    <x v="0"/>
    <x v="6"/>
    <x v="0"/>
    <x v="2"/>
    <x v="18"/>
    <x v="0"/>
    <x v="0"/>
    <n v="0"/>
  </r>
  <r>
    <x v="0"/>
    <x v="6"/>
    <x v="0"/>
    <x v="2"/>
    <x v="18"/>
    <x v="0"/>
    <x v="1"/>
    <n v="0"/>
  </r>
  <r>
    <x v="0"/>
    <x v="6"/>
    <x v="0"/>
    <x v="2"/>
    <x v="18"/>
    <x v="0"/>
    <x v="2"/>
    <n v="0"/>
  </r>
  <r>
    <x v="0"/>
    <x v="6"/>
    <x v="0"/>
    <x v="2"/>
    <x v="18"/>
    <x v="0"/>
    <x v="3"/>
    <n v="0"/>
  </r>
  <r>
    <x v="0"/>
    <x v="6"/>
    <x v="0"/>
    <x v="2"/>
    <x v="18"/>
    <x v="0"/>
    <x v="4"/>
    <n v="0"/>
  </r>
  <r>
    <x v="0"/>
    <x v="6"/>
    <x v="0"/>
    <x v="2"/>
    <x v="18"/>
    <x v="0"/>
    <x v="5"/>
    <n v="0"/>
  </r>
  <r>
    <x v="0"/>
    <x v="6"/>
    <x v="0"/>
    <x v="2"/>
    <x v="18"/>
    <x v="0"/>
    <x v="6"/>
    <n v="0"/>
  </r>
  <r>
    <x v="0"/>
    <x v="6"/>
    <x v="1"/>
    <x v="3"/>
    <x v="19"/>
    <x v="0"/>
    <x v="0"/>
    <n v="0"/>
  </r>
  <r>
    <x v="0"/>
    <x v="6"/>
    <x v="1"/>
    <x v="3"/>
    <x v="19"/>
    <x v="0"/>
    <x v="1"/>
    <n v="0"/>
  </r>
  <r>
    <x v="0"/>
    <x v="6"/>
    <x v="1"/>
    <x v="3"/>
    <x v="19"/>
    <x v="0"/>
    <x v="2"/>
    <n v="0"/>
  </r>
  <r>
    <x v="0"/>
    <x v="6"/>
    <x v="1"/>
    <x v="3"/>
    <x v="19"/>
    <x v="0"/>
    <x v="3"/>
    <n v="0"/>
  </r>
  <r>
    <x v="0"/>
    <x v="6"/>
    <x v="1"/>
    <x v="3"/>
    <x v="19"/>
    <x v="0"/>
    <x v="4"/>
    <n v="0"/>
  </r>
  <r>
    <x v="0"/>
    <x v="6"/>
    <x v="1"/>
    <x v="3"/>
    <x v="19"/>
    <x v="0"/>
    <x v="5"/>
    <n v="0"/>
  </r>
  <r>
    <x v="0"/>
    <x v="6"/>
    <x v="1"/>
    <x v="3"/>
    <x v="19"/>
    <x v="0"/>
    <x v="6"/>
    <n v="0"/>
  </r>
  <r>
    <x v="0"/>
    <x v="6"/>
    <x v="1"/>
    <x v="3"/>
    <x v="20"/>
    <x v="0"/>
    <x v="0"/>
    <n v="0"/>
  </r>
  <r>
    <x v="0"/>
    <x v="6"/>
    <x v="1"/>
    <x v="3"/>
    <x v="20"/>
    <x v="0"/>
    <x v="1"/>
    <n v="0"/>
  </r>
  <r>
    <x v="0"/>
    <x v="6"/>
    <x v="1"/>
    <x v="3"/>
    <x v="20"/>
    <x v="0"/>
    <x v="2"/>
    <n v="0"/>
  </r>
  <r>
    <x v="0"/>
    <x v="6"/>
    <x v="1"/>
    <x v="3"/>
    <x v="20"/>
    <x v="0"/>
    <x v="3"/>
    <n v="0"/>
  </r>
  <r>
    <x v="0"/>
    <x v="6"/>
    <x v="1"/>
    <x v="3"/>
    <x v="20"/>
    <x v="0"/>
    <x v="4"/>
    <n v="0"/>
  </r>
  <r>
    <x v="0"/>
    <x v="6"/>
    <x v="1"/>
    <x v="3"/>
    <x v="20"/>
    <x v="0"/>
    <x v="5"/>
    <n v="0"/>
  </r>
  <r>
    <x v="0"/>
    <x v="6"/>
    <x v="1"/>
    <x v="3"/>
    <x v="20"/>
    <x v="0"/>
    <x v="6"/>
    <n v="0"/>
  </r>
  <r>
    <x v="0"/>
    <x v="6"/>
    <x v="1"/>
    <x v="3"/>
    <x v="21"/>
    <x v="0"/>
    <x v="0"/>
    <n v="0"/>
  </r>
  <r>
    <x v="0"/>
    <x v="6"/>
    <x v="1"/>
    <x v="3"/>
    <x v="21"/>
    <x v="0"/>
    <x v="1"/>
    <n v="0"/>
  </r>
  <r>
    <x v="0"/>
    <x v="6"/>
    <x v="1"/>
    <x v="3"/>
    <x v="21"/>
    <x v="0"/>
    <x v="2"/>
    <n v="0"/>
  </r>
  <r>
    <x v="0"/>
    <x v="6"/>
    <x v="1"/>
    <x v="3"/>
    <x v="21"/>
    <x v="0"/>
    <x v="3"/>
    <n v="0"/>
  </r>
  <r>
    <x v="0"/>
    <x v="6"/>
    <x v="1"/>
    <x v="3"/>
    <x v="21"/>
    <x v="0"/>
    <x v="4"/>
    <n v="0"/>
  </r>
  <r>
    <x v="0"/>
    <x v="6"/>
    <x v="1"/>
    <x v="3"/>
    <x v="21"/>
    <x v="0"/>
    <x v="5"/>
    <n v="0"/>
  </r>
  <r>
    <x v="0"/>
    <x v="6"/>
    <x v="1"/>
    <x v="3"/>
    <x v="21"/>
    <x v="0"/>
    <x v="6"/>
    <n v="0"/>
  </r>
  <r>
    <x v="0"/>
    <x v="6"/>
    <x v="1"/>
    <x v="3"/>
    <x v="22"/>
    <x v="0"/>
    <x v="0"/>
    <n v="0"/>
  </r>
  <r>
    <x v="0"/>
    <x v="6"/>
    <x v="1"/>
    <x v="3"/>
    <x v="22"/>
    <x v="0"/>
    <x v="1"/>
    <n v="0"/>
  </r>
  <r>
    <x v="0"/>
    <x v="6"/>
    <x v="1"/>
    <x v="3"/>
    <x v="22"/>
    <x v="0"/>
    <x v="2"/>
    <n v="0"/>
  </r>
  <r>
    <x v="0"/>
    <x v="6"/>
    <x v="1"/>
    <x v="3"/>
    <x v="22"/>
    <x v="0"/>
    <x v="3"/>
    <n v="0"/>
  </r>
  <r>
    <x v="0"/>
    <x v="6"/>
    <x v="1"/>
    <x v="3"/>
    <x v="22"/>
    <x v="0"/>
    <x v="4"/>
    <n v="0"/>
  </r>
  <r>
    <x v="0"/>
    <x v="6"/>
    <x v="1"/>
    <x v="3"/>
    <x v="22"/>
    <x v="0"/>
    <x v="5"/>
    <n v="0"/>
  </r>
  <r>
    <x v="0"/>
    <x v="6"/>
    <x v="1"/>
    <x v="3"/>
    <x v="22"/>
    <x v="0"/>
    <x v="6"/>
    <n v="0"/>
  </r>
  <r>
    <x v="0"/>
    <x v="6"/>
    <x v="1"/>
    <x v="3"/>
    <x v="23"/>
    <x v="0"/>
    <x v="0"/>
    <n v="0"/>
  </r>
  <r>
    <x v="0"/>
    <x v="6"/>
    <x v="1"/>
    <x v="3"/>
    <x v="23"/>
    <x v="0"/>
    <x v="1"/>
    <n v="0"/>
  </r>
  <r>
    <x v="0"/>
    <x v="6"/>
    <x v="1"/>
    <x v="3"/>
    <x v="23"/>
    <x v="0"/>
    <x v="2"/>
    <n v="0"/>
  </r>
  <r>
    <x v="0"/>
    <x v="6"/>
    <x v="1"/>
    <x v="3"/>
    <x v="23"/>
    <x v="0"/>
    <x v="3"/>
    <n v="0"/>
  </r>
  <r>
    <x v="0"/>
    <x v="6"/>
    <x v="1"/>
    <x v="3"/>
    <x v="23"/>
    <x v="0"/>
    <x v="4"/>
    <n v="0"/>
  </r>
  <r>
    <x v="0"/>
    <x v="6"/>
    <x v="1"/>
    <x v="3"/>
    <x v="23"/>
    <x v="0"/>
    <x v="5"/>
    <n v="0"/>
  </r>
  <r>
    <x v="0"/>
    <x v="6"/>
    <x v="1"/>
    <x v="3"/>
    <x v="23"/>
    <x v="0"/>
    <x v="6"/>
    <n v="0"/>
  </r>
  <r>
    <x v="0"/>
    <x v="6"/>
    <x v="1"/>
    <x v="3"/>
    <x v="24"/>
    <x v="0"/>
    <x v="0"/>
    <n v="0"/>
  </r>
  <r>
    <x v="0"/>
    <x v="6"/>
    <x v="1"/>
    <x v="3"/>
    <x v="24"/>
    <x v="0"/>
    <x v="1"/>
    <n v="0"/>
  </r>
  <r>
    <x v="0"/>
    <x v="6"/>
    <x v="1"/>
    <x v="3"/>
    <x v="24"/>
    <x v="0"/>
    <x v="2"/>
    <n v="0"/>
  </r>
  <r>
    <x v="0"/>
    <x v="6"/>
    <x v="1"/>
    <x v="3"/>
    <x v="24"/>
    <x v="0"/>
    <x v="3"/>
    <n v="0"/>
  </r>
  <r>
    <x v="0"/>
    <x v="6"/>
    <x v="1"/>
    <x v="3"/>
    <x v="24"/>
    <x v="0"/>
    <x v="4"/>
    <n v="0"/>
  </r>
  <r>
    <x v="0"/>
    <x v="6"/>
    <x v="1"/>
    <x v="3"/>
    <x v="24"/>
    <x v="0"/>
    <x v="5"/>
    <n v="0"/>
  </r>
  <r>
    <x v="0"/>
    <x v="6"/>
    <x v="1"/>
    <x v="3"/>
    <x v="24"/>
    <x v="0"/>
    <x v="6"/>
    <n v="0"/>
  </r>
  <r>
    <x v="0"/>
    <x v="6"/>
    <x v="1"/>
    <x v="3"/>
    <x v="25"/>
    <x v="0"/>
    <x v="0"/>
    <n v="0"/>
  </r>
  <r>
    <x v="0"/>
    <x v="6"/>
    <x v="1"/>
    <x v="3"/>
    <x v="25"/>
    <x v="0"/>
    <x v="1"/>
    <n v="0"/>
  </r>
  <r>
    <x v="0"/>
    <x v="6"/>
    <x v="1"/>
    <x v="3"/>
    <x v="25"/>
    <x v="0"/>
    <x v="2"/>
    <n v="0"/>
  </r>
  <r>
    <x v="0"/>
    <x v="6"/>
    <x v="1"/>
    <x v="3"/>
    <x v="25"/>
    <x v="0"/>
    <x v="3"/>
    <n v="0"/>
  </r>
  <r>
    <x v="0"/>
    <x v="6"/>
    <x v="1"/>
    <x v="3"/>
    <x v="25"/>
    <x v="0"/>
    <x v="4"/>
    <n v="0"/>
  </r>
  <r>
    <x v="0"/>
    <x v="6"/>
    <x v="1"/>
    <x v="3"/>
    <x v="25"/>
    <x v="0"/>
    <x v="5"/>
    <n v="0"/>
  </r>
  <r>
    <x v="0"/>
    <x v="6"/>
    <x v="1"/>
    <x v="3"/>
    <x v="25"/>
    <x v="0"/>
    <x v="6"/>
    <n v="0"/>
  </r>
  <r>
    <x v="0"/>
    <x v="6"/>
    <x v="2"/>
    <x v="4"/>
    <x v="26"/>
    <x v="0"/>
    <x v="0"/>
    <n v="0"/>
  </r>
  <r>
    <x v="0"/>
    <x v="6"/>
    <x v="2"/>
    <x v="4"/>
    <x v="26"/>
    <x v="0"/>
    <x v="1"/>
    <n v="0"/>
  </r>
  <r>
    <x v="0"/>
    <x v="6"/>
    <x v="2"/>
    <x v="4"/>
    <x v="26"/>
    <x v="0"/>
    <x v="2"/>
    <n v="0"/>
  </r>
  <r>
    <x v="0"/>
    <x v="6"/>
    <x v="2"/>
    <x v="4"/>
    <x v="26"/>
    <x v="0"/>
    <x v="3"/>
    <n v="0"/>
  </r>
  <r>
    <x v="0"/>
    <x v="6"/>
    <x v="2"/>
    <x v="4"/>
    <x v="26"/>
    <x v="0"/>
    <x v="4"/>
    <n v="0"/>
  </r>
  <r>
    <x v="0"/>
    <x v="6"/>
    <x v="2"/>
    <x v="4"/>
    <x v="26"/>
    <x v="0"/>
    <x v="5"/>
    <n v="0"/>
  </r>
  <r>
    <x v="0"/>
    <x v="6"/>
    <x v="2"/>
    <x v="4"/>
    <x v="26"/>
    <x v="0"/>
    <x v="6"/>
    <n v="0"/>
  </r>
  <r>
    <x v="0"/>
    <x v="6"/>
    <x v="2"/>
    <x v="4"/>
    <x v="27"/>
    <x v="0"/>
    <x v="0"/>
    <n v="2692.6675128266884"/>
  </r>
  <r>
    <x v="0"/>
    <x v="6"/>
    <x v="2"/>
    <x v="4"/>
    <x v="27"/>
    <x v="0"/>
    <x v="1"/>
    <n v="4970.0283813179994"/>
  </r>
  <r>
    <x v="0"/>
    <x v="6"/>
    <x v="2"/>
    <x v="4"/>
    <x v="27"/>
    <x v="0"/>
    <x v="2"/>
    <n v="6740.1247056000011"/>
  </r>
  <r>
    <x v="0"/>
    <x v="6"/>
    <x v="2"/>
    <x v="4"/>
    <x v="27"/>
    <x v="0"/>
    <x v="3"/>
    <n v="9081.2363732999984"/>
  </r>
  <r>
    <x v="0"/>
    <x v="6"/>
    <x v="2"/>
    <x v="4"/>
    <x v="27"/>
    <x v="0"/>
    <x v="4"/>
    <n v="10522.0092528"/>
  </r>
  <r>
    <x v="0"/>
    <x v="6"/>
    <x v="2"/>
    <x v="4"/>
    <x v="27"/>
    <x v="0"/>
    <x v="5"/>
    <n v="10269.589990620001"/>
  </r>
  <r>
    <x v="0"/>
    <x v="6"/>
    <x v="2"/>
    <x v="4"/>
    <x v="27"/>
    <x v="0"/>
    <x v="6"/>
    <n v="10025.944727040001"/>
  </r>
  <r>
    <x v="0"/>
    <x v="6"/>
    <x v="2"/>
    <x v="4"/>
    <x v="28"/>
    <x v="0"/>
    <x v="0"/>
    <n v="25.813345924943995"/>
  </r>
  <r>
    <x v="0"/>
    <x v="6"/>
    <x v="2"/>
    <x v="4"/>
    <x v="28"/>
    <x v="0"/>
    <x v="1"/>
    <n v="45.734487424500003"/>
  </r>
  <r>
    <x v="0"/>
    <x v="6"/>
    <x v="2"/>
    <x v="4"/>
    <x v="28"/>
    <x v="0"/>
    <x v="2"/>
    <n v="68.201328195000002"/>
  </r>
  <r>
    <x v="0"/>
    <x v="6"/>
    <x v="2"/>
    <x v="4"/>
    <x v="28"/>
    <x v="0"/>
    <x v="3"/>
    <n v="94.363070620000016"/>
  </r>
  <r>
    <x v="0"/>
    <x v="6"/>
    <x v="2"/>
    <x v="4"/>
    <x v="28"/>
    <x v="0"/>
    <x v="4"/>
    <n v="132.9194664"/>
  </r>
  <r>
    <x v="0"/>
    <x v="6"/>
    <x v="2"/>
    <x v="4"/>
    <x v="28"/>
    <x v="0"/>
    <x v="5"/>
    <n v="152.38488863999999"/>
  </r>
  <r>
    <x v="0"/>
    <x v="6"/>
    <x v="2"/>
    <x v="4"/>
    <x v="28"/>
    <x v="0"/>
    <x v="6"/>
    <n v="178.02111123"/>
  </r>
  <r>
    <x v="0"/>
    <x v="6"/>
    <x v="2"/>
    <x v="4"/>
    <x v="29"/>
    <x v="0"/>
    <x v="0"/>
    <n v="4118.7309776311104"/>
  </r>
  <r>
    <x v="0"/>
    <x v="6"/>
    <x v="2"/>
    <x v="4"/>
    <x v="29"/>
    <x v="0"/>
    <x v="1"/>
    <n v="7151.7668242115442"/>
  </r>
  <r>
    <x v="0"/>
    <x v="6"/>
    <x v="2"/>
    <x v="4"/>
    <x v="29"/>
    <x v="0"/>
    <x v="2"/>
    <n v="10210.423280450168"/>
  </r>
  <r>
    <x v="0"/>
    <x v="6"/>
    <x v="2"/>
    <x v="4"/>
    <x v="29"/>
    <x v="0"/>
    <x v="3"/>
    <n v="10304.12608268907"/>
  </r>
  <r>
    <x v="0"/>
    <x v="6"/>
    <x v="2"/>
    <x v="4"/>
    <x v="29"/>
    <x v="0"/>
    <x v="4"/>
    <n v="13149.273532867781"/>
  </r>
  <r>
    <x v="0"/>
    <x v="6"/>
    <x v="2"/>
    <x v="4"/>
    <x v="29"/>
    <x v="0"/>
    <x v="5"/>
    <n v="16681.182394010277"/>
  </r>
  <r>
    <x v="0"/>
    <x v="6"/>
    <x v="2"/>
    <x v="4"/>
    <x v="29"/>
    <x v="0"/>
    <x v="6"/>
    <n v="18484.204319707867"/>
  </r>
  <r>
    <x v="0"/>
    <x v="6"/>
    <x v="3"/>
    <x v="5"/>
    <x v="30"/>
    <x v="0"/>
    <x v="0"/>
    <n v="0"/>
  </r>
  <r>
    <x v="0"/>
    <x v="6"/>
    <x v="3"/>
    <x v="5"/>
    <x v="30"/>
    <x v="0"/>
    <x v="1"/>
    <n v="0"/>
  </r>
  <r>
    <x v="0"/>
    <x v="6"/>
    <x v="3"/>
    <x v="5"/>
    <x v="30"/>
    <x v="0"/>
    <x v="2"/>
    <n v="0"/>
  </r>
  <r>
    <x v="0"/>
    <x v="6"/>
    <x v="3"/>
    <x v="5"/>
    <x v="30"/>
    <x v="0"/>
    <x v="3"/>
    <n v="0"/>
  </r>
  <r>
    <x v="0"/>
    <x v="6"/>
    <x v="3"/>
    <x v="5"/>
    <x v="30"/>
    <x v="0"/>
    <x v="4"/>
    <n v="0"/>
  </r>
  <r>
    <x v="0"/>
    <x v="6"/>
    <x v="3"/>
    <x v="5"/>
    <x v="30"/>
    <x v="0"/>
    <x v="5"/>
    <n v="0"/>
  </r>
  <r>
    <x v="0"/>
    <x v="6"/>
    <x v="3"/>
    <x v="5"/>
    <x v="30"/>
    <x v="0"/>
    <x v="6"/>
    <n v="0"/>
  </r>
  <r>
    <x v="0"/>
    <x v="6"/>
    <x v="2"/>
    <x v="4"/>
    <x v="31"/>
    <x v="0"/>
    <x v="0"/>
    <n v="0"/>
  </r>
  <r>
    <x v="0"/>
    <x v="6"/>
    <x v="2"/>
    <x v="4"/>
    <x v="31"/>
    <x v="0"/>
    <x v="1"/>
    <n v="0"/>
  </r>
  <r>
    <x v="0"/>
    <x v="6"/>
    <x v="2"/>
    <x v="4"/>
    <x v="31"/>
    <x v="0"/>
    <x v="2"/>
    <n v="0"/>
  </r>
  <r>
    <x v="0"/>
    <x v="6"/>
    <x v="2"/>
    <x v="4"/>
    <x v="31"/>
    <x v="0"/>
    <x v="3"/>
    <n v="0"/>
  </r>
  <r>
    <x v="0"/>
    <x v="6"/>
    <x v="2"/>
    <x v="4"/>
    <x v="31"/>
    <x v="0"/>
    <x v="4"/>
    <n v="0"/>
  </r>
  <r>
    <x v="0"/>
    <x v="6"/>
    <x v="2"/>
    <x v="4"/>
    <x v="31"/>
    <x v="0"/>
    <x v="5"/>
    <n v="0"/>
  </r>
  <r>
    <x v="0"/>
    <x v="6"/>
    <x v="2"/>
    <x v="4"/>
    <x v="31"/>
    <x v="0"/>
    <x v="6"/>
    <n v="0"/>
  </r>
  <r>
    <x v="0"/>
    <x v="6"/>
    <x v="2"/>
    <x v="4"/>
    <x v="32"/>
    <x v="0"/>
    <x v="0"/>
    <n v="0"/>
  </r>
  <r>
    <x v="0"/>
    <x v="6"/>
    <x v="2"/>
    <x v="4"/>
    <x v="32"/>
    <x v="0"/>
    <x v="1"/>
    <n v="0"/>
  </r>
  <r>
    <x v="0"/>
    <x v="6"/>
    <x v="2"/>
    <x v="4"/>
    <x v="32"/>
    <x v="0"/>
    <x v="2"/>
    <n v="0"/>
  </r>
  <r>
    <x v="0"/>
    <x v="6"/>
    <x v="2"/>
    <x v="4"/>
    <x v="32"/>
    <x v="0"/>
    <x v="3"/>
    <n v="0"/>
  </r>
  <r>
    <x v="0"/>
    <x v="6"/>
    <x v="2"/>
    <x v="4"/>
    <x v="32"/>
    <x v="0"/>
    <x v="4"/>
    <n v="0"/>
  </r>
  <r>
    <x v="0"/>
    <x v="6"/>
    <x v="2"/>
    <x v="4"/>
    <x v="32"/>
    <x v="0"/>
    <x v="5"/>
    <n v="0"/>
  </r>
  <r>
    <x v="0"/>
    <x v="6"/>
    <x v="2"/>
    <x v="4"/>
    <x v="32"/>
    <x v="0"/>
    <x v="6"/>
    <n v="0"/>
  </r>
  <r>
    <x v="0"/>
    <x v="6"/>
    <x v="2"/>
    <x v="4"/>
    <x v="33"/>
    <x v="0"/>
    <x v="0"/>
    <n v="0"/>
  </r>
  <r>
    <x v="0"/>
    <x v="6"/>
    <x v="2"/>
    <x v="4"/>
    <x v="33"/>
    <x v="0"/>
    <x v="1"/>
    <n v="0"/>
  </r>
  <r>
    <x v="0"/>
    <x v="6"/>
    <x v="2"/>
    <x v="4"/>
    <x v="33"/>
    <x v="0"/>
    <x v="2"/>
    <n v="0"/>
  </r>
  <r>
    <x v="0"/>
    <x v="6"/>
    <x v="2"/>
    <x v="4"/>
    <x v="33"/>
    <x v="0"/>
    <x v="3"/>
    <n v="0"/>
  </r>
  <r>
    <x v="0"/>
    <x v="6"/>
    <x v="2"/>
    <x v="4"/>
    <x v="33"/>
    <x v="0"/>
    <x v="4"/>
    <n v="0"/>
  </r>
  <r>
    <x v="0"/>
    <x v="6"/>
    <x v="2"/>
    <x v="4"/>
    <x v="33"/>
    <x v="0"/>
    <x v="5"/>
    <n v="0"/>
  </r>
  <r>
    <x v="0"/>
    <x v="6"/>
    <x v="2"/>
    <x v="4"/>
    <x v="33"/>
    <x v="0"/>
    <x v="6"/>
    <n v="0"/>
  </r>
  <r>
    <x v="0"/>
    <x v="6"/>
    <x v="2"/>
    <x v="4"/>
    <x v="34"/>
    <x v="0"/>
    <x v="0"/>
    <n v="0"/>
  </r>
  <r>
    <x v="0"/>
    <x v="6"/>
    <x v="2"/>
    <x v="4"/>
    <x v="34"/>
    <x v="0"/>
    <x v="1"/>
    <n v="0"/>
  </r>
  <r>
    <x v="0"/>
    <x v="6"/>
    <x v="2"/>
    <x v="4"/>
    <x v="34"/>
    <x v="0"/>
    <x v="2"/>
    <n v="0"/>
  </r>
  <r>
    <x v="0"/>
    <x v="6"/>
    <x v="2"/>
    <x v="4"/>
    <x v="34"/>
    <x v="0"/>
    <x v="3"/>
    <n v="0"/>
  </r>
  <r>
    <x v="0"/>
    <x v="6"/>
    <x v="2"/>
    <x v="4"/>
    <x v="34"/>
    <x v="0"/>
    <x v="4"/>
    <n v="0"/>
  </r>
  <r>
    <x v="0"/>
    <x v="6"/>
    <x v="2"/>
    <x v="4"/>
    <x v="34"/>
    <x v="0"/>
    <x v="5"/>
    <n v="0"/>
  </r>
  <r>
    <x v="0"/>
    <x v="6"/>
    <x v="2"/>
    <x v="4"/>
    <x v="34"/>
    <x v="0"/>
    <x v="6"/>
    <n v="0"/>
  </r>
  <r>
    <x v="0"/>
    <x v="6"/>
    <x v="2"/>
    <x v="6"/>
    <x v="35"/>
    <x v="0"/>
    <x v="0"/>
    <n v="0"/>
  </r>
  <r>
    <x v="0"/>
    <x v="6"/>
    <x v="2"/>
    <x v="6"/>
    <x v="35"/>
    <x v="0"/>
    <x v="1"/>
    <n v="0"/>
  </r>
  <r>
    <x v="0"/>
    <x v="6"/>
    <x v="2"/>
    <x v="6"/>
    <x v="35"/>
    <x v="0"/>
    <x v="2"/>
    <n v="0"/>
  </r>
  <r>
    <x v="0"/>
    <x v="6"/>
    <x v="2"/>
    <x v="6"/>
    <x v="35"/>
    <x v="0"/>
    <x v="3"/>
    <n v="0"/>
  </r>
  <r>
    <x v="0"/>
    <x v="6"/>
    <x v="2"/>
    <x v="6"/>
    <x v="35"/>
    <x v="0"/>
    <x v="4"/>
    <n v="0"/>
  </r>
  <r>
    <x v="0"/>
    <x v="6"/>
    <x v="2"/>
    <x v="6"/>
    <x v="35"/>
    <x v="0"/>
    <x v="5"/>
    <n v="0"/>
  </r>
  <r>
    <x v="0"/>
    <x v="6"/>
    <x v="2"/>
    <x v="6"/>
    <x v="35"/>
    <x v="0"/>
    <x v="6"/>
    <n v="0"/>
  </r>
  <r>
    <x v="0"/>
    <x v="6"/>
    <x v="2"/>
    <x v="6"/>
    <x v="36"/>
    <x v="0"/>
    <x v="0"/>
    <n v="0"/>
  </r>
  <r>
    <x v="0"/>
    <x v="6"/>
    <x v="2"/>
    <x v="6"/>
    <x v="36"/>
    <x v="0"/>
    <x v="1"/>
    <n v="0"/>
  </r>
  <r>
    <x v="0"/>
    <x v="6"/>
    <x v="2"/>
    <x v="6"/>
    <x v="36"/>
    <x v="0"/>
    <x v="2"/>
    <n v="0"/>
  </r>
  <r>
    <x v="0"/>
    <x v="6"/>
    <x v="2"/>
    <x v="6"/>
    <x v="36"/>
    <x v="0"/>
    <x v="3"/>
    <n v="0"/>
  </r>
  <r>
    <x v="0"/>
    <x v="6"/>
    <x v="2"/>
    <x v="6"/>
    <x v="36"/>
    <x v="0"/>
    <x v="4"/>
    <n v="0"/>
  </r>
  <r>
    <x v="0"/>
    <x v="6"/>
    <x v="2"/>
    <x v="6"/>
    <x v="36"/>
    <x v="0"/>
    <x v="5"/>
    <n v="0"/>
  </r>
  <r>
    <x v="0"/>
    <x v="6"/>
    <x v="2"/>
    <x v="6"/>
    <x v="36"/>
    <x v="0"/>
    <x v="6"/>
    <n v="0"/>
  </r>
  <r>
    <x v="0"/>
    <x v="6"/>
    <x v="2"/>
    <x v="6"/>
    <x v="37"/>
    <x v="0"/>
    <x v="0"/>
    <n v="0"/>
  </r>
  <r>
    <x v="0"/>
    <x v="6"/>
    <x v="2"/>
    <x v="6"/>
    <x v="37"/>
    <x v="0"/>
    <x v="1"/>
    <n v="0"/>
  </r>
  <r>
    <x v="0"/>
    <x v="6"/>
    <x v="2"/>
    <x v="6"/>
    <x v="37"/>
    <x v="0"/>
    <x v="2"/>
    <n v="0"/>
  </r>
  <r>
    <x v="0"/>
    <x v="6"/>
    <x v="2"/>
    <x v="6"/>
    <x v="37"/>
    <x v="0"/>
    <x v="3"/>
    <n v="0"/>
  </r>
  <r>
    <x v="0"/>
    <x v="6"/>
    <x v="2"/>
    <x v="6"/>
    <x v="37"/>
    <x v="0"/>
    <x v="4"/>
    <n v="0"/>
  </r>
  <r>
    <x v="0"/>
    <x v="6"/>
    <x v="2"/>
    <x v="6"/>
    <x v="37"/>
    <x v="0"/>
    <x v="5"/>
    <n v="0"/>
  </r>
  <r>
    <x v="0"/>
    <x v="6"/>
    <x v="2"/>
    <x v="6"/>
    <x v="37"/>
    <x v="0"/>
    <x v="6"/>
    <n v="0"/>
  </r>
  <r>
    <x v="0"/>
    <x v="6"/>
    <x v="2"/>
    <x v="6"/>
    <x v="38"/>
    <x v="0"/>
    <x v="0"/>
    <n v="0"/>
  </r>
  <r>
    <x v="0"/>
    <x v="6"/>
    <x v="2"/>
    <x v="6"/>
    <x v="38"/>
    <x v="0"/>
    <x v="1"/>
    <n v="0"/>
  </r>
  <r>
    <x v="0"/>
    <x v="6"/>
    <x v="2"/>
    <x v="6"/>
    <x v="38"/>
    <x v="0"/>
    <x v="2"/>
    <n v="0"/>
  </r>
  <r>
    <x v="0"/>
    <x v="6"/>
    <x v="2"/>
    <x v="6"/>
    <x v="38"/>
    <x v="0"/>
    <x v="3"/>
    <n v="0"/>
  </r>
  <r>
    <x v="0"/>
    <x v="6"/>
    <x v="2"/>
    <x v="6"/>
    <x v="38"/>
    <x v="0"/>
    <x v="4"/>
    <n v="0"/>
  </r>
  <r>
    <x v="0"/>
    <x v="6"/>
    <x v="2"/>
    <x v="6"/>
    <x v="38"/>
    <x v="0"/>
    <x v="5"/>
    <n v="0"/>
  </r>
  <r>
    <x v="0"/>
    <x v="6"/>
    <x v="2"/>
    <x v="6"/>
    <x v="38"/>
    <x v="0"/>
    <x v="6"/>
    <n v="0"/>
  </r>
  <r>
    <x v="0"/>
    <x v="6"/>
    <x v="3"/>
    <x v="5"/>
    <x v="39"/>
    <x v="0"/>
    <x v="0"/>
    <n v="0"/>
  </r>
  <r>
    <x v="0"/>
    <x v="6"/>
    <x v="3"/>
    <x v="5"/>
    <x v="39"/>
    <x v="0"/>
    <x v="1"/>
    <n v="0"/>
  </r>
  <r>
    <x v="0"/>
    <x v="6"/>
    <x v="3"/>
    <x v="5"/>
    <x v="39"/>
    <x v="0"/>
    <x v="2"/>
    <n v="0"/>
  </r>
  <r>
    <x v="0"/>
    <x v="6"/>
    <x v="3"/>
    <x v="5"/>
    <x v="39"/>
    <x v="0"/>
    <x v="3"/>
    <n v="0"/>
  </r>
  <r>
    <x v="0"/>
    <x v="6"/>
    <x v="3"/>
    <x v="5"/>
    <x v="39"/>
    <x v="0"/>
    <x v="4"/>
    <n v="0"/>
  </r>
  <r>
    <x v="0"/>
    <x v="6"/>
    <x v="3"/>
    <x v="5"/>
    <x v="39"/>
    <x v="0"/>
    <x v="5"/>
    <n v="0"/>
  </r>
  <r>
    <x v="0"/>
    <x v="6"/>
    <x v="3"/>
    <x v="5"/>
    <x v="39"/>
    <x v="0"/>
    <x v="6"/>
    <n v="0"/>
  </r>
  <r>
    <x v="0"/>
    <x v="6"/>
    <x v="2"/>
    <x v="6"/>
    <x v="40"/>
    <x v="0"/>
    <x v="0"/>
    <n v="0"/>
  </r>
  <r>
    <x v="0"/>
    <x v="6"/>
    <x v="2"/>
    <x v="6"/>
    <x v="40"/>
    <x v="0"/>
    <x v="1"/>
    <n v="0"/>
  </r>
  <r>
    <x v="0"/>
    <x v="6"/>
    <x v="2"/>
    <x v="6"/>
    <x v="40"/>
    <x v="0"/>
    <x v="2"/>
    <n v="0"/>
  </r>
  <r>
    <x v="0"/>
    <x v="6"/>
    <x v="2"/>
    <x v="6"/>
    <x v="40"/>
    <x v="0"/>
    <x v="3"/>
    <n v="0"/>
  </r>
  <r>
    <x v="0"/>
    <x v="6"/>
    <x v="2"/>
    <x v="6"/>
    <x v="40"/>
    <x v="0"/>
    <x v="4"/>
    <n v="0"/>
  </r>
  <r>
    <x v="0"/>
    <x v="6"/>
    <x v="2"/>
    <x v="6"/>
    <x v="40"/>
    <x v="0"/>
    <x v="5"/>
    <n v="0"/>
  </r>
  <r>
    <x v="0"/>
    <x v="6"/>
    <x v="2"/>
    <x v="6"/>
    <x v="40"/>
    <x v="0"/>
    <x v="6"/>
    <n v="0"/>
  </r>
  <r>
    <x v="0"/>
    <x v="6"/>
    <x v="2"/>
    <x v="6"/>
    <x v="41"/>
    <x v="0"/>
    <x v="0"/>
    <n v="0"/>
  </r>
  <r>
    <x v="0"/>
    <x v="6"/>
    <x v="2"/>
    <x v="6"/>
    <x v="41"/>
    <x v="0"/>
    <x v="1"/>
    <n v="0"/>
  </r>
  <r>
    <x v="0"/>
    <x v="6"/>
    <x v="2"/>
    <x v="6"/>
    <x v="41"/>
    <x v="0"/>
    <x v="2"/>
    <n v="0"/>
  </r>
  <r>
    <x v="0"/>
    <x v="6"/>
    <x v="2"/>
    <x v="6"/>
    <x v="41"/>
    <x v="0"/>
    <x v="3"/>
    <n v="0"/>
  </r>
  <r>
    <x v="0"/>
    <x v="6"/>
    <x v="2"/>
    <x v="6"/>
    <x v="41"/>
    <x v="0"/>
    <x v="4"/>
    <n v="0"/>
  </r>
  <r>
    <x v="0"/>
    <x v="6"/>
    <x v="2"/>
    <x v="6"/>
    <x v="41"/>
    <x v="0"/>
    <x v="5"/>
    <n v="0"/>
  </r>
  <r>
    <x v="0"/>
    <x v="6"/>
    <x v="2"/>
    <x v="6"/>
    <x v="41"/>
    <x v="0"/>
    <x v="6"/>
    <n v="0"/>
  </r>
  <r>
    <x v="0"/>
    <x v="6"/>
    <x v="2"/>
    <x v="6"/>
    <x v="42"/>
    <x v="0"/>
    <x v="0"/>
    <n v="0"/>
  </r>
  <r>
    <x v="0"/>
    <x v="6"/>
    <x v="2"/>
    <x v="6"/>
    <x v="42"/>
    <x v="0"/>
    <x v="1"/>
    <n v="0"/>
  </r>
  <r>
    <x v="0"/>
    <x v="6"/>
    <x v="2"/>
    <x v="6"/>
    <x v="42"/>
    <x v="0"/>
    <x v="2"/>
    <n v="0"/>
  </r>
  <r>
    <x v="0"/>
    <x v="6"/>
    <x v="2"/>
    <x v="6"/>
    <x v="42"/>
    <x v="0"/>
    <x v="3"/>
    <n v="0"/>
  </r>
  <r>
    <x v="0"/>
    <x v="6"/>
    <x v="2"/>
    <x v="6"/>
    <x v="42"/>
    <x v="0"/>
    <x v="4"/>
    <n v="0"/>
  </r>
  <r>
    <x v="0"/>
    <x v="6"/>
    <x v="2"/>
    <x v="6"/>
    <x v="42"/>
    <x v="0"/>
    <x v="5"/>
    <n v="0"/>
  </r>
  <r>
    <x v="0"/>
    <x v="6"/>
    <x v="2"/>
    <x v="6"/>
    <x v="42"/>
    <x v="0"/>
    <x v="6"/>
    <n v="0"/>
  </r>
  <r>
    <x v="0"/>
    <x v="6"/>
    <x v="2"/>
    <x v="6"/>
    <x v="43"/>
    <x v="0"/>
    <x v="0"/>
    <n v="0"/>
  </r>
  <r>
    <x v="0"/>
    <x v="6"/>
    <x v="2"/>
    <x v="6"/>
    <x v="43"/>
    <x v="0"/>
    <x v="1"/>
    <n v="0"/>
  </r>
  <r>
    <x v="0"/>
    <x v="6"/>
    <x v="2"/>
    <x v="6"/>
    <x v="43"/>
    <x v="0"/>
    <x v="2"/>
    <n v="0"/>
  </r>
  <r>
    <x v="0"/>
    <x v="6"/>
    <x v="2"/>
    <x v="6"/>
    <x v="43"/>
    <x v="0"/>
    <x v="3"/>
    <n v="0"/>
  </r>
  <r>
    <x v="0"/>
    <x v="6"/>
    <x v="2"/>
    <x v="6"/>
    <x v="43"/>
    <x v="0"/>
    <x v="4"/>
    <n v="0"/>
  </r>
  <r>
    <x v="0"/>
    <x v="6"/>
    <x v="2"/>
    <x v="6"/>
    <x v="43"/>
    <x v="0"/>
    <x v="5"/>
    <n v="0"/>
  </r>
  <r>
    <x v="0"/>
    <x v="6"/>
    <x v="2"/>
    <x v="6"/>
    <x v="43"/>
    <x v="0"/>
    <x v="6"/>
    <n v="0"/>
  </r>
  <r>
    <x v="0"/>
    <x v="6"/>
    <x v="4"/>
    <x v="7"/>
    <x v="44"/>
    <x v="0"/>
    <x v="0"/>
    <n v="0"/>
  </r>
  <r>
    <x v="0"/>
    <x v="6"/>
    <x v="4"/>
    <x v="7"/>
    <x v="44"/>
    <x v="0"/>
    <x v="1"/>
    <n v="0"/>
  </r>
  <r>
    <x v="0"/>
    <x v="6"/>
    <x v="4"/>
    <x v="7"/>
    <x v="44"/>
    <x v="0"/>
    <x v="2"/>
    <n v="0"/>
  </r>
  <r>
    <x v="0"/>
    <x v="6"/>
    <x v="4"/>
    <x v="7"/>
    <x v="44"/>
    <x v="0"/>
    <x v="3"/>
    <n v="0"/>
  </r>
  <r>
    <x v="0"/>
    <x v="6"/>
    <x v="4"/>
    <x v="7"/>
    <x v="44"/>
    <x v="0"/>
    <x v="4"/>
    <n v="0"/>
  </r>
  <r>
    <x v="0"/>
    <x v="6"/>
    <x v="4"/>
    <x v="7"/>
    <x v="44"/>
    <x v="0"/>
    <x v="5"/>
    <n v="0"/>
  </r>
  <r>
    <x v="0"/>
    <x v="6"/>
    <x v="4"/>
    <x v="7"/>
    <x v="44"/>
    <x v="0"/>
    <x v="6"/>
    <n v="0"/>
  </r>
  <r>
    <x v="0"/>
    <x v="6"/>
    <x v="4"/>
    <x v="7"/>
    <x v="45"/>
    <x v="0"/>
    <x v="0"/>
    <n v="0"/>
  </r>
  <r>
    <x v="0"/>
    <x v="6"/>
    <x v="4"/>
    <x v="7"/>
    <x v="45"/>
    <x v="0"/>
    <x v="1"/>
    <n v="0"/>
  </r>
  <r>
    <x v="0"/>
    <x v="6"/>
    <x v="4"/>
    <x v="7"/>
    <x v="45"/>
    <x v="0"/>
    <x v="2"/>
    <n v="0"/>
  </r>
  <r>
    <x v="0"/>
    <x v="6"/>
    <x v="4"/>
    <x v="7"/>
    <x v="45"/>
    <x v="0"/>
    <x v="3"/>
    <n v="0"/>
  </r>
  <r>
    <x v="0"/>
    <x v="6"/>
    <x v="4"/>
    <x v="7"/>
    <x v="45"/>
    <x v="0"/>
    <x v="4"/>
    <n v="0"/>
  </r>
  <r>
    <x v="0"/>
    <x v="6"/>
    <x v="4"/>
    <x v="7"/>
    <x v="45"/>
    <x v="0"/>
    <x v="5"/>
    <n v="0"/>
  </r>
  <r>
    <x v="0"/>
    <x v="6"/>
    <x v="4"/>
    <x v="7"/>
    <x v="45"/>
    <x v="0"/>
    <x v="6"/>
    <n v="0"/>
  </r>
  <r>
    <x v="0"/>
    <x v="6"/>
    <x v="4"/>
    <x v="7"/>
    <x v="46"/>
    <x v="0"/>
    <x v="0"/>
    <n v="0"/>
  </r>
  <r>
    <x v="0"/>
    <x v="6"/>
    <x v="4"/>
    <x v="7"/>
    <x v="46"/>
    <x v="0"/>
    <x v="1"/>
    <n v="0"/>
  </r>
  <r>
    <x v="0"/>
    <x v="6"/>
    <x v="4"/>
    <x v="7"/>
    <x v="46"/>
    <x v="0"/>
    <x v="2"/>
    <n v="0"/>
  </r>
  <r>
    <x v="0"/>
    <x v="6"/>
    <x v="4"/>
    <x v="7"/>
    <x v="46"/>
    <x v="0"/>
    <x v="3"/>
    <n v="0"/>
  </r>
  <r>
    <x v="0"/>
    <x v="6"/>
    <x v="4"/>
    <x v="7"/>
    <x v="46"/>
    <x v="0"/>
    <x v="4"/>
    <n v="0"/>
  </r>
  <r>
    <x v="0"/>
    <x v="6"/>
    <x v="4"/>
    <x v="7"/>
    <x v="46"/>
    <x v="0"/>
    <x v="5"/>
    <n v="0"/>
  </r>
  <r>
    <x v="0"/>
    <x v="6"/>
    <x v="4"/>
    <x v="7"/>
    <x v="46"/>
    <x v="0"/>
    <x v="6"/>
    <n v="0"/>
  </r>
  <r>
    <x v="0"/>
    <x v="6"/>
    <x v="4"/>
    <x v="7"/>
    <x v="47"/>
    <x v="0"/>
    <x v="0"/>
    <n v="0"/>
  </r>
  <r>
    <x v="0"/>
    <x v="6"/>
    <x v="4"/>
    <x v="7"/>
    <x v="47"/>
    <x v="0"/>
    <x v="1"/>
    <n v="0"/>
  </r>
  <r>
    <x v="0"/>
    <x v="6"/>
    <x v="4"/>
    <x v="7"/>
    <x v="47"/>
    <x v="0"/>
    <x v="2"/>
    <n v="0"/>
  </r>
  <r>
    <x v="0"/>
    <x v="6"/>
    <x v="4"/>
    <x v="7"/>
    <x v="47"/>
    <x v="0"/>
    <x v="3"/>
    <n v="0"/>
  </r>
  <r>
    <x v="0"/>
    <x v="6"/>
    <x v="4"/>
    <x v="7"/>
    <x v="47"/>
    <x v="0"/>
    <x v="4"/>
    <n v="0"/>
  </r>
  <r>
    <x v="0"/>
    <x v="6"/>
    <x v="4"/>
    <x v="7"/>
    <x v="47"/>
    <x v="0"/>
    <x v="5"/>
    <n v="0"/>
  </r>
  <r>
    <x v="0"/>
    <x v="6"/>
    <x v="4"/>
    <x v="7"/>
    <x v="47"/>
    <x v="0"/>
    <x v="6"/>
    <n v="0"/>
  </r>
  <r>
    <x v="0"/>
    <x v="6"/>
    <x v="4"/>
    <x v="7"/>
    <x v="48"/>
    <x v="0"/>
    <x v="0"/>
    <n v="0"/>
  </r>
  <r>
    <x v="0"/>
    <x v="6"/>
    <x v="4"/>
    <x v="7"/>
    <x v="48"/>
    <x v="0"/>
    <x v="1"/>
    <n v="0"/>
  </r>
  <r>
    <x v="0"/>
    <x v="6"/>
    <x v="4"/>
    <x v="7"/>
    <x v="48"/>
    <x v="0"/>
    <x v="2"/>
    <n v="0"/>
  </r>
  <r>
    <x v="0"/>
    <x v="6"/>
    <x v="4"/>
    <x v="7"/>
    <x v="48"/>
    <x v="0"/>
    <x v="3"/>
    <n v="0"/>
  </r>
  <r>
    <x v="0"/>
    <x v="6"/>
    <x v="4"/>
    <x v="7"/>
    <x v="48"/>
    <x v="0"/>
    <x v="4"/>
    <n v="0"/>
  </r>
  <r>
    <x v="0"/>
    <x v="6"/>
    <x v="4"/>
    <x v="7"/>
    <x v="48"/>
    <x v="0"/>
    <x v="5"/>
    <n v="0"/>
  </r>
  <r>
    <x v="0"/>
    <x v="6"/>
    <x v="4"/>
    <x v="7"/>
    <x v="48"/>
    <x v="0"/>
    <x v="6"/>
    <n v="0"/>
  </r>
  <r>
    <x v="0"/>
    <x v="6"/>
    <x v="4"/>
    <x v="7"/>
    <x v="49"/>
    <x v="0"/>
    <x v="0"/>
    <n v="0"/>
  </r>
  <r>
    <x v="0"/>
    <x v="6"/>
    <x v="4"/>
    <x v="7"/>
    <x v="49"/>
    <x v="0"/>
    <x v="1"/>
    <n v="0"/>
  </r>
  <r>
    <x v="0"/>
    <x v="6"/>
    <x v="4"/>
    <x v="7"/>
    <x v="49"/>
    <x v="0"/>
    <x v="2"/>
    <n v="0"/>
  </r>
  <r>
    <x v="0"/>
    <x v="6"/>
    <x v="4"/>
    <x v="7"/>
    <x v="49"/>
    <x v="0"/>
    <x v="3"/>
    <n v="0"/>
  </r>
  <r>
    <x v="0"/>
    <x v="6"/>
    <x v="4"/>
    <x v="7"/>
    <x v="49"/>
    <x v="0"/>
    <x v="4"/>
    <n v="0"/>
  </r>
  <r>
    <x v="0"/>
    <x v="6"/>
    <x v="4"/>
    <x v="7"/>
    <x v="49"/>
    <x v="0"/>
    <x v="5"/>
    <n v="0"/>
  </r>
  <r>
    <x v="0"/>
    <x v="6"/>
    <x v="4"/>
    <x v="7"/>
    <x v="49"/>
    <x v="0"/>
    <x v="6"/>
    <n v="0"/>
  </r>
  <r>
    <x v="0"/>
    <x v="6"/>
    <x v="4"/>
    <x v="7"/>
    <x v="50"/>
    <x v="0"/>
    <x v="0"/>
    <n v="0"/>
  </r>
  <r>
    <x v="0"/>
    <x v="6"/>
    <x v="4"/>
    <x v="7"/>
    <x v="50"/>
    <x v="0"/>
    <x v="1"/>
    <n v="0"/>
  </r>
  <r>
    <x v="0"/>
    <x v="6"/>
    <x v="4"/>
    <x v="7"/>
    <x v="50"/>
    <x v="0"/>
    <x v="2"/>
    <n v="0"/>
  </r>
  <r>
    <x v="0"/>
    <x v="6"/>
    <x v="4"/>
    <x v="7"/>
    <x v="50"/>
    <x v="0"/>
    <x v="3"/>
    <n v="0"/>
  </r>
  <r>
    <x v="0"/>
    <x v="6"/>
    <x v="4"/>
    <x v="7"/>
    <x v="50"/>
    <x v="0"/>
    <x v="4"/>
    <n v="0"/>
  </r>
  <r>
    <x v="0"/>
    <x v="6"/>
    <x v="4"/>
    <x v="7"/>
    <x v="50"/>
    <x v="0"/>
    <x v="5"/>
    <n v="0"/>
  </r>
  <r>
    <x v="0"/>
    <x v="6"/>
    <x v="4"/>
    <x v="7"/>
    <x v="50"/>
    <x v="0"/>
    <x v="6"/>
    <n v="0"/>
  </r>
  <r>
    <x v="0"/>
    <x v="6"/>
    <x v="5"/>
    <x v="8"/>
    <x v="51"/>
    <x v="0"/>
    <x v="0"/>
    <n v="0"/>
  </r>
  <r>
    <x v="0"/>
    <x v="6"/>
    <x v="5"/>
    <x v="8"/>
    <x v="51"/>
    <x v="0"/>
    <x v="1"/>
    <n v="0"/>
  </r>
  <r>
    <x v="0"/>
    <x v="6"/>
    <x v="5"/>
    <x v="8"/>
    <x v="51"/>
    <x v="0"/>
    <x v="2"/>
    <n v="0"/>
  </r>
  <r>
    <x v="0"/>
    <x v="6"/>
    <x v="5"/>
    <x v="8"/>
    <x v="51"/>
    <x v="0"/>
    <x v="3"/>
    <n v="0"/>
  </r>
  <r>
    <x v="0"/>
    <x v="6"/>
    <x v="5"/>
    <x v="8"/>
    <x v="51"/>
    <x v="0"/>
    <x v="4"/>
    <n v="0"/>
  </r>
  <r>
    <x v="0"/>
    <x v="6"/>
    <x v="5"/>
    <x v="8"/>
    <x v="51"/>
    <x v="0"/>
    <x v="5"/>
    <n v="0"/>
  </r>
  <r>
    <x v="0"/>
    <x v="6"/>
    <x v="5"/>
    <x v="8"/>
    <x v="51"/>
    <x v="0"/>
    <x v="6"/>
    <n v="0"/>
  </r>
  <r>
    <x v="0"/>
    <x v="6"/>
    <x v="3"/>
    <x v="5"/>
    <x v="52"/>
    <x v="0"/>
    <x v="0"/>
    <n v="0"/>
  </r>
  <r>
    <x v="0"/>
    <x v="6"/>
    <x v="3"/>
    <x v="5"/>
    <x v="52"/>
    <x v="0"/>
    <x v="1"/>
    <n v="0"/>
  </r>
  <r>
    <x v="0"/>
    <x v="6"/>
    <x v="3"/>
    <x v="5"/>
    <x v="52"/>
    <x v="0"/>
    <x v="2"/>
    <n v="0"/>
  </r>
  <r>
    <x v="0"/>
    <x v="6"/>
    <x v="3"/>
    <x v="5"/>
    <x v="52"/>
    <x v="0"/>
    <x v="3"/>
    <n v="0"/>
  </r>
  <r>
    <x v="0"/>
    <x v="6"/>
    <x v="3"/>
    <x v="5"/>
    <x v="52"/>
    <x v="0"/>
    <x v="4"/>
    <n v="0"/>
  </r>
  <r>
    <x v="0"/>
    <x v="6"/>
    <x v="3"/>
    <x v="5"/>
    <x v="52"/>
    <x v="0"/>
    <x v="5"/>
    <n v="0"/>
  </r>
  <r>
    <x v="0"/>
    <x v="6"/>
    <x v="3"/>
    <x v="5"/>
    <x v="52"/>
    <x v="0"/>
    <x v="6"/>
    <n v="0"/>
  </r>
  <r>
    <x v="0"/>
    <x v="6"/>
    <x v="5"/>
    <x v="8"/>
    <x v="53"/>
    <x v="0"/>
    <x v="0"/>
    <n v="0"/>
  </r>
  <r>
    <x v="0"/>
    <x v="6"/>
    <x v="5"/>
    <x v="8"/>
    <x v="53"/>
    <x v="0"/>
    <x v="1"/>
    <n v="0"/>
  </r>
  <r>
    <x v="0"/>
    <x v="6"/>
    <x v="5"/>
    <x v="8"/>
    <x v="53"/>
    <x v="0"/>
    <x v="2"/>
    <n v="0"/>
  </r>
  <r>
    <x v="0"/>
    <x v="6"/>
    <x v="5"/>
    <x v="8"/>
    <x v="53"/>
    <x v="0"/>
    <x v="3"/>
    <n v="0"/>
  </r>
  <r>
    <x v="0"/>
    <x v="6"/>
    <x v="5"/>
    <x v="8"/>
    <x v="53"/>
    <x v="0"/>
    <x v="4"/>
    <n v="0"/>
  </r>
  <r>
    <x v="0"/>
    <x v="6"/>
    <x v="5"/>
    <x v="8"/>
    <x v="53"/>
    <x v="0"/>
    <x v="5"/>
    <n v="0"/>
  </r>
  <r>
    <x v="0"/>
    <x v="6"/>
    <x v="5"/>
    <x v="8"/>
    <x v="53"/>
    <x v="0"/>
    <x v="6"/>
    <n v="0"/>
  </r>
  <r>
    <x v="0"/>
    <x v="6"/>
    <x v="4"/>
    <x v="7"/>
    <x v="54"/>
    <x v="0"/>
    <x v="0"/>
    <n v="0"/>
  </r>
  <r>
    <x v="0"/>
    <x v="6"/>
    <x v="4"/>
    <x v="7"/>
    <x v="54"/>
    <x v="0"/>
    <x v="1"/>
    <n v="0"/>
  </r>
  <r>
    <x v="0"/>
    <x v="6"/>
    <x v="4"/>
    <x v="7"/>
    <x v="54"/>
    <x v="0"/>
    <x v="2"/>
    <n v="0"/>
  </r>
  <r>
    <x v="0"/>
    <x v="6"/>
    <x v="4"/>
    <x v="7"/>
    <x v="54"/>
    <x v="0"/>
    <x v="3"/>
    <n v="0"/>
  </r>
  <r>
    <x v="0"/>
    <x v="6"/>
    <x v="4"/>
    <x v="7"/>
    <x v="54"/>
    <x v="0"/>
    <x v="4"/>
    <n v="0"/>
  </r>
  <r>
    <x v="0"/>
    <x v="6"/>
    <x v="4"/>
    <x v="7"/>
    <x v="54"/>
    <x v="0"/>
    <x v="5"/>
    <n v="0"/>
  </r>
  <r>
    <x v="0"/>
    <x v="6"/>
    <x v="4"/>
    <x v="7"/>
    <x v="54"/>
    <x v="0"/>
    <x v="6"/>
    <n v="0"/>
  </r>
  <r>
    <x v="0"/>
    <x v="6"/>
    <x v="4"/>
    <x v="7"/>
    <x v="55"/>
    <x v="0"/>
    <x v="0"/>
    <n v="0"/>
  </r>
  <r>
    <x v="0"/>
    <x v="6"/>
    <x v="4"/>
    <x v="7"/>
    <x v="55"/>
    <x v="0"/>
    <x v="1"/>
    <n v="0"/>
  </r>
  <r>
    <x v="0"/>
    <x v="6"/>
    <x v="4"/>
    <x v="7"/>
    <x v="55"/>
    <x v="0"/>
    <x v="2"/>
    <n v="0"/>
  </r>
  <r>
    <x v="0"/>
    <x v="6"/>
    <x v="4"/>
    <x v="7"/>
    <x v="55"/>
    <x v="0"/>
    <x v="3"/>
    <n v="0"/>
  </r>
  <r>
    <x v="0"/>
    <x v="6"/>
    <x v="4"/>
    <x v="7"/>
    <x v="55"/>
    <x v="0"/>
    <x v="4"/>
    <n v="0"/>
  </r>
  <r>
    <x v="0"/>
    <x v="6"/>
    <x v="4"/>
    <x v="7"/>
    <x v="55"/>
    <x v="0"/>
    <x v="5"/>
    <n v="0"/>
  </r>
  <r>
    <x v="0"/>
    <x v="6"/>
    <x v="4"/>
    <x v="7"/>
    <x v="55"/>
    <x v="0"/>
    <x v="6"/>
    <n v="0"/>
  </r>
  <r>
    <x v="0"/>
    <x v="6"/>
    <x v="4"/>
    <x v="7"/>
    <x v="56"/>
    <x v="0"/>
    <x v="0"/>
    <n v="0"/>
  </r>
  <r>
    <x v="0"/>
    <x v="6"/>
    <x v="4"/>
    <x v="7"/>
    <x v="56"/>
    <x v="0"/>
    <x v="1"/>
    <n v="0"/>
  </r>
  <r>
    <x v="0"/>
    <x v="6"/>
    <x v="4"/>
    <x v="7"/>
    <x v="56"/>
    <x v="0"/>
    <x v="2"/>
    <n v="0"/>
  </r>
  <r>
    <x v="0"/>
    <x v="6"/>
    <x v="4"/>
    <x v="7"/>
    <x v="56"/>
    <x v="0"/>
    <x v="3"/>
    <n v="0"/>
  </r>
  <r>
    <x v="0"/>
    <x v="6"/>
    <x v="4"/>
    <x v="7"/>
    <x v="56"/>
    <x v="0"/>
    <x v="4"/>
    <n v="0"/>
  </r>
  <r>
    <x v="0"/>
    <x v="6"/>
    <x v="4"/>
    <x v="7"/>
    <x v="56"/>
    <x v="0"/>
    <x v="5"/>
    <n v="0"/>
  </r>
  <r>
    <x v="0"/>
    <x v="6"/>
    <x v="4"/>
    <x v="7"/>
    <x v="56"/>
    <x v="0"/>
    <x v="6"/>
    <n v="0"/>
  </r>
  <r>
    <x v="0"/>
    <x v="6"/>
    <x v="4"/>
    <x v="7"/>
    <x v="57"/>
    <x v="0"/>
    <x v="0"/>
    <n v="0"/>
  </r>
  <r>
    <x v="0"/>
    <x v="6"/>
    <x v="4"/>
    <x v="7"/>
    <x v="57"/>
    <x v="0"/>
    <x v="1"/>
    <n v="0"/>
  </r>
  <r>
    <x v="0"/>
    <x v="6"/>
    <x v="4"/>
    <x v="7"/>
    <x v="57"/>
    <x v="0"/>
    <x v="2"/>
    <n v="0"/>
  </r>
  <r>
    <x v="0"/>
    <x v="6"/>
    <x v="4"/>
    <x v="7"/>
    <x v="57"/>
    <x v="0"/>
    <x v="3"/>
    <n v="0"/>
  </r>
  <r>
    <x v="0"/>
    <x v="6"/>
    <x v="4"/>
    <x v="7"/>
    <x v="57"/>
    <x v="0"/>
    <x v="4"/>
    <n v="0"/>
  </r>
  <r>
    <x v="0"/>
    <x v="6"/>
    <x v="4"/>
    <x v="7"/>
    <x v="57"/>
    <x v="0"/>
    <x v="5"/>
    <n v="0"/>
  </r>
  <r>
    <x v="0"/>
    <x v="6"/>
    <x v="4"/>
    <x v="7"/>
    <x v="57"/>
    <x v="0"/>
    <x v="6"/>
    <n v="0"/>
  </r>
  <r>
    <x v="0"/>
    <x v="6"/>
    <x v="4"/>
    <x v="7"/>
    <x v="58"/>
    <x v="0"/>
    <x v="0"/>
    <n v="0"/>
  </r>
  <r>
    <x v="0"/>
    <x v="6"/>
    <x v="4"/>
    <x v="7"/>
    <x v="58"/>
    <x v="0"/>
    <x v="1"/>
    <n v="0"/>
  </r>
  <r>
    <x v="0"/>
    <x v="6"/>
    <x v="4"/>
    <x v="7"/>
    <x v="58"/>
    <x v="0"/>
    <x v="2"/>
    <n v="0"/>
  </r>
  <r>
    <x v="0"/>
    <x v="6"/>
    <x v="4"/>
    <x v="7"/>
    <x v="58"/>
    <x v="0"/>
    <x v="3"/>
    <n v="0"/>
  </r>
  <r>
    <x v="0"/>
    <x v="6"/>
    <x v="4"/>
    <x v="7"/>
    <x v="58"/>
    <x v="0"/>
    <x v="4"/>
    <n v="0"/>
  </r>
  <r>
    <x v="0"/>
    <x v="6"/>
    <x v="4"/>
    <x v="7"/>
    <x v="58"/>
    <x v="0"/>
    <x v="5"/>
    <n v="0"/>
  </r>
  <r>
    <x v="0"/>
    <x v="6"/>
    <x v="4"/>
    <x v="7"/>
    <x v="58"/>
    <x v="0"/>
    <x v="6"/>
    <n v="0"/>
  </r>
  <r>
    <x v="0"/>
    <x v="6"/>
    <x v="4"/>
    <x v="7"/>
    <x v="59"/>
    <x v="0"/>
    <x v="0"/>
    <n v="0"/>
  </r>
  <r>
    <x v="0"/>
    <x v="6"/>
    <x v="4"/>
    <x v="7"/>
    <x v="59"/>
    <x v="0"/>
    <x v="1"/>
    <n v="0"/>
  </r>
  <r>
    <x v="0"/>
    <x v="6"/>
    <x v="4"/>
    <x v="7"/>
    <x v="59"/>
    <x v="0"/>
    <x v="2"/>
    <n v="0"/>
  </r>
  <r>
    <x v="0"/>
    <x v="6"/>
    <x v="4"/>
    <x v="7"/>
    <x v="59"/>
    <x v="0"/>
    <x v="3"/>
    <n v="0"/>
  </r>
  <r>
    <x v="0"/>
    <x v="6"/>
    <x v="4"/>
    <x v="7"/>
    <x v="59"/>
    <x v="0"/>
    <x v="4"/>
    <n v="0"/>
  </r>
  <r>
    <x v="0"/>
    <x v="6"/>
    <x v="4"/>
    <x v="7"/>
    <x v="59"/>
    <x v="0"/>
    <x v="5"/>
    <n v="0"/>
  </r>
  <r>
    <x v="0"/>
    <x v="6"/>
    <x v="4"/>
    <x v="7"/>
    <x v="59"/>
    <x v="0"/>
    <x v="6"/>
    <n v="0"/>
  </r>
  <r>
    <x v="0"/>
    <x v="6"/>
    <x v="4"/>
    <x v="7"/>
    <x v="60"/>
    <x v="0"/>
    <x v="0"/>
    <n v="0"/>
  </r>
  <r>
    <x v="0"/>
    <x v="6"/>
    <x v="4"/>
    <x v="7"/>
    <x v="60"/>
    <x v="0"/>
    <x v="1"/>
    <n v="0"/>
  </r>
  <r>
    <x v="0"/>
    <x v="6"/>
    <x v="4"/>
    <x v="7"/>
    <x v="60"/>
    <x v="0"/>
    <x v="2"/>
    <n v="0"/>
  </r>
  <r>
    <x v="0"/>
    <x v="6"/>
    <x v="4"/>
    <x v="7"/>
    <x v="60"/>
    <x v="0"/>
    <x v="3"/>
    <n v="0"/>
  </r>
  <r>
    <x v="0"/>
    <x v="6"/>
    <x v="4"/>
    <x v="7"/>
    <x v="60"/>
    <x v="0"/>
    <x v="4"/>
    <n v="0"/>
  </r>
  <r>
    <x v="0"/>
    <x v="6"/>
    <x v="4"/>
    <x v="7"/>
    <x v="60"/>
    <x v="0"/>
    <x v="5"/>
    <n v="0"/>
  </r>
  <r>
    <x v="0"/>
    <x v="6"/>
    <x v="4"/>
    <x v="7"/>
    <x v="60"/>
    <x v="0"/>
    <x v="6"/>
    <n v="0"/>
  </r>
  <r>
    <x v="0"/>
    <x v="6"/>
    <x v="4"/>
    <x v="7"/>
    <x v="61"/>
    <x v="0"/>
    <x v="0"/>
    <n v="0"/>
  </r>
  <r>
    <x v="0"/>
    <x v="6"/>
    <x v="4"/>
    <x v="7"/>
    <x v="61"/>
    <x v="0"/>
    <x v="1"/>
    <n v="0.34029124852718085"/>
  </r>
  <r>
    <x v="0"/>
    <x v="6"/>
    <x v="4"/>
    <x v="7"/>
    <x v="61"/>
    <x v="0"/>
    <x v="2"/>
    <n v="1.1901585246319824"/>
  </r>
  <r>
    <x v="0"/>
    <x v="6"/>
    <x v="4"/>
    <x v="7"/>
    <x v="61"/>
    <x v="0"/>
    <x v="3"/>
    <n v="3.2838635032499721"/>
  </r>
  <r>
    <x v="0"/>
    <x v="6"/>
    <x v="4"/>
    <x v="7"/>
    <x v="61"/>
    <x v="0"/>
    <x v="4"/>
    <n v="8.4159856755"/>
  </r>
  <r>
    <x v="0"/>
    <x v="6"/>
    <x v="4"/>
    <x v="7"/>
    <x v="61"/>
    <x v="0"/>
    <x v="5"/>
    <n v="15.137785776959999"/>
  </r>
  <r>
    <x v="0"/>
    <x v="6"/>
    <x v="4"/>
    <x v="7"/>
    <x v="61"/>
    <x v="0"/>
    <x v="6"/>
    <n v="23.429453691105003"/>
  </r>
  <r>
    <x v="0"/>
    <x v="6"/>
    <x v="4"/>
    <x v="7"/>
    <x v="62"/>
    <x v="0"/>
    <x v="0"/>
    <n v="0.94910476288859136"/>
  </r>
  <r>
    <x v="0"/>
    <x v="6"/>
    <x v="4"/>
    <x v="7"/>
    <x v="62"/>
    <x v="0"/>
    <x v="1"/>
    <n v="3.2530943447380181"/>
  </r>
  <r>
    <x v="0"/>
    <x v="6"/>
    <x v="4"/>
    <x v="7"/>
    <x v="62"/>
    <x v="0"/>
    <x v="2"/>
    <n v="9.2628592191181216"/>
  </r>
  <r>
    <x v="0"/>
    <x v="6"/>
    <x v="4"/>
    <x v="7"/>
    <x v="62"/>
    <x v="0"/>
    <x v="3"/>
    <n v="23.432825938539473"/>
  </r>
  <r>
    <x v="0"/>
    <x v="6"/>
    <x v="4"/>
    <x v="7"/>
    <x v="62"/>
    <x v="0"/>
    <x v="4"/>
    <n v="56.657797117560023"/>
  </r>
  <r>
    <x v="0"/>
    <x v="6"/>
    <x v="4"/>
    <x v="7"/>
    <x v="62"/>
    <x v="0"/>
    <x v="5"/>
    <n v="101.99493398109441"/>
  </r>
  <r>
    <x v="0"/>
    <x v="6"/>
    <x v="4"/>
    <x v="7"/>
    <x v="62"/>
    <x v="0"/>
    <x v="6"/>
    <n v="148.16650191027298"/>
  </r>
  <r>
    <x v="0"/>
    <x v="6"/>
    <x v="4"/>
    <x v="7"/>
    <x v="63"/>
    <x v="0"/>
    <x v="0"/>
    <n v="0"/>
  </r>
  <r>
    <x v="0"/>
    <x v="6"/>
    <x v="4"/>
    <x v="7"/>
    <x v="63"/>
    <x v="0"/>
    <x v="1"/>
    <n v="0"/>
  </r>
  <r>
    <x v="0"/>
    <x v="6"/>
    <x v="4"/>
    <x v="7"/>
    <x v="63"/>
    <x v="0"/>
    <x v="2"/>
    <n v="0"/>
  </r>
  <r>
    <x v="0"/>
    <x v="6"/>
    <x v="4"/>
    <x v="7"/>
    <x v="63"/>
    <x v="0"/>
    <x v="3"/>
    <n v="0"/>
  </r>
  <r>
    <x v="0"/>
    <x v="6"/>
    <x v="4"/>
    <x v="7"/>
    <x v="63"/>
    <x v="0"/>
    <x v="4"/>
    <n v="0"/>
  </r>
  <r>
    <x v="0"/>
    <x v="6"/>
    <x v="4"/>
    <x v="7"/>
    <x v="63"/>
    <x v="0"/>
    <x v="5"/>
    <n v="0"/>
  </r>
  <r>
    <x v="0"/>
    <x v="6"/>
    <x v="4"/>
    <x v="7"/>
    <x v="63"/>
    <x v="0"/>
    <x v="6"/>
    <n v="0"/>
  </r>
  <r>
    <x v="0"/>
    <x v="6"/>
    <x v="4"/>
    <x v="7"/>
    <x v="64"/>
    <x v="0"/>
    <x v="0"/>
    <n v="2.0015751795037407E-3"/>
  </r>
  <r>
    <x v="0"/>
    <x v="6"/>
    <x v="4"/>
    <x v="7"/>
    <x v="64"/>
    <x v="0"/>
    <x v="1"/>
    <n v="9.1542282712239256E-3"/>
  </r>
  <r>
    <x v="0"/>
    <x v="6"/>
    <x v="4"/>
    <x v="7"/>
    <x v="64"/>
    <x v="0"/>
    <x v="2"/>
    <n v="4.1522763573471511E-2"/>
  </r>
  <r>
    <x v="0"/>
    <x v="6"/>
    <x v="4"/>
    <x v="7"/>
    <x v="64"/>
    <x v="0"/>
    <x v="3"/>
    <n v="0.16852969739400578"/>
  </r>
  <r>
    <x v="0"/>
    <x v="6"/>
    <x v="4"/>
    <x v="7"/>
    <x v="64"/>
    <x v="0"/>
    <x v="4"/>
    <n v="0.65894073152763444"/>
  </r>
  <r>
    <x v="0"/>
    <x v="6"/>
    <x v="4"/>
    <x v="7"/>
    <x v="64"/>
    <x v="0"/>
    <x v="5"/>
    <n v="2.0880027974908288"/>
  </r>
  <r>
    <x v="0"/>
    <x v="6"/>
    <x v="4"/>
    <x v="7"/>
    <x v="64"/>
    <x v="0"/>
    <x v="6"/>
    <n v="3.9519683923819153"/>
  </r>
  <r>
    <x v="0"/>
    <x v="6"/>
    <x v="3"/>
    <x v="5"/>
    <x v="65"/>
    <x v="0"/>
    <x v="0"/>
    <n v="0"/>
  </r>
  <r>
    <x v="0"/>
    <x v="6"/>
    <x v="3"/>
    <x v="5"/>
    <x v="65"/>
    <x v="0"/>
    <x v="1"/>
    <n v="0"/>
  </r>
  <r>
    <x v="0"/>
    <x v="6"/>
    <x v="3"/>
    <x v="5"/>
    <x v="65"/>
    <x v="0"/>
    <x v="2"/>
    <n v="0"/>
  </r>
  <r>
    <x v="0"/>
    <x v="6"/>
    <x v="3"/>
    <x v="5"/>
    <x v="65"/>
    <x v="0"/>
    <x v="3"/>
    <n v="0"/>
  </r>
  <r>
    <x v="0"/>
    <x v="6"/>
    <x v="3"/>
    <x v="5"/>
    <x v="65"/>
    <x v="0"/>
    <x v="4"/>
    <n v="0"/>
  </r>
  <r>
    <x v="0"/>
    <x v="6"/>
    <x v="3"/>
    <x v="5"/>
    <x v="65"/>
    <x v="0"/>
    <x v="5"/>
    <n v="0"/>
  </r>
  <r>
    <x v="0"/>
    <x v="6"/>
    <x v="3"/>
    <x v="5"/>
    <x v="65"/>
    <x v="0"/>
    <x v="6"/>
    <n v="0"/>
  </r>
  <r>
    <x v="0"/>
    <x v="6"/>
    <x v="3"/>
    <x v="5"/>
    <x v="66"/>
    <x v="0"/>
    <x v="0"/>
    <n v="0"/>
  </r>
  <r>
    <x v="0"/>
    <x v="6"/>
    <x v="3"/>
    <x v="5"/>
    <x v="66"/>
    <x v="0"/>
    <x v="1"/>
    <n v="0"/>
  </r>
  <r>
    <x v="0"/>
    <x v="6"/>
    <x v="3"/>
    <x v="5"/>
    <x v="66"/>
    <x v="0"/>
    <x v="2"/>
    <n v="0"/>
  </r>
  <r>
    <x v="0"/>
    <x v="6"/>
    <x v="3"/>
    <x v="5"/>
    <x v="66"/>
    <x v="0"/>
    <x v="3"/>
    <n v="0"/>
  </r>
  <r>
    <x v="0"/>
    <x v="6"/>
    <x v="3"/>
    <x v="5"/>
    <x v="66"/>
    <x v="0"/>
    <x v="4"/>
    <n v="0"/>
  </r>
  <r>
    <x v="0"/>
    <x v="6"/>
    <x v="3"/>
    <x v="5"/>
    <x v="66"/>
    <x v="0"/>
    <x v="5"/>
    <n v="0"/>
  </r>
  <r>
    <x v="0"/>
    <x v="6"/>
    <x v="3"/>
    <x v="5"/>
    <x v="66"/>
    <x v="0"/>
    <x v="6"/>
    <n v="0"/>
  </r>
  <r>
    <x v="0"/>
    <x v="6"/>
    <x v="3"/>
    <x v="5"/>
    <x v="67"/>
    <x v="0"/>
    <x v="0"/>
    <n v="0"/>
  </r>
  <r>
    <x v="0"/>
    <x v="6"/>
    <x v="3"/>
    <x v="5"/>
    <x v="67"/>
    <x v="0"/>
    <x v="1"/>
    <n v="0"/>
  </r>
  <r>
    <x v="0"/>
    <x v="6"/>
    <x v="3"/>
    <x v="5"/>
    <x v="67"/>
    <x v="0"/>
    <x v="2"/>
    <n v="0"/>
  </r>
  <r>
    <x v="0"/>
    <x v="6"/>
    <x v="3"/>
    <x v="5"/>
    <x v="67"/>
    <x v="0"/>
    <x v="3"/>
    <n v="0"/>
  </r>
  <r>
    <x v="0"/>
    <x v="6"/>
    <x v="3"/>
    <x v="5"/>
    <x v="67"/>
    <x v="0"/>
    <x v="4"/>
    <n v="0"/>
  </r>
  <r>
    <x v="0"/>
    <x v="6"/>
    <x v="3"/>
    <x v="5"/>
    <x v="67"/>
    <x v="0"/>
    <x v="5"/>
    <n v="0"/>
  </r>
  <r>
    <x v="0"/>
    <x v="6"/>
    <x v="3"/>
    <x v="5"/>
    <x v="67"/>
    <x v="0"/>
    <x v="6"/>
    <n v="0"/>
  </r>
  <r>
    <x v="0"/>
    <x v="6"/>
    <x v="3"/>
    <x v="5"/>
    <x v="68"/>
    <x v="0"/>
    <x v="0"/>
    <n v="0"/>
  </r>
  <r>
    <x v="0"/>
    <x v="6"/>
    <x v="3"/>
    <x v="5"/>
    <x v="68"/>
    <x v="0"/>
    <x v="1"/>
    <n v="0"/>
  </r>
  <r>
    <x v="0"/>
    <x v="6"/>
    <x v="3"/>
    <x v="5"/>
    <x v="68"/>
    <x v="0"/>
    <x v="2"/>
    <n v="0"/>
  </r>
  <r>
    <x v="0"/>
    <x v="6"/>
    <x v="3"/>
    <x v="5"/>
    <x v="68"/>
    <x v="0"/>
    <x v="3"/>
    <n v="0"/>
  </r>
  <r>
    <x v="0"/>
    <x v="6"/>
    <x v="3"/>
    <x v="5"/>
    <x v="68"/>
    <x v="0"/>
    <x v="4"/>
    <n v="0"/>
  </r>
  <r>
    <x v="0"/>
    <x v="6"/>
    <x v="3"/>
    <x v="5"/>
    <x v="68"/>
    <x v="0"/>
    <x v="5"/>
    <n v="0"/>
  </r>
  <r>
    <x v="0"/>
    <x v="6"/>
    <x v="3"/>
    <x v="5"/>
    <x v="68"/>
    <x v="0"/>
    <x v="6"/>
    <n v="0"/>
  </r>
  <r>
    <x v="0"/>
    <x v="6"/>
    <x v="3"/>
    <x v="5"/>
    <x v="69"/>
    <x v="0"/>
    <x v="0"/>
    <n v="0"/>
  </r>
  <r>
    <x v="0"/>
    <x v="6"/>
    <x v="3"/>
    <x v="5"/>
    <x v="69"/>
    <x v="0"/>
    <x v="1"/>
    <n v="0"/>
  </r>
  <r>
    <x v="0"/>
    <x v="6"/>
    <x v="3"/>
    <x v="5"/>
    <x v="69"/>
    <x v="0"/>
    <x v="2"/>
    <n v="0"/>
  </r>
  <r>
    <x v="0"/>
    <x v="6"/>
    <x v="3"/>
    <x v="5"/>
    <x v="69"/>
    <x v="0"/>
    <x v="3"/>
    <n v="0"/>
  </r>
  <r>
    <x v="0"/>
    <x v="6"/>
    <x v="3"/>
    <x v="5"/>
    <x v="69"/>
    <x v="0"/>
    <x v="4"/>
    <n v="0"/>
  </r>
  <r>
    <x v="0"/>
    <x v="6"/>
    <x v="3"/>
    <x v="5"/>
    <x v="69"/>
    <x v="0"/>
    <x v="5"/>
    <n v="0"/>
  </r>
  <r>
    <x v="0"/>
    <x v="6"/>
    <x v="3"/>
    <x v="5"/>
    <x v="69"/>
    <x v="0"/>
    <x v="6"/>
    <n v="0"/>
  </r>
  <r>
    <x v="0"/>
    <x v="6"/>
    <x v="3"/>
    <x v="5"/>
    <x v="70"/>
    <x v="0"/>
    <x v="0"/>
    <n v="0"/>
  </r>
  <r>
    <x v="0"/>
    <x v="6"/>
    <x v="3"/>
    <x v="5"/>
    <x v="70"/>
    <x v="0"/>
    <x v="1"/>
    <n v="0"/>
  </r>
  <r>
    <x v="0"/>
    <x v="6"/>
    <x v="3"/>
    <x v="5"/>
    <x v="70"/>
    <x v="0"/>
    <x v="2"/>
    <n v="0"/>
  </r>
  <r>
    <x v="0"/>
    <x v="6"/>
    <x v="3"/>
    <x v="5"/>
    <x v="70"/>
    <x v="0"/>
    <x v="3"/>
    <n v="0"/>
  </r>
  <r>
    <x v="0"/>
    <x v="6"/>
    <x v="3"/>
    <x v="5"/>
    <x v="70"/>
    <x v="0"/>
    <x v="4"/>
    <n v="0"/>
  </r>
  <r>
    <x v="0"/>
    <x v="6"/>
    <x v="3"/>
    <x v="5"/>
    <x v="70"/>
    <x v="0"/>
    <x v="5"/>
    <n v="0"/>
  </r>
  <r>
    <x v="0"/>
    <x v="6"/>
    <x v="3"/>
    <x v="5"/>
    <x v="70"/>
    <x v="0"/>
    <x v="6"/>
    <n v="0"/>
  </r>
  <r>
    <x v="0"/>
    <x v="6"/>
    <x v="3"/>
    <x v="5"/>
    <x v="71"/>
    <x v="0"/>
    <x v="0"/>
    <n v="0"/>
  </r>
  <r>
    <x v="0"/>
    <x v="6"/>
    <x v="3"/>
    <x v="5"/>
    <x v="71"/>
    <x v="0"/>
    <x v="1"/>
    <n v="0"/>
  </r>
  <r>
    <x v="0"/>
    <x v="6"/>
    <x v="3"/>
    <x v="5"/>
    <x v="71"/>
    <x v="0"/>
    <x v="2"/>
    <n v="0"/>
  </r>
  <r>
    <x v="0"/>
    <x v="6"/>
    <x v="3"/>
    <x v="5"/>
    <x v="71"/>
    <x v="0"/>
    <x v="3"/>
    <n v="0"/>
  </r>
  <r>
    <x v="0"/>
    <x v="6"/>
    <x v="3"/>
    <x v="5"/>
    <x v="71"/>
    <x v="0"/>
    <x v="4"/>
    <n v="0"/>
  </r>
  <r>
    <x v="0"/>
    <x v="6"/>
    <x v="3"/>
    <x v="5"/>
    <x v="71"/>
    <x v="0"/>
    <x v="5"/>
    <n v="0"/>
  </r>
  <r>
    <x v="0"/>
    <x v="6"/>
    <x v="3"/>
    <x v="5"/>
    <x v="71"/>
    <x v="0"/>
    <x v="6"/>
    <n v="0"/>
  </r>
  <r>
    <x v="0"/>
    <x v="6"/>
    <x v="3"/>
    <x v="5"/>
    <x v="72"/>
    <x v="0"/>
    <x v="0"/>
    <n v="0"/>
  </r>
  <r>
    <x v="0"/>
    <x v="6"/>
    <x v="3"/>
    <x v="5"/>
    <x v="72"/>
    <x v="0"/>
    <x v="1"/>
    <n v="0"/>
  </r>
  <r>
    <x v="0"/>
    <x v="6"/>
    <x v="3"/>
    <x v="5"/>
    <x v="72"/>
    <x v="0"/>
    <x v="2"/>
    <n v="0"/>
  </r>
  <r>
    <x v="0"/>
    <x v="6"/>
    <x v="3"/>
    <x v="5"/>
    <x v="72"/>
    <x v="0"/>
    <x v="3"/>
    <n v="0"/>
  </r>
  <r>
    <x v="0"/>
    <x v="6"/>
    <x v="3"/>
    <x v="5"/>
    <x v="72"/>
    <x v="0"/>
    <x v="4"/>
    <n v="0"/>
  </r>
  <r>
    <x v="0"/>
    <x v="6"/>
    <x v="3"/>
    <x v="5"/>
    <x v="72"/>
    <x v="0"/>
    <x v="5"/>
    <n v="0"/>
  </r>
  <r>
    <x v="0"/>
    <x v="6"/>
    <x v="3"/>
    <x v="5"/>
    <x v="72"/>
    <x v="0"/>
    <x v="6"/>
    <n v="0"/>
  </r>
  <r>
    <x v="0"/>
    <x v="6"/>
    <x v="3"/>
    <x v="5"/>
    <x v="73"/>
    <x v="0"/>
    <x v="0"/>
    <n v="0"/>
  </r>
  <r>
    <x v="0"/>
    <x v="6"/>
    <x v="3"/>
    <x v="5"/>
    <x v="73"/>
    <x v="0"/>
    <x v="1"/>
    <n v="0"/>
  </r>
  <r>
    <x v="0"/>
    <x v="6"/>
    <x v="3"/>
    <x v="5"/>
    <x v="73"/>
    <x v="0"/>
    <x v="2"/>
    <n v="0"/>
  </r>
  <r>
    <x v="0"/>
    <x v="6"/>
    <x v="3"/>
    <x v="5"/>
    <x v="73"/>
    <x v="0"/>
    <x v="3"/>
    <n v="0"/>
  </r>
  <r>
    <x v="0"/>
    <x v="6"/>
    <x v="3"/>
    <x v="5"/>
    <x v="73"/>
    <x v="0"/>
    <x v="4"/>
    <n v="0"/>
  </r>
  <r>
    <x v="0"/>
    <x v="6"/>
    <x v="3"/>
    <x v="5"/>
    <x v="73"/>
    <x v="0"/>
    <x v="5"/>
    <n v="0"/>
  </r>
  <r>
    <x v="0"/>
    <x v="6"/>
    <x v="3"/>
    <x v="5"/>
    <x v="73"/>
    <x v="0"/>
    <x v="6"/>
    <n v="0"/>
  </r>
  <r>
    <x v="0"/>
    <x v="6"/>
    <x v="5"/>
    <x v="8"/>
    <x v="74"/>
    <x v="0"/>
    <x v="0"/>
    <n v="0"/>
  </r>
  <r>
    <x v="0"/>
    <x v="6"/>
    <x v="5"/>
    <x v="8"/>
    <x v="74"/>
    <x v="0"/>
    <x v="1"/>
    <n v="0"/>
  </r>
  <r>
    <x v="0"/>
    <x v="6"/>
    <x v="5"/>
    <x v="8"/>
    <x v="74"/>
    <x v="0"/>
    <x v="2"/>
    <n v="0"/>
  </r>
  <r>
    <x v="0"/>
    <x v="6"/>
    <x v="5"/>
    <x v="8"/>
    <x v="74"/>
    <x v="0"/>
    <x v="3"/>
    <n v="0"/>
  </r>
  <r>
    <x v="0"/>
    <x v="6"/>
    <x v="5"/>
    <x v="8"/>
    <x v="74"/>
    <x v="0"/>
    <x v="4"/>
    <n v="0"/>
  </r>
  <r>
    <x v="0"/>
    <x v="6"/>
    <x v="5"/>
    <x v="8"/>
    <x v="74"/>
    <x v="0"/>
    <x v="5"/>
    <n v="0"/>
  </r>
  <r>
    <x v="0"/>
    <x v="6"/>
    <x v="5"/>
    <x v="8"/>
    <x v="74"/>
    <x v="0"/>
    <x v="6"/>
    <n v="0"/>
  </r>
  <r>
    <x v="0"/>
    <x v="6"/>
    <x v="5"/>
    <x v="8"/>
    <x v="75"/>
    <x v="0"/>
    <x v="0"/>
    <n v="0"/>
  </r>
  <r>
    <x v="0"/>
    <x v="6"/>
    <x v="5"/>
    <x v="8"/>
    <x v="75"/>
    <x v="0"/>
    <x v="1"/>
    <n v="0"/>
  </r>
  <r>
    <x v="0"/>
    <x v="6"/>
    <x v="5"/>
    <x v="8"/>
    <x v="75"/>
    <x v="0"/>
    <x v="2"/>
    <n v="0"/>
  </r>
  <r>
    <x v="0"/>
    <x v="6"/>
    <x v="5"/>
    <x v="8"/>
    <x v="75"/>
    <x v="0"/>
    <x v="3"/>
    <n v="0"/>
  </r>
  <r>
    <x v="0"/>
    <x v="6"/>
    <x v="5"/>
    <x v="8"/>
    <x v="75"/>
    <x v="0"/>
    <x v="4"/>
    <n v="0"/>
  </r>
  <r>
    <x v="0"/>
    <x v="6"/>
    <x v="5"/>
    <x v="8"/>
    <x v="75"/>
    <x v="0"/>
    <x v="5"/>
    <n v="0"/>
  </r>
  <r>
    <x v="0"/>
    <x v="6"/>
    <x v="5"/>
    <x v="8"/>
    <x v="75"/>
    <x v="0"/>
    <x v="6"/>
    <n v="0"/>
  </r>
  <r>
    <x v="0"/>
    <x v="6"/>
    <x v="5"/>
    <x v="8"/>
    <x v="76"/>
    <x v="0"/>
    <x v="0"/>
    <n v="0"/>
  </r>
  <r>
    <x v="0"/>
    <x v="6"/>
    <x v="5"/>
    <x v="8"/>
    <x v="76"/>
    <x v="0"/>
    <x v="1"/>
    <n v="0"/>
  </r>
  <r>
    <x v="0"/>
    <x v="6"/>
    <x v="5"/>
    <x v="8"/>
    <x v="76"/>
    <x v="0"/>
    <x v="2"/>
    <n v="0"/>
  </r>
  <r>
    <x v="0"/>
    <x v="6"/>
    <x v="5"/>
    <x v="8"/>
    <x v="76"/>
    <x v="0"/>
    <x v="3"/>
    <n v="0"/>
  </r>
  <r>
    <x v="0"/>
    <x v="6"/>
    <x v="5"/>
    <x v="8"/>
    <x v="76"/>
    <x v="0"/>
    <x v="4"/>
    <n v="0"/>
  </r>
  <r>
    <x v="0"/>
    <x v="6"/>
    <x v="5"/>
    <x v="8"/>
    <x v="76"/>
    <x v="0"/>
    <x v="5"/>
    <n v="0"/>
  </r>
  <r>
    <x v="0"/>
    <x v="6"/>
    <x v="5"/>
    <x v="8"/>
    <x v="76"/>
    <x v="0"/>
    <x v="6"/>
    <n v="0"/>
  </r>
  <r>
    <x v="0"/>
    <x v="6"/>
    <x v="5"/>
    <x v="8"/>
    <x v="77"/>
    <x v="0"/>
    <x v="0"/>
    <n v="0"/>
  </r>
  <r>
    <x v="0"/>
    <x v="6"/>
    <x v="5"/>
    <x v="8"/>
    <x v="77"/>
    <x v="0"/>
    <x v="1"/>
    <n v="0"/>
  </r>
  <r>
    <x v="0"/>
    <x v="6"/>
    <x v="5"/>
    <x v="8"/>
    <x v="77"/>
    <x v="0"/>
    <x v="2"/>
    <n v="0"/>
  </r>
  <r>
    <x v="0"/>
    <x v="6"/>
    <x v="5"/>
    <x v="8"/>
    <x v="77"/>
    <x v="0"/>
    <x v="3"/>
    <n v="0"/>
  </r>
  <r>
    <x v="0"/>
    <x v="6"/>
    <x v="5"/>
    <x v="8"/>
    <x v="77"/>
    <x v="0"/>
    <x v="4"/>
    <n v="0"/>
  </r>
  <r>
    <x v="0"/>
    <x v="6"/>
    <x v="5"/>
    <x v="8"/>
    <x v="77"/>
    <x v="0"/>
    <x v="5"/>
    <n v="0"/>
  </r>
  <r>
    <x v="0"/>
    <x v="6"/>
    <x v="5"/>
    <x v="8"/>
    <x v="77"/>
    <x v="0"/>
    <x v="6"/>
    <n v="0"/>
  </r>
  <r>
    <x v="0"/>
    <x v="6"/>
    <x v="5"/>
    <x v="8"/>
    <x v="78"/>
    <x v="0"/>
    <x v="0"/>
    <n v="0"/>
  </r>
  <r>
    <x v="0"/>
    <x v="6"/>
    <x v="5"/>
    <x v="8"/>
    <x v="78"/>
    <x v="0"/>
    <x v="1"/>
    <n v="0"/>
  </r>
  <r>
    <x v="0"/>
    <x v="6"/>
    <x v="5"/>
    <x v="8"/>
    <x v="78"/>
    <x v="0"/>
    <x v="2"/>
    <n v="0"/>
  </r>
  <r>
    <x v="0"/>
    <x v="6"/>
    <x v="5"/>
    <x v="8"/>
    <x v="78"/>
    <x v="0"/>
    <x v="3"/>
    <n v="0"/>
  </r>
  <r>
    <x v="0"/>
    <x v="6"/>
    <x v="5"/>
    <x v="8"/>
    <x v="78"/>
    <x v="0"/>
    <x v="4"/>
    <n v="0"/>
  </r>
  <r>
    <x v="0"/>
    <x v="6"/>
    <x v="5"/>
    <x v="8"/>
    <x v="78"/>
    <x v="0"/>
    <x v="5"/>
    <n v="0"/>
  </r>
  <r>
    <x v="0"/>
    <x v="6"/>
    <x v="5"/>
    <x v="8"/>
    <x v="78"/>
    <x v="0"/>
    <x v="6"/>
    <n v="0"/>
  </r>
  <r>
    <x v="0"/>
    <x v="6"/>
    <x v="5"/>
    <x v="8"/>
    <x v="79"/>
    <x v="0"/>
    <x v="0"/>
    <n v="0"/>
  </r>
  <r>
    <x v="0"/>
    <x v="6"/>
    <x v="5"/>
    <x v="8"/>
    <x v="79"/>
    <x v="0"/>
    <x v="1"/>
    <n v="0"/>
  </r>
  <r>
    <x v="0"/>
    <x v="6"/>
    <x v="5"/>
    <x v="8"/>
    <x v="79"/>
    <x v="0"/>
    <x v="2"/>
    <n v="0"/>
  </r>
  <r>
    <x v="0"/>
    <x v="6"/>
    <x v="5"/>
    <x v="8"/>
    <x v="79"/>
    <x v="0"/>
    <x v="3"/>
    <n v="0"/>
  </r>
  <r>
    <x v="0"/>
    <x v="6"/>
    <x v="5"/>
    <x v="8"/>
    <x v="79"/>
    <x v="0"/>
    <x v="4"/>
    <n v="0"/>
  </r>
  <r>
    <x v="0"/>
    <x v="6"/>
    <x v="5"/>
    <x v="8"/>
    <x v="79"/>
    <x v="0"/>
    <x v="5"/>
    <n v="0"/>
  </r>
  <r>
    <x v="0"/>
    <x v="6"/>
    <x v="5"/>
    <x v="8"/>
    <x v="79"/>
    <x v="0"/>
    <x v="6"/>
    <n v="0"/>
  </r>
  <r>
    <x v="0"/>
    <x v="6"/>
    <x v="5"/>
    <x v="8"/>
    <x v="80"/>
    <x v="0"/>
    <x v="0"/>
    <n v="0"/>
  </r>
  <r>
    <x v="0"/>
    <x v="6"/>
    <x v="5"/>
    <x v="8"/>
    <x v="80"/>
    <x v="0"/>
    <x v="1"/>
    <n v="0"/>
  </r>
  <r>
    <x v="0"/>
    <x v="6"/>
    <x v="5"/>
    <x v="8"/>
    <x v="80"/>
    <x v="0"/>
    <x v="2"/>
    <n v="0"/>
  </r>
  <r>
    <x v="0"/>
    <x v="6"/>
    <x v="5"/>
    <x v="8"/>
    <x v="80"/>
    <x v="0"/>
    <x v="3"/>
    <n v="0"/>
  </r>
  <r>
    <x v="0"/>
    <x v="6"/>
    <x v="5"/>
    <x v="8"/>
    <x v="80"/>
    <x v="0"/>
    <x v="4"/>
    <n v="0"/>
  </r>
  <r>
    <x v="0"/>
    <x v="6"/>
    <x v="5"/>
    <x v="8"/>
    <x v="80"/>
    <x v="0"/>
    <x v="5"/>
    <n v="0"/>
  </r>
  <r>
    <x v="0"/>
    <x v="6"/>
    <x v="5"/>
    <x v="8"/>
    <x v="80"/>
    <x v="0"/>
    <x v="6"/>
    <n v="0"/>
  </r>
  <r>
    <x v="0"/>
    <x v="6"/>
    <x v="5"/>
    <x v="8"/>
    <x v="81"/>
    <x v="0"/>
    <x v="0"/>
    <n v="0"/>
  </r>
  <r>
    <x v="0"/>
    <x v="6"/>
    <x v="5"/>
    <x v="8"/>
    <x v="81"/>
    <x v="0"/>
    <x v="1"/>
    <n v="0"/>
  </r>
  <r>
    <x v="0"/>
    <x v="6"/>
    <x v="5"/>
    <x v="8"/>
    <x v="81"/>
    <x v="0"/>
    <x v="2"/>
    <n v="0"/>
  </r>
  <r>
    <x v="0"/>
    <x v="6"/>
    <x v="5"/>
    <x v="8"/>
    <x v="81"/>
    <x v="0"/>
    <x v="3"/>
    <n v="0"/>
  </r>
  <r>
    <x v="0"/>
    <x v="6"/>
    <x v="5"/>
    <x v="8"/>
    <x v="81"/>
    <x v="0"/>
    <x v="4"/>
    <n v="0"/>
  </r>
  <r>
    <x v="0"/>
    <x v="6"/>
    <x v="5"/>
    <x v="8"/>
    <x v="81"/>
    <x v="0"/>
    <x v="5"/>
    <n v="0"/>
  </r>
  <r>
    <x v="0"/>
    <x v="6"/>
    <x v="5"/>
    <x v="8"/>
    <x v="81"/>
    <x v="0"/>
    <x v="6"/>
    <n v="0"/>
  </r>
  <r>
    <x v="0"/>
    <x v="6"/>
    <x v="5"/>
    <x v="8"/>
    <x v="82"/>
    <x v="0"/>
    <x v="0"/>
    <n v="0.27395404898430964"/>
  </r>
  <r>
    <x v="0"/>
    <x v="6"/>
    <x v="5"/>
    <x v="8"/>
    <x v="82"/>
    <x v="0"/>
    <x v="1"/>
    <n v="0.55108287305352532"/>
  </r>
  <r>
    <x v="0"/>
    <x v="6"/>
    <x v="5"/>
    <x v="8"/>
    <x v="82"/>
    <x v="0"/>
    <x v="2"/>
    <n v="0.61779688510135533"/>
  </r>
  <r>
    <x v="0"/>
    <x v="6"/>
    <x v="5"/>
    <x v="8"/>
    <x v="82"/>
    <x v="0"/>
    <x v="3"/>
    <n v="0.75036547853451097"/>
  </r>
  <r>
    <x v="0"/>
    <x v="6"/>
    <x v="5"/>
    <x v="8"/>
    <x v="82"/>
    <x v="0"/>
    <x v="4"/>
    <n v="0.86185122590308805"/>
  </r>
  <r>
    <x v="0"/>
    <x v="6"/>
    <x v="5"/>
    <x v="8"/>
    <x v="82"/>
    <x v="0"/>
    <x v="5"/>
    <n v="0.98275048861008052"/>
  </r>
  <r>
    <x v="0"/>
    <x v="6"/>
    <x v="5"/>
    <x v="8"/>
    <x v="82"/>
    <x v="0"/>
    <x v="6"/>
    <n v="1.100705353117206"/>
  </r>
  <r>
    <x v="0"/>
    <x v="6"/>
    <x v="5"/>
    <x v="8"/>
    <x v="83"/>
    <x v="0"/>
    <x v="0"/>
    <n v="0"/>
  </r>
  <r>
    <x v="0"/>
    <x v="6"/>
    <x v="5"/>
    <x v="8"/>
    <x v="83"/>
    <x v="0"/>
    <x v="1"/>
    <n v="0"/>
  </r>
  <r>
    <x v="0"/>
    <x v="6"/>
    <x v="5"/>
    <x v="8"/>
    <x v="83"/>
    <x v="0"/>
    <x v="2"/>
    <n v="0"/>
  </r>
  <r>
    <x v="0"/>
    <x v="6"/>
    <x v="5"/>
    <x v="8"/>
    <x v="83"/>
    <x v="0"/>
    <x v="3"/>
    <n v="0"/>
  </r>
  <r>
    <x v="0"/>
    <x v="6"/>
    <x v="5"/>
    <x v="8"/>
    <x v="83"/>
    <x v="0"/>
    <x v="4"/>
    <n v="0"/>
  </r>
  <r>
    <x v="0"/>
    <x v="6"/>
    <x v="5"/>
    <x v="8"/>
    <x v="83"/>
    <x v="0"/>
    <x v="5"/>
    <n v="0"/>
  </r>
  <r>
    <x v="0"/>
    <x v="6"/>
    <x v="5"/>
    <x v="8"/>
    <x v="83"/>
    <x v="0"/>
    <x v="6"/>
    <n v="0"/>
  </r>
  <r>
    <x v="0"/>
    <x v="7"/>
    <x v="0"/>
    <x v="0"/>
    <x v="0"/>
    <x v="0"/>
    <x v="0"/>
    <n v="0"/>
  </r>
  <r>
    <x v="0"/>
    <x v="7"/>
    <x v="0"/>
    <x v="0"/>
    <x v="0"/>
    <x v="0"/>
    <x v="1"/>
    <n v="0"/>
  </r>
  <r>
    <x v="0"/>
    <x v="7"/>
    <x v="0"/>
    <x v="0"/>
    <x v="0"/>
    <x v="0"/>
    <x v="2"/>
    <n v="0"/>
  </r>
  <r>
    <x v="0"/>
    <x v="7"/>
    <x v="0"/>
    <x v="0"/>
    <x v="0"/>
    <x v="0"/>
    <x v="3"/>
    <n v="0"/>
  </r>
  <r>
    <x v="0"/>
    <x v="7"/>
    <x v="0"/>
    <x v="0"/>
    <x v="0"/>
    <x v="0"/>
    <x v="4"/>
    <n v="0"/>
  </r>
  <r>
    <x v="0"/>
    <x v="7"/>
    <x v="0"/>
    <x v="0"/>
    <x v="0"/>
    <x v="0"/>
    <x v="5"/>
    <n v="0"/>
  </r>
  <r>
    <x v="0"/>
    <x v="7"/>
    <x v="0"/>
    <x v="0"/>
    <x v="0"/>
    <x v="0"/>
    <x v="6"/>
    <n v="0"/>
  </r>
  <r>
    <x v="0"/>
    <x v="7"/>
    <x v="0"/>
    <x v="1"/>
    <x v="1"/>
    <x v="0"/>
    <x v="0"/>
    <n v="0"/>
  </r>
  <r>
    <x v="0"/>
    <x v="7"/>
    <x v="0"/>
    <x v="1"/>
    <x v="1"/>
    <x v="0"/>
    <x v="1"/>
    <n v="0"/>
  </r>
  <r>
    <x v="0"/>
    <x v="7"/>
    <x v="0"/>
    <x v="1"/>
    <x v="1"/>
    <x v="0"/>
    <x v="2"/>
    <n v="0"/>
  </r>
  <r>
    <x v="0"/>
    <x v="7"/>
    <x v="0"/>
    <x v="1"/>
    <x v="1"/>
    <x v="0"/>
    <x v="3"/>
    <n v="0"/>
  </r>
  <r>
    <x v="0"/>
    <x v="7"/>
    <x v="0"/>
    <x v="1"/>
    <x v="1"/>
    <x v="0"/>
    <x v="4"/>
    <n v="0"/>
  </r>
  <r>
    <x v="0"/>
    <x v="7"/>
    <x v="0"/>
    <x v="1"/>
    <x v="1"/>
    <x v="0"/>
    <x v="5"/>
    <n v="0"/>
  </r>
  <r>
    <x v="0"/>
    <x v="7"/>
    <x v="0"/>
    <x v="1"/>
    <x v="1"/>
    <x v="0"/>
    <x v="6"/>
    <n v="0"/>
  </r>
  <r>
    <x v="0"/>
    <x v="7"/>
    <x v="0"/>
    <x v="1"/>
    <x v="2"/>
    <x v="0"/>
    <x v="0"/>
    <n v="0"/>
  </r>
  <r>
    <x v="0"/>
    <x v="7"/>
    <x v="0"/>
    <x v="1"/>
    <x v="2"/>
    <x v="0"/>
    <x v="1"/>
    <n v="0.4005802934795617"/>
  </r>
  <r>
    <x v="0"/>
    <x v="7"/>
    <x v="0"/>
    <x v="1"/>
    <x v="2"/>
    <x v="0"/>
    <x v="2"/>
    <n v="1.6416313504143623"/>
  </r>
  <r>
    <x v="0"/>
    <x v="7"/>
    <x v="0"/>
    <x v="1"/>
    <x v="2"/>
    <x v="0"/>
    <x v="3"/>
    <n v="6.9321534577804327"/>
  </r>
  <r>
    <x v="0"/>
    <x v="7"/>
    <x v="0"/>
    <x v="1"/>
    <x v="2"/>
    <x v="0"/>
    <x v="4"/>
    <n v="20.347117563876818"/>
  </r>
  <r>
    <x v="0"/>
    <x v="7"/>
    <x v="0"/>
    <x v="1"/>
    <x v="2"/>
    <x v="0"/>
    <x v="5"/>
    <n v="46.05430542941177"/>
  </r>
  <r>
    <x v="0"/>
    <x v="7"/>
    <x v="0"/>
    <x v="1"/>
    <x v="2"/>
    <x v="0"/>
    <x v="6"/>
    <n v="64.063014406342347"/>
  </r>
  <r>
    <x v="0"/>
    <x v="7"/>
    <x v="0"/>
    <x v="1"/>
    <x v="3"/>
    <x v="0"/>
    <x v="0"/>
    <n v="822.37666789505454"/>
  </r>
  <r>
    <x v="0"/>
    <x v="7"/>
    <x v="0"/>
    <x v="1"/>
    <x v="3"/>
    <x v="0"/>
    <x v="1"/>
    <n v="1246.932374930487"/>
  </r>
  <r>
    <x v="0"/>
    <x v="7"/>
    <x v="0"/>
    <x v="1"/>
    <x v="3"/>
    <x v="0"/>
    <x v="2"/>
    <n v="1294.9666527635213"/>
  </r>
  <r>
    <x v="0"/>
    <x v="7"/>
    <x v="0"/>
    <x v="1"/>
    <x v="3"/>
    <x v="0"/>
    <x v="3"/>
    <n v="1560.366049609145"/>
  </r>
  <r>
    <x v="0"/>
    <x v="7"/>
    <x v="0"/>
    <x v="1"/>
    <x v="3"/>
    <x v="0"/>
    <x v="4"/>
    <n v="1668.9620771170141"/>
  </r>
  <r>
    <x v="0"/>
    <x v="7"/>
    <x v="0"/>
    <x v="1"/>
    <x v="3"/>
    <x v="0"/>
    <x v="5"/>
    <n v="1739.6454998642637"/>
  </r>
  <r>
    <x v="0"/>
    <x v="7"/>
    <x v="0"/>
    <x v="1"/>
    <x v="3"/>
    <x v="0"/>
    <x v="6"/>
    <n v="1930.8321522241179"/>
  </r>
  <r>
    <x v="0"/>
    <x v="7"/>
    <x v="0"/>
    <x v="1"/>
    <x v="4"/>
    <x v="0"/>
    <x v="0"/>
    <n v="1.9668252274257871E-2"/>
  </r>
  <r>
    <x v="0"/>
    <x v="7"/>
    <x v="0"/>
    <x v="1"/>
    <x v="4"/>
    <x v="0"/>
    <x v="1"/>
    <n v="7.7699493340379913E-2"/>
  </r>
  <r>
    <x v="0"/>
    <x v="7"/>
    <x v="0"/>
    <x v="1"/>
    <x v="4"/>
    <x v="0"/>
    <x v="2"/>
    <n v="0.67289600301638242"/>
  </r>
  <r>
    <x v="0"/>
    <x v="7"/>
    <x v="0"/>
    <x v="1"/>
    <x v="4"/>
    <x v="0"/>
    <x v="3"/>
    <n v="3.0144717794781597"/>
  </r>
  <r>
    <x v="0"/>
    <x v="7"/>
    <x v="0"/>
    <x v="1"/>
    <x v="4"/>
    <x v="0"/>
    <x v="4"/>
    <n v="4.6349587421418201"/>
  </r>
  <r>
    <x v="0"/>
    <x v="7"/>
    <x v="0"/>
    <x v="1"/>
    <x v="4"/>
    <x v="0"/>
    <x v="5"/>
    <n v="5.478349106915978"/>
  </r>
  <r>
    <x v="0"/>
    <x v="7"/>
    <x v="0"/>
    <x v="1"/>
    <x v="4"/>
    <x v="0"/>
    <x v="6"/>
    <n v="13.000022529950785"/>
  </r>
  <r>
    <x v="0"/>
    <x v="7"/>
    <x v="0"/>
    <x v="1"/>
    <x v="5"/>
    <x v="0"/>
    <x v="0"/>
    <n v="5.4676845852584846"/>
  </r>
  <r>
    <x v="0"/>
    <x v="7"/>
    <x v="0"/>
    <x v="1"/>
    <x v="5"/>
    <x v="0"/>
    <x v="1"/>
    <n v="9.118279707519509"/>
  </r>
  <r>
    <x v="0"/>
    <x v="7"/>
    <x v="0"/>
    <x v="1"/>
    <x v="5"/>
    <x v="0"/>
    <x v="2"/>
    <n v="22.61489870281715"/>
  </r>
  <r>
    <x v="0"/>
    <x v="7"/>
    <x v="0"/>
    <x v="1"/>
    <x v="5"/>
    <x v="0"/>
    <x v="3"/>
    <n v="35.322610237947906"/>
  </r>
  <r>
    <x v="0"/>
    <x v="7"/>
    <x v="0"/>
    <x v="1"/>
    <x v="5"/>
    <x v="0"/>
    <x v="4"/>
    <n v="53.794623543688637"/>
  </r>
  <r>
    <x v="0"/>
    <x v="7"/>
    <x v="0"/>
    <x v="1"/>
    <x v="5"/>
    <x v="0"/>
    <x v="5"/>
    <n v="61.020584095933607"/>
  </r>
  <r>
    <x v="0"/>
    <x v="7"/>
    <x v="0"/>
    <x v="1"/>
    <x v="5"/>
    <x v="0"/>
    <x v="6"/>
    <n v="68.979921000085596"/>
  </r>
  <r>
    <x v="0"/>
    <x v="7"/>
    <x v="0"/>
    <x v="1"/>
    <x v="6"/>
    <x v="0"/>
    <x v="0"/>
    <n v="8.3961838166010558"/>
  </r>
  <r>
    <x v="0"/>
    <x v="7"/>
    <x v="0"/>
    <x v="1"/>
    <x v="6"/>
    <x v="0"/>
    <x v="1"/>
    <n v="52.348044440585831"/>
  </r>
  <r>
    <x v="0"/>
    <x v="7"/>
    <x v="0"/>
    <x v="1"/>
    <x v="6"/>
    <x v="0"/>
    <x v="2"/>
    <n v="67.332123188988916"/>
  </r>
  <r>
    <x v="0"/>
    <x v="7"/>
    <x v="0"/>
    <x v="1"/>
    <x v="6"/>
    <x v="0"/>
    <x v="3"/>
    <n v="80.661270617039534"/>
  </r>
  <r>
    <x v="0"/>
    <x v="7"/>
    <x v="0"/>
    <x v="1"/>
    <x v="6"/>
    <x v="0"/>
    <x v="4"/>
    <n v="87.650720034498377"/>
  </r>
  <r>
    <x v="0"/>
    <x v="7"/>
    <x v="0"/>
    <x v="1"/>
    <x v="6"/>
    <x v="0"/>
    <x v="5"/>
    <n v="100.03295002859178"/>
  </r>
  <r>
    <x v="0"/>
    <x v="7"/>
    <x v="0"/>
    <x v="1"/>
    <x v="6"/>
    <x v="0"/>
    <x v="6"/>
    <n v="110.37989956103385"/>
  </r>
  <r>
    <x v="0"/>
    <x v="7"/>
    <x v="0"/>
    <x v="1"/>
    <x v="7"/>
    <x v="0"/>
    <x v="0"/>
    <n v="71.154955225892579"/>
  </r>
  <r>
    <x v="0"/>
    <x v="7"/>
    <x v="0"/>
    <x v="1"/>
    <x v="7"/>
    <x v="0"/>
    <x v="1"/>
    <n v="930.40725790143347"/>
  </r>
  <r>
    <x v="0"/>
    <x v="7"/>
    <x v="0"/>
    <x v="1"/>
    <x v="7"/>
    <x v="0"/>
    <x v="2"/>
    <n v="2030.1174361543019"/>
  </r>
  <r>
    <x v="0"/>
    <x v="7"/>
    <x v="0"/>
    <x v="1"/>
    <x v="7"/>
    <x v="0"/>
    <x v="3"/>
    <n v="2356.6643600819348"/>
  </r>
  <r>
    <x v="0"/>
    <x v="7"/>
    <x v="0"/>
    <x v="1"/>
    <x v="7"/>
    <x v="0"/>
    <x v="4"/>
    <n v="2878.1572585332347"/>
  </r>
  <r>
    <x v="0"/>
    <x v="7"/>
    <x v="0"/>
    <x v="1"/>
    <x v="7"/>
    <x v="0"/>
    <x v="5"/>
    <n v="3381.8665692117702"/>
  </r>
  <r>
    <x v="0"/>
    <x v="7"/>
    <x v="0"/>
    <x v="1"/>
    <x v="7"/>
    <x v="0"/>
    <x v="6"/>
    <n v="3483.5182575825302"/>
  </r>
  <r>
    <x v="0"/>
    <x v="7"/>
    <x v="0"/>
    <x v="1"/>
    <x v="8"/>
    <x v="0"/>
    <x v="0"/>
    <n v="5.1597266065571299E-3"/>
  </r>
  <r>
    <x v="0"/>
    <x v="7"/>
    <x v="0"/>
    <x v="1"/>
    <x v="8"/>
    <x v="0"/>
    <x v="1"/>
    <n v="6.9145290912178484E-2"/>
  </r>
  <r>
    <x v="0"/>
    <x v="7"/>
    <x v="0"/>
    <x v="1"/>
    <x v="8"/>
    <x v="0"/>
    <x v="2"/>
    <n v="0.3829322319898108"/>
  </r>
  <r>
    <x v="0"/>
    <x v="7"/>
    <x v="0"/>
    <x v="1"/>
    <x v="8"/>
    <x v="0"/>
    <x v="3"/>
    <n v="2.0417635070898439"/>
  </r>
  <r>
    <x v="0"/>
    <x v="7"/>
    <x v="0"/>
    <x v="1"/>
    <x v="8"/>
    <x v="0"/>
    <x v="4"/>
    <n v="2.3449830817965749"/>
  </r>
  <r>
    <x v="0"/>
    <x v="7"/>
    <x v="0"/>
    <x v="1"/>
    <x v="8"/>
    <x v="0"/>
    <x v="5"/>
    <n v="2.6415935626436613"/>
  </r>
  <r>
    <x v="0"/>
    <x v="7"/>
    <x v="0"/>
    <x v="1"/>
    <x v="8"/>
    <x v="0"/>
    <x v="6"/>
    <n v="3.8173320271396687"/>
  </r>
  <r>
    <x v="0"/>
    <x v="7"/>
    <x v="0"/>
    <x v="1"/>
    <x v="9"/>
    <x v="0"/>
    <x v="0"/>
    <n v="12.282951915632109"/>
  </r>
  <r>
    <x v="0"/>
    <x v="7"/>
    <x v="0"/>
    <x v="1"/>
    <x v="9"/>
    <x v="0"/>
    <x v="1"/>
    <n v="32.524556334404167"/>
  </r>
  <r>
    <x v="0"/>
    <x v="7"/>
    <x v="0"/>
    <x v="1"/>
    <x v="9"/>
    <x v="0"/>
    <x v="2"/>
    <n v="77.615568758577353"/>
  </r>
  <r>
    <x v="0"/>
    <x v="7"/>
    <x v="0"/>
    <x v="1"/>
    <x v="9"/>
    <x v="0"/>
    <x v="3"/>
    <n v="164.32496524398289"/>
  </r>
  <r>
    <x v="0"/>
    <x v="7"/>
    <x v="0"/>
    <x v="1"/>
    <x v="9"/>
    <x v="0"/>
    <x v="4"/>
    <n v="204.47861367564101"/>
  </r>
  <r>
    <x v="0"/>
    <x v="7"/>
    <x v="0"/>
    <x v="1"/>
    <x v="9"/>
    <x v="0"/>
    <x v="5"/>
    <n v="231.41015708927731"/>
  </r>
  <r>
    <x v="0"/>
    <x v="7"/>
    <x v="0"/>
    <x v="1"/>
    <x v="9"/>
    <x v="0"/>
    <x v="6"/>
    <n v="239.15305099903574"/>
  </r>
  <r>
    <x v="0"/>
    <x v="7"/>
    <x v="0"/>
    <x v="1"/>
    <x v="10"/>
    <x v="0"/>
    <x v="0"/>
    <n v="0"/>
  </r>
  <r>
    <x v="0"/>
    <x v="7"/>
    <x v="0"/>
    <x v="1"/>
    <x v="10"/>
    <x v="0"/>
    <x v="1"/>
    <n v="10.011682230581194"/>
  </r>
  <r>
    <x v="0"/>
    <x v="7"/>
    <x v="0"/>
    <x v="1"/>
    <x v="10"/>
    <x v="0"/>
    <x v="2"/>
    <n v="61.209224661565202"/>
  </r>
  <r>
    <x v="0"/>
    <x v="7"/>
    <x v="0"/>
    <x v="1"/>
    <x v="10"/>
    <x v="0"/>
    <x v="3"/>
    <n v="88.426355824830395"/>
  </r>
  <r>
    <x v="0"/>
    <x v="7"/>
    <x v="0"/>
    <x v="1"/>
    <x v="10"/>
    <x v="0"/>
    <x v="4"/>
    <n v="150.53391450326754"/>
  </r>
  <r>
    <x v="0"/>
    <x v="7"/>
    <x v="0"/>
    <x v="1"/>
    <x v="10"/>
    <x v="0"/>
    <x v="5"/>
    <n v="191.27859443435312"/>
  </r>
  <r>
    <x v="0"/>
    <x v="7"/>
    <x v="0"/>
    <x v="1"/>
    <x v="10"/>
    <x v="0"/>
    <x v="6"/>
    <n v="242.36196217770924"/>
  </r>
  <r>
    <x v="0"/>
    <x v="7"/>
    <x v="0"/>
    <x v="0"/>
    <x v="11"/>
    <x v="0"/>
    <x v="0"/>
    <n v="1.6418128587238756"/>
  </r>
  <r>
    <x v="0"/>
    <x v="7"/>
    <x v="0"/>
    <x v="0"/>
    <x v="11"/>
    <x v="0"/>
    <x v="1"/>
    <n v="3.0134616561707825"/>
  </r>
  <r>
    <x v="0"/>
    <x v="7"/>
    <x v="0"/>
    <x v="0"/>
    <x v="11"/>
    <x v="0"/>
    <x v="2"/>
    <n v="5.0666945742506364"/>
  </r>
  <r>
    <x v="0"/>
    <x v="7"/>
    <x v="0"/>
    <x v="0"/>
    <x v="11"/>
    <x v="0"/>
    <x v="3"/>
    <n v="9.2076098174187848"/>
  </r>
  <r>
    <x v="0"/>
    <x v="7"/>
    <x v="0"/>
    <x v="0"/>
    <x v="11"/>
    <x v="0"/>
    <x v="4"/>
    <n v="13.20704041986316"/>
  </r>
  <r>
    <x v="0"/>
    <x v="7"/>
    <x v="0"/>
    <x v="0"/>
    <x v="11"/>
    <x v="0"/>
    <x v="5"/>
    <n v="20.077441940180883"/>
  </r>
  <r>
    <x v="0"/>
    <x v="7"/>
    <x v="0"/>
    <x v="0"/>
    <x v="11"/>
    <x v="0"/>
    <x v="6"/>
    <n v="30.594729692241625"/>
  </r>
  <r>
    <x v="0"/>
    <x v="7"/>
    <x v="0"/>
    <x v="0"/>
    <x v="12"/>
    <x v="0"/>
    <x v="0"/>
    <n v="0"/>
  </r>
  <r>
    <x v="0"/>
    <x v="7"/>
    <x v="0"/>
    <x v="0"/>
    <x v="12"/>
    <x v="0"/>
    <x v="1"/>
    <n v="0"/>
  </r>
  <r>
    <x v="0"/>
    <x v="7"/>
    <x v="0"/>
    <x v="0"/>
    <x v="12"/>
    <x v="0"/>
    <x v="2"/>
    <n v="0"/>
  </r>
  <r>
    <x v="0"/>
    <x v="7"/>
    <x v="0"/>
    <x v="0"/>
    <x v="12"/>
    <x v="0"/>
    <x v="3"/>
    <n v="0"/>
  </r>
  <r>
    <x v="0"/>
    <x v="7"/>
    <x v="0"/>
    <x v="0"/>
    <x v="12"/>
    <x v="0"/>
    <x v="4"/>
    <n v="0"/>
  </r>
  <r>
    <x v="0"/>
    <x v="7"/>
    <x v="0"/>
    <x v="0"/>
    <x v="12"/>
    <x v="0"/>
    <x v="5"/>
    <n v="0"/>
  </r>
  <r>
    <x v="0"/>
    <x v="7"/>
    <x v="0"/>
    <x v="0"/>
    <x v="12"/>
    <x v="0"/>
    <x v="6"/>
    <n v="0"/>
  </r>
  <r>
    <x v="0"/>
    <x v="7"/>
    <x v="0"/>
    <x v="0"/>
    <x v="13"/>
    <x v="0"/>
    <x v="0"/>
    <n v="0"/>
  </r>
  <r>
    <x v="0"/>
    <x v="7"/>
    <x v="0"/>
    <x v="0"/>
    <x v="13"/>
    <x v="0"/>
    <x v="1"/>
    <n v="0"/>
  </r>
  <r>
    <x v="0"/>
    <x v="7"/>
    <x v="0"/>
    <x v="0"/>
    <x v="13"/>
    <x v="0"/>
    <x v="2"/>
    <n v="0"/>
  </r>
  <r>
    <x v="0"/>
    <x v="7"/>
    <x v="0"/>
    <x v="0"/>
    <x v="13"/>
    <x v="0"/>
    <x v="3"/>
    <n v="0"/>
  </r>
  <r>
    <x v="0"/>
    <x v="7"/>
    <x v="0"/>
    <x v="0"/>
    <x v="13"/>
    <x v="0"/>
    <x v="4"/>
    <n v="0"/>
  </r>
  <r>
    <x v="0"/>
    <x v="7"/>
    <x v="0"/>
    <x v="0"/>
    <x v="13"/>
    <x v="0"/>
    <x v="5"/>
    <n v="0"/>
  </r>
  <r>
    <x v="0"/>
    <x v="7"/>
    <x v="0"/>
    <x v="0"/>
    <x v="13"/>
    <x v="0"/>
    <x v="6"/>
    <n v="0"/>
  </r>
  <r>
    <x v="0"/>
    <x v="7"/>
    <x v="0"/>
    <x v="2"/>
    <x v="14"/>
    <x v="0"/>
    <x v="0"/>
    <n v="0"/>
  </r>
  <r>
    <x v="0"/>
    <x v="7"/>
    <x v="0"/>
    <x v="2"/>
    <x v="14"/>
    <x v="0"/>
    <x v="1"/>
    <n v="0"/>
  </r>
  <r>
    <x v="0"/>
    <x v="7"/>
    <x v="0"/>
    <x v="2"/>
    <x v="14"/>
    <x v="0"/>
    <x v="2"/>
    <n v="0"/>
  </r>
  <r>
    <x v="0"/>
    <x v="7"/>
    <x v="0"/>
    <x v="2"/>
    <x v="14"/>
    <x v="0"/>
    <x v="3"/>
    <n v="0"/>
  </r>
  <r>
    <x v="0"/>
    <x v="7"/>
    <x v="0"/>
    <x v="2"/>
    <x v="14"/>
    <x v="0"/>
    <x v="4"/>
    <n v="0"/>
  </r>
  <r>
    <x v="0"/>
    <x v="7"/>
    <x v="0"/>
    <x v="2"/>
    <x v="14"/>
    <x v="0"/>
    <x v="5"/>
    <n v="0"/>
  </r>
  <r>
    <x v="0"/>
    <x v="7"/>
    <x v="0"/>
    <x v="2"/>
    <x v="14"/>
    <x v="0"/>
    <x v="6"/>
    <n v="0"/>
  </r>
  <r>
    <x v="0"/>
    <x v="7"/>
    <x v="0"/>
    <x v="2"/>
    <x v="15"/>
    <x v="0"/>
    <x v="0"/>
    <n v="0"/>
  </r>
  <r>
    <x v="0"/>
    <x v="7"/>
    <x v="0"/>
    <x v="2"/>
    <x v="15"/>
    <x v="0"/>
    <x v="1"/>
    <n v="0"/>
  </r>
  <r>
    <x v="0"/>
    <x v="7"/>
    <x v="0"/>
    <x v="2"/>
    <x v="15"/>
    <x v="0"/>
    <x v="2"/>
    <n v="0"/>
  </r>
  <r>
    <x v="0"/>
    <x v="7"/>
    <x v="0"/>
    <x v="2"/>
    <x v="15"/>
    <x v="0"/>
    <x v="3"/>
    <n v="0"/>
  </r>
  <r>
    <x v="0"/>
    <x v="7"/>
    <x v="0"/>
    <x v="2"/>
    <x v="15"/>
    <x v="0"/>
    <x v="4"/>
    <n v="0"/>
  </r>
  <r>
    <x v="0"/>
    <x v="7"/>
    <x v="0"/>
    <x v="2"/>
    <x v="15"/>
    <x v="0"/>
    <x v="5"/>
    <n v="0"/>
  </r>
  <r>
    <x v="0"/>
    <x v="7"/>
    <x v="0"/>
    <x v="2"/>
    <x v="15"/>
    <x v="0"/>
    <x v="6"/>
    <n v="0"/>
  </r>
  <r>
    <x v="0"/>
    <x v="7"/>
    <x v="0"/>
    <x v="2"/>
    <x v="16"/>
    <x v="0"/>
    <x v="0"/>
    <n v="0"/>
  </r>
  <r>
    <x v="0"/>
    <x v="7"/>
    <x v="0"/>
    <x v="2"/>
    <x v="16"/>
    <x v="0"/>
    <x v="1"/>
    <n v="0"/>
  </r>
  <r>
    <x v="0"/>
    <x v="7"/>
    <x v="0"/>
    <x v="2"/>
    <x v="16"/>
    <x v="0"/>
    <x v="2"/>
    <n v="0"/>
  </r>
  <r>
    <x v="0"/>
    <x v="7"/>
    <x v="0"/>
    <x v="2"/>
    <x v="16"/>
    <x v="0"/>
    <x v="3"/>
    <n v="0"/>
  </r>
  <r>
    <x v="0"/>
    <x v="7"/>
    <x v="0"/>
    <x v="2"/>
    <x v="16"/>
    <x v="0"/>
    <x v="4"/>
    <n v="0"/>
  </r>
  <r>
    <x v="0"/>
    <x v="7"/>
    <x v="0"/>
    <x v="2"/>
    <x v="16"/>
    <x v="0"/>
    <x v="5"/>
    <n v="0"/>
  </r>
  <r>
    <x v="0"/>
    <x v="7"/>
    <x v="0"/>
    <x v="2"/>
    <x v="16"/>
    <x v="0"/>
    <x v="6"/>
    <n v="0"/>
  </r>
  <r>
    <x v="0"/>
    <x v="7"/>
    <x v="0"/>
    <x v="0"/>
    <x v="17"/>
    <x v="0"/>
    <x v="0"/>
    <n v="0"/>
  </r>
  <r>
    <x v="0"/>
    <x v="7"/>
    <x v="0"/>
    <x v="0"/>
    <x v="17"/>
    <x v="0"/>
    <x v="1"/>
    <n v="0"/>
  </r>
  <r>
    <x v="0"/>
    <x v="7"/>
    <x v="0"/>
    <x v="0"/>
    <x v="17"/>
    <x v="0"/>
    <x v="2"/>
    <n v="0"/>
  </r>
  <r>
    <x v="0"/>
    <x v="7"/>
    <x v="0"/>
    <x v="0"/>
    <x v="17"/>
    <x v="0"/>
    <x v="3"/>
    <n v="0"/>
  </r>
  <r>
    <x v="0"/>
    <x v="7"/>
    <x v="0"/>
    <x v="0"/>
    <x v="17"/>
    <x v="0"/>
    <x v="4"/>
    <n v="0"/>
  </r>
  <r>
    <x v="0"/>
    <x v="7"/>
    <x v="0"/>
    <x v="0"/>
    <x v="17"/>
    <x v="0"/>
    <x v="5"/>
    <n v="0"/>
  </r>
  <r>
    <x v="0"/>
    <x v="7"/>
    <x v="0"/>
    <x v="0"/>
    <x v="17"/>
    <x v="0"/>
    <x v="6"/>
    <n v="0"/>
  </r>
  <r>
    <x v="0"/>
    <x v="7"/>
    <x v="0"/>
    <x v="2"/>
    <x v="18"/>
    <x v="0"/>
    <x v="0"/>
    <n v="0"/>
  </r>
  <r>
    <x v="0"/>
    <x v="7"/>
    <x v="0"/>
    <x v="2"/>
    <x v="18"/>
    <x v="0"/>
    <x v="1"/>
    <n v="0"/>
  </r>
  <r>
    <x v="0"/>
    <x v="7"/>
    <x v="0"/>
    <x v="2"/>
    <x v="18"/>
    <x v="0"/>
    <x v="2"/>
    <n v="0"/>
  </r>
  <r>
    <x v="0"/>
    <x v="7"/>
    <x v="0"/>
    <x v="2"/>
    <x v="18"/>
    <x v="0"/>
    <x v="3"/>
    <n v="0"/>
  </r>
  <r>
    <x v="0"/>
    <x v="7"/>
    <x v="0"/>
    <x v="2"/>
    <x v="18"/>
    <x v="0"/>
    <x v="4"/>
    <n v="0"/>
  </r>
  <r>
    <x v="0"/>
    <x v="7"/>
    <x v="0"/>
    <x v="2"/>
    <x v="18"/>
    <x v="0"/>
    <x v="5"/>
    <n v="0"/>
  </r>
  <r>
    <x v="0"/>
    <x v="7"/>
    <x v="0"/>
    <x v="2"/>
    <x v="18"/>
    <x v="0"/>
    <x v="6"/>
    <n v="0"/>
  </r>
  <r>
    <x v="0"/>
    <x v="7"/>
    <x v="1"/>
    <x v="3"/>
    <x v="19"/>
    <x v="0"/>
    <x v="0"/>
    <n v="0"/>
  </r>
  <r>
    <x v="0"/>
    <x v="7"/>
    <x v="1"/>
    <x v="3"/>
    <x v="19"/>
    <x v="0"/>
    <x v="1"/>
    <n v="0"/>
  </r>
  <r>
    <x v="0"/>
    <x v="7"/>
    <x v="1"/>
    <x v="3"/>
    <x v="19"/>
    <x v="0"/>
    <x v="2"/>
    <n v="0"/>
  </r>
  <r>
    <x v="0"/>
    <x v="7"/>
    <x v="1"/>
    <x v="3"/>
    <x v="19"/>
    <x v="0"/>
    <x v="3"/>
    <n v="0"/>
  </r>
  <r>
    <x v="0"/>
    <x v="7"/>
    <x v="1"/>
    <x v="3"/>
    <x v="19"/>
    <x v="0"/>
    <x v="4"/>
    <n v="0"/>
  </r>
  <r>
    <x v="0"/>
    <x v="7"/>
    <x v="1"/>
    <x v="3"/>
    <x v="19"/>
    <x v="0"/>
    <x v="5"/>
    <n v="0"/>
  </r>
  <r>
    <x v="0"/>
    <x v="7"/>
    <x v="1"/>
    <x v="3"/>
    <x v="19"/>
    <x v="0"/>
    <x v="6"/>
    <n v="0"/>
  </r>
  <r>
    <x v="0"/>
    <x v="7"/>
    <x v="1"/>
    <x v="3"/>
    <x v="20"/>
    <x v="0"/>
    <x v="0"/>
    <n v="0"/>
  </r>
  <r>
    <x v="0"/>
    <x v="7"/>
    <x v="1"/>
    <x v="3"/>
    <x v="20"/>
    <x v="0"/>
    <x v="1"/>
    <n v="0"/>
  </r>
  <r>
    <x v="0"/>
    <x v="7"/>
    <x v="1"/>
    <x v="3"/>
    <x v="20"/>
    <x v="0"/>
    <x v="2"/>
    <n v="0"/>
  </r>
  <r>
    <x v="0"/>
    <x v="7"/>
    <x v="1"/>
    <x v="3"/>
    <x v="20"/>
    <x v="0"/>
    <x v="3"/>
    <n v="0"/>
  </r>
  <r>
    <x v="0"/>
    <x v="7"/>
    <x v="1"/>
    <x v="3"/>
    <x v="20"/>
    <x v="0"/>
    <x v="4"/>
    <n v="0"/>
  </r>
  <r>
    <x v="0"/>
    <x v="7"/>
    <x v="1"/>
    <x v="3"/>
    <x v="20"/>
    <x v="0"/>
    <x v="5"/>
    <n v="0"/>
  </r>
  <r>
    <x v="0"/>
    <x v="7"/>
    <x v="1"/>
    <x v="3"/>
    <x v="20"/>
    <x v="0"/>
    <x v="6"/>
    <n v="0"/>
  </r>
  <r>
    <x v="0"/>
    <x v="7"/>
    <x v="1"/>
    <x v="3"/>
    <x v="21"/>
    <x v="0"/>
    <x v="0"/>
    <n v="0"/>
  </r>
  <r>
    <x v="0"/>
    <x v="7"/>
    <x v="1"/>
    <x v="3"/>
    <x v="21"/>
    <x v="0"/>
    <x v="1"/>
    <n v="0"/>
  </r>
  <r>
    <x v="0"/>
    <x v="7"/>
    <x v="1"/>
    <x v="3"/>
    <x v="21"/>
    <x v="0"/>
    <x v="2"/>
    <n v="0"/>
  </r>
  <r>
    <x v="0"/>
    <x v="7"/>
    <x v="1"/>
    <x v="3"/>
    <x v="21"/>
    <x v="0"/>
    <x v="3"/>
    <n v="0"/>
  </r>
  <r>
    <x v="0"/>
    <x v="7"/>
    <x v="1"/>
    <x v="3"/>
    <x v="21"/>
    <x v="0"/>
    <x v="4"/>
    <n v="0"/>
  </r>
  <r>
    <x v="0"/>
    <x v="7"/>
    <x v="1"/>
    <x v="3"/>
    <x v="21"/>
    <x v="0"/>
    <x v="5"/>
    <n v="0"/>
  </r>
  <r>
    <x v="0"/>
    <x v="7"/>
    <x v="1"/>
    <x v="3"/>
    <x v="21"/>
    <x v="0"/>
    <x v="6"/>
    <n v="0"/>
  </r>
  <r>
    <x v="0"/>
    <x v="7"/>
    <x v="1"/>
    <x v="3"/>
    <x v="22"/>
    <x v="0"/>
    <x v="0"/>
    <n v="0"/>
  </r>
  <r>
    <x v="0"/>
    <x v="7"/>
    <x v="1"/>
    <x v="3"/>
    <x v="22"/>
    <x v="0"/>
    <x v="1"/>
    <n v="0"/>
  </r>
  <r>
    <x v="0"/>
    <x v="7"/>
    <x v="1"/>
    <x v="3"/>
    <x v="22"/>
    <x v="0"/>
    <x v="2"/>
    <n v="0"/>
  </r>
  <r>
    <x v="0"/>
    <x v="7"/>
    <x v="1"/>
    <x v="3"/>
    <x v="22"/>
    <x v="0"/>
    <x v="3"/>
    <n v="0"/>
  </r>
  <r>
    <x v="0"/>
    <x v="7"/>
    <x v="1"/>
    <x v="3"/>
    <x v="22"/>
    <x v="0"/>
    <x v="4"/>
    <n v="0"/>
  </r>
  <r>
    <x v="0"/>
    <x v="7"/>
    <x v="1"/>
    <x v="3"/>
    <x v="22"/>
    <x v="0"/>
    <x v="5"/>
    <n v="0"/>
  </r>
  <r>
    <x v="0"/>
    <x v="7"/>
    <x v="1"/>
    <x v="3"/>
    <x v="22"/>
    <x v="0"/>
    <x v="6"/>
    <n v="0"/>
  </r>
  <r>
    <x v="0"/>
    <x v="7"/>
    <x v="1"/>
    <x v="3"/>
    <x v="23"/>
    <x v="0"/>
    <x v="0"/>
    <n v="0"/>
  </r>
  <r>
    <x v="0"/>
    <x v="7"/>
    <x v="1"/>
    <x v="3"/>
    <x v="23"/>
    <x v="0"/>
    <x v="1"/>
    <n v="0"/>
  </r>
  <r>
    <x v="0"/>
    <x v="7"/>
    <x v="1"/>
    <x v="3"/>
    <x v="23"/>
    <x v="0"/>
    <x v="2"/>
    <n v="0"/>
  </r>
  <r>
    <x v="0"/>
    <x v="7"/>
    <x v="1"/>
    <x v="3"/>
    <x v="23"/>
    <x v="0"/>
    <x v="3"/>
    <n v="0"/>
  </r>
  <r>
    <x v="0"/>
    <x v="7"/>
    <x v="1"/>
    <x v="3"/>
    <x v="23"/>
    <x v="0"/>
    <x v="4"/>
    <n v="0"/>
  </r>
  <r>
    <x v="0"/>
    <x v="7"/>
    <x v="1"/>
    <x v="3"/>
    <x v="23"/>
    <x v="0"/>
    <x v="5"/>
    <n v="0"/>
  </r>
  <r>
    <x v="0"/>
    <x v="7"/>
    <x v="1"/>
    <x v="3"/>
    <x v="23"/>
    <x v="0"/>
    <x v="6"/>
    <n v="0"/>
  </r>
  <r>
    <x v="0"/>
    <x v="7"/>
    <x v="1"/>
    <x v="3"/>
    <x v="24"/>
    <x v="0"/>
    <x v="0"/>
    <n v="0"/>
  </r>
  <r>
    <x v="0"/>
    <x v="7"/>
    <x v="1"/>
    <x v="3"/>
    <x v="24"/>
    <x v="0"/>
    <x v="1"/>
    <n v="0"/>
  </r>
  <r>
    <x v="0"/>
    <x v="7"/>
    <x v="1"/>
    <x v="3"/>
    <x v="24"/>
    <x v="0"/>
    <x v="2"/>
    <n v="0"/>
  </r>
  <r>
    <x v="0"/>
    <x v="7"/>
    <x v="1"/>
    <x v="3"/>
    <x v="24"/>
    <x v="0"/>
    <x v="3"/>
    <n v="0"/>
  </r>
  <r>
    <x v="0"/>
    <x v="7"/>
    <x v="1"/>
    <x v="3"/>
    <x v="24"/>
    <x v="0"/>
    <x v="4"/>
    <n v="0"/>
  </r>
  <r>
    <x v="0"/>
    <x v="7"/>
    <x v="1"/>
    <x v="3"/>
    <x v="24"/>
    <x v="0"/>
    <x v="5"/>
    <n v="0"/>
  </r>
  <r>
    <x v="0"/>
    <x v="7"/>
    <x v="1"/>
    <x v="3"/>
    <x v="24"/>
    <x v="0"/>
    <x v="6"/>
    <n v="0"/>
  </r>
  <r>
    <x v="0"/>
    <x v="7"/>
    <x v="1"/>
    <x v="3"/>
    <x v="25"/>
    <x v="0"/>
    <x v="0"/>
    <n v="0"/>
  </r>
  <r>
    <x v="0"/>
    <x v="7"/>
    <x v="1"/>
    <x v="3"/>
    <x v="25"/>
    <x v="0"/>
    <x v="1"/>
    <n v="0"/>
  </r>
  <r>
    <x v="0"/>
    <x v="7"/>
    <x v="1"/>
    <x v="3"/>
    <x v="25"/>
    <x v="0"/>
    <x v="2"/>
    <n v="0"/>
  </r>
  <r>
    <x v="0"/>
    <x v="7"/>
    <x v="1"/>
    <x v="3"/>
    <x v="25"/>
    <x v="0"/>
    <x v="3"/>
    <n v="0"/>
  </r>
  <r>
    <x v="0"/>
    <x v="7"/>
    <x v="1"/>
    <x v="3"/>
    <x v="25"/>
    <x v="0"/>
    <x v="4"/>
    <n v="0"/>
  </r>
  <r>
    <x v="0"/>
    <x v="7"/>
    <x v="1"/>
    <x v="3"/>
    <x v="25"/>
    <x v="0"/>
    <x v="5"/>
    <n v="0"/>
  </r>
  <r>
    <x v="0"/>
    <x v="7"/>
    <x v="1"/>
    <x v="3"/>
    <x v="25"/>
    <x v="0"/>
    <x v="6"/>
    <n v="0"/>
  </r>
  <r>
    <x v="0"/>
    <x v="7"/>
    <x v="2"/>
    <x v="4"/>
    <x v="26"/>
    <x v="0"/>
    <x v="0"/>
    <n v="0"/>
  </r>
  <r>
    <x v="0"/>
    <x v="7"/>
    <x v="2"/>
    <x v="4"/>
    <x v="26"/>
    <x v="0"/>
    <x v="1"/>
    <n v="0"/>
  </r>
  <r>
    <x v="0"/>
    <x v="7"/>
    <x v="2"/>
    <x v="4"/>
    <x v="26"/>
    <x v="0"/>
    <x v="2"/>
    <n v="0"/>
  </r>
  <r>
    <x v="0"/>
    <x v="7"/>
    <x v="2"/>
    <x v="4"/>
    <x v="26"/>
    <x v="0"/>
    <x v="3"/>
    <n v="0"/>
  </r>
  <r>
    <x v="0"/>
    <x v="7"/>
    <x v="2"/>
    <x v="4"/>
    <x v="26"/>
    <x v="0"/>
    <x v="4"/>
    <n v="0"/>
  </r>
  <r>
    <x v="0"/>
    <x v="7"/>
    <x v="2"/>
    <x v="4"/>
    <x v="26"/>
    <x v="0"/>
    <x v="5"/>
    <n v="0"/>
  </r>
  <r>
    <x v="0"/>
    <x v="7"/>
    <x v="2"/>
    <x v="4"/>
    <x v="26"/>
    <x v="0"/>
    <x v="6"/>
    <n v="0"/>
  </r>
  <r>
    <x v="0"/>
    <x v="7"/>
    <x v="2"/>
    <x v="4"/>
    <x v="27"/>
    <x v="0"/>
    <x v="0"/>
    <n v="0"/>
  </r>
  <r>
    <x v="0"/>
    <x v="7"/>
    <x v="2"/>
    <x v="4"/>
    <x v="27"/>
    <x v="0"/>
    <x v="1"/>
    <n v="0"/>
  </r>
  <r>
    <x v="0"/>
    <x v="7"/>
    <x v="2"/>
    <x v="4"/>
    <x v="27"/>
    <x v="0"/>
    <x v="2"/>
    <n v="0"/>
  </r>
  <r>
    <x v="0"/>
    <x v="7"/>
    <x v="2"/>
    <x v="4"/>
    <x v="27"/>
    <x v="0"/>
    <x v="3"/>
    <n v="0"/>
  </r>
  <r>
    <x v="0"/>
    <x v="7"/>
    <x v="2"/>
    <x v="4"/>
    <x v="27"/>
    <x v="0"/>
    <x v="4"/>
    <n v="0"/>
  </r>
  <r>
    <x v="0"/>
    <x v="7"/>
    <x v="2"/>
    <x v="4"/>
    <x v="27"/>
    <x v="0"/>
    <x v="5"/>
    <n v="0"/>
  </r>
  <r>
    <x v="0"/>
    <x v="7"/>
    <x v="2"/>
    <x v="4"/>
    <x v="27"/>
    <x v="0"/>
    <x v="6"/>
    <n v="0"/>
  </r>
  <r>
    <x v="0"/>
    <x v="7"/>
    <x v="2"/>
    <x v="4"/>
    <x v="28"/>
    <x v="0"/>
    <x v="0"/>
    <n v="0"/>
  </r>
  <r>
    <x v="0"/>
    <x v="7"/>
    <x v="2"/>
    <x v="4"/>
    <x v="28"/>
    <x v="0"/>
    <x v="1"/>
    <n v="0"/>
  </r>
  <r>
    <x v="0"/>
    <x v="7"/>
    <x v="2"/>
    <x v="4"/>
    <x v="28"/>
    <x v="0"/>
    <x v="2"/>
    <n v="0"/>
  </r>
  <r>
    <x v="0"/>
    <x v="7"/>
    <x v="2"/>
    <x v="4"/>
    <x v="28"/>
    <x v="0"/>
    <x v="3"/>
    <n v="0"/>
  </r>
  <r>
    <x v="0"/>
    <x v="7"/>
    <x v="2"/>
    <x v="4"/>
    <x v="28"/>
    <x v="0"/>
    <x v="4"/>
    <n v="0"/>
  </r>
  <r>
    <x v="0"/>
    <x v="7"/>
    <x v="2"/>
    <x v="4"/>
    <x v="28"/>
    <x v="0"/>
    <x v="5"/>
    <n v="0"/>
  </r>
  <r>
    <x v="0"/>
    <x v="7"/>
    <x v="2"/>
    <x v="4"/>
    <x v="28"/>
    <x v="0"/>
    <x v="6"/>
    <n v="0"/>
  </r>
  <r>
    <x v="0"/>
    <x v="7"/>
    <x v="2"/>
    <x v="4"/>
    <x v="29"/>
    <x v="0"/>
    <x v="0"/>
    <n v="8078.549101823929"/>
  </r>
  <r>
    <x v="0"/>
    <x v="7"/>
    <x v="2"/>
    <x v="4"/>
    <x v="29"/>
    <x v="0"/>
    <x v="1"/>
    <n v="9238.7380575910938"/>
  </r>
  <r>
    <x v="0"/>
    <x v="7"/>
    <x v="2"/>
    <x v="4"/>
    <x v="29"/>
    <x v="0"/>
    <x v="2"/>
    <n v="8209.7516604071625"/>
  </r>
  <r>
    <x v="0"/>
    <x v="7"/>
    <x v="2"/>
    <x v="4"/>
    <x v="29"/>
    <x v="0"/>
    <x v="3"/>
    <n v="8355.7693871839674"/>
  </r>
  <r>
    <x v="0"/>
    <x v="7"/>
    <x v="2"/>
    <x v="4"/>
    <x v="29"/>
    <x v="0"/>
    <x v="4"/>
    <n v="5969.9645460090996"/>
  </r>
  <r>
    <x v="0"/>
    <x v="7"/>
    <x v="2"/>
    <x v="4"/>
    <x v="29"/>
    <x v="0"/>
    <x v="5"/>
    <n v="2390.3084694922359"/>
  </r>
  <r>
    <x v="0"/>
    <x v="7"/>
    <x v="2"/>
    <x v="4"/>
    <x v="29"/>
    <x v="0"/>
    <x v="6"/>
    <n v="606.58604846928688"/>
  </r>
  <r>
    <x v="0"/>
    <x v="7"/>
    <x v="3"/>
    <x v="5"/>
    <x v="30"/>
    <x v="0"/>
    <x v="0"/>
    <n v="291.97406529671815"/>
  </r>
  <r>
    <x v="0"/>
    <x v="7"/>
    <x v="3"/>
    <x v="5"/>
    <x v="30"/>
    <x v="0"/>
    <x v="1"/>
    <n v="725.96555673775913"/>
  </r>
  <r>
    <x v="0"/>
    <x v="7"/>
    <x v="3"/>
    <x v="5"/>
    <x v="30"/>
    <x v="0"/>
    <x v="2"/>
    <n v="1232.9740902675242"/>
  </r>
  <r>
    <x v="0"/>
    <x v="7"/>
    <x v="3"/>
    <x v="5"/>
    <x v="30"/>
    <x v="0"/>
    <x v="3"/>
    <n v="1729.0312821278094"/>
  </r>
  <r>
    <x v="0"/>
    <x v="7"/>
    <x v="3"/>
    <x v="5"/>
    <x v="30"/>
    <x v="0"/>
    <x v="4"/>
    <n v="2128.6546219057254"/>
  </r>
  <r>
    <x v="0"/>
    <x v="7"/>
    <x v="3"/>
    <x v="5"/>
    <x v="30"/>
    <x v="0"/>
    <x v="5"/>
    <n v="2411.4213772183216"/>
  </r>
  <r>
    <x v="0"/>
    <x v="7"/>
    <x v="3"/>
    <x v="5"/>
    <x v="30"/>
    <x v="0"/>
    <x v="6"/>
    <n v="2736.647041908378"/>
  </r>
  <r>
    <x v="0"/>
    <x v="7"/>
    <x v="2"/>
    <x v="4"/>
    <x v="31"/>
    <x v="0"/>
    <x v="0"/>
    <n v="0"/>
  </r>
  <r>
    <x v="0"/>
    <x v="7"/>
    <x v="2"/>
    <x v="4"/>
    <x v="31"/>
    <x v="0"/>
    <x v="1"/>
    <n v="0"/>
  </r>
  <r>
    <x v="0"/>
    <x v="7"/>
    <x v="2"/>
    <x v="4"/>
    <x v="31"/>
    <x v="0"/>
    <x v="2"/>
    <n v="0"/>
  </r>
  <r>
    <x v="0"/>
    <x v="7"/>
    <x v="2"/>
    <x v="4"/>
    <x v="31"/>
    <x v="0"/>
    <x v="3"/>
    <n v="0"/>
  </r>
  <r>
    <x v="0"/>
    <x v="7"/>
    <x v="2"/>
    <x v="4"/>
    <x v="31"/>
    <x v="0"/>
    <x v="4"/>
    <n v="0"/>
  </r>
  <r>
    <x v="0"/>
    <x v="7"/>
    <x v="2"/>
    <x v="4"/>
    <x v="31"/>
    <x v="0"/>
    <x v="5"/>
    <n v="0"/>
  </r>
  <r>
    <x v="0"/>
    <x v="7"/>
    <x v="2"/>
    <x v="4"/>
    <x v="31"/>
    <x v="0"/>
    <x v="6"/>
    <n v="0"/>
  </r>
  <r>
    <x v="0"/>
    <x v="7"/>
    <x v="2"/>
    <x v="4"/>
    <x v="32"/>
    <x v="0"/>
    <x v="0"/>
    <n v="0.10064429876267257"/>
  </r>
  <r>
    <x v="0"/>
    <x v="7"/>
    <x v="2"/>
    <x v="4"/>
    <x v="32"/>
    <x v="0"/>
    <x v="1"/>
    <n v="0.1927012985840264"/>
  </r>
  <r>
    <x v="0"/>
    <x v="7"/>
    <x v="2"/>
    <x v="4"/>
    <x v="32"/>
    <x v="0"/>
    <x v="2"/>
    <n v="0.44573601525085588"/>
  </r>
  <r>
    <x v="0"/>
    <x v="7"/>
    <x v="2"/>
    <x v="4"/>
    <x v="32"/>
    <x v="0"/>
    <x v="3"/>
    <n v="0.9879486893909184"/>
  </r>
  <r>
    <x v="0"/>
    <x v="7"/>
    <x v="2"/>
    <x v="4"/>
    <x v="32"/>
    <x v="0"/>
    <x v="4"/>
    <n v="1.6672518728401378"/>
  </r>
  <r>
    <x v="0"/>
    <x v="7"/>
    <x v="2"/>
    <x v="4"/>
    <x v="32"/>
    <x v="0"/>
    <x v="5"/>
    <n v="2.0691152270260145"/>
  </r>
  <r>
    <x v="0"/>
    <x v="7"/>
    <x v="2"/>
    <x v="4"/>
    <x v="32"/>
    <x v="0"/>
    <x v="6"/>
    <n v="2.765863711145006"/>
  </r>
  <r>
    <x v="0"/>
    <x v="7"/>
    <x v="2"/>
    <x v="4"/>
    <x v="33"/>
    <x v="0"/>
    <x v="0"/>
    <n v="0"/>
  </r>
  <r>
    <x v="0"/>
    <x v="7"/>
    <x v="2"/>
    <x v="4"/>
    <x v="33"/>
    <x v="0"/>
    <x v="1"/>
    <n v="0"/>
  </r>
  <r>
    <x v="0"/>
    <x v="7"/>
    <x v="2"/>
    <x v="4"/>
    <x v="33"/>
    <x v="0"/>
    <x v="2"/>
    <n v="0"/>
  </r>
  <r>
    <x v="0"/>
    <x v="7"/>
    <x v="2"/>
    <x v="4"/>
    <x v="33"/>
    <x v="0"/>
    <x v="3"/>
    <n v="0"/>
  </r>
  <r>
    <x v="0"/>
    <x v="7"/>
    <x v="2"/>
    <x v="4"/>
    <x v="33"/>
    <x v="0"/>
    <x v="4"/>
    <n v="0"/>
  </r>
  <r>
    <x v="0"/>
    <x v="7"/>
    <x v="2"/>
    <x v="4"/>
    <x v="33"/>
    <x v="0"/>
    <x v="5"/>
    <n v="0"/>
  </r>
  <r>
    <x v="0"/>
    <x v="7"/>
    <x v="2"/>
    <x v="4"/>
    <x v="33"/>
    <x v="0"/>
    <x v="6"/>
    <n v="0"/>
  </r>
  <r>
    <x v="0"/>
    <x v="7"/>
    <x v="2"/>
    <x v="4"/>
    <x v="34"/>
    <x v="0"/>
    <x v="0"/>
    <n v="0.49427974344370296"/>
  </r>
  <r>
    <x v="0"/>
    <x v="7"/>
    <x v="2"/>
    <x v="4"/>
    <x v="34"/>
    <x v="0"/>
    <x v="1"/>
    <n v="0.93000626692605315"/>
  </r>
  <r>
    <x v="0"/>
    <x v="7"/>
    <x v="2"/>
    <x v="4"/>
    <x v="34"/>
    <x v="0"/>
    <x v="2"/>
    <n v="1.9038253067950077"/>
  </r>
  <r>
    <x v="0"/>
    <x v="7"/>
    <x v="2"/>
    <x v="4"/>
    <x v="34"/>
    <x v="0"/>
    <x v="3"/>
    <n v="3.9406968997854395"/>
  </r>
  <r>
    <x v="0"/>
    <x v="7"/>
    <x v="2"/>
    <x v="4"/>
    <x v="34"/>
    <x v="0"/>
    <x v="4"/>
    <n v="6.0020330491824785"/>
  </r>
  <r>
    <x v="0"/>
    <x v="7"/>
    <x v="2"/>
    <x v="4"/>
    <x v="34"/>
    <x v="0"/>
    <x v="5"/>
    <n v="7.3967995336806922"/>
  </r>
  <r>
    <x v="0"/>
    <x v="7"/>
    <x v="2"/>
    <x v="4"/>
    <x v="34"/>
    <x v="0"/>
    <x v="6"/>
    <n v="8.9027157611022005"/>
  </r>
  <r>
    <x v="0"/>
    <x v="7"/>
    <x v="2"/>
    <x v="6"/>
    <x v="35"/>
    <x v="0"/>
    <x v="0"/>
    <n v="0"/>
  </r>
  <r>
    <x v="0"/>
    <x v="7"/>
    <x v="2"/>
    <x v="6"/>
    <x v="35"/>
    <x v="0"/>
    <x v="1"/>
    <n v="0"/>
  </r>
  <r>
    <x v="0"/>
    <x v="7"/>
    <x v="2"/>
    <x v="6"/>
    <x v="35"/>
    <x v="0"/>
    <x v="2"/>
    <n v="0"/>
  </r>
  <r>
    <x v="0"/>
    <x v="7"/>
    <x v="2"/>
    <x v="6"/>
    <x v="35"/>
    <x v="0"/>
    <x v="3"/>
    <n v="0"/>
  </r>
  <r>
    <x v="0"/>
    <x v="7"/>
    <x v="2"/>
    <x v="6"/>
    <x v="35"/>
    <x v="0"/>
    <x v="4"/>
    <n v="0"/>
  </r>
  <r>
    <x v="0"/>
    <x v="7"/>
    <x v="2"/>
    <x v="6"/>
    <x v="35"/>
    <x v="0"/>
    <x v="5"/>
    <n v="0"/>
  </r>
  <r>
    <x v="0"/>
    <x v="7"/>
    <x v="2"/>
    <x v="6"/>
    <x v="35"/>
    <x v="0"/>
    <x v="6"/>
    <n v="0"/>
  </r>
  <r>
    <x v="0"/>
    <x v="7"/>
    <x v="2"/>
    <x v="6"/>
    <x v="36"/>
    <x v="0"/>
    <x v="0"/>
    <n v="0"/>
  </r>
  <r>
    <x v="0"/>
    <x v="7"/>
    <x v="2"/>
    <x v="6"/>
    <x v="36"/>
    <x v="0"/>
    <x v="1"/>
    <n v="0"/>
  </r>
  <r>
    <x v="0"/>
    <x v="7"/>
    <x v="2"/>
    <x v="6"/>
    <x v="36"/>
    <x v="0"/>
    <x v="2"/>
    <n v="0"/>
  </r>
  <r>
    <x v="0"/>
    <x v="7"/>
    <x v="2"/>
    <x v="6"/>
    <x v="36"/>
    <x v="0"/>
    <x v="3"/>
    <n v="0"/>
  </r>
  <r>
    <x v="0"/>
    <x v="7"/>
    <x v="2"/>
    <x v="6"/>
    <x v="36"/>
    <x v="0"/>
    <x v="4"/>
    <n v="0"/>
  </r>
  <r>
    <x v="0"/>
    <x v="7"/>
    <x v="2"/>
    <x v="6"/>
    <x v="36"/>
    <x v="0"/>
    <x v="5"/>
    <n v="0"/>
  </r>
  <r>
    <x v="0"/>
    <x v="7"/>
    <x v="2"/>
    <x v="6"/>
    <x v="36"/>
    <x v="0"/>
    <x v="6"/>
    <n v="0"/>
  </r>
  <r>
    <x v="0"/>
    <x v="7"/>
    <x v="2"/>
    <x v="6"/>
    <x v="37"/>
    <x v="0"/>
    <x v="0"/>
    <n v="0"/>
  </r>
  <r>
    <x v="0"/>
    <x v="7"/>
    <x v="2"/>
    <x v="6"/>
    <x v="37"/>
    <x v="0"/>
    <x v="1"/>
    <n v="0"/>
  </r>
  <r>
    <x v="0"/>
    <x v="7"/>
    <x v="2"/>
    <x v="6"/>
    <x v="37"/>
    <x v="0"/>
    <x v="2"/>
    <n v="0"/>
  </r>
  <r>
    <x v="0"/>
    <x v="7"/>
    <x v="2"/>
    <x v="6"/>
    <x v="37"/>
    <x v="0"/>
    <x v="3"/>
    <n v="0"/>
  </r>
  <r>
    <x v="0"/>
    <x v="7"/>
    <x v="2"/>
    <x v="6"/>
    <x v="37"/>
    <x v="0"/>
    <x v="4"/>
    <n v="0"/>
  </r>
  <r>
    <x v="0"/>
    <x v="7"/>
    <x v="2"/>
    <x v="6"/>
    <x v="37"/>
    <x v="0"/>
    <x v="5"/>
    <n v="0"/>
  </r>
  <r>
    <x v="0"/>
    <x v="7"/>
    <x v="2"/>
    <x v="6"/>
    <x v="37"/>
    <x v="0"/>
    <x v="6"/>
    <n v="0"/>
  </r>
  <r>
    <x v="0"/>
    <x v="7"/>
    <x v="2"/>
    <x v="6"/>
    <x v="38"/>
    <x v="0"/>
    <x v="0"/>
    <n v="0"/>
  </r>
  <r>
    <x v="0"/>
    <x v="7"/>
    <x v="2"/>
    <x v="6"/>
    <x v="38"/>
    <x v="0"/>
    <x v="1"/>
    <n v="0"/>
  </r>
  <r>
    <x v="0"/>
    <x v="7"/>
    <x v="2"/>
    <x v="6"/>
    <x v="38"/>
    <x v="0"/>
    <x v="2"/>
    <n v="0"/>
  </r>
  <r>
    <x v="0"/>
    <x v="7"/>
    <x v="2"/>
    <x v="6"/>
    <x v="38"/>
    <x v="0"/>
    <x v="3"/>
    <n v="0"/>
  </r>
  <r>
    <x v="0"/>
    <x v="7"/>
    <x v="2"/>
    <x v="6"/>
    <x v="38"/>
    <x v="0"/>
    <x v="4"/>
    <n v="0"/>
  </r>
  <r>
    <x v="0"/>
    <x v="7"/>
    <x v="2"/>
    <x v="6"/>
    <x v="38"/>
    <x v="0"/>
    <x v="5"/>
    <n v="0"/>
  </r>
  <r>
    <x v="0"/>
    <x v="7"/>
    <x v="2"/>
    <x v="6"/>
    <x v="38"/>
    <x v="0"/>
    <x v="6"/>
    <n v="0"/>
  </r>
  <r>
    <x v="0"/>
    <x v="7"/>
    <x v="3"/>
    <x v="5"/>
    <x v="39"/>
    <x v="0"/>
    <x v="0"/>
    <n v="1394.2190236726592"/>
  </r>
  <r>
    <x v="0"/>
    <x v="7"/>
    <x v="3"/>
    <x v="5"/>
    <x v="39"/>
    <x v="0"/>
    <x v="1"/>
    <n v="1902.3016773964957"/>
  </r>
  <r>
    <x v="0"/>
    <x v="7"/>
    <x v="3"/>
    <x v="5"/>
    <x v="39"/>
    <x v="0"/>
    <x v="2"/>
    <n v="1774.4921628902739"/>
  </r>
  <r>
    <x v="0"/>
    <x v="7"/>
    <x v="3"/>
    <x v="5"/>
    <x v="39"/>
    <x v="0"/>
    <x v="3"/>
    <n v="1705.8916489439571"/>
  </r>
  <r>
    <x v="0"/>
    <x v="7"/>
    <x v="3"/>
    <x v="5"/>
    <x v="39"/>
    <x v="0"/>
    <x v="4"/>
    <n v="1741.8798378365593"/>
  </r>
  <r>
    <x v="0"/>
    <x v="7"/>
    <x v="3"/>
    <x v="5"/>
    <x v="39"/>
    <x v="0"/>
    <x v="5"/>
    <n v="1829.5666531717891"/>
  </r>
  <r>
    <x v="0"/>
    <x v="7"/>
    <x v="3"/>
    <x v="5"/>
    <x v="39"/>
    <x v="0"/>
    <x v="6"/>
    <n v="1909.6666611535904"/>
  </r>
  <r>
    <x v="0"/>
    <x v="7"/>
    <x v="2"/>
    <x v="6"/>
    <x v="40"/>
    <x v="0"/>
    <x v="0"/>
    <n v="0"/>
  </r>
  <r>
    <x v="0"/>
    <x v="7"/>
    <x v="2"/>
    <x v="6"/>
    <x v="40"/>
    <x v="0"/>
    <x v="1"/>
    <n v="0"/>
  </r>
  <r>
    <x v="0"/>
    <x v="7"/>
    <x v="2"/>
    <x v="6"/>
    <x v="40"/>
    <x v="0"/>
    <x v="2"/>
    <n v="0"/>
  </r>
  <r>
    <x v="0"/>
    <x v="7"/>
    <x v="2"/>
    <x v="6"/>
    <x v="40"/>
    <x v="0"/>
    <x v="3"/>
    <n v="0"/>
  </r>
  <r>
    <x v="0"/>
    <x v="7"/>
    <x v="2"/>
    <x v="6"/>
    <x v="40"/>
    <x v="0"/>
    <x v="4"/>
    <n v="0"/>
  </r>
  <r>
    <x v="0"/>
    <x v="7"/>
    <x v="2"/>
    <x v="6"/>
    <x v="40"/>
    <x v="0"/>
    <x v="5"/>
    <n v="0"/>
  </r>
  <r>
    <x v="0"/>
    <x v="7"/>
    <x v="2"/>
    <x v="6"/>
    <x v="40"/>
    <x v="0"/>
    <x v="6"/>
    <n v="0"/>
  </r>
  <r>
    <x v="0"/>
    <x v="7"/>
    <x v="2"/>
    <x v="6"/>
    <x v="41"/>
    <x v="0"/>
    <x v="0"/>
    <n v="0"/>
  </r>
  <r>
    <x v="0"/>
    <x v="7"/>
    <x v="2"/>
    <x v="6"/>
    <x v="41"/>
    <x v="0"/>
    <x v="1"/>
    <n v="0"/>
  </r>
  <r>
    <x v="0"/>
    <x v="7"/>
    <x v="2"/>
    <x v="6"/>
    <x v="41"/>
    <x v="0"/>
    <x v="2"/>
    <n v="0"/>
  </r>
  <r>
    <x v="0"/>
    <x v="7"/>
    <x v="2"/>
    <x v="6"/>
    <x v="41"/>
    <x v="0"/>
    <x v="3"/>
    <n v="0"/>
  </r>
  <r>
    <x v="0"/>
    <x v="7"/>
    <x v="2"/>
    <x v="6"/>
    <x v="41"/>
    <x v="0"/>
    <x v="4"/>
    <n v="0"/>
  </r>
  <r>
    <x v="0"/>
    <x v="7"/>
    <x v="2"/>
    <x v="6"/>
    <x v="41"/>
    <x v="0"/>
    <x v="5"/>
    <n v="0"/>
  </r>
  <r>
    <x v="0"/>
    <x v="7"/>
    <x v="2"/>
    <x v="6"/>
    <x v="41"/>
    <x v="0"/>
    <x v="6"/>
    <n v="0"/>
  </r>
  <r>
    <x v="0"/>
    <x v="7"/>
    <x v="2"/>
    <x v="6"/>
    <x v="42"/>
    <x v="0"/>
    <x v="0"/>
    <n v="0"/>
  </r>
  <r>
    <x v="0"/>
    <x v="7"/>
    <x v="2"/>
    <x v="6"/>
    <x v="42"/>
    <x v="0"/>
    <x v="1"/>
    <n v="0"/>
  </r>
  <r>
    <x v="0"/>
    <x v="7"/>
    <x v="2"/>
    <x v="6"/>
    <x v="42"/>
    <x v="0"/>
    <x v="2"/>
    <n v="0"/>
  </r>
  <r>
    <x v="0"/>
    <x v="7"/>
    <x v="2"/>
    <x v="6"/>
    <x v="42"/>
    <x v="0"/>
    <x v="3"/>
    <n v="0"/>
  </r>
  <r>
    <x v="0"/>
    <x v="7"/>
    <x v="2"/>
    <x v="6"/>
    <x v="42"/>
    <x v="0"/>
    <x v="4"/>
    <n v="0"/>
  </r>
  <r>
    <x v="0"/>
    <x v="7"/>
    <x v="2"/>
    <x v="6"/>
    <x v="42"/>
    <x v="0"/>
    <x v="5"/>
    <n v="0"/>
  </r>
  <r>
    <x v="0"/>
    <x v="7"/>
    <x v="2"/>
    <x v="6"/>
    <x v="42"/>
    <x v="0"/>
    <x v="6"/>
    <n v="0"/>
  </r>
  <r>
    <x v="0"/>
    <x v="7"/>
    <x v="2"/>
    <x v="6"/>
    <x v="43"/>
    <x v="0"/>
    <x v="0"/>
    <n v="0"/>
  </r>
  <r>
    <x v="0"/>
    <x v="7"/>
    <x v="2"/>
    <x v="6"/>
    <x v="43"/>
    <x v="0"/>
    <x v="1"/>
    <n v="0"/>
  </r>
  <r>
    <x v="0"/>
    <x v="7"/>
    <x v="2"/>
    <x v="6"/>
    <x v="43"/>
    <x v="0"/>
    <x v="2"/>
    <n v="0"/>
  </r>
  <r>
    <x v="0"/>
    <x v="7"/>
    <x v="2"/>
    <x v="6"/>
    <x v="43"/>
    <x v="0"/>
    <x v="3"/>
    <n v="0"/>
  </r>
  <r>
    <x v="0"/>
    <x v="7"/>
    <x v="2"/>
    <x v="6"/>
    <x v="43"/>
    <x v="0"/>
    <x v="4"/>
    <n v="0"/>
  </r>
  <r>
    <x v="0"/>
    <x v="7"/>
    <x v="2"/>
    <x v="6"/>
    <x v="43"/>
    <x v="0"/>
    <x v="5"/>
    <n v="0"/>
  </r>
  <r>
    <x v="0"/>
    <x v="7"/>
    <x v="2"/>
    <x v="6"/>
    <x v="43"/>
    <x v="0"/>
    <x v="6"/>
    <n v="0"/>
  </r>
  <r>
    <x v="0"/>
    <x v="7"/>
    <x v="4"/>
    <x v="7"/>
    <x v="44"/>
    <x v="0"/>
    <x v="0"/>
    <n v="3.338161894487069E-2"/>
  </r>
  <r>
    <x v="0"/>
    <x v="7"/>
    <x v="4"/>
    <x v="7"/>
    <x v="44"/>
    <x v="0"/>
    <x v="1"/>
    <n v="0.16411181308861544"/>
  </r>
  <r>
    <x v="0"/>
    <x v="7"/>
    <x v="4"/>
    <x v="7"/>
    <x v="44"/>
    <x v="0"/>
    <x v="2"/>
    <n v="0.5329254640728025"/>
  </r>
  <r>
    <x v="0"/>
    <x v="7"/>
    <x v="4"/>
    <x v="7"/>
    <x v="44"/>
    <x v="0"/>
    <x v="3"/>
    <n v="1.6070974334904358"/>
  </r>
  <r>
    <x v="0"/>
    <x v="7"/>
    <x v="4"/>
    <x v="7"/>
    <x v="44"/>
    <x v="0"/>
    <x v="4"/>
    <n v="2.8438231877657256"/>
  </r>
  <r>
    <x v="0"/>
    <x v="7"/>
    <x v="4"/>
    <x v="7"/>
    <x v="44"/>
    <x v="0"/>
    <x v="5"/>
    <n v="3.6637534490085497"/>
  </r>
  <r>
    <x v="0"/>
    <x v="7"/>
    <x v="4"/>
    <x v="7"/>
    <x v="44"/>
    <x v="0"/>
    <x v="6"/>
    <n v="4.2058793599996642"/>
  </r>
  <r>
    <x v="0"/>
    <x v="7"/>
    <x v="4"/>
    <x v="7"/>
    <x v="45"/>
    <x v="0"/>
    <x v="0"/>
    <n v="0"/>
  </r>
  <r>
    <x v="0"/>
    <x v="7"/>
    <x v="4"/>
    <x v="7"/>
    <x v="45"/>
    <x v="0"/>
    <x v="1"/>
    <n v="0"/>
  </r>
  <r>
    <x v="0"/>
    <x v="7"/>
    <x v="4"/>
    <x v="7"/>
    <x v="45"/>
    <x v="0"/>
    <x v="2"/>
    <n v="0"/>
  </r>
  <r>
    <x v="0"/>
    <x v="7"/>
    <x v="4"/>
    <x v="7"/>
    <x v="45"/>
    <x v="0"/>
    <x v="3"/>
    <n v="0"/>
  </r>
  <r>
    <x v="0"/>
    <x v="7"/>
    <x v="4"/>
    <x v="7"/>
    <x v="45"/>
    <x v="0"/>
    <x v="4"/>
    <n v="0"/>
  </r>
  <r>
    <x v="0"/>
    <x v="7"/>
    <x v="4"/>
    <x v="7"/>
    <x v="45"/>
    <x v="0"/>
    <x v="5"/>
    <n v="0"/>
  </r>
  <r>
    <x v="0"/>
    <x v="7"/>
    <x v="4"/>
    <x v="7"/>
    <x v="45"/>
    <x v="0"/>
    <x v="6"/>
    <n v="0"/>
  </r>
  <r>
    <x v="0"/>
    <x v="7"/>
    <x v="4"/>
    <x v="7"/>
    <x v="46"/>
    <x v="0"/>
    <x v="0"/>
    <n v="0"/>
  </r>
  <r>
    <x v="0"/>
    <x v="7"/>
    <x v="4"/>
    <x v="7"/>
    <x v="46"/>
    <x v="0"/>
    <x v="1"/>
    <n v="0"/>
  </r>
  <r>
    <x v="0"/>
    <x v="7"/>
    <x v="4"/>
    <x v="7"/>
    <x v="46"/>
    <x v="0"/>
    <x v="2"/>
    <n v="0"/>
  </r>
  <r>
    <x v="0"/>
    <x v="7"/>
    <x v="4"/>
    <x v="7"/>
    <x v="46"/>
    <x v="0"/>
    <x v="3"/>
    <n v="0"/>
  </r>
  <r>
    <x v="0"/>
    <x v="7"/>
    <x v="4"/>
    <x v="7"/>
    <x v="46"/>
    <x v="0"/>
    <x v="4"/>
    <n v="0"/>
  </r>
  <r>
    <x v="0"/>
    <x v="7"/>
    <x v="4"/>
    <x v="7"/>
    <x v="46"/>
    <x v="0"/>
    <x v="5"/>
    <n v="0"/>
  </r>
  <r>
    <x v="0"/>
    <x v="7"/>
    <x v="4"/>
    <x v="7"/>
    <x v="46"/>
    <x v="0"/>
    <x v="6"/>
    <n v="0"/>
  </r>
  <r>
    <x v="0"/>
    <x v="7"/>
    <x v="4"/>
    <x v="7"/>
    <x v="47"/>
    <x v="0"/>
    <x v="0"/>
    <n v="0"/>
  </r>
  <r>
    <x v="0"/>
    <x v="7"/>
    <x v="4"/>
    <x v="7"/>
    <x v="47"/>
    <x v="0"/>
    <x v="1"/>
    <n v="0"/>
  </r>
  <r>
    <x v="0"/>
    <x v="7"/>
    <x v="4"/>
    <x v="7"/>
    <x v="47"/>
    <x v="0"/>
    <x v="2"/>
    <n v="0"/>
  </r>
  <r>
    <x v="0"/>
    <x v="7"/>
    <x v="4"/>
    <x v="7"/>
    <x v="47"/>
    <x v="0"/>
    <x v="3"/>
    <n v="0"/>
  </r>
  <r>
    <x v="0"/>
    <x v="7"/>
    <x v="4"/>
    <x v="7"/>
    <x v="47"/>
    <x v="0"/>
    <x v="4"/>
    <n v="0"/>
  </r>
  <r>
    <x v="0"/>
    <x v="7"/>
    <x v="4"/>
    <x v="7"/>
    <x v="47"/>
    <x v="0"/>
    <x v="5"/>
    <n v="0"/>
  </r>
  <r>
    <x v="0"/>
    <x v="7"/>
    <x v="4"/>
    <x v="7"/>
    <x v="47"/>
    <x v="0"/>
    <x v="6"/>
    <n v="0"/>
  </r>
  <r>
    <x v="0"/>
    <x v="7"/>
    <x v="4"/>
    <x v="7"/>
    <x v="48"/>
    <x v="0"/>
    <x v="0"/>
    <n v="0"/>
  </r>
  <r>
    <x v="0"/>
    <x v="7"/>
    <x v="4"/>
    <x v="7"/>
    <x v="48"/>
    <x v="0"/>
    <x v="1"/>
    <n v="0"/>
  </r>
  <r>
    <x v="0"/>
    <x v="7"/>
    <x v="4"/>
    <x v="7"/>
    <x v="48"/>
    <x v="0"/>
    <x v="2"/>
    <n v="0"/>
  </r>
  <r>
    <x v="0"/>
    <x v="7"/>
    <x v="4"/>
    <x v="7"/>
    <x v="48"/>
    <x v="0"/>
    <x v="3"/>
    <n v="0"/>
  </r>
  <r>
    <x v="0"/>
    <x v="7"/>
    <x v="4"/>
    <x v="7"/>
    <x v="48"/>
    <x v="0"/>
    <x v="4"/>
    <n v="0"/>
  </r>
  <r>
    <x v="0"/>
    <x v="7"/>
    <x v="4"/>
    <x v="7"/>
    <x v="48"/>
    <x v="0"/>
    <x v="5"/>
    <n v="0"/>
  </r>
  <r>
    <x v="0"/>
    <x v="7"/>
    <x v="4"/>
    <x v="7"/>
    <x v="48"/>
    <x v="0"/>
    <x v="6"/>
    <n v="0"/>
  </r>
  <r>
    <x v="0"/>
    <x v="7"/>
    <x v="4"/>
    <x v="7"/>
    <x v="49"/>
    <x v="0"/>
    <x v="0"/>
    <n v="0"/>
  </r>
  <r>
    <x v="0"/>
    <x v="7"/>
    <x v="4"/>
    <x v="7"/>
    <x v="49"/>
    <x v="0"/>
    <x v="1"/>
    <n v="0"/>
  </r>
  <r>
    <x v="0"/>
    <x v="7"/>
    <x v="4"/>
    <x v="7"/>
    <x v="49"/>
    <x v="0"/>
    <x v="2"/>
    <n v="0"/>
  </r>
  <r>
    <x v="0"/>
    <x v="7"/>
    <x v="4"/>
    <x v="7"/>
    <x v="49"/>
    <x v="0"/>
    <x v="3"/>
    <n v="0"/>
  </r>
  <r>
    <x v="0"/>
    <x v="7"/>
    <x v="4"/>
    <x v="7"/>
    <x v="49"/>
    <x v="0"/>
    <x v="4"/>
    <n v="0"/>
  </r>
  <r>
    <x v="0"/>
    <x v="7"/>
    <x v="4"/>
    <x v="7"/>
    <x v="49"/>
    <x v="0"/>
    <x v="5"/>
    <n v="0"/>
  </r>
  <r>
    <x v="0"/>
    <x v="7"/>
    <x v="4"/>
    <x v="7"/>
    <x v="49"/>
    <x v="0"/>
    <x v="6"/>
    <n v="0"/>
  </r>
  <r>
    <x v="0"/>
    <x v="7"/>
    <x v="4"/>
    <x v="7"/>
    <x v="50"/>
    <x v="0"/>
    <x v="0"/>
    <n v="0"/>
  </r>
  <r>
    <x v="0"/>
    <x v="7"/>
    <x v="4"/>
    <x v="7"/>
    <x v="50"/>
    <x v="0"/>
    <x v="1"/>
    <n v="0"/>
  </r>
  <r>
    <x v="0"/>
    <x v="7"/>
    <x v="4"/>
    <x v="7"/>
    <x v="50"/>
    <x v="0"/>
    <x v="2"/>
    <n v="0"/>
  </r>
  <r>
    <x v="0"/>
    <x v="7"/>
    <x v="4"/>
    <x v="7"/>
    <x v="50"/>
    <x v="0"/>
    <x v="3"/>
    <n v="0"/>
  </r>
  <r>
    <x v="0"/>
    <x v="7"/>
    <x v="4"/>
    <x v="7"/>
    <x v="50"/>
    <x v="0"/>
    <x v="4"/>
    <n v="0"/>
  </r>
  <r>
    <x v="0"/>
    <x v="7"/>
    <x v="4"/>
    <x v="7"/>
    <x v="50"/>
    <x v="0"/>
    <x v="5"/>
    <n v="0"/>
  </r>
  <r>
    <x v="0"/>
    <x v="7"/>
    <x v="4"/>
    <x v="7"/>
    <x v="50"/>
    <x v="0"/>
    <x v="6"/>
    <n v="0"/>
  </r>
  <r>
    <x v="0"/>
    <x v="7"/>
    <x v="5"/>
    <x v="8"/>
    <x v="51"/>
    <x v="0"/>
    <x v="0"/>
    <n v="0"/>
  </r>
  <r>
    <x v="0"/>
    <x v="7"/>
    <x v="5"/>
    <x v="8"/>
    <x v="51"/>
    <x v="0"/>
    <x v="1"/>
    <n v="0"/>
  </r>
  <r>
    <x v="0"/>
    <x v="7"/>
    <x v="5"/>
    <x v="8"/>
    <x v="51"/>
    <x v="0"/>
    <x v="2"/>
    <n v="0"/>
  </r>
  <r>
    <x v="0"/>
    <x v="7"/>
    <x v="5"/>
    <x v="8"/>
    <x v="51"/>
    <x v="0"/>
    <x v="3"/>
    <n v="0"/>
  </r>
  <r>
    <x v="0"/>
    <x v="7"/>
    <x v="5"/>
    <x v="8"/>
    <x v="51"/>
    <x v="0"/>
    <x v="4"/>
    <n v="0"/>
  </r>
  <r>
    <x v="0"/>
    <x v="7"/>
    <x v="5"/>
    <x v="8"/>
    <x v="51"/>
    <x v="0"/>
    <x v="5"/>
    <n v="0"/>
  </r>
  <r>
    <x v="0"/>
    <x v="7"/>
    <x v="5"/>
    <x v="8"/>
    <x v="51"/>
    <x v="0"/>
    <x v="6"/>
    <n v="0"/>
  </r>
  <r>
    <x v="0"/>
    <x v="7"/>
    <x v="3"/>
    <x v="5"/>
    <x v="52"/>
    <x v="0"/>
    <x v="0"/>
    <n v="4.4905606538451534E-2"/>
  </r>
  <r>
    <x v="0"/>
    <x v="7"/>
    <x v="3"/>
    <x v="5"/>
    <x v="52"/>
    <x v="0"/>
    <x v="1"/>
    <n v="7.8856020577956603"/>
  </r>
  <r>
    <x v="0"/>
    <x v="7"/>
    <x v="3"/>
    <x v="5"/>
    <x v="52"/>
    <x v="0"/>
    <x v="2"/>
    <n v="78.976872132160253"/>
  </r>
  <r>
    <x v="0"/>
    <x v="7"/>
    <x v="3"/>
    <x v="5"/>
    <x v="52"/>
    <x v="0"/>
    <x v="3"/>
    <n v="360.56105246464716"/>
  </r>
  <r>
    <x v="0"/>
    <x v="7"/>
    <x v="3"/>
    <x v="5"/>
    <x v="52"/>
    <x v="0"/>
    <x v="4"/>
    <n v="1130.7248817472112"/>
  </r>
  <r>
    <x v="0"/>
    <x v="7"/>
    <x v="3"/>
    <x v="5"/>
    <x v="52"/>
    <x v="0"/>
    <x v="5"/>
    <n v="1879.9405579061495"/>
  </r>
  <r>
    <x v="0"/>
    <x v="7"/>
    <x v="3"/>
    <x v="5"/>
    <x v="52"/>
    <x v="0"/>
    <x v="6"/>
    <n v="2606.5971660088389"/>
  </r>
  <r>
    <x v="0"/>
    <x v="7"/>
    <x v="5"/>
    <x v="8"/>
    <x v="53"/>
    <x v="0"/>
    <x v="0"/>
    <n v="6.592481594303873"/>
  </r>
  <r>
    <x v="0"/>
    <x v="7"/>
    <x v="5"/>
    <x v="8"/>
    <x v="53"/>
    <x v="0"/>
    <x v="1"/>
    <n v="21.028791831670571"/>
  </r>
  <r>
    <x v="0"/>
    <x v="7"/>
    <x v="5"/>
    <x v="8"/>
    <x v="53"/>
    <x v="0"/>
    <x v="2"/>
    <n v="59.121393559061985"/>
  </r>
  <r>
    <x v="0"/>
    <x v="7"/>
    <x v="5"/>
    <x v="8"/>
    <x v="53"/>
    <x v="0"/>
    <x v="3"/>
    <n v="175.14901637442364"/>
  </r>
  <r>
    <x v="0"/>
    <x v="7"/>
    <x v="5"/>
    <x v="8"/>
    <x v="53"/>
    <x v="0"/>
    <x v="4"/>
    <n v="336.39502458116738"/>
  </r>
  <r>
    <x v="0"/>
    <x v="7"/>
    <x v="5"/>
    <x v="8"/>
    <x v="53"/>
    <x v="0"/>
    <x v="5"/>
    <n v="640.90216052484413"/>
  </r>
  <r>
    <x v="0"/>
    <x v="7"/>
    <x v="5"/>
    <x v="8"/>
    <x v="53"/>
    <x v="0"/>
    <x v="6"/>
    <n v="1023.8369728089056"/>
  </r>
  <r>
    <x v="0"/>
    <x v="7"/>
    <x v="4"/>
    <x v="7"/>
    <x v="54"/>
    <x v="0"/>
    <x v="0"/>
    <n v="0"/>
  </r>
  <r>
    <x v="0"/>
    <x v="7"/>
    <x v="4"/>
    <x v="7"/>
    <x v="54"/>
    <x v="0"/>
    <x v="1"/>
    <n v="0"/>
  </r>
  <r>
    <x v="0"/>
    <x v="7"/>
    <x v="4"/>
    <x v="7"/>
    <x v="54"/>
    <x v="0"/>
    <x v="2"/>
    <n v="0"/>
  </r>
  <r>
    <x v="0"/>
    <x v="7"/>
    <x v="4"/>
    <x v="7"/>
    <x v="54"/>
    <x v="0"/>
    <x v="3"/>
    <n v="0"/>
  </r>
  <r>
    <x v="0"/>
    <x v="7"/>
    <x v="4"/>
    <x v="7"/>
    <x v="54"/>
    <x v="0"/>
    <x v="4"/>
    <n v="0"/>
  </r>
  <r>
    <x v="0"/>
    <x v="7"/>
    <x v="4"/>
    <x v="7"/>
    <x v="54"/>
    <x v="0"/>
    <x v="5"/>
    <n v="0"/>
  </r>
  <r>
    <x v="0"/>
    <x v="7"/>
    <x v="4"/>
    <x v="7"/>
    <x v="54"/>
    <x v="0"/>
    <x v="6"/>
    <n v="0"/>
  </r>
  <r>
    <x v="0"/>
    <x v="7"/>
    <x v="4"/>
    <x v="7"/>
    <x v="55"/>
    <x v="0"/>
    <x v="0"/>
    <n v="5.0256206757601944"/>
  </r>
  <r>
    <x v="0"/>
    <x v="7"/>
    <x v="4"/>
    <x v="7"/>
    <x v="55"/>
    <x v="0"/>
    <x v="1"/>
    <n v="13.450025083857771"/>
  </r>
  <r>
    <x v="0"/>
    <x v="7"/>
    <x v="4"/>
    <x v="7"/>
    <x v="55"/>
    <x v="0"/>
    <x v="2"/>
    <n v="27.574827303574665"/>
  </r>
  <r>
    <x v="0"/>
    <x v="7"/>
    <x v="4"/>
    <x v="7"/>
    <x v="55"/>
    <x v="0"/>
    <x v="3"/>
    <n v="55.343575714377913"/>
  </r>
  <r>
    <x v="0"/>
    <x v="7"/>
    <x v="4"/>
    <x v="7"/>
    <x v="55"/>
    <x v="0"/>
    <x v="4"/>
    <n v="86.443555917616933"/>
  </r>
  <r>
    <x v="0"/>
    <x v="7"/>
    <x v="4"/>
    <x v="7"/>
    <x v="55"/>
    <x v="0"/>
    <x v="5"/>
    <n v="146.17488732495664"/>
  </r>
  <r>
    <x v="0"/>
    <x v="7"/>
    <x v="4"/>
    <x v="7"/>
    <x v="55"/>
    <x v="0"/>
    <x v="6"/>
    <n v="219.1181071888671"/>
  </r>
  <r>
    <x v="0"/>
    <x v="7"/>
    <x v="4"/>
    <x v="7"/>
    <x v="56"/>
    <x v="0"/>
    <x v="0"/>
    <n v="0"/>
  </r>
  <r>
    <x v="0"/>
    <x v="7"/>
    <x v="4"/>
    <x v="7"/>
    <x v="56"/>
    <x v="0"/>
    <x v="1"/>
    <n v="0"/>
  </r>
  <r>
    <x v="0"/>
    <x v="7"/>
    <x v="4"/>
    <x v="7"/>
    <x v="56"/>
    <x v="0"/>
    <x v="2"/>
    <n v="0"/>
  </r>
  <r>
    <x v="0"/>
    <x v="7"/>
    <x v="4"/>
    <x v="7"/>
    <x v="56"/>
    <x v="0"/>
    <x v="3"/>
    <n v="0"/>
  </r>
  <r>
    <x v="0"/>
    <x v="7"/>
    <x v="4"/>
    <x v="7"/>
    <x v="56"/>
    <x v="0"/>
    <x v="4"/>
    <n v="0"/>
  </r>
  <r>
    <x v="0"/>
    <x v="7"/>
    <x v="4"/>
    <x v="7"/>
    <x v="56"/>
    <x v="0"/>
    <x v="5"/>
    <n v="0"/>
  </r>
  <r>
    <x v="0"/>
    <x v="7"/>
    <x v="4"/>
    <x v="7"/>
    <x v="56"/>
    <x v="0"/>
    <x v="6"/>
    <n v="0"/>
  </r>
  <r>
    <x v="0"/>
    <x v="7"/>
    <x v="4"/>
    <x v="7"/>
    <x v="57"/>
    <x v="0"/>
    <x v="0"/>
    <n v="14.822279718171202"/>
  </r>
  <r>
    <x v="0"/>
    <x v="7"/>
    <x v="4"/>
    <x v="7"/>
    <x v="57"/>
    <x v="0"/>
    <x v="1"/>
    <n v="43.280713941251179"/>
  </r>
  <r>
    <x v="0"/>
    <x v="7"/>
    <x v="4"/>
    <x v="7"/>
    <x v="57"/>
    <x v="0"/>
    <x v="2"/>
    <n v="116.21934861737795"/>
  </r>
  <r>
    <x v="0"/>
    <x v="7"/>
    <x v="4"/>
    <x v="7"/>
    <x v="57"/>
    <x v="0"/>
    <x v="3"/>
    <n v="352.43559592625581"/>
  </r>
  <r>
    <x v="0"/>
    <x v="7"/>
    <x v="4"/>
    <x v="7"/>
    <x v="57"/>
    <x v="0"/>
    <x v="4"/>
    <n v="488.80708439905703"/>
  </r>
  <r>
    <x v="0"/>
    <x v="7"/>
    <x v="4"/>
    <x v="7"/>
    <x v="57"/>
    <x v="0"/>
    <x v="5"/>
    <n v="633.90307008781167"/>
  </r>
  <r>
    <x v="0"/>
    <x v="7"/>
    <x v="4"/>
    <x v="7"/>
    <x v="57"/>
    <x v="0"/>
    <x v="6"/>
    <n v="799.56295934690047"/>
  </r>
  <r>
    <x v="0"/>
    <x v="7"/>
    <x v="4"/>
    <x v="7"/>
    <x v="58"/>
    <x v="0"/>
    <x v="0"/>
    <n v="21.518403896979304"/>
  </r>
  <r>
    <x v="0"/>
    <x v="7"/>
    <x v="4"/>
    <x v="7"/>
    <x v="58"/>
    <x v="0"/>
    <x v="1"/>
    <n v="85.852183356812176"/>
  </r>
  <r>
    <x v="0"/>
    <x v="7"/>
    <x v="4"/>
    <x v="7"/>
    <x v="58"/>
    <x v="0"/>
    <x v="2"/>
    <n v="278.37990236480482"/>
  </r>
  <r>
    <x v="0"/>
    <x v="7"/>
    <x v="4"/>
    <x v="7"/>
    <x v="58"/>
    <x v="0"/>
    <x v="3"/>
    <n v="532.08295740000028"/>
  </r>
  <r>
    <x v="0"/>
    <x v="7"/>
    <x v="4"/>
    <x v="7"/>
    <x v="58"/>
    <x v="0"/>
    <x v="4"/>
    <n v="560.1649413599979"/>
  </r>
  <r>
    <x v="0"/>
    <x v="7"/>
    <x v="4"/>
    <x v="7"/>
    <x v="58"/>
    <x v="0"/>
    <x v="5"/>
    <n v="594.01242739800045"/>
  </r>
  <r>
    <x v="0"/>
    <x v="7"/>
    <x v="4"/>
    <x v="7"/>
    <x v="58"/>
    <x v="0"/>
    <x v="6"/>
    <n v="520.23366349695198"/>
  </r>
  <r>
    <x v="0"/>
    <x v="7"/>
    <x v="4"/>
    <x v="7"/>
    <x v="59"/>
    <x v="0"/>
    <x v="0"/>
    <n v="0.98495337981991815"/>
  </r>
  <r>
    <x v="0"/>
    <x v="7"/>
    <x v="4"/>
    <x v="7"/>
    <x v="59"/>
    <x v="0"/>
    <x v="1"/>
    <n v="1.4205102166496884"/>
  </r>
  <r>
    <x v="0"/>
    <x v="7"/>
    <x v="4"/>
    <x v="7"/>
    <x v="59"/>
    <x v="0"/>
    <x v="2"/>
    <n v="2.2077602379065664"/>
  </r>
  <r>
    <x v="0"/>
    <x v="7"/>
    <x v="4"/>
    <x v="7"/>
    <x v="59"/>
    <x v="0"/>
    <x v="3"/>
    <n v="4.3690779303254397"/>
  </r>
  <r>
    <x v="0"/>
    <x v="7"/>
    <x v="4"/>
    <x v="7"/>
    <x v="59"/>
    <x v="0"/>
    <x v="4"/>
    <n v="7.0113513558160152"/>
  </r>
  <r>
    <x v="0"/>
    <x v="7"/>
    <x v="4"/>
    <x v="7"/>
    <x v="59"/>
    <x v="0"/>
    <x v="5"/>
    <n v="24.632878553192473"/>
  </r>
  <r>
    <x v="0"/>
    <x v="7"/>
    <x v="4"/>
    <x v="7"/>
    <x v="59"/>
    <x v="0"/>
    <x v="6"/>
    <n v="51.798004481313463"/>
  </r>
  <r>
    <x v="0"/>
    <x v="7"/>
    <x v="4"/>
    <x v="7"/>
    <x v="60"/>
    <x v="0"/>
    <x v="0"/>
    <n v="0"/>
  </r>
  <r>
    <x v="0"/>
    <x v="7"/>
    <x v="4"/>
    <x v="7"/>
    <x v="60"/>
    <x v="0"/>
    <x v="1"/>
    <n v="0"/>
  </r>
  <r>
    <x v="0"/>
    <x v="7"/>
    <x v="4"/>
    <x v="7"/>
    <x v="60"/>
    <x v="0"/>
    <x v="2"/>
    <n v="0"/>
  </r>
  <r>
    <x v="0"/>
    <x v="7"/>
    <x v="4"/>
    <x v="7"/>
    <x v="60"/>
    <x v="0"/>
    <x v="3"/>
    <n v="0"/>
  </r>
  <r>
    <x v="0"/>
    <x v="7"/>
    <x v="4"/>
    <x v="7"/>
    <x v="60"/>
    <x v="0"/>
    <x v="4"/>
    <n v="0"/>
  </r>
  <r>
    <x v="0"/>
    <x v="7"/>
    <x v="4"/>
    <x v="7"/>
    <x v="60"/>
    <x v="0"/>
    <x v="5"/>
    <n v="0"/>
  </r>
  <r>
    <x v="0"/>
    <x v="7"/>
    <x v="4"/>
    <x v="7"/>
    <x v="60"/>
    <x v="0"/>
    <x v="6"/>
    <n v="0"/>
  </r>
  <r>
    <x v="0"/>
    <x v="7"/>
    <x v="4"/>
    <x v="7"/>
    <x v="61"/>
    <x v="0"/>
    <x v="0"/>
    <n v="1.6463578810632153"/>
  </r>
  <r>
    <x v="0"/>
    <x v="7"/>
    <x v="4"/>
    <x v="7"/>
    <x v="61"/>
    <x v="0"/>
    <x v="1"/>
    <n v="8.1660095365563645"/>
  </r>
  <r>
    <x v="0"/>
    <x v="7"/>
    <x v="4"/>
    <x v="7"/>
    <x v="61"/>
    <x v="0"/>
    <x v="2"/>
    <n v="23.002864801479838"/>
  </r>
  <r>
    <x v="0"/>
    <x v="7"/>
    <x v="4"/>
    <x v="7"/>
    <x v="61"/>
    <x v="0"/>
    <x v="3"/>
    <n v="61.738371588743327"/>
  </r>
  <r>
    <x v="0"/>
    <x v="7"/>
    <x v="4"/>
    <x v="7"/>
    <x v="61"/>
    <x v="0"/>
    <x v="4"/>
    <n v="105.157985967446"/>
  </r>
  <r>
    <x v="0"/>
    <x v="7"/>
    <x v="4"/>
    <x v="7"/>
    <x v="61"/>
    <x v="0"/>
    <x v="5"/>
    <n v="147.46561640932791"/>
  </r>
  <r>
    <x v="0"/>
    <x v="7"/>
    <x v="4"/>
    <x v="7"/>
    <x v="61"/>
    <x v="0"/>
    <x v="6"/>
    <n v="202.82776379201889"/>
  </r>
  <r>
    <x v="0"/>
    <x v="7"/>
    <x v="4"/>
    <x v="7"/>
    <x v="62"/>
    <x v="0"/>
    <x v="0"/>
    <n v="6.5705632112060833E-2"/>
  </r>
  <r>
    <x v="0"/>
    <x v="7"/>
    <x v="4"/>
    <x v="7"/>
    <x v="62"/>
    <x v="0"/>
    <x v="1"/>
    <n v="0.31804266875727177"/>
  </r>
  <r>
    <x v="0"/>
    <x v="7"/>
    <x v="4"/>
    <x v="7"/>
    <x v="62"/>
    <x v="0"/>
    <x v="2"/>
    <n v="1.2028357814075994"/>
  </r>
  <r>
    <x v="0"/>
    <x v="7"/>
    <x v="4"/>
    <x v="7"/>
    <x v="62"/>
    <x v="0"/>
    <x v="3"/>
    <n v="13.411622709938664"/>
  </r>
  <r>
    <x v="0"/>
    <x v="7"/>
    <x v="4"/>
    <x v="7"/>
    <x v="62"/>
    <x v="0"/>
    <x v="4"/>
    <n v="46.098486020751253"/>
  </r>
  <r>
    <x v="0"/>
    <x v="7"/>
    <x v="4"/>
    <x v="7"/>
    <x v="62"/>
    <x v="0"/>
    <x v="5"/>
    <n v="85.318745373608436"/>
  </r>
  <r>
    <x v="0"/>
    <x v="7"/>
    <x v="4"/>
    <x v="7"/>
    <x v="62"/>
    <x v="0"/>
    <x v="6"/>
    <n v="120.13531496606343"/>
  </r>
  <r>
    <x v="0"/>
    <x v="7"/>
    <x v="4"/>
    <x v="7"/>
    <x v="63"/>
    <x v="0"/>
    <x v="0"/>
    <n v="0"/>
  </r>
  <r>
    <x v="0"/>
    <x v="7"/>
    <x v="4"/>
    <x v="7"/>
    <x v="63"/>
    <x v="0"/>
    <x v="1"/>
    <n v="0"/>
  </r>
  <r>
    <x v="0"/>
    <x v="7"/>
    <x v="4"/>
    <x v="7"/>
    <x v="63"/>
    <x v="0"/>
    <x v="2"/>
    <n v="0"/>
  </r>
  <r>
    <x v="0"/>
    <x v="7"/>
    <x v="4"/>
    <x v="7"/>
    <x v="63"/>
    <x v="0"/>
    <x v="3"/>
    <n v="0"/>
  </r>
  <r>
    <x v="0"/>
    <x v="7"/>
    <x v="4"/>
    <x v="7"/>
    <x v="63"/>
    <x v="0"/>
    <x v="4"/>
    <n v="0"/>
  </r>
  <r>
    <x v="0"/>
    <x v="7"/>
    <x v="4"/>
    <x v="7"/>
    <x v="63"/>
    <x v="0"/>
    <x v="5"/>
    <n v="0"/>
  </r>
  <r>
    <x v="0"/>
    <x v="7"/>
    <x v="4"/>
    <x v="7"/>
    <x v="63"/>
    <x v="0"/>
    <x v="6"/>
    <n v="0"/>
  </r>
  <r>
    <x v="0"/>
    <x v="7"/>
    <x v="4"/>
    <x v="7"/>
    <x v="64"/>
    <x v="0"/>
    <x v="0"/>
    <n v="13.141240353009254"/>
  </r>
  <r>
    <x v="0"/>
    <x v="7"/>
    <x v="4"/>
    <x v="7"/>
    <x v="64"/>
    <x v="0"/>
    <x v="1"/>
    <n v="39.966593391334293"/>
  </r>
  <r>
    <x v="0"/>
    <x v="7"/>
    <x v="4"/>
    <x v="7"/>
    <x v="64"/>
    <x v="0"/>
    <x v="2"/>
    <n v="98.083175717650363"/>
  </r>
  <r>
    <x v="0"/>
    <x v="7"/>
    <x v="4"/>
    <x v="7"/>
    <x v="64"/>
    <x v="0"/>
    <x v="3"/>
    <n v="139.59548797752075"/>
  </r>
  <r>
    <x v="0"/>
    <x v="7"/>
    <x v="4"/>
    <x v="7"/>
    <x v="64"/>
    <x v="0"/>
    <x v="4"/>
    <n v="197.01027929405615"/>
  </r>
  <r>
    <x v="0"/>
    <x v="7"/>
    <x v="4"/>
    <x v="7"/>
    <x v="64"/>
    <x v="0"/>
    <x v="5"/>
    <n v="280.98769181620747"/>
  </r>
  <r>
    <x v="0"/>
    <x v="7"/>
    <x v="4"/>
    <x v="7"/>
    <x v="64"/>
    <x v="0"/>
    <x v="6"/>
    <n v="437.54747368792073"/>
  </r>
  <r>
    <x v="0"/>
    <x v="7"/>
    <x v="3"/>
    <x v="5"/>
    <x v="65"/>
    <x v="0"/>
    <x v="0"/>
    <n v="0"/>
  </r>
  <r>
    <x v="0"/>
    <x v="7"/>
    <x v="3"/>
    <x v="5"/>
    <x v="65"/>
    <x v="0"/>
    <x v="1"/>
    <n v="0"/>
  </r>
  <r>
    <x v="0"/>
    <x v="7"/>
    <x v="3"/>
    <x v="5"/>
    <x v="65"/>
    <x v="0"/>
    <x v="2"/>
    <n v="0"/>
  </r>
  <r>
    <x v="0"/>
    <x v="7"/>
    <x v="3"/>
    <x v="5"/>
    <x v="65"/>
    <x v="0"/>
    <x v="3"/>
    <n v="0"/>
  </r>
  <r>
    <x v="0"/>
    <x v="7"/>
    <x v="3"/>
    <x v="5"/>
    <x v="65"/>
    <x v="0"/>
    <x v="4"/>
    <n v="0"/>
  </r>
  <r>
    <x v="0"/>
    <x v="7"/>
    <x v="3"/>
    <x v="5"/>
    <x v="65"/>
    <x v="0"/>
    <x v="5"/>
    <n v="0"/>
  </r>
  <r>
    <x v="0"/>
    <x v="7"/>
    <x v="3"/>
    <x v="5"/>
    <x v="65"/>
    <x v="0"/>
    <x v="6"/>
    <n v="0"/>
  </r>
  <r>
    <x v="0"/>
    <x v="7"/>
    <x v="3"/>
    <x v="5"/>
    <x v="66"/>
    <x v="0"/>
    <x v="0"/>
    <n v="0"/>
  </r>
  <r>
    <x v="0"/>
    <x v="7"/>
    <x v="3"/>
    <x v="5"/>
    <x v="66"/>
    <x v="0"/>
    <x v="1"/>
    <n v="0"/>
  </r>
  <r>
    <x v="0"/>
    <x v="7"/>
    <x v="3"/>
    <x v="5"/>
    <x v="66"/>
    <x v="0"/>
    <x v="2"/>
    <n v="0"/>
  </r>
  <r>
    <x v="0"/>
    <x v="7"/>
    <x v="3"/>
    <x v="5"/>
    <x v="66"/>
    <x v="0"/>
    <x v="3"/>
    <n v="0"/>
  </r>
  <r>
    <x v="0"/>
    <x v="7"/>
    <x v="3"/>
    <x v="5"/>
    <x v="66"/>
    <x v="0"/>
    <x v="4"/>
    <n v="0"/>
  </r>
  <r>
    <x v="0"/>
    <x v="7"/>
    <x v="3"/>
    <x v="5"/>
    <x v="66"/>
    <x v="0"/>
    <x v="5"/>
    <n v="0"/>
  </r>
  <r>
    <x v="0"/>
    <x v="7"/>
    <x v="3"/>
    <x v="5"/>
    <x v="66"/>
    <x v="0"/>
    <x v="6"/>
    <n v="0"/>
  </r>
  <r>
    <x v="0"/>
    <x v="7"/>
    <x v="3"/>
    <x v="5"/>
    <x v="67"/>
    <x v="0"/>
    <x v="0"/>
    <n v="0"/>
  </r>
  <r>
    <x v="0"/>
    <x v="7"/>
    <x v="3"/>
    <x v="5"/>
    <x v="67"/>
    <x v="0"/>
    <x v="1"/>
    <n v="0"/>
  </r>
  <r>
    <x v="0"/>
    <x v="7"/>
    <x v="3"/>
    <x v="5"/>
    <x v="67"/>
    <x v="0"/>
    <x v="2"/>
    <n v="0"/>
  </r>
  <r>
    <x v="0"/>
    <x v="7"/>
    <x v="3"/>
    <x v="5"/>
    <x v="67"/>
    <x v="0"/>
    <x v="3"/>
    <n v="0"/>
  </r>
  <r>
    <x v="0"/>
    <x v="7"/>
    <x v="3"/>
    <x v="5"/>
    <x v="67"/>
    <x v="0"/>
    <x v="4"/>
    <n v="0"/>
  </r>
  <r>
    <x v="0"/>
    <x v="7"/>
    <x v="3"/>
    <x v="5"/>
    <x v="67"/>
    <x v="0"/>
    <x v="5"/>
    <n v="0"/>
  </r>
  <r>
    <x v="0"/>
    <x v="7"/>
    <x v="3"/>
    <x v="5"/>
    <x v="67"/>
    <x v="0"/>
    <x v="6"/>
    <n v="0"/>
  </r>
  <r>
    <x v="0"/>
    <x v="7"/>
    <x v="3"/>
    <x v="5"/>
    <x v="68"/>
    <x v="0"/>
    <x v="0"/>
    <n v="0"/>
  </r>
  <r>
    <x v="0"/>
    <x v="7"/>
    <x v="3"/>
    <x v="5"/>
    <x v="68"/>
    <x v="0"/>
    <x v="1"/>
    <n v="0"/>
  </r>
  <r>
    <x v="0"/>
    <x v="7"/>
    <x v="3"/>
    <x v="5"/>
    <x v="68"/>
    <x v="0"/>
    <x v="2"/>
    <n v="0"/>
  </r>
  <r>
    <x v="0"/>
    <x v="7"/>
    <x v="3"/>
    <x v="5"/>
    <x v="68"/>
    <x v="0"/>
    <x v="3"/>
    <n v="0"/>
  </r>
  <r>
    <x v="0"/>
    <x v="7"/>
    <x v="3"/>
    <x v="5"/>
    <x v="68"/>
    <x v="0"/>
    <x v="4"/>
    <n v="0"/>
  </r>
  <r>
    <x v="0"/>
    <x v="7"/>
    <x v="3"/>
    <x v="5"/>
    <x v="68"/>
    <x v="0"/>
    <x v="5"/>
    <n v="0"/>
  </r>
  <r>
    <x v="0"/>
    <x v="7"/>
    <x v="3"/>
    <x v="5"/>
    <x v="68"/>
    <x v="0"/>
    <x v="6"/>
    <n v="0"/>
  </r>
  <r>
    <x v="0"/>
    <x v="7"/>
    <x v="3"/>
    <x v="5"/>
    <x v="69"/>
    <x v="0"/>
    <x v="0"/>
    <n v="6.0047302990849971"/>
  </r>
  <r>
    <x v="0"/>
    <x v="7"/>
    <x v="3"/>
    <x v="5"/>
    <x v="69"/>
    <x v="0"/>
    <x v="1"/>
    <n v="20.100401682981801"/>
  </r>
  <r>
    <x v="0"/>
    <x v="7"/>
    <x v="3"/>
    <x v="5"/>
    <x v="69"/>
    <x v="0"/>
    <x v="2"/>
    <n v="85.705964157230198"/>
  </r>
  <r>
    <x v="0"/>
    <x v="7"/>
    <x v="3"/>
    <x v="5"/>
    <x v="69"/>
    <x v="0"/>
    <x v="3"/>
    <n v="143.30426445134171"/>
  </r>
  <r>
    <x v="0"/>
    <x v="7"/>
    <x v="3"/>
    <x v="5"/>
    <x v="69"/>
    <x v="0"/>
    <x v="4"/>
    <n v="272.97193929970626"/>
  </r>
  <r>
    <x v="0"/>
    <x v="7"/>
    <x v="3"/>
    <x v="5"/>
    <x v="69"/>
    <x v="0"/>
    <x v="5"/>
    <n v="375.59169711657739"/>
  </r>
  <r>
    <x v="0"/>
    <x v="7"/>
    <x v="3"/>
    <x v="5"/>
    <x v="69"/>
    <x v="0"/>
    <x v="6"/>
    <n v="465.98099434577881"/>
  </r>
  <r>
    <x v="0"/>
    <x v="7"/>
    <x v="3"/>
    <x v="5"/>
    <x v="70"/>
    <x v="0"/>
    <x v="0"/>
    <n v="6.1384176173508387E-2"/>
  </r>
  <r>
    <x v="0"/>
    <x v="7"/>
    <x v="3"/>
    <x v="5"/>
    <x v="70"/>
    <x v="0"/>
    <x v="1"/>
    <n v="0.35161536559003798"/>
  </r>
  <r>
    <x v="0"/>
    <x v="7"/>
    <x v="3"/>
    <x v="5"/>
    <x v="70"/>
    <x v="0"/>
    <x v="2"/>
    <n v="1.9157269947679041"/>
  </r>
  <r>
    <x v="0"/>
    <x v="7"/>
    <x v="3"/>
    <x v="5"/>
    <x v="70"/>
    <x v="0"/>
    <x v="3"/>
    <n v="9.1622632260864698"/>
  </r>
  <r>
    <x v="0"/>
    <x v="7"/>
    <x v="3"/>
    <x v="5"/>
    <x v="70"/>
    <x v="0"/>
    <x v="4"/>
    <n v="27.952315623138144"/>
  </r>
  <r>
    <x v="0"/>
    <x v="7"/>
    <x v="3"/>
    <x v="5"/>
    <x v="70"/>
    <x v="0"/>
    <x v="5"/>
    <n v="52.032404261184872"/>
  </r>
  <r>
    <x v="0"/>
    <x v="7"/>
    <x v="3"/>
    <x v="5"/>
    <x v="70"/>
    <x v="0"/>
    <x v="6"/>
    <n v="80.1990087498544"/>
  </r>
  <r>
    <x v="0"/>
    <x v="7"/>
    <x v="3"/>
    <x v="5"/>
    <x v="71"/>
    <x v="0"/>
    <x v="0"/>
    <n v="0"/>
  </r>
  <r>
    <x v="0"/>
    <x v="7"/>
    <x v="3"/>
    <x v="5"/>
    <x v="71"/>
    <x v="0"/>
    <x v="1"/>
    <n v="0"/>
  </r>
  <r>
    <x v="0"/>
    <x v="7"/>
    <x v="3"/>
    <x v="5"/>
    <x v="71"/>
    <x v="0"/>
    <x v="2"/>
    <n v="0"/>
  </r>
  <r>
    <x v="0"/>
    <x v="7"/>
    <x v="3"/>
    <x v="5"/>
    <x v="71"/>
    <x v="0"/>
    <x v="3"/>
    <n v="0"/>
  </r>
  <r>
    <x v="0"/>
    <x v="7"/>
    <x v="3"/>
    <x v="5"/>
    <x v="71"/>
    <x v="0"/>
    <x v="4"/>
    <n v="0"/>
  </r>
  <r>
    <x v="0"/>
    <x v="7"/>
    <x v="3"/>
    <x v="5"/>
    <x v="71"/>
    <x v="0"/>
    <x v="5"/>
    <n v="0"/>
  </r>
  <r>
    <x v="0"/>
    <x v="7"/>
    <x v="3"/>
    <x v="5"/>
    <x v="71"/>
    <x v="0"/>
    <x v="6"/>
    <n v="0"/>
  </r>
  <r>
    <x v="0"/>
    <x v="7"/>
    <x v="3"/>
    <x v="5"/>
    <x v="72"/>
    <x v="0"/>
    <x v="0"/>
    <n v="0"/>
  </r>
  <r>
    <x v="0"/>
    <x v="7"/>
    <x v="3"/>
    <x v="5"/>
    <x v="72"/>
    <x v="0"/>
    <x v="1"/>
    <n v="0"/>
  </r>
  <r>
    <x v="0"/>
    <x v="7"/>
    <x v="3"/>
    <x v="5"/>
    <x v="72"/>
    <x v="0"/>
    <x v="2"/>
    <n v="0"/>
  </r>
  <r>
    <x v="0"/>
    <x v="7"/>
    <x v="3"/>
    <x v="5"/>
    <x v="72"/>
    <x v="0"/>
    <x v="3"/>
    <n v="0"/>
  </r>
  <r>
    <x v="0"/>
    <x v="7"/>
    <x v="3"/>
    <x v="5"/>
    <x v="72"/>
    <x v="0"/>
    <x v="4"/>
    <n v="0"/>
  </r>
  <r>
    <x v="0"/>
    <x v="7"/>
    <x v="3"/>
    <x v="5"/>
    <x v="72"/>
    <x v="0"/>
    <x v="5"/>
    <n v="0"/>
  </r>
  <r>
    <x v="0"/>
    <x v="7"/>
    <x v="3"/>
    <x v="5"/>
    <x v="72"/>
    <x v="0"/>
    <x v="6"/>
    <n v="0"/>
  </r>
  <r>
    <x v="0"/>
    <x v="7"/>
    <x v="3"/>
    <x v="5"/>
    <x v="73"/>
    <x v="0"/>
    <x v="0"/>
    <n v="0.10076610831393182"/>
  </r>
  <r>
    <x v="0"/>
    <x v="7"/>
    <x v="3"/>
    <x v="5"/>
    <x v="73"/>
    <x v="0"/>
    <x v="1"/>
    <n v="0.62381721738151907"/>
  </r>
  <r>
    <x v="0"/>
    <x v="7"/>
    <x v="3"/>
    <x v="5"/>
    <x v="73"/>
    <x v="0"/>
    <x v="2"/>
    <n v="35.993993229556267"/>
  </r>
  <r>
    <x v="0"/>
    <x v="7"/>
    <x v="3"/>
    <x v="5"/>
    <x v="73"/>
    <x v="0"/>
    <x v="3"/>
    <n v="58.651147855154683"/>
  </r>
  <r>
    <x v="0"/>
    <x v="7"/>
    <x v="3"/>
    <x v="5"/>
    <x v="73"/>
    <x v="0"/>
    <x v="4"/>
    <n v="100.48698698791208"/>
  </r>
  <r>
    <x v="0"/>
    <x v="7"/>
    <x v="3"/>
    <x v="5"/>
    <x v="73"/>
    <x v="0"/>
    <x v="5"/>
    <n v="148.57943308761966"/>
  </r>
  <r>
    <x v="0"/>
    <x v="7"/>
    <x v="3"/>
    <x v="5"/>
    <x v="73"/>
    <x v="0"/>
    <x v="6"/>
    <n v="188.36060503230684"/>
  </r>
  <r>
    <x v="0"/>
    <x v="7"/>
    <x v="5"/>
    <x v="8"/>
    <x v="74"/>
    <x v="0"/>
    <x v="0"/>
    <n v="0.86122966435225401"/>
  </r>
  <r>
    <x v="0"/>
    <x v="7"/>
    <x v="5"/>
    <x v="8"/>
    <x v="74"/>
    <x v="0"/>
    <x v="1"/>
    <n v="2.2583413138220876"/>
  </r>
  <r>
    <x v="0"/>
    <x v="7"/>
    <x v="5"/>
    <x v="8"/>
    <x v="74"/>
    <x v="0"/>
    <x v="2"/>
    <n v="5.5892833613437691"/>
  </r>
  <r>
    <x v="0"/>
    <x v="7"/>
    <x v="5"/>
    <x v="8"/>
    <x v="74"/>
    <x v="0"/>
    <x v="3"/>
    <n v="13.085946970270591"/>
  </r>
  <r>
    <x v="0"/>
    <x v="7"/>
    <x v="5"/>
    <x v="8"/>
    <x v="74"/>
    <x v="0"/>
    <x v="4"/>
    <n v="18.959562050929474"/>
  </r>
  <r>
    <x v="0"/>
    <x v="7"/>
    <x v="5"/>
    <x v="8"/>
    <x v="74"/>
    <x v="0"/>
    <x v="5"/>
    <n v="34.458366383382852"/>
  </r>
  <r>
    <x v="0"/>
    <x v="7"/>
    <x v="5"/>
    <x v="8"/>
    <x v="74"/>
    <x v="0"/>
    <x v="6"/>
    <n v="41.449232078847487"/>
  </r>
  <r>
    <x v="0"/>
    <x v="7"/>
    <x v="5"/>
    <x v="8"/>
    <x v="75"/>
    <x v="0"/>
    <x v="0"/>
    <n v="4.6638303319561043"/>
  </r>
  <r>
    <x v="0"/>
    <x v="7"/>
    <x v="5"/>
    <x v="8"/>
    <x v="75"/>
    <x v="0"/>
    <x v="1"/>
    <n v="16.716304771642214"/>
  </r>
  <r>
    <x v="0"/>
    <x v="7"/>
    <x v="5"/>
    <x v="8"/>
    <x v="75"/>
    <x v="0"/>
    <x v="2"/>
    <n v="54.698830957034048"/>
  </r>
  <r>
    <x v="0"/>
    <x v="7"/>
    <x v="5"/>
    <x v="8"/>
    <x v="75"/>
    <x v="0"/>
    <x v="3"/>
    <n v="160.63127687808151"/>
  </r>
  <r>
    <x v="0"/>
    <x v="7"/>
    <x v="5"/>
    <x v="8"/>
    <x v="75"/>
    <x v="0"/>
    <x v="4"/>
    <n v="223.99878756003707"/>
  </r>
  <r>
    <x v="0"/>
    <x v="7"/>
    <x v="5"/>
    <x v="8"/>
    <x v="75"/>
    <x v="0"/>
    <x v="5"/>
    <n v="284.62271879162586"/>
  </r>
  <r>
    <x v="0"/>
    <x v="7"/>
    <x v="5"/>
    <x v="8"/>
    <x v="75"/>
    <x v="0"/>
    <x v="6"/>
    <n v="384.73498460886117"/>
  </r>
  <r>
    <x v="0"/>
    <x v="7"/>
    <x v="5"/>
    <x v="8"/>
    <x v="76"/>
    <x v="0"/>
    <x v="0"/>
    <n v="0.42478216010714609"/>
  </r>
  <r>
    <x v="0"/>
    <x v="7"/>
    <x v="5"/>
    <x v="8"/>
    <x v="76"/>
    <x v="0"/>
    <x v="1"/>
    <n v="0.95566175901187445"/>
  </r>
  <r>
    <x v="0"/>
    <x v="7"/>
    <x v="5"/>
    <x v="8"/>
    <x v="76"/>
    <x v="0"/>
    <x v="2"/>
    <n v="2.2555226958487955"/>
  </r>
  <r>
    <x v="0"/>
    <x v="7"/>
    <x v="5"/>
    <x v="8"/>
    <x v="76"/>
    <x v="0"/>
    <x v="3"/>
    <n v="5.1873067197801905"/>
  </r>
  <r>
    <x v="0"/>
    <x v="7"/>
    <x v="5"/>
    <x v="8"/>
    <x v="76"/>
    <x v="0"/>
    <x v="4"/>
    <n v="8.0595120705923549"/>
  </r>
  <r>
    <x v="0"/>
    <x v="7"/>
    <x v="5"/>
    <x v="8"/>
    <x v="76"/>
    <x v="0"/>
    <x v="5"/>
    <n v="14.443924492483918"/>
  </r>
  <r>
    <x v="0"/>
    <x v="7"/>
    <x v="5"/>
    <x v="8"/>
    <x v="76"/>
    <x v="0"/>
    <x v="6"/>
    <n v="21.954724082019826"/>
  </r>
  <r>
    <x v="0"/>
    <x v="7"/>
    <x v="5"/>
    <x v="8"/>
    <x v="77"/>
    <x v="0"/>
    <x v="0"/>
    <n v="2.5212231782708996E-2"/>
  </r>
  <r>
    <x v="0"/>
    <x v="7"/>
    <x v="5"/>
    <x v="8"/>
    <x v="77"/>
    <x v="0"/>
    <x v="1"/>
    <n v="5.6997581795614045E-2"/>
  </r>
  <r>
    <x v="0"/>
    <x v="7"/>
    <x v="5"/>
    <x v="8"/>
    <x v="77"/>
    <x v="0"/>
    <x v="2"/>
    <n v="0.15191336480322104"/>
  </r>
  <r>
    <x v="0"/>
    <x v="7"/>
    <x v="5"/>
    <x v="8"/>
    <x v="77"/>
    <x v="0"/>
    <x v="3"/>
    <n v="0.39281822916527009"/>
  </r>
  <r>
    <x v="0"/>
    <x v="7"/>
    <x v="5"/>
    <x v="8"/>
    <x v="77"/>
    <x v="0"/>
    <x v="4"/>
    <n v="0.58848656723151471"/>
  </r>
  <r>
    <x v="0"/>
    <x v="7"/>
    <x v="5"/>
    <x v="8"/>
    <x v="77"/>
    <x v="0"/>
    <x v="5"/>
    <n v="1.2019242533517511"/>
  </r>
  <r>
    <x v="0"/>
    <x v="7"/>
    <x v="5"/>
    <x v="8"/>
    <x v="77"/>
    <x v="0"/>
    <x v="6"/>
    <n v="1.5282921107188012"/>
  </r>
  <r>
    <x v="0"/>
    <x v="7"/>
    <x v="5"/>
    <x v="8"/>
    <x v="78"/>
    <x v="0"/>
    <x v="0"/>
    <n v="1.3938615808087833"/>
  </r>
  <r>
    <x v="0"/>
    <x v="7"/>
    <x v="5"/>
    <x v="8"/>
    <x v="78"/>
    <x v="0"/>
    <x v="1"/>
    <n v="3.9226830565772777"/>
  </r>
  <r>
    <x v="0"/>
    <x v="7"/>
    <x v="5"/>
    <x v="8"/>
    <x v="78"/>
    <x v="0"/>
    <x v="2"/>
    <n v="8.650131242294977"/>
  </r>
  <r>
    <x v="0"/>
    <x v="7"/>
    <x v="5"/>
    <x v="8"/>
    <x v="78"/>
    <x v="0"/>
    <x v="3"/>
    <n v="20.49471293171603"/>
  </r>
  <r>
    <x v="0"/>
    <x v="7"/>
    <x v="5"/>
    <x v="8"/>
    <x v="78"/>
    <x v="0"/>
    <x v="4"/>
    <n v="31.892335239837124"/>
  </r>
  <r>
    <x v="0"/>
    <x v="7"/>
    <x v="5"/>
    <x v="8"/>
    <x v="78"/>
    <x v="0"/>
    <x v="5"/>
    <n v="58.915604491272759"/>
  </r>
  <r>
    <x v="0"/>
    <x v="7"/>
    <x v="5"/>
    <x v="8"/>
    <x v="78"/>
    <x v="0"/>
    <x v="6"/>
    <n v="95.205571176072823"/>
  </r>
  <r>
    <x v="0"/>
    <x v="7"/>
    <x v="5"/>
    <x v="8"/>
    <x v="79"/>
    <x v="0"/>
    <x v="0"/>
    <n v="0.16238878811941937"/>
  </r>
  <r>
    <x v="0"/>
    <x v="7"/>
    <x v="5"/>
    <x v="8"/>
    <x v="79"/>
    <x v="0"/>
    <x v="1"/>
    <n v="0.46233839427748313"/>
  </r>
  <r>
    <x v="0"/>
    <x v="7"/>
    <x v="5"/>
    <x v="8"/>
    <x v="79"/>
    <x v="0"/>
    <x v="2"/>
    <n v="1.2247687844310702"/>
  </r>
  <r>
    <x v="0"/>
    <x v="7"/>
    <x v="5"/>
    <x v="8"/>
    <x v="79"/>
    <x v="0"/>
    <x v="3"/>
    <n v="3.0090813056760468"/>
  </r>
  <r>
    <x v="0"/>
    <x v="7"/>
    <x v="5"/>
    <x v="8"/>
    <x v="79"/>
    <x v="0"/>
    <x v="4"/>
    <n v="5.0565050155925633"/>
  </r>
  <r>
    <x v="0"/>
    <x v="7"/>
    <x v="5"/>
    <x v="8"/>
    <x v="79"/>
    <x v="0"/>
    <x v="5"/>
    <n v="10.184731643905669"/>
  </r>
  <r>
    <x v="0"/>
    <x v="7"/>
    <x v="5"/>
    <x v="8"/>
    <x v="79"/>
    <x v="0"/>
    <x v="6"/>
    <n v="16.366133534249151"/>
  </r>
  <r>
    <x v="0"/>
    <x v="7"/>
    <x v="5"/>
    <x v="8"/>
    <x v="80"/>
    <x v="0"/>
    <x v="0"/>
    <n v="0.19422910699590651"/>
  </r>
  <r>
    <x v="0"/>
    <x v="7"/>
    <x v="5"/>
    <x v="8"/>
    <x v="80"/>
    <x v="0"/>
    <x v="1"/>
    <n v="0.77707270456413391"/>
  </r>
  <r>
    <x v="0"/>
    <x v="7"/>
    <x v="5"/>
    <x v="8"/>
    <x v="80"/>
    <x v="0"/>
    <x v="2"/>
    <n v="2.4442362702456819"/>
  </r>
  <r>
    <x v="0"/>
    <x v="7"/>
    <x v="5"/>
    <x v="8"/>
    <x v="80"/>
    <x v="0"/>
    <x v="3"/>
    <n v="7.3725086567923563"/>
  </r>
  <r>
    <x v="0"/>
    <x v="7"/>
    <x v="5"/>
    <x v="8"/>
    <x v="80"/>
    <x v="0"/>
    <x v="4"/>
    <n v="12.521552088206919"/>
  </r>
  <r>
    <x v="0"/>
    <x v="7"/>
    <x v="5"/>
    <x v="8"/>
    <x v="80"/>
    <x v="0"/>
    <x v="5"/>
    <n v="25.747720856229787"/>
  </r>
  <r>
    <x v="0"/>
    <x v="7"/>
    <x v="5"/>
    <x v="8"/>
    <x v="80"/>
    <x v="0"/>
    <x v="6"/>
    <n v="33.10353947682168"/>
  </r>
  <r>
    <x v="0"/>
    <x v="7"/>
    <x v="5"/>
    <x v="8"/>
    <x v="81"/>
    <x v="0"/>
    <x v="0"/>
    <n v="0.14348991344664003"/>
  </r>
  <r>
    <x v="0"/>
    <x v="7"/>
    <x v="5"/>
    <x v="8"/>
    <x v="81"/>
    <x v="0"/>
    <x v="1"/>
    <n v="0.34428775886994228"/>
  </r>
  <r>
    <x v="0"/>
    <x v="7"/>
    <x v="5"/>
    <x v="8"/>
    <x v="81"/>
    <x v="0"/>
    <x v="2"/>
    <n v="0.80172765614533525"/>
  </r>
  <r>
    <x v="0"/>
    <x v="7"/>
    <x v="5"/>
    <x v="8"/>
    <x v="81"/>
    <x v="0"/>
    <x v="3"/>
    <n v="1.8930943371347928"/>
  </r>
  <r>
    <x v="0"/>
    <x v="7"/>
    <x v="5"/>
    <x v="8"/>
    <x v="81"/>
    <x v="0"/>
    <x v="4"/>
    <n v="3.2726560165371126"/>
  </r>
  <r>
    <x v="0"/>
    <x v="7"/>
    <x v="5"/>
    <x v="8"/>
    <x v="81"/>
    <x v="0"/>
    <x v="5"/>
    <n v="7.3001780577105837"/>
  </r>
  <r>
    <x v="0"/>
    <x v="7"/>
    <x v="5"/>
    <x v="8"/>
    <x v="81"/>
    <x v="0"/>
    <x v="6"/>
    <n v="10.07190715067733"/>
  </r>
  <r>
    <x v="0"/>
    <x v="7"/>
    <x v="5"/>
    <x v="8"/>
    <x v="82"/>
    <x v="0"/>
    <x v="0"/>
    <n v="0.95496522459626754"/>
  </r>
  <r>
    <x v="0"/>
    <x v="7"/>
    <x v="5"/>
    <x v="8"/>
    <x v="82"/>
    <x v="0"/>
    <x v="1"/>
    <n v="3.2459518198916846"/>
  </r>
  <r>
    <x v="0"/>
    <x v="7"/>
    <x v="5"/>
    <x v="8"/>
    <x v="82"/>
    <x v="0"/>
    <x v="2"/>
    <n v="11.270961304433325"/>
  </r>
  <r>
    <x v="0"/>
    <x v="7"/>
    <x v="5"/>
    <x v="8"/>
    <x v="82"/>
    <x v="0"/>
    <x v="3"/>
    <n v="31.598607338007582"/>
  </r>
  <r>
    <x v="0"/>
    <x v="7"/>
    <x v="5"/>
    <x v="8"/>
    <x v="82"/>
    <x v="0"/>
    <x v="4"/>
    <n v="47.768517991919715"/>
  </r>
  <r>
    <x v="0"/>
    <x v="7"/>
    <x v="5"/>
    <x v="8"/>
    <x v="82"/>
    <x v="0"/>
    <x v="5"/>
    <n v="63.593668114518501"/>
  </r>
  <r>
    <x v="0"/>
    <x v="7"/>
    <x v="5"/>
    <x v="8"/>
    <x v="82"/>
    <x v="0"/>
    <x v="6"/>
    <n v="79.55604869242687"/>
  </r>
  <r>
    <x v="0"/>
    <x v="7"/>
    <x v="5"/>
    <x v="8"/>
    <x v="83"/>
    <x v="0"/>
    <x v="0"/>
    <n v="1.5668736473667109"/>
  </r>
  <r>
    <x v="0"/>
    <x v="7"/>
    <x v="5"/>
    <x v="8"/>
    <x v="83"/>
    <x v="0"/>
    <x v="1"/>
    <n v="5.2533485582042809"/>
  </r>
  <r>
    <x v="0"/>
    <x v="7"/>
    <x v="5"/>
    <x v="8"/>
    <x v="83"/>
    <x v="0"/>
    <x v="2"/>
    <n v="16.89498955435716"/>
  </r>
  <r>
    <x v="0"/>
    <x v="7"/>
    <x v="5"/>
    <x v="8"/>
    <x v="83"/>
    <x v="0"/>
    <x v="3"/>
    <n v="45.875099007079662"/>
  </r>
  <r>
    <x v="0"/>
    <x v="7"/>
    <x v="5"/>
    <x v="8"/>
    <x v="83"/>
    <x v="0"/>
    <x v="4"/>
    <n v="66.102551572702538"/>
  </r>
  <r>
    <x v="0"/>
    <x v="7"/>
    <x v="5"/>
    <x v="8"/>
    <x v="83"/>
    <x v="0"/>
    <x v="5"/>
    <n v="78.337538699051066"/>
  </r>
  <r>
    <x v="0"/>
    <x v="7"/>
    <x v="5"/>
    <x v="8"/>
    <x v="83"/>
    <x v="0"/>
    <x v="6"/>
    <n v="85.551260755187585"/>
  </r>
  <r>
    <x v="0"/>
    <x v="8"/>
    <x v="0"/>
    <x v="0"/>
    <x v="0"/>
    <x v="0"/>
    <x v="0"/>
    <n v="0"/>
  </r>
  <r>
    <x v="0"/>
    <x v="8"/>
    <x v="0"/>
    <x v="0"/>
    <x v="0"/>
    <x v="0"/>
    <x v="1"/>
    <n v="0"/>
  </r>
  <r>
    <x v="0"/>
    <x v="8"/>
    <x v="0"/>
    <x v="0"/>
    <x v="0"/>
    <x v="0"/>
    <x v="2"/>
    <n v="0"/>
  </r>
  <r>
    <x v="0"/>
    <x v="8"/>
    <x v="0"/>
    <x v="0"/>
    <x v="0"/>
    <x v="0"/>
    <x v="3"/>
    <n v="0"/>
  </r>
  <r>
    <x v="0"/>
    <x v="8"/>
    <x v="0"/>
    <x v="0"/>
    <x v="0"/>
    <x v="0"/>
    <x v="4"/>
    <n v="0"/>
  </r>
  <r>
    <x v="0"/>
    <x v="8"/>
    <x v="0"/>
    <x v="0"/>
    <x v="0"/>
    <x v="0"/>
    <x v="5"/>
    <n v="0"/>
  </r>
  <r>
    <x v="0"/>
    <x v="8"/>
    <x v="0"/>
    <x v="0"/>
    <x v="0"/>
    <x v="0"/>
    <x v="6"/>
    <n v="0"/>
  </r>
  <r>
    <x v="0"/>
    <x v="8"/>
    <x v="0"/>
    <x v="1"/>
    <x v="1"/>
    <x v="0"/>
    <x v="0"/>
    <n v="0"/>
  </r>
  <r>
    <x v="0"/>
    <x v="8"/>
    <x v="0"/>
    <x v="1"/>
    <x v="1"/>
    <x v="0"/>
    <x v="1"/>
    <n v="0"/>
  </r>
  <r>
    <x v="0"/>
    <x v="8"/>
    <x v="0"/>
    <x v="1"/>
    <x v="1"/>
    <x v="0"/>
    <x v="2"/>
    <n v="0"/>
  </r>
  <r>
    <x v="0"/>
    <x v="8"/>
    <x v="0"/>
    <x v="1"/>
    <x v="1"/>
    <x v="0"/>
    <x v="3"/>
    <n v="0"/>
  </r>
  <r>
    <x v="0"/>
    <x v="8"/>
    <x v="0"/>
    <x v="1"/>
    <x v="1"/>
    <x v="0"/>
    <x v="4"/>
    <n v="0"/>
  </r>
  <r>
    <x v="0"/>
    <x v="8"/>
    <x v="0"/>
    <x v="1"/>
    <x v="1"/>
    <x v="0"/>
    <x v="5"/>
    <n v="0"/>
  </r>
  <r>
    <x v="0"/>
    <x v="8"/>
    <x v="0"/>
    <x v="1"/>
    <x v="1"/>
    <x v="0"/>
    <x v="6"/>
    <n v="0"/>
  </r>
  <r>
    <x v="0"/>
    <x v="8"/>
    <x v="0"/>
    <x v="1"/>
    <x v="2"/>
    <x v="0"/>
    <x v="0"/>
    <n v="1.3516166770750433"/>
  </r>
  <r>
    <x v="0"/>
    <x v="8"/>
    <x v="0"/>
    <x v="1"/>
    <x v="2"/>
    <x v="0"/>
    <x v="1"/>
    <n v="4.2064997437231808"/>
  </r>
  <r>
    <x v="0"/>
    <x v="8"/>
    <x v="0"/>
    <x v="1"/>
    <x v="2"/>
    <x v="0"/>
    <x v="2"/>
    <n v="9.9566809555237672"/>
  </r>
  <r>
    <x v="0"/>
    <x v="8"/>
    <x v="0"/>
    <x v="1"/>
    <x v="2"/>
    <x v="0"/>
    <x v="3"/>
    <n v="22.277684110173485"/>
  </r>
  <r>
    <x v="0"/>
    <x v="8"/>
    <x v="0"/>
    <x v="1"/>
    <x v="2"/>
    <x v="0"/>
    <x v="4"/>
    <n v="32.958661909509082"/>
  </r>
  <r>
    <x v="0"/>
    <x v="8"/>
    <x v="0"/>
    <x v="1"/>
    <x v="2"/>
    <x v="0"/>
    <x v="5"/>
    <n v="49.23949008438538"/>
  </r>
  <r>
    <x v="0"/>
    <x v="8"/>
    <x v="0"/>
    <x v="1"/>
    <x v="2"/>
    <x v="0"/>
    <x v="6"/>
    <n v="81.547824654432134"/>
  </r>
  <r>
    <x v="0"/>
    <x v="8"/>
    <x v="0"/>
    <x v="1"/>
    <x v="3"/>
    <x v="0"/>
    <x v="0"/>
    <n v="0.1382337480551416"/>
  </r>
  <r>
    <x v="0"/>
    <x v="8"/>
    <x v="0"/>
    <x v="1"/>
    <x v="3"/>
    <x v="0"/>
    <x v="1"/>
    <n v="0.76778822805571501"/>
  </r>
  <r>
    <x v="0"/>
    <x v="8"/>
    <x v="0"/>
    <x v="1"/>
    <x v="3"/>
    <x v="0"/>
    <x v="2"/>
    <n v="3.7719208890719846"/>
  </r>
  <r>
    <x v="0"/>
    <x v="8"/>
    <x v="0"/>
    <x v="1"/>
    <x v="3"/>
    <x v="0"/>
    <x v="3"/>
    <n v="10.023373298887758"/>
  </r>
  <r>
    <x v="0"/>
    <x v="8"/>
    <x v="0"/>
    <x v="1"/>
    <x v="3"/>
    <x v="0"/>
    <x v="4"/>
    <n v="21.812597986908596"/>
  </r>
  <r>
    <x v="0"/>
    <x v="8"/>
    <x v="0"/>
    <x v="1"/>
    <x v="3"/>
    <x v="0"/>
    <x v="5"/>
    <n v="36.275917344645485"/>
  </r>
  <r>
    <x v="0"/>
    <x v="8"/>
    <x v="0"/>
    <x v="1"/>
    <x v="3"/>
    <x v="0"/>
    <x v="6"/>
    <n v="60.033952154541161"/>
  </r>
  <r>
    <x v="0"/>
    <x v="8"/>
    <x v="0"/>
    <x v="1"/>
    <x v="4"/>
    <x v="0"/>
    <x v="0"/>
    <n v="1.8155086543759792E-2"/>
  </r>
  <r>
    <x v="0"/>
    <x v="8"/>
    <x v="0"/>
    <x v="1"/>
    <x v="4"/>
    <x v="0"/>
    <x v="1"/>
    <n v="6.0791889430863E-2"/>
  </r>
  <r>
    <x v="0"/>
    <x v="8"/>
    <x v="0"/>
    <x v="1"/>
    <x v="4"/>
    <x v="0"/>
    <x v="2"/>
    <n v="0.17379006029695268"/>
  </r>
  <r>
    <x v="0"/>
    <x v="8"/>
    <x v="0"/>
    <x v="1"/>
    <x v="4"/>
    <x v="0"/>
    <x v="3"/>
    <n v="0.35116099797039668"/>
  </r>
  <r>
    <x v="0"/>
    <x v="8"/>
    <x v="0"/>
    <x v="1"/>
    <x v="4"/>
    <x v="0"/>
    <x v="4"/>
    <n v="0.6943877240463121"/>
  </r>
  <r>
    <x v="0"/>
    <x v="8"/>
    <x v="0"/>
    <x v="1"/>
    <x v="4"/>
    <x v="0"/>
    <x v="5"/>
    <n v="1.0898263232953966"/>
  </r>
  <r>
    <x v="0"/>
    <x v="8"/>
    <x v="0"/>
    <x v="1"/>
    <x v="4"/>
    <x v="0"/>
    <x v="6"/>
    <n v="1.6546734946054049"/>
  </r>
  <r>
    <x v="0"/>
    <x v="8"/>
    <x v="0"/>
    <x v="1"/>
    <x v="5"/>
    <x v="0"/>
    <x v="0"/>
    <n v="0.67970502073065298"/>
  </r>
  <r>
    <x v="0"/>
    <x v="8"/>
    <x v="0"/>
    <x v="1"/>
    <x v="5"/>
    <x v="0"/>
    <x v="1"/>
    <n v="3.5106356783012211"/>
  </r>
  <r>
    <x v="0"/>
    <x v="8"/>
    <x v="0"/>
    <x v="1"/>
    <x v="5"/>
    <x v="0"/>
    <x v="2"/>
    <n v="12.89615239898837"/>
  </r>
  <r>
    <x v="0"/>
    <x v="8"/>
    <x v="0"/>
    <x v="1"/>
    <x v="5"/>
    <x v="0"/>
    <x v="3"/>
    <n v="37.568743515094134"/>
  </r>
  <r>
    <x v="0"/>
    <x v="8"/>
    <x v="0"/>
    <x v="1"/>
    <x v="5"/>
    <x v="0"/>
    <x v="4"/>
    <n v="103.84339283093354"/>
  </r>
  <r>
    <x v="0"/>
    <x v="8"/>
    <x v="0"/>
    <x v="1"/>
    <x v="5"/>
    <x v="0"/>
    <x v="5"/>
    <n v="125.80307739450706"/>
  </r>
  <r>
    <x v="0"/>
    <x v="8"/>
    <x v="0"/>
    <x v="1"/>
    <x v="5"/>
    <x v="0"/>
    <x v="6"/>
    <n v="197.31517070644267"/>
  </r>
  <r>
    <x v="0"/>
    <x v="8"/>
    <x v="0"/>
    <x v="1"/>
    <x v="6"/>
    <x v="0"/>
    <x v="0"/>
    <n v="0.84462624078761883"/>
  </r>
  <r>
    <x v="0"/>
    <x v="8"/>
    <x v="0"/>
    <x v="1"/>
    <x v="6"/>
    <x v="0"/>
    <x v="1"/>
    <n v="2.3145540629389103"/>
  </r>
  <r>
    <x v="0"/>
    <x v="8"/>
    <x v="0"/>
    <x v="1"/>
    <x v="6"/>
    <x v="0"/>
    <x v="2"/>
    <n v="5.1205548497267639"/>
  </r>
  <r>
    <x v="0"/>
    <x v="8"/>
    <x v="0"/>
    <x v="1"/>
    <x v="6"/>
    <x v="0"/>
    <x v="3"/>
    <n v="12.172657691674367"/>
  </r>
  <r>
    <x v="0"/>
    <x v="8"/>
    <x v="0"/>
    <x v="1"/>
    <x v="6"/>
    <x v="0"/>
    <x v="4"/>
    <n v="28.002431172780746"/>
  </r>
  <r>
    <x v="0"/>
    <x v="8"/>
    <x v="0"/>
    <x v="1"/>
    <x v="6"/>
    <x v="0"/>
    <x v="5"/>
    <n v="49.43427281367881"/>
  </r>
  <r>
    <x v="0"/>
    <x v="8"/>
    <x v="0"/>
    <x v="1"/>
    <x v="6"/>
    <x v="0"/>
    <x v="6"/>
    <n v="82.686453469445567"/>
  </r>
  <r>
    <x v="0"/>
    <x v="8"/>
    <x v="0"/>
    <x v="1"/>
    <x v="7"/>
    <x v="0"/>
    <x v="0"/>
    <n v="1.2896509638947096"/>
  </r>
  <r>
    <x v="0"/>
    <x v="8"/>
    <x v="0"/>
    <x v="1"/>
    <x v="7"/>
    <x v="0"/>
    <x v="1"/>
    <n v="5.1671901422966808"/>
  </r>
  <r>
    <x v="0"/>
    <x v="8"/>
    <x v="0"/>
    <x v="1"/>
    <x v="7"/>
    <x v="0"/>
    <x v="2"/>
    <n v="17.202780337667079"/>
  </r>
  <r>
    <x v="0"/>
    <x v="8"/>
    <x v="0"/>
    <x v="1"/>
    <x v="7"/>
    <x v="0"/>
    <x v="3"/>
    <n v="45.276346397425684"/>
  </r>
  <r>
    <x v="0"/>
    <x v="8"/>
    <x v="0"/>
    <x v="1"/>
    <x v="7"/>
    <x v="0"/>
    <x v="4"/>
    <n v="95.447648471129412"/>
  </r>
  <r>
    <x v="0"/>
    <x v="8"/>
    <x v="0"/>
    <x v="1"/>
    <x v="7"/>
    <x v="0"/>
    <x v="5"/>
    <n v="151.44050145671852"/>
  </r>
  <r>
    <x v="0"/>
    <x v="8"/>
    <x v="0"/>
    <x v="1"/>
    <x v="7"/>
    <x v="0"/>
    <x v="6"/>
    <n v="234.22828870094412"/>
  </r>
  <r>
    <x v="0"/>
    <x v="8"/>
    <x v="0"/>
    <x v="1"/>
    <x v="8"/>
    <x v="0"/>
    <x v="0"/>
    <n v="8.0542538588836902E-4"/>
  </r>
  <r>
    <x v="0"/>
    <x v="8"/>
    <x v="0"/>
    <x v="1"/>
    <x v="8"/>
    <x v="0"/>
    <x v="1"/>
    <n v="5.7133816071666902E-3"/>
  </r>
  <r>
    <x v="0"/>
    <x v="8"/>
    <x v="0"/>
    <x v="1"/>
    <x v="8"/>
    <x v="0"/>
    <x v="2"/>
    <n v="1.5289499732023613E-2"/>
  </r>
  <r>
    <x v="0"/>
    <x v="8"/>
    <x v="0"/>
    <x v="1"/>
    <x v="8"/>
    <x v="0"/>
    <x v="3"/>
    <n v="3.6369927855416866E-2"/>
  </r>
  <r>
    <x v="0"/>
    <x v="8"/>
    <x v="0"/>
    <x v="1"/>
    <x v="8"/>
    <x v="0"/>
    <x v="4"/>
    <n v="8.0856893991283235E-2"/>
  </r>
  <r>
    <x v="0"/>
    <x v="8"/>
    <x v="0"/>
    <x v="1"/>
    <x v="8"/>
    <x v="0"/>
    <x v="5"/>
    <n v="0.14190422745497622"/>
  </r>
  <r>
    <x v="0"/>
    <x v="8"/>
    <x v="0"/>
    <x v="1"/>
    <x v="8"/>
    <x v="0"/>
    <x v="6"/>
    <n v="0.21330340242652596"/>
  </r>
  <r>
    <x v="0"/>
    <x v="8"/>
    <x v="0"/>
    <x v="1"/>
    <x v="9"/>
    <x v="0"/>
    <x v="0"/>
    <n v="1.1754660399997625"/>
  </r>
  <r>
    <x v="0"/>
    <x v="8"/>
    <x v="0"/>
    <x v="1"/>
    <x v="9"/>
    <x v="0"/>
    <x v="1"/>
    <n v="3.6369870186874436"/>
  </r>
  <r>
    <x v="0"/>
    <x v="8"/>
    <x v="0"/>
    <x v="1"/>
    <x v="9"/>
    <x v="0"/>
    <x v="2"/>
    <n v="10.84046078948154"/>
  </r>
  <r>
    <x v="0"/>
    <x v="8"/>
    <x v="0"/>
    <x v="1"/>
    <x v="9"/>
    <x v="0"/>
    <x v="3"/>
    <n v="27.507575623982731"/>
  </r>
  <r>
    <x v="0"/>
    <x v="8"/>
    <x v="0"/>
    <x v="1"/>
    <x v="9"/>
    <x v="0"/>
    <x v="4"/>
    <n v="45.18090248917067"/>
  </r>
  <r>
    <x v="0"/>
    <x v="8"/>
    <x v="0"/>
    <x v="1"/>
    <x v="9"/>
    <x v="0"/>
    <x v="5"/>
    <n v="59.603815911571616"/>
  </r>
  <r>
    <x v="0"/>
    <x v="8"/>
    <x v="0"/>
    <x v="1"/>
    <x v="9"/>
    <x v="0"/>
    <x v="6"/>
    <n v="98.238759234341302"/>
  </r>
  <r>
    <x v="0"/>
    <x v="8"/>
    <x v="0"/>
    <x v="1"/>
    <x v="10"/>
    <x v="0"/>
    <x v="0"/>
    <n v="2.000822347549124"/>
  </r>
  <r>
    <x v="0"/>
    <x v="8"/>
    <x v="0"/>
    <x v="1"/>
    <x v="10"/>
    <x v="0"/>
    <x v="1"/>
    <n v="6.4917119426318255"/>
  </r>
  <r>
    <x v="0"/>
    <x v="8"/>
    <x v="0"/>
    <x v="1"/>
    <x v="10"/>
    <x v="0"/>
    <x v="2"/>
    <n v="16.743187498548533"/>
  </r>
  <r>
    <x v="0"/>
    <x v="8"/>
    <x v="0"/>
    <x v="1"/>
    <x v="10"/>
    <x v="0"/>
    <x v="3"/>
    <n v="37.772979210904417"/>
  </r>
  <r>
    <x v="0"/>
    <x v="8"/>
    <x v="0"/>
    <x v="1"/>
    <x v="10"/>
    <x v="0"/>
    <x v="4"/>
    <n v="67.236692996084003"/>
  </r>
  <r>
    <x v="0"/>
    <x v="8"/>
    <x v="0"/>
    <x v="1"/>
    <x v="10"/>
    <x v="0"/>
    <x v="5"/>
    <n v="106.44195943387476"/>
  </r>
  <r>
    <x v="0"/>
    <x v="8"/>
    <x v="0"/>
    <x v="1"/>
    <x v="10"/>
    <x v="0"/>
    <x v="6"/>
    <n v="191.73684169346873"/>
  </r>
  <r>
    <x v="0"/>
    <x v="8"/>
    <x v="0"/>
    <x v="0"/>
    <x v="11"/>
    <x v="0"/>
    <x v="0"/>
    <n v="2.6016762105471639E-5"/>
  </r>
  <r>
    <x v="0"/>
    <x v="8"/>
    <x v="0"/>
    <x v="0"/>
    <x v="11"/>
    <x v="0"/>
    <x v="1"/>
    <n v="4.0502521413438128E-4"/>
  </r>
  <r>
    <x v="0"/>
    <x v="8"/>
    <x v="0"/>
    <x v="0"/>
    <x v="11"/>
    <x v="0"/>
    <x v="2"/>
    <n v="4.7128815989714509E-3"/>
  </r>
  <r>
    <x v="0"/>
    <x v="8"/>
    <x v="0"/>
    <x v="0"/>
    <x v="11"/>
    <x v="0"/>
    <x v="3"/>
    <n v="5.3787307633477104E-2"/>
  </r>
  <r>
    <x v="0"/>
    <x v="8"/>
    <x v="0"/>
    <x v="0"/>
    <x v="11"/>
    <x v="0"/>
    <x v="4"/>
    <n v="0.16829901558374993"/>
  </r>
  <r>
    <x v="0"/>
    <x v="8"/>
    <x v="0"/>
    <x v="0"/>
    <x v="11"/>
    <x v="0"/>
    <x v="5"/>
    <n v="0.22143463003479141"/>
  </r>
  <r>
    <x v="0"/>
    <x v="8"/>
    <x v="0"/>
    <x v="0"/>
    <x v="11"/>
    <x v="0"/>
    <x v="6"/>
    <n v="0.56139617288991406"/>
  </r>
  <r>
    <x v="0"/>
    <x v="8"/>
    <x v="0"/>
    <x v="0"/>
    <x v="12"/>
    <x v="0"/>
    <x v="0"/>
    <n v="0"/>
  </r>
  <r>
    <x v="0"/>
    <x v="8"/>
    <x v="0"/>
    <x v="0"/>
    <x v="12"/>
    <x v="0"/>
    <x v="1"/>
    <n v="0"/>
  </r>
  <r>
    <x v="0"/>
    <x v="8"/>
    <x v="0"/>
    <x v="0"/>
    <x v="12"/>
    <x v="0"/>
    <x v="2"/>
    <n v="0"/>
  </r>
  <r>
    <x v="0"/>
    <x v="8"/>
    <x v="0"/>
    <x v="0"/>
    <x v="12"/>
    <x v="0"/>
    <x v="3"/>
    <n v="0"/>
  </r>
  <r>
    <x v="0"/>
    <x v="8"/>
    <x v="0"/>
    <x v="0"/>
    <x v="12"/>
    <x v="0"/>
    <x v="4"/>
    <n v="0"/>
  </r>
  <r>
    <x v="0"/>
    <x v="8"/>
    <x v="0"/>
    <x v="0"/>
    <x v="12"/>
    <x v="0"/>
    <x v="5"/>
    <n v="0"/>
  </r>
  <r>
    <x v="0"/>
    <x v="8"/>
    <x v="0"/>
    <x v="0"/>
    <x v="12"/>
    <x v="0"/>
    <x v="6"/>
    <n v="0"/>
  </r>
  <r>
    <x v="0"/>
    <x v="8"/>
    <x v="0"/>
    <x v="0"/>
    <x v="13"/>
    <x v="0"/>
    <x v="0"/>
    <n v="0"/>
  </r>
  <r>
    <x v="0"/>
    <x v="8"/>
    <x v="0"/>
    <x v="0"/>
    <x v="13"/>
    <x v="0"/>
    <x v="1"/>
    <n v="0"/>
  </r>
  <r>
    <x v="0"/>
    <x v="8"/>
    <x v="0"/>
    <x v="0"/>
    <x v="13"/>
    <x v="0"/>
    <x v="2"/>
    <n v="0"/>
  </r>
  <r>
    <x v="0"/>
    <x v="8"/>
    <x v="0"/>
    <x v="0"/>
    <x v="13"/>
    <x v="0"/>
    <x v="3"/>
    <n v="0"/>
  </r>
  <r>
    <x v="0"/>
    <x v="8"/>
    <x v="0"/>
    <x v="0"/>
    <x v="13"/>
    <x v="0"/>
    <x v="4"/>
    <n v="0"/>
  </r>
  <r>
    <x v="0"/>
    <x v="8"/>
    <x v="0"/>
    <x v="0"/>
    <x v="13"/>
    <x v="0"/>
    <x v="5"/>
    <n v="0"/>
  </r>
  <r>
    <x v="0"/>
    <x v="8"/>
    <x v="0"/>
    <x v="0"/>
    <x v="13"/>
    <x v="0"/>
    <x v="6"/>
    <n v="0"/>
  </r>
  <r>
    <x v="0"/>
    <x v="8"/>
    <x v="0"/>
    <x v="2"/>
    <x v="14"/>
    <x v="0"/>
    <x v="0"/>
    <n v="9.8079850191384025E-8"/>
  </r>
  <r>
    <x v="0"/>
    <x v="8"/>
    <x v="0"/>
    <x v="2"/>
    <x v="14"/>
    <x v="0"/>
    <x v="1"/>
    <n v="5.6628551565252491E-7"/>
  </r>
  <r>
    <x v="0"/>
    <x v="8"/>
    <x v="0"/>
    <x v="2"/>
    <x v="14"/>
    <x v="0"/>
    <x v="2"/>
    <n v="3.2442225485368743E-6"/>
  </r>
  <r>
    <x v="0"/>
    <x v="8"/>
    <x v="0"/>
    <x v="2"/>
    <x v="14"/>
    <x v="0"/>
    <x v="3"/>
    <n v="1.9107468752038414E-5"/>
  </r>
  <r>
    <x v="0"/>
    <x v="8"/>
    <x v="0"/>
    <x v="2"/>
    <x v="14"/>
    <x v="0"/>
    <x v="4"/>
    <n v="7.7504415692262142E-5"/>
  </r>
  <r>
    <x v="0"/>
    <x v="8"/>
    <x v="0"/>
    <x v="2"/>
    <x v="14"/>
    <x v="0"/>
    <x v="5"/>
    <n v="9.0231661087476832E-5"/>
  </r>
  <r>
    <x v="0"/>
    <x v="8"/>
    <x v="0"/>
    <x v="2"/>
    <x v="14"/>
    <x v="0"/>
    <x v="6"/>
    <n v="1.7011388246066577E-4"/>
  </r>
  <r>
    <x v="0"/>
    <x v="8"/>
    <x v="0"/>
    <x v="2"/>
    <x v="15"/>
    <x v="0"/>
    <x v="0"/>
    <n v="1.0183149144521347E-4"/>
  </r>
  <r>
    <x v="0"/>
    <x v="8"/>
    <x v="0"/>
    <x v="2"/>
    <x v="15"/>
    <x v="0"/>
    <x v="1"/>
    <n v="3.2766993523207846E-4"/>
  </r>
  <r>
    <x v="0"/>
    <x v="8"/>
    <x v="0"/>
    <x v="2"/>
    <x v="15"/>
    <x v="0"/>
    <x v="2"/>
    <n v="1.0386474238039676E-3"/>
  </r>
  <r>
    <x v="0"/>
    <x v="8"/>
    <x v="0"/>
    <x v="2"/>
    <x v="15"/>
    <x v="0"/>
    <x v="3"/>
    <n v="2.9888096717563921E-3"/>
  </r>
  <r>
    <x v="0"/>
    <x v="8"/>
    <x v="0"/>
    <x v="2"/>
    <x v="15"/>
    <x v="0"/>
    <x v="4"/>
    <n v="8.2275671176560879E-3"/>
  </r>
  <r>
    <x v="0"/>
    <x v="8"/>
    <x v="0"/>
    <x v="2"/>
    <x v="15"/>
    <x v="0"/>
    <x v="5"/>
    <n v="1.2517476847278896E-2"/>
  </r>
  <r>
    <x v="0"/>
    <x v="8"/>
    <x v="0"/>
    <x v="2"/>
    <x v="15"/>
    <x v="0"/>
    <x v="6"/>
    <n v="2.1771560541185897E-2"/>
  </r>
  <r>
    <x v="0"/>
    <x v="8"/>
    <x v="0"/>
    <x v="2"/>
    <x v="16"/>
    <x v="0"/>
    <x v="0"/>
    <n v="2.8070927309872426E-6"/>
  </r>
  <r>
    <x v="0"/>
    <x v="8"/>
    <x v="0"/>
    <x v="2"/>
    <x v="16"/>
    <x v="0"/>
    <x v="1"/>
    <n v="5.2039696039733778E-5"/>
  </r>
  <r>
    <x v="0"/>
    <x v="8"/>
    <x v="0"/>
    <x v="2"/>
    <x v="16"/>
    <x v="0"/>
    <x v="2"/>
    <n v="2.0842942869872579E-4"/>
  </r>
  <r>
    <x v="0"/>
    <x v="8"/>
    <x v="0"/>
    <x v="2"/>
    <x v="16"/>
    <x v="0"/>
    <x v="3"/>
    <n v="4.9308554153872542E-4"/>
  </r>
  <r>
    <x v="0"/>
    <x v="8"/>
    <x v="0"/>
    <x v="2"/>
    <x v="16"/>
    <x v="0"/>
    <x v="4"/>
    <n v="1.0208780007730366E-3"/>
  </r>
  <r>
    <x v="0"/>
    <x v="8"/>
    <x v="0"/>
    <x v="2"/>
    <x v="16"/>
    <x v="0"/>
    <x v="5"/>
    <n v="2.0288015290231645E-3"/>
  </r>
  <r>
    <x v="0"/>
    <x v="8"/>
    <x v="0"/>
    <x v="2"/>
    <x v="16"/>
    <x v="0"/>
    <x v="6"/>
    <n v="3.6461978807395242E-3"/>
  </r>
  <r>
    <x v="0"/>
    <x v="8"/>
    <x v="0"/>
    <x v="0"/>
    <x v="17"/>
    <x v="0"/>
    <x v="0"/>
    <n v="0"/>
  </r>
  <r>
    <x v="0"/>
    <x v="8"/>
    <x v="0"/>
    <x v="0"/>
    <x v="17"/>
    <x v="0"/>
    <x v="1"/>
    <n v="0"/>
  </r>
  <r>
    <x v="0"/>
    <x v="8"/>
    <x v="0"/>
    <x v="0"/>
    <x v="17"/>
    <x v="0"/>
    <x v="2"/>
    <n v="0"/>
  </r>
  <r>
    <x v="0"/>
    <x v="8"/>
    <x v="0"/>
    <x v="0"/>
    <x v="17"/>
    <x v="0"/>
    <x v="3"/>
    <n v="0"/>
  </r>
  <r>
    <x v="0"/>
    <x v="8"/>
    <x v="0"/>
    <x v="0"/>
    <x v="17"/>
    <x v="0"/>
    <x v="4"/>
    <n v="0"/>
  </r>
  <r>
    <x v="0"/>
    <x v="8"/>
    <x v="0"/>
    <x v="0"/>
    <x v="17"/>
    <x v="0"/>
    <x v="5"/>
    <n v="0"/>
  </r>
  <r>
    <x v="0"/>
    <x v="8"/>
    <x v="0"/>
    <x v="0"/>
    <x v="17"/>
    <x v="0"/>
    <x v="6"/>
    <n v="0"/>
  </r>
  <r>
    <x v="0"/>
    <x v="8"/>
    <x v="0"/>
    <x v="2"/>
    <x v="18"/>
    <x v="0"/>
    <x v="0"/>
    <n v="0"/>
  </r>
  <r>
    <x v="0"/>
    <x v="8"/>
    <x v="0"/>
    <x v="2"/>
    <x v="18"/>
    <x v="0"/>
    <x v="1"/>
    <n v="0"/>
  </r>
  <r>
    <x v="0"/>
    <x v="8"/>
    <x v="0"/>
    <x v="2"/>
    <x v="18"/>
    <x v="0"/>
    <x v="2"/>
    <n v="0"/>
  </r>
  <r>
    <x v="0"/>
    <x v="8"/>
    <x v="0"/>
    <x v="2"/>
    <x v="18"/>
    <x v="0"/>
    <x v="3"/>
    <n v="0"/>
  </r>
  <r>
    <x v="0"/>
    <x v="8"/>
    <x v="0"/>
    <x v="2"/>
    <x v="18"/>
    <x v="0"/>
    <x v="4"/>
    <n v="0"/>
  </r>
  <r>
    <x v="0"/>
    <x v="8"/>
    <x v="0"/>
    <x v="2"/>
    <x v="18"/>
    <x v="0"/>
    <x v="5"/>
    <n v="0"/>
  </r>
  <r>
    <x v="0"/>
    <x v="8"/>
    <x v="0"/>
    <x v="2"/>
    <x v="18"/>
    <x v="0"/>
    <x v="6"/>
    <n v="0"/>
  </r>
  <r>
    <x v="0"/>
    <x v="8"/>
    <x v="1"/>
    <x v="3"/>
    <x v="19"/>
    <x v="0"/>
    <x v="0"/>
    <n v="2.603624614153179E-3"/>
  </r>
  <r>
    <x v="0"/>
    <x v="8"/>
    <x v="1"/>
    <x v="3"/>
    <x v="19"/>
    <x v="0"/>
    <x v="1"/>
    <n v="7.83310393820498E-3"/>
  </r>
  <r>
    <x v="0"/>
    <x v="8"/>
    <x v="1"/>
    <x v="3"/>
    <x v="19"/>
    <x v="0"/>
    <x v="2"/>
    <n v="2.4126786444665024E-2"/>
  </r>
  <r>
    <x v="0"/>
    <x v="8"/>
    <x v="1"/>
    <x v="3"/>
    <x v="19"/>
    <x v="0"/>
    <x v="3"/>
    <n v="6.8247397407558377E-2"/>
  </r>
  <r>
    <x v="0"/>
    <x v="8"/>
    <x v="1"/>
    <x v="3"/>
    <x v="19"/>
    <x v="0"/>
    <x v="4"/>
    <n v="0.11545613036176189"/>
  </r>
  <r>
    <x v="0"/>
    <x v="8"/>
    <x v="1"/>
    <x v="3"/>
    <x v="19"/>
    <x v="0"/>
    <x v="5"/>
    <n v="0.15099931590185511"/>
  </r>
  <r>
    <x v="0"/>
    <x v="8"/>
    <x v="1"/>
    <x v="3"/>
    <x v="19"/>
    <x v="0"/>
    <x v="6"/>
    <n v="0.23216251648378616"/>
  </r>
  <r>
    <x v="0"/>
    <x v="8"/>
    <x v="1"/>
    <x v="3"/>
    <x v="20"/>
    <x v="0"/>
    <x v="0"/>
    <n v="4.2564082466269205E-4"/>
  </r>
  <r>
    <x v="0"/>
    <x v="8"/>
    <x v="1"/>
    <x v="3"/>
    <x v="20"/>
    <x v="0"/>
    <x v="1"/>
    <n v="5.2268635581474894E-4"/>
  </r>
  <r>
    <x v="0"/>
    <x v="8"/>
    <x v="1"/>
    <x v="3"/>
    <x v="20"/>
    <x v="0"/>
    <x v="2"/>
    <n v="3.180567279541005E-3"/>
  </r>
  <r>
    <x v="0"/>
    <x v="8"/>
    <x v="1"/>
    <x v="3"/>
    <x v="20"/>
    <x v="0"/>
    <x v="3"/>
    <n v="9.4011128723964343E-3"/>
  </r>
  <r>
    <x v="0"/>
    <x v="8"/>
    <x v="1"/>
    <x v="3"/>
    <x v="20"/>
    <x v="0"/>
    <x v="4"/>
    <n v="1.4781663564799007E-2"/>
  </r>
  <r>
    <x v="0"/>
    <x v="8"/>
    <x v="1"/>
    <x v="3"/>
    <x v="20"/>
    <x v="0"/>
    <x v="5"/>
    <n v="1.9236650720533269E-2"/>
  </r>
  <r>
    <x v="0"/>
    <x v="8"/>
    <x v="1"/>
    <x v="3"/>
    <x v="20"/>
    <x v="0"/>
    <x v="6"/>
    <n v="2.4898308029912556E-2"/>
  </r>
  <r>
    <x v="0"/>
    <x v="8"/>
    <x v="1"/>
    <x v="3"/>
    <x v="21"/>
    <x v="0"/>
    <x v="0"/>
    <n v="8.6295388119821057E-2"/>
  </r>
  <r>
    <x v="0"/>
    <x v="8"/>
    <x v="1"/>
    <x v="3"/>
    <x v="21"/>
    <x v="0"/>
    <x v="1"/>
    <n v="0.23836212404267496"/>
  </r>
  <r>
    <x v="0"/>
    <x v="8"/>
    <x v="1"/>
    <x v="3"/>
    <x v="21"/>
    <x v="0"/>
    <x v="2"/>
    <n v="0.63265262626727736"/>
  </r>
  <r>
    <x v="0"/>
    <x v="8"/>
    <x v="1"/>
    <x v="3"/>
    <x v="21"/>
    <x v="0"/>
    <x v="3"/>
    <n v="1.5791320619805338"/>
  </r>
  <r>
    <x v="0"/>
    <x v="8"/>
    <x v="1"/>
    <x v="3"/>
    <x v="21"/>
    <x v="0"/>
    <x v="4"/>
    <n v="2.464176615810163"/>
  </r>
  <r>
    <x v="0"/>
    <x v="8"/>
    <x v="1"/>
    <x v="3"/>
    <x v="21"/>
    <x v="0"/>
    <x v="5"/>
    <n v="3.2567369888887328"/>
  </r>
  <r>
    <x v="0"/>
    <x v="8"/>
    <x v="1"/>
    <x v="3"/>
    <x v="21"/>
    <x v="0"/>
    <x v="6"/>
    <n v="4.7249811850294154"/>
  </r>
  <r>
    <x v="0"/>
    <x v="8"/>
    <x v="1"/>
    <x v="3"/>
    <x v="22"/>
    <x v="0"/>
    <x v="0"/>
    <n v="0"/>
  </r>
  <r>
    <x v="0"/>
    <x v="8"/>
    <x v="1"/>
    <x v="3"/>
    <x v="22"/>
    <x v="0"/>
    <x v="1"/>
    <n v="0"/>
  </r>
  <r>
    <x v="0"/>
    <x v="8"/>
    <x v="1"/>
    <x v="3"/>
    <x v="22"/>
    <x v="0"/>
    <x v="2"/>
    <n v="0"/>
  </r>
  <r>
    <x v="0"/>
    <x v="8"/>
    <x v="1"/>
    <x v="3"/>
    <x v="22"/>
    <x v="0"/>
    <x v="3"/>
    <n v="0"/>
  </r>
  <r>
    <x v="0"/>
    <x v="8"/>
    <x v="1"/>
    <x v="3"/>
    <x v="22"/>
    <x v="0"/>
    <x v="4"/>
    <n v="0"/>
  </r>
  <r>
    <x v="0"/>
    <x v="8"/>
    <x v="1"/>
    <x v="3"/>
    <x v="22"/>
    <x v="0"/>
    <x v="5"/>
    <n v="0"/>
  </r>
  <r>
    <x v="0"/>
    <x v="8"/>
    <x v="1"/>
    <x v="3"/>
    <x v="22"/>
    <x v="0"/>
    <x v="6"/>
    <n v="0"/>
  </r>
  <r>
    <x v="0"/>
    <x v="8"/>
    <x v="1"/>
    <x v="3"/>
    <x v="23"/>
    <x v="0"/>
    <x v="0"/>
    <n v="0"/>
  </r>
  <r>
    <x v="0"/>
    <x v="8"/>
    <x v="1"/>
    <x v="3"/>
    <x v="23"/>
    <x v="0"/>
    <x v="1"/>
    <n v="0"/>
  </r>
  <r>
    <x v="0"/>
    <x v="8"/>
    <x v="1"/>
    <x v="3"/>
    <x v="23"/>
    <x v="0"/>
    <x v="2"/>
    <n v="0"/>
  </r>
  <r>
    <x v="0"/>
    <x v="8"/>
    <x v="1"/>
    <x v="3"/>
    <x v="23"/>
    <x v="0"/>
    <x v="3"/>
    <n v="0"/>
  </r>
  <r>
    <x v="0"/>
    <x v="8"/>
    <x v="1"/>
    <x v="3"/>
    <x v="23"/>
    <x v="0"/>
    <x v="4"/>
    <n v="0"/>
  </r>
  <r>
    <x v="0"/>
    <x v="8"/>
    <x v="1"/>
    <x v="3"/>
    <x v="23"/>
    <x v="0"/>
    <x v="5"/>
    <n v="0"/>
  </r>
  <r>
    <x v="0"/>
    <x v="8"/>
    <x v="1"/>
    <x v="3"/>
    <x v="23"/>
    <x v="0"/>
    <x v="6"/>
    <n v="0"/>
  </r>
  <r>
    <x v="0"/>
    <x v="8"/>
    <x v="1"/>
    <x v="3"/>
    <x v="24"/>
    <x v="0"/>
    <x v="0"/>
    <n v="0"/>
  </r>
  <r>
    <x v="0"/>
    <x v="8"/>
    <x v="1"/>
    <x v="3"/>
    <x v="24"/>
    <x v="0"/>
    <x v="1"/>
    <n v="0"/>
  </r>
  <r>
    <x v="0"/>
    <x v="8"/>
    <x v="1"/>
    <x v="3"/>
    <x v="24"/>
    <x v="0"/>
    <x v="2"/>
    <n v="0"/>
  </r>
  <r>
    <x v="0"/>
    <x v="8"/>
    <x v="1"/>
    <x v="3"/>
    <x v="24"/>
    <x v="0"/>
    <x v="3"/>
    <n v="0"/>
  </r>
  <r>
    <x v="0"/>
    <x v="8"/>
    <x v="1"/>
    <x v="3"/>
    <x v="24"/>
    <x v="0"/>
    <x v="4"/>
    <n v="0"/>
  </r>
  <r>
    <x v="0"/>
    <x v="8"/>
    <x v="1"/>
    <x v="3"/>
    <x v="24"/>
    <x v="0"/>
    <x v="5"/>
    <n v="0"/>
  </r>
  <r>
    <x v="0"/>
    <x v="8"/>
    <x v="1"/>
    <x v="3"/>
    <x v="24"/>
    <x v="0"/>
    <x v="6"/>
    <n v="0"/>
  </r>
  <r>
    <x v="0"/>
    <x v="8"/>
    <x v="1"/>
    <x v="3"/>
    <x v="25"/>
    <x v="0"/>
    <x v="0"/>
    <n v="0.26535942173495064"/>
  </r>
  <r>
    <x v="0"/>
    <x v="8"/>
    <x v="1"/>
    <x v="3"/>
    <x v="25"/>
    <x v="0"/>
    <x v="1"/>
    <n v="0.96158334405525292"/>
  </r>
  <r>
    <x v="0"/>
    <x v="8"/>
    <x v="1"/>
    <x v="3"/>
    <x v="25"/>
    <x v="0"/>
    <x v="2"/>
    <n v="3.3523182637536015"/>
  </r>
  <r>
    <x v="0"/>
    <x v="8"/>
    <x v="1"/>
    <x v="3"/>
    <x v="25"/>
    <x v="0"/>
    <x v="3"/>
    <n v="10.911256424556489"/>
  </r>
  <r>
    <x v="0"/>
    <x v="8"/>
    <x v="1"/>
    <x v="3"/>
    <x v="25"/>
    <x v="0"/>
    <x v="4"/>
    <n v="24.291712077281186"/>
  </r>
  <r>
    <x v="0"/>
    <x v="8"/>
    <x v="1"/>
    <x v="3"/>
    <x v="25"/>
    <x v="0"/>
    <x v="5"/>
    <n v="35.586772092989108"/>
  </r>
  <r>
    <x v="0"/>
    <x v="8"/>
    <x v="1"/>
    <x v="3"/>
    <x v="25"/>
    <x v="0"/>
    <x v="6"/>
    <n v="51.568289976595338"/>
  </r>
  <r>
    <x v="0"/>
    <x v="8"/>
    <x v="2"/>
    <x v="4"/>
    <x v="26"/>
    <x v="0"/>
    <x v="0"/>
    <n v="0.15175092056024381"/>
  </r>
  <r>
    <x v="0"/>
    <x v="8"/>
    <x v="2"/>
    <x v="4"/>
    <x v="26"/>
    <x v="0"/>
    <x v="1"/>
    <n v="0.31732442912854308"/>
  </r>
  <r>
    <x v="0"/>
    <x v="8"/>
    <x v="2"/>
    <x v="4"/>
    <x v="26"/>
    <x v="0"/>
    <x v="2"/>
    <n v="0.65797491396619534"/>
  </r>
  <r>
    <x v="0"/>
    <x v="8"/>
    <x v="2"/>
    <x v="4"/>
    <x v="26"/>
    <x v="0"/>
    <x v="3"/>
    <n v="1.2331214383642237"/>
  </r>
  <r>
    <x v="0"/>
    <x v="8"/>
    <x v="2"/>
    <x v="4"/>
    <x v="26"/>
    <x v="0"/>
    <x v="4"/>
    <n v="1.4735801566786704"/>
  </r>
  <r>
    <x v="0"/>
    <x v="8"/>
    <x v="2"/>
    <x v="4"/>
    <x v="26"/>
    <x v="0"/>
    <x v="5"/>
    <n v="2.0926750332768713"/>
  </r>
  <r>
    <x v="0"/>
    <x v="8"/>
    <x v="2"/>
    <x v="4"/>
    <x v="26"/>
    <x v="0"/>
    <x v="6"/>
    <n v="2.4576849809309502"/>
  </r>
  <r>
    <x v="0"/>
    <x v="8"/>
    <x v="2"/>
    <x v="4"/>
    <x v="27"/>
    <x v="0"/>
    <x v="0"/>
    <n v="1.5574072052944692"/>
  </r>
  <r>
    <x v="0"/>
    <x v="8"/>
    <x v="2"/>
    <x v="4"/>
    <x v="27"/>
    <x v="0"/>
    <x v="1"/>
    <n v="7.3466712173420952"/>
  </r>
  <r>
    <x v="0"/>
    <x v="8"/>
    <x v="2"/>
    <x v="4"/>
    <x v="27"/>
    <x v="0"/>
    <x v="2"/>
    <n v="30.581800455453621"/>
  </r>
  <r>
    <x v="0"/>
    <x v="8"/>
    <x v="2"/>
    <x v="4"/>
    <x v="27"/>
    <x v="0"/>
    <x v="3"/>
    <n v="78.919199819020378"/>
  </r>
  <r>
    <x v="0"/>
    <x v="8"/>
    <x v="2"/>
    <x v="4"/>
    <x v="27"/>
    <x v="0"/>
    <x v="4"/>
    <n v="222.98527751852748"/>
  </r>
  <r>
    <x v="0"/>
    <x v="8"/>
    <x v="2"/>
    <x v="4"/>
    <x v="27"/>
    <x v="0"/>
    <x v="5"/>
    <n v="336.62229509263727"/>
  </r>
  <r>
    <x v="0"/>
    <x v="8"/>
    <x v="2"/>
    <x v="4"/>
    <x v="27"/>
    <x v="0"/>
    <x v="6"/>
    <n v="492.48684904637764"/>
  </r>
  <r>
    <x v="0"/>
    <x v="8"/>
    <x v="2"/>
    <x v="4"/>
    <x v="28"/>
    <x v="0"/>
    <x v="0"/>
    <n v="0.96631875061582428"/>
  </r>
  <r>
    <x v="0"/>
    <x v="8"/>
    <x v="2"/>
    <x v="4"/>
    <x v="28"/>
    <x v="0"/>
    <x v="1"/>
    <n v="3.0412240223939002"/>
  </r>
  <r>
    <x v="0"/>
    <x v="8"/>
    <x v="2"/>
    <x v="4"/>
    <x v="28"/>
    <x v="0"/>
    <x v="2"/>
    <n v="6.0352583910247617"/>
  </r>
  <r>
    <x v="0"/>
    <x v="8"/>
    <x v="2"/>
    <x v="4"/>
    <x v="28"/>
    <x v="0"/>
    <x v="3"/>
    <n v="11.47029754894093"/>
  </r>
  <r>
    <x v="0"/>
    <x v="8"/>
    <x v="2"/>
    <x v="4"/>
    <x v="28"/>
    <x v="0"/>
    <x v="4"/>
    <n v="22.473766397571566"/>
  </r>
  <r>
    <x v="0"/>
    <x v="8"/>
    <x v="2"/>
    <x v="4"/>
    <x v="28"/>
    <x v="0"/>
    <x v="5"/>
    <n v="35.837901844395219"/>
  </r>
  <r>
    <x v="0"/>
    <x v="8"/>
    <x v="2"/>
    <x v="4"/>
    <x v="28"/>
    <x v="0"/>
    <x v="6"/>
    <n v="46.576484987638565"/>
  </r>
  <r>
    <x v="0"/>
    <x v="8"/>
    <x v="2"/>
    <x v="4"/>
    <x v="29"/>
    <x v="0"/>
    <x v="0"/>
    <n v="18.714801652896387"/>
  </r>
  <r>
    <x v="0"/>
    <x v="8"/>
    <x v="2"/>
    <x v="4"/>
    <x v="29"/>
    <x v="0"/>
    <x v="1"/>
    <n v="45.682940892286588"/>
  </r>
  <r>
    <x v="0"/>
    <x v="8"/>
    <x v="2"/>
    <x v="4"/>
    <x v="29"/>
    <x v="0"/>
    <x v="2"/>
    <n v="83.545864077640289"/>
  </r>
  <r>
    <x v="0"/>
    <x v="8"/>
    <x v="2"/>
    <x v="4"/>
    <x v="29"/>
    <x v="0"/>
    <x v="3"/>
    <n v="179.251956873983"/>
  </r>
  <r>
    <x v="0"/>
    <x v="8"/>
    <x v="2"/>
    <x v="4"/>
    <x v="29"/>
    <x v="0"/>
    <x v="4"/>
    <n v="273.63098410427028"/>
  </r>
  <r>
    <x v="0"/>
    <x v="8"/>
    <x v="2"/>
    <x v="4"/>
    <x v="29"/>
    <x v="0"/>
    <x v="5"/>
    <n v="395.30523037207894"/>
  </r>
  <r>
    <x v="0"/>
    <x v="8"/>
    <x v="2"/>
    <x v="4"/>
    <x v="29"/>
    <x v="0"/>
    <x v="6"/>
    <n v="607.47518199342232"/>
  </r>
  <r>
    <x v="0"/>
    <x v="8"/>
    <x v="3"/>
    <x v="5"/>
    <x v="30"/>
    <x v="0"/>
    <x v="0"/>
    <n v="6.0947296549179061E-2"/>
  </r>
  <r>
    <x v="0"/>
    <x v="8"/>
    <x v="3"/>
    <x v="5"/>
    <x v="30"/>
    <x v="0"/>
    <x v="1"/>
    <n v="0.30743871414646579"/>
  </r>
  <r>
    <x v="0"/>
    <x v="8"/>
    <x v="3"/>
    <x v="5"/>
    <x v="30"/>
    <x v="0"/>
    <x v="2"/>
    <n v="2.877280248425278"/>
  </r>
  <r>
    <x v="0"/>
    <x v="8"/>
    <x v="3"/>
    <x v="5"/>
    <x v="30"/>
    <x v="0"/>
    <x v="3"/>
    <n v="20.899197611297815"/>
  </r>
  <r>
    <x v="0"/>
    <x v="8"/>
    <x v="3"/>
    <x v="5"/>
    <x v="30"/>
    <x v="0"/>
    <x v="4"/>
    <n v="49.386097699019771"/>
  </r>
  <r>
    <x v="0"/>
    <x v="8"/>
    <x v="3"/>
    <x v="5"/>
    <x v="30"/>
    <x v="0"/>
    <x v="5"/>
    <n v="74.026408615625513"/>
  </r>
  <r>
    <x v="0"/>
    <x v="8"/>
    <x v="3"/>
    <x v="5"/>
    <x v="30"/>
    <x v="0"/>
    <x v="6"/>
    <n v="91.511559031653221"/>
  </r>
  <r>
    <x v="0"/>
    <x v="8"/>
    <x v="2"/>
    <x v="4"/>
    <x v="31"/>
    <x v="0"/>
    <x v="0"/>
    <n v="0.67368008497698184"/>
  </r>
  <r>
    <x v="0"/>
    <x v="8"/>
    <x v="2"/>
    <x v="4"/>
    <x v="31"/>
    <x v="0"/>
    <x v="1"/>
    <n v="3.1463492234151342"/>
  </r>
  <r>
    <x v="0"/>
    <x v="8"/>
    <x v="2"/>
    <x v="4"/>
    <x v="31"/>
    <x v="0"/>
    <x v="2"/>
    <n v="13.284998970781718"/>
  </r>
  <r>
    <x v="0"/>
    <x v="8"/>
    <x v="2"/>
    <x v="4"/>
    <x v="31"/>
    <x v="0"/>
    <x v="3"/>
    <n v="56.597164829582681"/>
  </r>
  <r>
    <x v="0"/>
    <x v="8"/>
    <x v="2"/>
    <x v="4"/>
    <x v="31"/>
    <x v="0"/>
    <x v="4"/>
    <n v="204.30778822903025"/>
  </r>
  <r>
    <x v="0"/>
    <x v="8"/>
    <x v="2"/>
    <x v="4"/>
    <x v="31"/>
    <x v="0"/>
    <x v="5"/>
    <n v="301.21956739830603"/>
  </r>
  <r>
    <x v="0"/>
    <x v="8"/>
    <x v="2"/>
    <x v="4"/>
    <x v="31"/>
    <x v="0"/>
    <x v="6"/>
    <n v="435.2996563089709"/>
  </r>
  <r>
    <x v="0"/>
    <x v="8"/>
    <x v="2"/>
    <x v="4"/>
    <x v="32"/>
    <x v="0"/>
    <x v="0"/>
    <n v="0"/>
  </r>
  <r>
    <x v="0"/>
    <x v="8"/>
    <x v="2"/>
    <x v="4"/>
    <x v="32"/>
    <x v="0"/>
    <x v="1"/>
    <n v="0"/>
  </r>
  <r>
    <x v="0"/>
    <x v="8"/>
    <x v="2"/>
    <x v="4"/>
    <x v="32"/>
    <x v="0"/>
    <x v="2"/>
    <n v="0"/>
  </r>
  <r>
    <x v="0"/>
    <x v="8"/>
    <x v="2"/>
    <x v="4"/>
    <x v="32"/>
    <x v="0"/>
    <x v="3"/>
    <n v="0"/>
  </r>
  <r>
    <x v="0"/>
    <x v="8"/>
    <x v="2"/>
    <x v="4"/>
    <x v="32"/>
    <x v="0"/>
    <x v="4"/>
    <n v="4.2494799194091506"/>
  </r>
  <r>
    <x v="0"/>
    <x v="8"/>
    <x v="2"/>
    <x v="4"/>
    <x v="32"/>
    <x v="0"/>
    <x v="5"/>
    <n v="5.2214646863693428"/>
  </r>
  <r>
    <x v="0"/>
    <x v="8"/>
    <x v="2"/>
    <x v="4"/>
    <x v="32"/>
    <x v="0"/>
    <x v="6"/>
    <n v="0"/>
  </r>
  <r>
    <x v="0"/>
    <x v="8"/>
    <x v="2"/>
    <x v="4"/>
    <x v="33"/>
    <x v="0"/>
    <x v="0"/>
    <n v="1.3265212785758718E-8"/>
  </r>
  <r>
    <x v="0"/>
    <x v="8"/>
    <x v="2"/>
    <x v="4"/>
    <x v="33"/>
    <x v="0"/>
    <x v="1"/>
    <n v="5.3850737848779757E-8"/>
  </r>
  <r>
    <x v="0"/>
    <x v="8"/>
    <x v="2"/>
    <x v="4"/>
    <x v="33"/>
    <x v="0"/>
    <x v="2"/>
    <n v="3.0046371858190048E-7"/>
  </r>
  <r>
    <x v="0"/>
    <x v="8"/>
    <x v="2"/>
    <x v="4"/>
    <x v="33"/>
    <x v="0"/>
    <x v="3"/>
    <n v="9.8174168966632015E-7"/>
  </r>
  <r>
    <x v="0"/>
    <x v="8"/>
    <x v="2"/>
    <x v="4"/>
    <x v="33"/>
    <x v="0"/>
    <x v="4"/>
    <n v="4.59905587517792E-6"/>
  </r>
  <r>
    <x v="0"/>
    <x v="8"/>
    <x v="2"/>
    <x v="4"/>
    <x v="33"/>
    <x v="0"/>
    <x v="5"/>
    <n v="7.1659511364254429E-6"/>
  </r>
  <r>
    <x v="0"/>
    <x v="8"/>
    <x v="2"/>
    <x v="4"/>
    <x v="33"/>
    <x v="0"/>
    <x v="6"/>
    <n v="1.5656447870433073E-5"/>
  </r>
  <r>
    <x v="0"/>
    <x v="8"/>
    <x v="2"/>
    <x v="4"/>
    <x v="34"/>
    <x v="0"/>
    <x v="0"/>
    <n v="2.6892443047398698E-2"/>
  </r>
  <r>
    <x v="0"/>
    <x v="8"/>
    <x v="2"/>
    <x v="4"/>
    <x v="34"/>
    <x v="0"/>
    <x v="1"/>
    <n v="0.10032796412555059"/>
  </r>
  <r>
    <x v="0"/>
    <x v="8"/>
    <x v="2"/>
    <x v="4"/>
    <x v="34"/>
    <x v="0"/>
    <x v="2"/>
    <n v="0.35560525952398508"/>
  </r>
  <r>
    <x v="0"/>
    <x v="8"/>
    <x v="2"/>
    <x v="4"/>
    <x v="34"/>
    <x v="0"/>
    <x v="3"/>
    <n v="1.482641341010611"/>
  </r>
  <r>
    <x v="0"/>
    <x v="8"/>
    <x v="2"/>
    <x v="4"/>
    <x v="34"/>
    <x v="0"/>
    <x v="4"/>
    <n v="2.5401811678866495"/>
  </r>
  <r>
    <x v="0"/>
    <x v="8"/>
    <x v="2"/>
    <x v="4"/>
    <x v="34"/>
    <x v="0"/>
    <x v="5"/>
    <n v="3.8410554081755111"/>
  </r>
  <r>
    <x v="0"/>
    <x v="8"/>
    <x v="2"/>
    <x v="4"/>
    <x v="34"/>
    <x v="0"/>
    <x v="6"/>
    <n v="7.0847601261003614"/>
  </r>
  <r>
    <x v="0"/>
    <x v="8"/>
    <x v="2"/>
    <x v="6"/>
    <x v="35"/>
    <x v="0"/>
    <x v="0"/>
    <n v="0.34810940593140177"/>
  </r>
  <r>
    <x v="0"/>
    <x v="8"/>
    <x v="2"/>
    <x v="6"/>
    <x v="35"/>
    <x v="0"/>
    <x v="1"/>
    <n v="0.72874683168490162"/>
  </r>
  <r>
    <x v="0"/>
    <x v="8"/>
    <x v="2"/>
    <x v="6"/>
    <x v="35"/>
    <x v="0"/>
    <x v="2"/>
    <n v="1.7676694115829725"/>
  </r>
  <r>
    <x v="0"/>
    <x v="8"/>
    <x v="2"/>
    <x v="6"/>
    <x v="35"/>
    <x v="0"/>
    <x v="3"/>
    <n v="3.4782315569330109"/>
  </r>
  <r>
    <x v="0"/>
    <x v="8"/>
    <x v="2"/>
    <x v="6"/>
    <x v="35"/>
    <x v="0"/>
    <x v="4"/>
    <n v="4.7812308004119481"/>
  </r>
  <r>
    <x v="0"/>
    <x v="8"/>
    <x v="2"/>
    <x v="6"/>
    <x v="35"/>
    <x v="0"/>
    <x v="5"/>
    <n v="7.5121795007972878"/>
  </r>
  <r>
    <x v="0"/>
    <x v="8"/>
    <x v="2"/>
    <x v="6"/>
    <x v="35"/>
    <x v="0"/>
    <x v="6"/>
    <n v="8.9275545138024661"/>
  </r>
  <r>
    <x v="0"/>
    <x v="8"/>
    <x v="2"/>
    <x v="6"/>
    <x v="36"/>
    <x v="0"/>
    <x v="0"/>
    <n v="0.3454894084080985"/>
  </r>
  <r>
    <x v="0"/>
    <x v="8"/>
    <x v="2"/>
    <x v="6"/>
    <x v="36"/>
    <x v="0"/>
    <x v="1"/>
    <n v="0.79252917364133268"/>
  </r>
  <r>
    <x v="0"/>
    <x v="8"/>
    <x v="2"/>
    <x v="6"/>
    <x v="36"/>
    <x v="0"/>
    <x v="2"/>
    <n v="1.6830908372222635"/>
  </r>
  <r>
    <x v="0"/>
    <x v="8"/>
    <x v="2"/>
    <x v="6"/>
    <x v="36"/>
    <x v="0"/>
    <x v="3"/>
    <n v="3.5989868891315187"/>
  </r>
  <r>
    <x v="0"/>
    <x v="8"/>
    <x v="2"/>
    <x v="6"/>
    <x v="36"/>
    <x v="0"/>
    <x v="4"/>
    <n v="5.0267927718539713"/>
  </r>
  <r>
    <x v="0"/>
    <x v="8"/>
    <x v="2"/>
    <x v="6"/>
    <x v="36"/>
    <x v="0"/>
    <x v="5"/>
    <n v="8.124519937157741"/>
  </r>
  <r>
    <x v="0"/>
    <x v="8"/>
    <x v="2"/>
    <x v="6"/>
    <x v="36"/>
    <x v="0"/>
    <x v="6"/>
    <n v="10.913167028765168"/>
  </r>
  <r>
    <x v="0"/>
    <x v="8"/>
    <x v="2"/>
    <x v="6"/>
    <x v="37"/>
    <x v="0"/>
    <x v="0"/>
    <n v="0.50168223563134073"/>
  </r>
  <r>
    <x v="0"/>
    <x v="8"/>
    <x v="2"/>
    <x v="6"/>
    <x v="37"/>
    <x v="0"/>
    <x v="1"/>
    <n v="1.2382196171556676"/>
  </r>
  <r>
    <x v="0"/>
    <x v="8"/>
    <x v="2"/>
    <x v="6"/>
    <x v="37"/>
    <x v="0"/>
    <x v="2"/>
    <n v="3.3220312934424436"/>
  </r>
  <r>
    <x v="0"/>
    <x v="8"/>
    <x v="2"/>
    <x v="6"/>
    <x v="37"/>
    <x v="0"/>
    <x v="3"/>
    <n v="7.0992475146740954"/>
  </r>
  <r>
    <x v="0"/>
    <x v="8"/>
    <x v="2"/>
    <x v="6"/>
    <x v="37"/>
    <x v="0"/>
    <x v="4"/>
    <n v="9.295679212460529"/>
  </r>
  <r>
    <x v="0"/>
    <x v="8"/>
    <x v="2"/>
    <x v="6"/>
    <x v="37"/>
    <x v="0"/>
    <x v="5"/>
    <n v="15.456953754083729"/>
  </r>
  <r>
    <x v="0"/>
    <x v="8"/>
    <x v="2"/>
    <x v="6"/>
    <x v="37"/>
    <x v="0"/>
    <x v="6"/>
    <n v="20.847360273961243"/>
  </r>
  <r>
    <x v="0"/>
    <x v="8"/>
    <x v="2"/>
    <x v="6"/>
    <x v="38"/>
    <x v="0"/>
    <x v="0"/>
    <n v="0.18863994890153216"/>
  </r>
  <r>
    <x v="0"/>
    <x v="8"/>
    <x v="2"/>
    <x v="6"/>
    <x v="38"/>
    <x v="0"/>
    <x v="1"/>
    <n v="0.50240208313553425"/>
  </r>
  <r>
    <x v="0"/>
    <x v="8"/>
    <x v="2"/>
    <x v="6"/>
    <x v="38"/>
    <x v="0"/>
    <x v="2"/>
    <n v="1.1315550772749008"/>
  </r>
  <r>
    <x v="0"/>
    <x v="8"/>
    <x v="2"/>
    <x v="6"/>
    <x v="38"/>
    <x v="0"/>
    <x v="3"/>
    <n v="2.5529415199622547"/>
  </r>
  <r>
    <x v="0"/>
    <x v="8"/>
    <x v="2"/>
    <x v="6"/>
    <x v="38"/>
    <x v="0"/>
    <x v="4"/>
    <n v="3.465064369102516"/>
  </r>
  <r>
    <x v="0"/>
    <x v="8"/>
    <x v="2"/>
    <x v="6"/>
    <x v="38"/>
    <x v="0"/>
    <x v="5"/>
    <n v="5.5119303521937102"/>
  </r>
  <r>
    <x v="0"/>
    <x v="8"/>
    <x v="2"/>
    <x v="6"/>
    <x v="38"/>
    <x v="0"/>
    <x v="6"/>
    <n v="6.9572038019633942"/>
  </r>
  <r>
    <x v="0"/>
    <x v="8"/>
    <x v="3"/>
    <x v="5"/>
    <x v="39"/>
    <x v="0"/>
    <x v="0"/>
    <n v="0.28708776440094758"/>
  </r>
  <r>
    <x v="0"/>
    <x v="8"/>
    <x v="3"/>
    <x v="5"/>
    <x v="39"/>
    <x v="0"/>
    <x v="1"/>
    <n v="0.87858209845172452"/>
  </r>
  <r>
    <x v="0"/>
    <x v="8"/>
    <x v="3"/>
    <x v="5"/>
    <x v="39"/>
    <x v="0"/>
    <x v="2"/>
    <n v="4.8241096142151259"/>
  </r>
  <r>
    <x v="0"/>
    <x v="8"/>
    <x v="3"/>
    <x v="5"/>
    <x v="39"/>
    <x v="0"/>
    <x v="3"/>
    <n v="20.93824136175061"/>
  </r>
  <r>
    <x v="0"/>
    <x v="8"/>
    <x v="3"/>
    <x v="5"/>
    <x v="39"/>
    <x v="0"/>
    <x v="4"/>
    <n v="42.466139874272088"/>
  </r>
  <r>
    <x v="0"/>
    <x v="8"/>
    <x v="3"/>
    <x v="5"/>
    <x v="39"/>
    <x v="0"/>
    <x v="5"/>
    <n v="57.671999646266606"/>
  </r>
  <r>
    <x v="0"/>
    <x v="8"/>
    <x v="3"/>
    <x v="5"/>
    <x v="39"/>
    <x v="0"/>
    <x v="6"/>
    <n v="68.326446743589955"/>
  </r>
  <r>
    <x v="0"/>
    <x v="8"/>
    <x v="2"/>
    <x v="6"/>
    <x v="40"/>
    <x v="0"/>
    <x v="0"/>
    <n v="0.90027632553610903"/>
  </r>
  <r>
    <x v="0"/>
    <x v="8"/>
    <x v="2"/>
    <x v="6"/>
    <x v="40"/>
    <x v="0"/>
    <x v="1"/>
    <n v="2.1904468055519497"/>
  </r>
  <r>
    <x v="0"/>
    <x v="8"/>
    <x v="2"/>
    <x v="6"/>
    <x v="40"/>
    <x v="0"/>
    <x v="2"/>
    <n v="4.9317761844342396"/>
  </r>
  <r>
    <x v="0"/>
    <x v="8"/>
    <x v="2"/>
    <x v="6"/>
    <x v="40"/>
    <x v="0"/>
    <x v="3"/>
    <n v="10.671810706469589"/>
  </r>
  <r>
    <x v="0"/>
    <x v="8"/>
    <x v="2"/>
    <x v="6"/>
    <x v="40"/>
    <x v="0"/>
    <x v="4"/>
    <n v="14.627474842302924"/>
  </r>
  <r>
    <x v="0"/>
    <x v="8"/>
    <x v="2"/>
    <x v="6"/>
    <x v="40"/>
    <x v="0"/>
    <x v="5"/>
    <n v="24.66853647577971"/>
  </r>
  <r>
    <x v="0"/>
    <x v="8"/>
    <x v="2"/>
    <x v="6"/>
    <x v="40"/>
    <x v="0"/>
    <x v="6"/>
    <n v="31.207713264444031"/>
  </r>
  <r>
    <x v="0"/>
    <x v="8"/>
    <x v="2"/>
    <x v="6"/>
    <x v="41"/>
    <x v="0"/>
    <x v="0"/>
    <n v="1.3914711940148872"/>
  </r>
  <r>
    <x v="0"/>
    <x v="8"/>
    <x v="2"/>
    <x v="6"/>
    <x v="41"/>
    <x v="0"/>
    <x v="1"/>
    <n v="3.2466793847971349"/>
  </r>
  <r>
    <x v="0"/>
    <x v="8"/>
    <x v="2"/>
    <x v="6"/>
    <x v="41"/>
    <x v="0"/>
    <x v="2"/>
    <n v="7.2899682222187909"/>
  </r>
  <r>
    <x v="0"/>
    <x v="8"/>
    <x v="2"/>
    <x v="6"/>
    <x v="41"/>
    <x v="0"/>
    <x v="3"/>
    <n v="16.150678364758061"/>
  </r>
  <r>
    <x v="0"/>
    <x v="8"/>
    <x v="2"/>
    <x v="6"/>
    <x v="41"/>
    <x v="0"/>
    <x v="4"/>
    <n v="22.399845182050939"/>
  </r>
  <r>
    <x v="0"/>
    <x v="8"/>
    <x v="2"/>
    <x v="6"/>
    <x v="41"/>
    <x v="0"/>
    <x v="5"/>
    <n v="37.478128300613136"/>
  </r>
  <r>
    <x v="0"/>
    <x v="8"/>
    <x v="2"/>
    <x v="6"/>
    <x v="41"/>
    <x v="0"/>
    <x v="6"/>
    <n v="46.973957253342604"/>
  </r>
  <r>
    <x v="0"/>
    <x v="8"/>
    <x v="2"/>
    <x v="6"/>
    <x v="42"/>
    <x v="0"/>
    <x v="0"/>
    <n v="1.1619874563207271"/>
  </r>
  <r>
    <x v="0"/>
    <x v="8"/>
    <x v="2"/>
    <x v="6"/>
    <x v="42"/>
    <x v="0"/>
    <x v="1"/>
    <n v="2.5910084291854187"/>
  </r>
  <r>
    <x v="0"/>
    <x v="8"/>
    <x v="2"/>
    <x v="6"/>
    <x v="42"/>
    <x v="0"/>
    <x v="2"/>
    <n v="5.6413675201836684"/>
  </r>
  <r>
    <x v="0"/>
    <x v="8"/>
    <x v="2"/>
    <x v="6"/>
    <x v="42"/>
    <x v="0"/>
    <x v="3"/>
    <n v="11.741284949651861"/>
  </r>
  <r>
    <x v="0"/>
    <x v="8"/>
    <x v="2"/>
    <x v="6"/>
    <x v="42"/>
    <x v="0"/>
    <x v="4"/>
    <n v="16.226205843851577"/>
  </r>
  <r>
    <x v="0"/>
    <x v="8"/>
    <x v="2"/>
    <x v="6"/>
    <x v="42"/>
    <x v="0"/>
    <x v="5"/>
    <n v="27.51268977379878"/>
  </r>
  <r>
    <x v="0"/>
    <x v="8"/>
    <x v="2"/>
    <x v="6"/>
    <x v="42"/>
    <x v="0"/>
    <x v="6"/>
    <n v="38.349125376678892"/>
  </r>
  <r>
    <x v="0"/>
    <x v="8"/>
    <x v="2"/>
    <x v="6"/>
    <x v="43"/>
    <x v="0"/>
    <x v="0"/>
    <n v="2.0941677222721027"/>
  </r>
  <r>
    <x v="0"/>
    <x v="8"/>
    <x v="2"/>
    <x v="6"/>
    <x v="43"/>
    <x v="0"/>
    <x v="1"/>
    <n v="5.0120223394657275"/>
  </r>
  <r>
    <x v="0"/>
    <x v="8"/>
    <x v="2"/>
    <x v="6"/>
    <x v="43"/>
    <x v="0"/>
    <x v="2"/>
    <n v="9.7249232821832798"/>
  </r>
  <r>
    <x v="0"/>
    <x v="8"/>
    <x v="2"/>
    <x v="6"/>
    <x v="43"/>
    <x v="0"/>
    <x v="3"/>
    <n v="18.896274595161124"/>
  </r>
  <r>
    <x v="0"/>
    <x v="8"/>
    <x v="2"/>
    <x v="6"/>
    <x v="43"/>
    <x v="0"/>
    <x v="4"/>
    <n v="23.953358342793166"/>
  </r>
  <r>
    <x v="0"/>
    <x v="8"/>
    <x v="2"/>
    <x v="6"/>
    <x v="43"/>
    <x v="0"/>
    <x v="5"/>
    <n v="37.00217353381602"/>
  </r>
  <r>
    <x v="0"/>
    <x v="8"/>
    <x v="2"/>
    <x v="6"/>
    <x v="43"/>
    <x v="0"/>
    <x v="6"/>
    <n v="47.398155980772856"/>
  </r>
  <r>
    <x v="0"/>
    <x v="8"/>
    <x v="4"/>
    <x v="7"/>
    <x v="44"/>
    <x v="0"/>
    <x v="0"/>
    <n v="1.1646430728710209"/>
  </r>
  <r>
    <x v="0"/>
    <x v="8"/>
    <x v="4"/>
    <x v="7"/>
    <x v="44"/>
    <x v="0"/>
    <x v="1"/>
    <n v="4.6936663145907183"/>
  </r>
  <r>
    <x v="0"/>
    <x v="8"/>
    <x v="4"/>
    <x v="7"/>
    <x v="44"/>
    <x v="0"/>
    <x v="2"/>
    <n v="17.422727578006231"/>
  </r>
  <r>
    <x v="0"/>
    <x v="8"/>
    <x v="4"/>
    <x v="7"/>
    <x v="44"/>
    <x v="0"/>
    <x v="3"/>
    <n v="57.474201089791485"/>
  </r>
  <r>
    <x v="0"/>
    <x v="8"/>
    <x v="4"/>
    <x v="7"/>
    <x v="44"/>
    <x v="0"/>
    <x v="4"/>
    <n v="82.598966497282831"/>
  </r>
  <r>
    <x v="0"/>
    <x v="8"/>
    <x v="4"/>
    <x v="7"/>
    <x v="44"/>
    <x v="0"/>
    <x v="5"/>
    <n v="124.08436857217472"/>
  </r>
  <r>
    <x v="0"/>
    <x v="8"/>
    <x v="4"/>
    <x v="7"/>
    <x v="44"/>
    <x v="0"/>
    <x v="6"/>
    <n v="239.69747535570696"/>
  </r>
  <r>
    <x v="0"/>
    <x v="8"/>
    <x v="4"/>
    <x v="7"/>
    <x v="45"/>
    <x v="0"/>
    <x v="0"/>
    <n v="0"/>
  </r>
  <r>
    <x v="0"/>
    <x v="8"/>
    <x v="4"/>
    <x v="7"/>
    <x v="45"/>
    <x v="0"/>
    <x v="1"/>
    <n v="0"/>
  </r>
  <r>
    <x v="0"/>
    <x v="8"/>
    <x v="4"/>
    <x v="7"/>
    <x v="45"/>
    <x v="0"/>
    <x v="2"/>
    <n v="0"/>
  </r>
  <r>
    <x v="0"/>
    <x v="8"/>
    <x v="4"/>
    <x v="7"/>
    <x v="45"/>
    <x v="0"/>
    <x v="3"/>
    <n v="0"/>
  </r>
  <r>
    <x v="0"/>
    <x v="8"/>
    <x v="4"/>
    <x v="7"/>
    <x v="45"/>
    <x v="0"/>
    <x v="4"/>
    <n v="0"/>
  </r>
  <r>
    <x v="0"/>
    <x v="8"/>
    <x v="4"/>
    <x v="7"/>
    <x v="45"/>
    <x v="0"/>
    <x v="5"/>
    <n v="0"/>
  </r>
  <r>
    <x v="0"/>
    <x v="8"/>
    <x v="4"/>
    <x v="7"/>
    <x v="45"/>
    <x v="0"/>
    <x v="6"/>
    <n v="0"/>
  </r>
  <r>
    <x v="0"/>
    <x v="8"/>
    <x v="4"/>
    <x v="7"/>
    <x v="46"/>
    <x v="0"/>
    <x v="0"/>
    <n v="0"/>
  </r>
  <r>
    <x v="0"/>
    <x v="8"/>
    <x v="4"/>
    <x v="7"/>
    <x v="46"/>
    <x v="0"/>
    <x v="1"/>
    <n v="0"/>
  </r>
  <r>
    <x v="0"/>
    <x v="8"/>
    <x v="4"/>
    <x v="7"/>
    <x v="46"/>
    <x v="0"/>
    <x v="2"/>
    <n v="0"/>
  </r>
  <r>
    <x v="0"/>
    <x v="8"/>
    <x v="4"/>
    <x v="7"/>
    <x v="46"/>
    <x v="0"/>
    <x v="3"/>
    <n v="0"/>
  </r>
  <r>
    <x v="0"/>
    <x v="8"/>
    <x v="4"/>
    <x v="7"/>
    <x v="46"/>
    <x v="0"/>
    <x v="4"/>
    <n v="0"/>
  </r>
  <r>
    <x v="0"/>
    <x v="8"/>
    <x v="4"/>
    <x v="7"/>
    <x v="46"/>
    <x v="0"/>
    <x v="5"/>
    <n v="0"/>
  </r>
  <r>
    <x v="0"/>
    <x v="8"/>
    <x v="4"/>
    <x v="7"/>
    <x v="46"/>
    <x v="0"/>
    <x v="6"/>
    <n v="0"/>
  </r>
  <r>
    <x v="0"/>
    <x v="8"/>
    <x v="4"/>
    <x v="7"/>
    <x v="47"/>
    <x v="0"/>
    <x v="0"/>
    <n v="0"/>
  </r>
  <r>
    <x v="0"/>
    <x v="8"/>
    <x v="4"/>
    <x v="7"/>
    <x v="47"/>
    <x v="0"/>
    <x v="1"/>
    <n v="0"/>
  </r>
  <r>
    <x v="0"/>
    <x v="8"/>
    <x v="4"/>
    <x v="7"/>
    <x v="47"/>
    <x v="0"/>
    <x v="2"/>
    <n v="0"/>
  </r>
  <r>
    <x v="0"/>
    <x v="8"/>
    <x v="4"/>
    <x v="7"/>
    <x v="47"/>
    <x v="0"/>
    <x v="3"/>
    <n v="0"/>
  </r>
  <r>
    <x v="0"/>
    <x v="8"/>
    <x v="4"/>
    <x v="7"/>
    <x v="47"/>
    <x v="0"/>
    <x v="4"/>
    <n v="0"/>
  </r>
  <r>
    <x v="0"/>
    <x v="8"/>
    <x v="4"/>
    <x v="7"/>
    <x v="47"/>
    <x v="0"/>
    <x v="5"/>
    <n v="0"/>
  </r>
  <r>
    <x v="0"/>
    <x v="8"/>
    <x v="4"/>
    <x v="7"/>
    <x v="47"/>
    <x v="0"/>
    <x v="6"/>
    <n v="0"/>
  </r>
  <r>
    <x v="0"/>
    <x v="8"/>
    <x v="4"/>
    <x v="7"/>
    <x v="48"/>
    <x v="0"/>
    <x v="0"/>
    <n v="0"/>
  </r>
  <r>
    <x v="0"/>
    <x v="8"/>
    <x v="4"/>
    <x v="7"/>
    <x v="48"/>
    <x v="0"/>
    <x v="1"/>
    <n v="0"/>
  </r>
  <r>
    <x v="0"/>
    <x v="8"/>
    <x v="4"/>
    <x v="7"/>
    <x v="48"/>
    <x v="0"/>
    <x v="2"/>
    <n v="0"/>
  </r>
  <r>
    <x v="0"/>
    <x v="8"/>
    <x v="4"/>
    <x v="7"/>
    <x v="48"/>
    <x v="0"/>
    <x v="3"/>
    <n v="0"/>
  </r>
  <r>
    <x v="0"/>
    <x v="8"/>
    <x v="4"/>
    <x v="7"/>
    <x v="48"/>
    <x v="0"/>
    <x v="4"/>
    <n v="0"/>
  </r>
  <r>
    <x v="0"/>
    <x v="8"/>
    <x v="4"/>
    <x v="7"/>
    <x v="48"/>
    <x v="0"/>
    <x v="5"/>
    <n v="0"/>
  </r>
  <r>
    <x v="0"/>
    <x v="8"/>
    <x v="4"/>
    <x v="7"/>
    <x v="48"/>
    <x v="0"/>
    <x v="6"/>
    <n v="0"/>
  </r>
  <r>
    <x v="0"/>
    <x v="8"/>
    <x v="4"/>
    <x v="7"/>
    <x v="49"/>
    <x v="0"/>
    <x v="0"/>
    <n v="0"/>
  </r>
  <r>
    <x v="0"/>
    <x v="8"/>
    <x v="4"/>
    <x v="7"/>
    <x v="49"/>
    <x v="0"/>
    <x v="1"/>
    <n v="0"/>
  </r>
  <r>
    <x v="0"/>
    <x v="8"/>
    <x v="4"/>
    <x v="7"/>
    <x v="49"/>
    <x v="0"/>
    <x v="2"/>
    <n v="0"/>
  </r>
  <r>
    <x v="0"/>
    <x v="8"/>
    <x v="4"/>
    <x v="7"/>
    <x v="49"/>
    <x v="0"/>
    <x v="3"/>
    <n v="0"/>
  </r>
  <r>
    <x v="0"/>
    <x v="8"/>
    <x v="4"/>
    <x v="7"/>
    <x v="49"/>
    <x v="0"/>
    <x v="4"/>
    <n v="0"/>
  </r>
  <r>
    <x v="0"/>
    <x v="8"/>
    <x v="4"/>
    <x v="7"/>
    <x v="49"/>
    <x v="0"/>
    <x v="5"/>
    <n v="0"/>
  </r>
  <r>
    <x v="0"/>
    <x v="8"/>
    <x v="4"/>
    <x v="7"/>
    <x v="49"/>
    <x v="0"/>
    <x v="6"/>
    <n v="0"/>
  </r>
  <r>
    <x v="0"/>
    <x v="8"/>
    <x v="4"/>
    <x v="7"/>
    <x v="50"/>
    <x v="0"/>
    <x v="0"/>
    <n v="0"/>
  </r>
  <r>
    <x v="0"/>
    <x v="8"/>
    <x v="4"/>
    <x v="7"/>
    <x v="50"/>
    <x v="0"/>
    <x v="1"/>
    <n v="0"/>
  </r>
  <r>
    <x v="0"/>
    <x v="8"/>
    <x v="4"/>
    <x v="7"/>
    <x v="50"/>
    <x v="0"/>
    <x v="2"/>
    <n v="0"/>
  </r>
  <r>
    <x v="0"/>
    <x v="8"/>
    <x v="4"/>
    <x v="7"/>
    <x v="50"/>
    <x v="0"/>
    <x v="3"/>
    <n v="0"/>
  </r>
  <r>
    <x v="0"/>
    <x v="8"/>
    <x v="4"/>
    <x v="7"/>
    <x v="50"/>
    <x v="0"/>
    <x v="4"/>
    <n v="0"/>
  </r>
  <r>
    <x v="0"/>
    <x v="8"/>
    <x v="4"/>
    <x v="7"/>
    <x v="50"/>
    <x v="0"/>
    <x v="5"/>
    <n v="0"/>
  </r>
  <r>
    <x v="0"/>
    <x v="8"/>
    <x v="4"/>
    <x v="7"/>
    <x v="50"/>
    <x v="0"/>
    <x v="6"/>
    <n v="0"/>
  </r>
  <r>
    <x v="0"/>
    <x v="8"/>
    <x v="5"/>
    <x v="8"/>
    <x v="51"/>
    <x v="0"/>
    <x v="0"/>
    <n v="0"/>
  </r>
  <r>
    <x v="0"/>
    <x v="8"/>
    <x v="5"/>
    <x v="8"/>
    <x v="51"/>
    <x v="0"/>
    <x v="1"/>
    <n v="0"/>
  </r>
  <r>
    <x v="0"/>
    <x v="8"/>
    <x v="5"/>
    <x v="8"/>
    <x v="51"/>
    <x v="0"/>
    <x v="2"/>
    <n v="0"/>
  </r>
  <r>
    <x v="0"/>
    <x v="8"/>
    <x v="5"/>
    <x v="8"/>
    <x v="51"/>
    <x v="0"/>
    <x v="3"/>
    <n v="8.3460987098771516E-3"/>
  </r>
  <r>
    <x v="0"/>
    <x v="8"/>
    <x v="5"/>
    <x v="8"/>
    <x v="51"/>
    <x v="0"/>
    <x v="4"/>
    <n v="6.1885317839798289E-2"/>
  </r>
  <r>
    <x v="0"/>
    <x v="8"/>
    <x v="5"/>
    <x v="8"/>
    <x v="51"/>
    <x v="0"/>
    <x v="5"/>
    <n v="9.7433760331943842E-2"/>
  </r>
  <r>
    <x v="0"/>
    <x v="8"/>
    <x v="5"/>
    <x v="8"/>
    <x v="51"/>
    <x v="0"/>
    <x v="6"/>
    <n v="0.12092991261487432"/>
  </r>
  <r>
    <x v="0"/>
    <x v="8"/>
    <x v="3"/>
    <x v="5"/>
    <x v="52"/>
    <x v="0"/>
    <x v="0"/>
    <n v="4.3536627180677036E-4"/>
  </r>
  <r>
    <x v="0"/>
    <x v="8"/>
    <x v="3"/>
    <x v="5"/>
    <x v="52"/>
    <x v="0"/>
    <x v="1"/>
    <n v="6.0556723697370576E-3"/>
  </r>
  <r>
    <x v="0"/>
    <x v="8"/>
    <x v="3"/>
    <x v="5"/>
    <x v="52"/>
    <x v="0"/>
    <x v="2"/>
    <n v="7.7929392216150833E-2"/>
  </r>
  <r>
    <x v="0"/>
    <x v="8"/>
    <x v="3"/>
    <x v="5"/>
    <x v="52"/>
    <x v="0"/>
    <x v="3"/>
    <n v="0.86997800618955146"/>
  </r>
  <r>
    <x v="0"/>
    <x v="8"/>
    <x v="3"/>
    <x v="5"/>
    <x v="52"/>
    <x v="0"/>
    <x v="4"/>
    <n v="6.4934719166140695"/>
  </r>
  <r>
    <x v="0"/>
    <x v="8"/>
    <x v="3"/>
    <x v="5"/>
    <x v="52"/>
    <x v="0"/>
    <x v="5"/>
    <n v="11.385519207077435"/>
  </r>
  <r>
    <x v="0"/>
    <x v="8"/>
    <x v="3"/>
    <x v="5"/>
    <x v="52"/>
    <x v="0"/>
    <x v="6"/>
    <n v="22.338122476208554"/>
  </r>
  <r>
    <x v="0"/>
    <x v="8"/>
    <x v="5"/>
    <x v="8"/>
    <x v="53"/>
    <x v="0"/>
    <x v="0"/>
    <n v="0.64119210565087648"/>
  </r>
  <r>
    <x v="0"/>
    <x v="8"/>
    <x v="5"/>
    <x v="8"/>
    <x v="53"/>
    <x v="0"/>
    <x v="1"/>
    <n v="4.3821733300442434"/>
  </r>
  <r>
    <x v="0"/>
    <x v="8"/>
    <x v="5"/>
    <x v="8"/>
    <x v="53"/>
    <x v="0"/>
    <x v="2"/>
    <n v="8.534431581780801"/>
  </r>
  <r>
    <x v="0"/>
    <x v="8"/>
    <x v="5"/>
    <x v="8"/>
    <x v="53"/>
    <x v="0"/>
    <x v="3"/>
    <n v="12.799764653903198"/>
  </r>
  <r>
    <x v="0"/>
    <x v="8"/>
    <x v="5"/>
    <x v="8"/>
    <x v="53"/>
    <x v="0"/>
    <x v="4"/>
    <n v="19.473913260343522"/>
  </r>
  <r>
    <x v="0"/>
    <x v="8"/>
    <x v="5"/>
    <x v="8"/>
    <x v="53"/>
    <x v="0"/>
    <x v="5"/>
    <n v="27.391752959465169"/>
  </r>
  <r>
    <x v="0"/>
    <x v="8"/>
    <x v="5"/>
    <x v="8"/>
    <x v="53"/>
    <x v="0"/>
    <x v="6"/>
    <n v="33.72508272638531"/>
  </r>
  <r>
    <x v="0"/>
    <x v="8"/>
    <x v="4"/>
    <x v="7"/>
    <x v="54"/>
    <x v="0"/>
    <x v="0"/>
    <n v="0"/>
  </r>
  <r>
    <x v="0"/>
    <x v="8"/>
    <x v="4"/>
    <x v="7"/>
    <x v="54"/>
    <x v="0"/>
    <x v="1"/>
    <n v="0"/>
  </r>
  <r>
    <x v="0"/>
    <x v="8"/>
    <x v="4"/>
    <x v="7"/>
    <x v="54"/>
    <x v="0"/>
    <x v="2"/>
    <n v="0"/>
  </r>
  <r>
    <x v="0"/>
    <x v="8"/>
    <x v="4"/>
    <x v="7"/>
    <x v="54"/>
    <x v="0"/>
    <x v="3"/>
    <n v="0"/>
  </r>
  <r>
    <x v="0"/>
    <x v="8"/>
    <x v="4"/>
    <x v="7"/>
    <x v="54"/>
    <x v="0"/>
    <x v="4"/>
    <n v="0"/>
  </r>
  <r>
    <x v="0"/>
    <x v="8"/>
    <x v="4"/>
    <x v="7"/>
    <x v="54"/>
    <x v="0"/>
    <x v="5"/>
    <n v="0"/>
  </r>
  <r>
    <x v="0"/>
    <x v="8"/>
    <x v="4"/>
    <x v="7"/>
    <x v="54"/>
    <x v="0"/>
    <x v="6"/>
    <n v="0"/>
  </r>
  <r>
    <x v="0"/>
    <x v="8"/>
    <x v="4"/>
    <x v="7"/>
    <x v="55"/>
    <x v="0"/>
    <x v="0"/>
    <n v="0"/>
  </r>
  <r>
    <x v="0"/>
    <x v="8"/>
    <x v="4"/>
    <x v="7"/>
    <x v="55"/>
    <x v="0"/>
    <x v="1"/>
    <n v="0"/>
  </r>
  <r>
    <x v="0"/>
    <x v="8"/>
    <x v="4"/>
    <x v="7"/>
    <x v="55"/>
    <x v="0"/>
    <x v="2"/>
    <n v="0"/>
  </r>
  <r>
    <x v="0"/>
    <x v="8"/>
    <x v="4"/>
    <x v="7"/>
    <x v="55"/>
    <x v="0"/>
    <x v="3"/>
    <n v="0"/>
  </r>
  <r>
    <x v="0"/>
    <x v="8"/>
    <x v="4"/>
    <x v="7"/>
    <x v="55"/>
    <x v="0"/>
    <x v="4"/>
    <n v="0"/>
  </r>
  <r>
    <x v="0"/>
    <x v="8"/>
    <x v="4"/>
    <x v="7"/>
    <x v="55"/>
    <x v="0"/>
    <x v="5"/>
    <n v="0"/>
  </r>
  <r>
    <x v="0"/>
    <x v="8"/>
    <x v="4"/>
    <x v="7"/>
    <x v="55"/>
    <x v="0"/>
    <x v="6"/>
    <n v="0"/>
  </r>
  <r>
    <x v="0"/>
    <x v="8"/>
    <x v="4"/>
    <x v="7"/>
    <x v="56"/>
    <x v="0"/>
    <x v="0"/>
    <n v="0"/>
  </r>
  <r>
    <x v="0"/>
    <x v="8"/>
    <x v="4"/>
    <x v="7"/>
    <x v="56"/>
    <x v="0"/>
    <x v="1"/>
    <n v="0"/>
  </r>
  <r>
    <x v="0"/>
    <x v="8"/>
    <x v="4"/>
    <x v="7"/>
    <x v="56"/>
    <x v="0"/>
    <x v="2"/>
    <n v="0"/>
  </r>
  <r>
    <x v="0"/>
    <x v="8"/>
    <x v="4"/>
    <x v="7"/>
    <x v="56"/>
    <x v="0"/>
    <x v="3"/>
    <n v="0"/>
  </r>
  <r>
    <x v="0"/>
    <x v="8"/>
    <x v="4"/>
    <x v="7"/>
    <x v="56"/>
    <x v="0"/>
    <x v="4"/>
    <n v="0"/>
  </r>
  <r>
    <x v="0"/>
    <x v="8"/>
    <x v="4"/>
    <x v="7"/>
    <x v="56"/>
    <x v="0"/>
    <x v="5"/>
    <n v="0"/>
  </r>
  <r>
    <x v="0"/>
    <x v="8"/>
    <x v="4"/>
    <x v="7"/>
    <x v="56"/>
    <x v="0"/>
    <x v="6"/>
    <n v="0"/>
  </r>
  <r>
    <x v="0"/>
    <x v="8"/>
    <x v="4"/>
    <x v="7"/>
    <x v="57"/>
    <x v="0"/>
    <x v="0"/>
    <n v="1.1226105320590543"/>
  </r>
  <r>
    <x v="0"/>
    <x v="8"/>
    <x v="4"/>
    <x v="7"/>
    <x v="57"/>
    <x v="0"/>
    <x v="1"/>
    <n v="2.4788023205052609"/>
  </r>
  <r>
    <x v="0"/>
    <x v="8"/>
    <x v="4"/>
    <x v="7"/>
    <x v="57"/>
    <x v="0"/>
    <x v="2"/>
    <n v="5.2505242071272065"/>
  </r>
  <r>
    <x v="0"/>
    <x v="8"/>
    <x v="4"/>
    <x v="7"/>
    <x v="57"/>
    <x v="0"/>
    <x v="3"/>
    <n v="15.805421052113015"/>
  </r>
  <r>
    <x v="0"/>
    <x v="8"/>
    <x v="4"/>
    <x v="7"/>
    <x v="57"/>
    <x v="0"/>
    <x v="4"/>
    <n v="28.207285867441872"/>
  </r>
  <r>
    <x v="0"/>
    <x v="8"/>
    <x v="4"/>
    <x v="7"/>
    <x v="57"/>
    <x v="0"/>
    <x v="5"/>
    <n v="38.742898695891576"/>
  </r>
  <r>
    <x v="0"/>
    <x v="8"/>
    <x v="4"/>
    <x v="7"/>
    <x v="57"/>
    <x v="0"/>
    <x v="6"/>
    <n v="67.681528172149243"/>
  </r>
  <r>
    <x v="0"/>
    <x v="8"/>
    <x v="4"/>
    <x v="7"/>
    <x v="58"/>
    <x v="0"/>
    <x v="0"/>
    <n v="5.9875204701229645"/>
  </r>
  <r>
    <x v="0"/>
    <x v="8"/>
    <x v="4"/>
    <x v="7"/>
    <x v="58"/>
    <x v="0"/>
    <x v="1"/>
    <n v="10.678835889199073"/>
  </r>
  <r>
    <x v="0"/>
    <x v="8"/>
    <x v="4"/>
    <x v="7"/>
    <x v="58"/>
    <x v="0"/>
    <x v="2"/>
    <n v="20.317217829517062"/>
  </r>
  <r>
    <x v="0"/>
    <x v="8"/>
    <x v="4"/>
    <x v="7"/>
    <x v="58"/>
    <x v="0"/>
    <x v="3"/>
    <n v="26.817399618596387"/>
  </r>
  <r>
    <x v="0"/>
    <x v="8"/>
    <x v="4"/>
    <x v="7"/>
    <x v="58"/>
    <x v="0"/>
    <x v="4"/>
    <n v="24.385057276035006"/>
  </r>
  <r>
    <x v="0"/>
    <x v="8"/>
    <x v="4"/>
    <x v="7"/>
    <x v="58"/>
    <x v="0"/>
    <x v="5"/>
    <n v="25.835345011592583"/>
  </r>
  <r>
    <x v="0"/>
    <x v="8"/>
    <x v="4"/>
    <x v="7"/>
    <x v="58"/>
    <x v="0"/>
    <x v="6"/>
    <n v="29.086867516482325"/>
  </r>
  <r>
    <x v="0"/>
    <x v="8"/>
    <x v="4"/>
    <x v="7"/>
    <x v="59"/>
    <x v="0"/>
    <x v="0"/>
    <n v="0.43054234764110155"/>
  </r>
  <r>
    <x v="0"/>
    <x v="8"/>
    <x v="4"/>
    <x v="7"/>
    <x v="59"/>
    <x v="0"/>
    <x v="1"/>
    <n v="0.45500145962343796"/>
  </r>
  <r>
    <x v="0"/>
    <x v="8"/>
    <x v="4"/>
    <x v="7"/>
    <x v="59"/>
    <x v="0"/>
    <x v="2"/>
    <n v="0.60449625932929085"/>
  </r>
  <r>
    <x v="0"/>
    <x v="8"/>
    <x v="4"/>
    <x v="7"/>
    <x v="59"/>
    <x v="0"/>
    <x v="3"/>
    <n v="0.97740638363173982"/>
  </r>
  <r>
    <x v="0"/>
    <x v="8"/>
    <x v="4"/>
    <x v="7"/>
    <x v="59"/>
    <x v="0"/>
    <x v="4"/>
    <n v="1.300875569778128"/>
  </r>
  <r>
    <x v="0"/>
    <x v="8"/>
    <x v="4"/>
    <x v="7"/>
    <x v="59"/>
    <x v="0"/>
    <x v="5"/>
    <n v="2.6884432935729055"/>
  </r>
  <r>
    <x v="0"/>
    <x v="8"/>
    <x v="4"/>
    <x v="7"/>
    <x v="59"/>
    <x v="0"/>
    <x v="6"/>
    <n v="4.8104816274999322"/>
  </r>
  <r>
    <x v="0"/>
    <x v="8"/>
    <x v="4"/>
    <x v="7"/>
    <x v="60"/>
    <x v="0"/>
    <x v="0"/>
    <n v="0"/>
  </r>
  <r>
    <x v="0"/>
    <x v="8"/>
    <x v="4"/>
    <x v="7"/>
    <x v="60"/>
    <x v="0"/>
    <x v="1"/>
    <n v="0"/>
  </r>
  <r>
    <x v="0"/>
    <x v="8"/>
    <x v="4"/>
    <x v="7"/>
    <x v="60"/>
    <x v="0"/>
    <x v="2"/>
    <n v="0"/>
  </r>
  <r>
    <x v="0"/>
    <x v="8"/>
    <x v="4"/>
    <x v="7"/>
    <x v="60"/>
    <x v="0"/>
    <x v="3"/>
    <n v="0"/>
  </r>
  <r>
    <x v="0"/>
    <x v="8"/>
    <x v="4"/>
    <x v="7"/>
    <x v="60"/>
    <x v="0"/>
    <x v="4"/>
    <n v="0"/>
  </r>
  <r>
    <x v="0"/>
    <x v="8"/>
    <x v="4"/>
    <x v="7"/>
    <x v="60"/>
    <x v="0"/>
    <x v="5"/>
    <n v="0"/>
  </r>
  <r>
    <x v="0"/>
    <x v="8"/>
    <x v="4"/>
    <x v="7"/>
    <x v="60"/>
    <x v="0"/>
    <x v="6"/>
    <n v="0"/>
  </r>
  <r>
    <x v="0"/>
    <x v="8"/>
    <x v="4"/>
    <x v="7"/>
    <x v="61"/>
    <x v="0"/>
    <x v="0"/>
    <n v="0"/>
  </r>
  <r>
    <x v="0"/>
    <x v="8"/>
    <x v="4"/>
    <x v="7"/>
    <x v="61"/>
    <x v="0"/>
    <x v="1"/>
    <n v="0"/>
  </r>
  <r>
    <x v="0"/>
    <x v="8"/>
    <x v="4"/>
    <x v="7"/>
    <x v="61"/>
    <x v="0"/>
    <x v="2"/>
    <n v="0"/>
  </r>
  <r>
    <x v="0"/>
    <x v="8"/>
    <x v="4"/>
    <x v="7"/>
    <x v="61"/>
    <x v="0"/>
    <x v="3"/>
    <n v="0"/>
  </r>
  <r>
    <x v="0"/>
    <x v="8"/>
    <x v="4"/>
    <x v="7"/>
    <x v="61"/>
    <x v="0"/>
    <x v="4"/>
    <n v="0.16889180912662538"/>
  </r>
  <r>
    <x v="0"/>
    <x v="8"/>
    <x v="4"/>
    <x v="7"/>
    <x v="61"/>
    <x v="0"/>
    <x v="5"/>
    <n v="0.30741572159775915"/>
  </r>
  <r>
    <x v="0"/>
    <x v="8"/>
    <x v="4"/>
    <x v="7"/>
    <x v="61"/>
    <x v="0"/>
    <x v="6"/>
    <n v="0"/>
  </r>
  <r>
    <x v="0"/>
    <x v="8"/>
    <x v="4"/>
    <x v="7"/>
    <x v="62"/>
    <x v="0"/>
    <x v="0"/>
    <n v="0.38044476324140863"/>
  </r>
  <r>
    <x v="0"/>
    <x v="8"/>
    <x v="4"/>
    <x v="7"/>
    <x v="62"/>
    <x v="0"/>
    <x v="1"/>
    <n v="0.94331630589822746"/>
  </r>
  <r>
    <x v="0"/>
    <x v="8"/>
    <x v="4"/>
    <x v="7"/>
    <x v="62"/>
    <x v="0"/>
    <x v="2"/>
    <n v="2.2053942375155482"/>
  </r>
  <r>
    <x v="0"/>
    <x v="8"/>
    <x v="4"/>
    <x v="7"/>
    <x v="62"/>
    <x v="0"/>
    <x v="3"/>
    <n v="4.8671593017209736"/>
  </r>
  <r>
    <x v="0"/>
    <x v="8"/>
    <x v="4"/>
    <x v="7"/>
    <x v="62"/>
    <x v="0"/>
    <x v="4"/>
    <n v="10.510803275782035"/>
  </r>
  <r>
    <x v="0"/>
    <x v="8"/>
    <x v="4"/>
    <x v="7"/>
    <x v="62"/>
    <x v="0"/>
    <x v="5"/>
    <n v="20.140788549744055"/>
  </r>
  <r>
    <x v="0"/>
    <x v="8"/>
    <x v="4"/>
    <x v="7"/>
    <x v="62"/>
    <x v="0"/>
    <x v="6"/>
    <n v="35.42628626063442"/>
  </r>
  <r>
    <x v="0"/>
    <x v="8"/>
    <x v="4"/>
    <x v="7"/>
    <x v="63"/>
    <x v="0"/>
    <x v="0"/>
    <n v="0"/>
  </r>
  <r>
    <x v="0"/>
    <x v="8"/>
    <x v="4"/>
    <x v="7"/>
    <x v="63"/>
    <x v="0"/>
    <x v="1"/>
    <n v="0"/>
  </r>
  <r>
    <x v="0"/>
    <x v="8"/>
    <x v="4"/>
    <x v="7"/>
    <x v="63"/>
    <x v="0"/>
    <x v="2"/>
    <n v="0"/>
  </r>
  <r>
    <x v="0"/>
    <x v="8"/>
    <x v="4"/>
    <x v="7"/>
    <x v="63"/>
    <x v="0"/>
    <x v="3"/>
    <n v="0"/>
  </r>
  <r>
    <x v="0"/>
    <x v="8"/>
    <x v="4"/>
    <x v="7"/>
    <x v="63"/>
    <x v="0"/>
    <x v="4"/>
    <n v="0"/>
  </r>
  <r>
    <x v="0"/>
    <x v="8"/>
    <x v="4"/>
    <x v="7"/>
    <x v="63"/>
    <x v="0"/>
    <x v="5"/>
    <n v="0"/>
  </r>
  <r>
    <x v="0"/>
    <x v="8"/>
    <x v="4"/>
    <x v="7"/>
    <x v="63"/>
    <x v="0"/>
    <x v="6"/>
    <n v="0"/>
  </r>
  <r>
    <x v="0"/>
    <x v="8"/>
    <x v="4"/>
    <x v="7"/>
    <x v="64"/>
    <x v="0"/>
    <x v="0"/>
    <n v="5.2650201314624061"/>
  </r>
  <r>
    <x v="0"/>
    <x v="8"/>
    <x v="4"/>
    <x v="7"/>
    <x v="64"/>
    <x v="0"/>
    <x v="1"/>
    <n v="15.449935266588097"/>
  </r>
  <r>
    <x v="0"/>
    <x v="8"/>
    <x v="4"/>
    <x v="7"/>
    <x v="64"/>
    <x v="0"/>
    <x v="2"/>
    <n v="51.666136128718961"/>
  </r>
  <r>
    <x v="0"/>
    <x v="8"/>
    <x v="4"/>
    <x v="7"/>
    <x v="64"/>
    <x v="0"/>
    <x v="3"/>
    <n v="62.561896195078226"/>
  </r>
  <r>
    <x v="0"/>
    <x v="8"/>
    <x v="4"/>
    <x v="7"/>
    <x v="64"/>
    <x v="0"/>
    <x v="4"/>
    <n v="89.313185810220517"/>
  </r>
  <r>
    <x v="0"/>
    <x v="8"/>
    <x v="4"/>
    <x v="7"/>
    <x v="64"/>
    <x v="0"/>
    <x v="5"/>
    <n v="136.65401324346178"/>
  </r>
  <r>
    <x v="0"/>
    <x v="8"/>
    <x v="4"/>
    <x v="7"/>
    <x v="64"/>
    <x v="0"/>
    <x v="6"/>
    <n v="237.74885837311948"/>
  </r>
  <r>
    <x v="0"/>
    <x v="8"/>
    <x v="3"/>
    <x v="5"/>
    <x v="65"/>
    <x v="0"/>
    <x v="0"/>
    <n v="1.1566647485818788"/>
  </r>
  <r>
    <x v="0"/>
    <x v="8"/>
    <x v="3"/>
    <x v="5"/>
    <x v="65"/>
    <x v="0"/>
    <x v="1"/>
    <n v="3.6895625459980277"/>
  </r>
  <r>
    <x v="0"/>
    <x v="8"/>
    <x v="3"/>
    <x v="5"/>
    <x v="65"/>
    <x v="0"/>
    <x v="2"/>
    <n v="6.4240782505071907"/>
  </r>
  <r>
    <x v="0"/>
    <x v="8"/>
    <x v="3"/>
    <x v="5"/>
    <x v="65"/>
    <x v="0"/>
    <x v="3"/>
    <n v="11.85551834949475"/>
  </r>
  <r>
    <x v="0"/>
    <x v="8"/>
    <x v="3"/>
    <x v="5"/>
    <x v="65"/>
    <x v="0"/>
    <x v="4"/>
    <n v="13.379291657569434"/>
  </r>
  <r>
    <x v="0"/>
    <x v="8"/>
    <x v="3"/>
    <x v="5"/>
    <x v="65"/>
    <x v="0"/>
    <x v="5"/>
    <n v="30.700204948855806"/>
  </r>
  <r>
    <x v="0"/>
    <x v="8"/>
    <x v="3"/>
    <x v="5"/>
    <x v="65"/>
    <x v="0"/>
    <x v="6"/>
    <n v="46.926380918019802"/>
  </r>
  <r>
    <x v="0"/>
    <x v="8"/>
    <x v="3"/>
    <x v="5"/>
    <x v="66"/>
    <x v="0"/>
    <x v="0"/>
    <n v="0"/>
  </r>
  <r>
    <x v="0"/>
    <x v="8"/>
    <x v="3"/>
    <x v="5"/>
    <x v="66"/>
    <x v="0"/>
    <x v="1"/>
    <n v="0"/>
  </r>
  <r>
    <x v="0"/>
    <x v="8"/>
    <x v="3"/>
    <x v="5"/>
    <x v="66"/>
    <x v="0"/>
    <x v="2"/>
    <n v="0"/>
  </r>
  <r>
    <x v="0"/>
    <x v="8"/>
    <x v="3"/>
    <x v="5"/>
    <x v="66"/>
    <x v="0"/>
    <x v="3"/>
    <n v="0"/>
  </r>
  <r>
    <x v="0"/>
    <x v="8"/>
    <x v="3"/>
    <x v="5"/>
    <x v="66"/>
    <x v="0"/>
    <x v="4"/>
    <n v="0"/>
  </r>
  <r>
    <x v="0"/>
    <x v="8"/>
    <x v="3"/>
    <x v="5"/>
    <x v="66"/>
    <x v="0"/>
    <x v="5"/>
    <n v="0"/>
  </r>
  <r>
    <x v="0"/>
    <x v="8"/>
    <x v="3"/>
    <x v="5"/>
    <x v="66"/>
    <x v="0"/>
    <x v="6"/>
    <n v="0"/>
  </r>
  <r>
    <x v="0"/>
    <x v="8"/>
    <x v="3"/>
    <x v="5"/>
    <x v="67"/>
    <x v="0"/>
    <x v="0"/>
    <n v="0"/>
  </r>
  <r>
    <x v="0"/>
    <x v="8"/>
    <x v="3"/>
    <x v="5"/>
    <x v="67"/>
    <x v="0"/>
    <x v="1"/>
    <n v="0"/>
  </r>
  <r>
    <x v="0"/>
    <x v="8"/>
    <x v="3"/>
    <x v="5"/>
    <x v="67"/>
    <x v="0"/>
    <x v="2"/>
    <n v="0"/>
  </r>
  <r>
    <x v="0"/>
    <x v="8"/>
    <x v="3"/>
    <x v="5"/>
    <x v="67"/>
    <x v="0"/>
    <x v="3"/>
    <n v="0"/>
  </r>
  <r>
    <x v="0"/>
    <x v="8"/>
    <x v="3"/>
    <x v="5"/>
    <x v="67"/>
    <x v="0"/>
    <x v="4"/>
    <n v="0"/>
  </r>
  <r>
    <x v="0"/>
    <x v="8"/>
    <x v="3"/>
    <x v="5"/>
    <x v="67"/>
    <x v="0"/>
    <x v="5"/>
    <n v="0"/>
  </r>
  <r>
    <x v="0"/>
    <x v="8"/>
    <x v="3"/>
    <x v="5"/>
    <x v="67"/>
    <x v="0"/>
    <x v="6"/>
    <n v="0"/>
  </r>
  <r>
    <x v="0"/>
    <x v="8"/>
    <x v="3"/>
    <x v="5"/>
    <x v="68"/>
    <x v="0"/>
    <x v="0"/>
    <n v="0.58955123407243282"/>
  </r>
  <r>
    <x v="0"/>
    <x v="8"/>
    <x v="3"/>
    <x v="5"/>
    <x v="68"/>
    <x v="0"/>
    <x v="1"/>
    <n v="2.9701810502559378"/>
  </r>
  <r>
    <x v="0"/>
    <x v="8"/>
    <x v="3"/>
    <x v="5"/>
    <x v="68"/>
    <x v="0"/>
    <x v="2"/>
    <n v="11.103652111512357"/>
  </r>
  <r>
    <x v="0"/>
    <x v="8"/>
    <x v="3"/>
    <x v="5"/>
    <x v="68"/>
    <x v="0"/>
    <x v="3"/>
    <n v="37.983983817922393"/>
  </r>
  <r>
    <x v="0"/>
    <x v="8"/>
    <x v="3"/>
    <x v="5"/>
    <x v="68"/>
    <x v="0"/>
    <x v="4"/>
    <n v="124.43755187267516"/>
  </r>
  <r>
    <x v="0"/>
    <x v="8"/>
    <x v="3"/>
    <x v="5"/>
    <x v="68"/>
    <x v="0"/>
    <x v="5"/>
    <n v="168.85763587514572"/>
  </r>
  <r>
    <x v="0"/>
    <x v="8"/>
    <x v="3"/>
    <x v="5"/>
    <x v="68"/>
    <x v="0"/>
    <x v="6"/>
    <n v="273.17922096816204"/>
  </r>
  <r>
    <x v="0"/>
    <x v="8"/>
    <x v="3"/>
    <x v="5"/>
    <x v="69"/>
    <x v="0"/>
    <x v="0"/>
    <n v="0.33363240365385038"/>
  </r>
  <r>
    <x v="0"/>
    <x v="8"/>
    <x v="3"/>
    <x v="5"/>
    <x v="69"/>
    <x v="0"/>
    <x v="1"/>
    <n v="1.011895949112229"/>
  </r>
  <r>
    <x v="0"/>
    <x v="8"/>
    <x v="3"/>
    <x v="5"/>
    <x v="69"/>
    <x v="0"/>
    <x v="2"/>
    <n v="2.8857520183437977"/>
  </r>
  <r>
    <x v="0"/>
    <x v="8"/>
    <x v="3"/>
    <x v="5"/>
    <x v="69"/>
    <x v="0"/>
    <x v="3"/>
    <n v="34.872505816625548"/>
  </r>
  <r>
    <x v="0"/>
    <x v="8"/>
    <x v="3"/>
    <x v="5"/>
    <x v="69"/>
    <x v="0"/>
    <x v="4"/>
    <n v="57.257041404621482"/>
  </r>
  <r>
    <x v="0"/>
    <x v="8"/>
    <x v="3"/>
    <x v="5"/>
    <x v="69"/>
    <x v="0"/>
    <x v="5"/>
    <n v="96.352531085715512"/>
  </r>
  <r>
    <x v="0"/>
    <x v="8"/>
    <x v="3"/>
    <x v="5"/>
    <x v="69"/>
    <x v="0"/>
    <x v="6"/>
    <n v="141.09962927330213"/>
  </r>
  <r>
    <x v="0"/>
    <x v="8"/>
    <x v="3"/>
    <x v="5"/>
    <x v="70"/>
    <x v="0"/>
    <x v="0"/>
    <n v="0.40652247320818102"/>
  </r>
  <r>
    <x v="0"/>
    <x v="8"/>
    <x v="3"/>
    <x v="5"/>
    <x v="70"/>
    <x v="0"/>
    <x v="1"/>
    <n v="0.88078621249533495"/>
  </r>
  <r>
    <x v="0"/>
    <x v="8"/>
    <x v="3"/>
    <x v="5"/>
    <x v="70"/>
    <x v="0"/>
    <x v="2"/>
    <n v="2.854889644576116"/>
  </r>
  <r>
    <x v="0"/>
    <x v="8"/>
    <x v="3"/>
    <x v="5"/>
    <x v="70"/>
    <x v="0"/>
    <x v="3"/>
    <n v="7.9724050576539076"/>
  </r>
  <r>
    <x v="0"/>
    <x v="8"/>
    <x v="3"/>
    <x v="5"/>
    <x v="70"/>
    <x v="0"/>
    <x v="4"/>
    <n v="24.576853422827487"/>
  </r>
  <r>
    <x v="0"/>
    <x v="8"/>
    <x v="3"/>
    <x v="5"/>
    <x v="70"/>
    <x v="0"/>
    <x v="5"/>
    <n v="35.720029849069689"/>
  </r>
  <r>
    <x v="0"/>
    <x v="8"/>
    <x v="3"/>
    <x v="5"/>
    <x v="70"/>
    <x v="0"/>
    <x v="6"/>
    <n v="53.177085006520926"/>
  </r>
  <r>
    <x v="0"/>
    <x v="8"/>
    <x v="3"/>
    <x v="5"/>
    <x v="71"/>
    <x v="0"/>
    <x v="0"/>
    <n v="0.21318001240871642"/>
  </r>
  <r>
    <x v="0"/>
    <x v="8"/>
    <x v="3"/>
    <x v="5"/>
    <x v="71"/>
    <x v="0"/>
    <x v="1"/>
    <n v="0.6097240407961696"/>
  </r>
  <r>
    <x v="0"/>
    <x v="8"/>
    <x v="3"/>
    <x v="5"/>
    <x v="71"/>
    <x v="0"/>
    <x v="2"/>
    <n v="1.2102243407322244"/>
  </r>
  <r>
    <x v="0"/>
    <x v="8"/>
    <x v="3"/>
    <x v="5"/>
    <x v="71"/>
    <x v="0"/>
    <x v="3"/>
    <n v="2.8454081257709825"/>
  </r>
  <r>
    <x v="0"/>
    <x v="8"/>
    <x v="3"/>
    <x v="5"/>
    <x v="71"/>
    <x v="0"/>
    <x v="4"/>
    <n v="7.1517880713367585"/>
  </r>
  <r>
    <x v="0"/>
    <x v="8"/>
    <x v="3"/>
    <x v="5"/>
    <x v="71"/>
    <x v="0"/>
    <x v="5"/>
    <n v="14.496524388591627"/>
  </r>
  <r>
    <x v="0"/>
    <x v="8"/>
    <x v="3"/>
    <x v="5"/>
    <x v="71"/>
    <x v="0"/>
    <x v="6"/>
    <n v="26.743555086548085"/>
  </r>
  <r>
    <x v="0"/>
    <x v="8"/>
    <x v="3"/>
    <x v="5"/>
    <x v="72"/>
    <x v="0"/>
    <x v="0"/>
    <n v="0"/>
  </r>
  <r>
    <x v="0"/>
    <x v="8"/>
    <x v="3"/>
    <x v="5"/>
    <x v="72"/>
    <x v="0"/>
    <x v="1"/>
    <n v="0"/>
  </r>
  <r>
    <x v="0"/>
    <x v="8"/>
    <x v="3"/>
    <x v="5"/>
    <x v="72"/>
    <x v="0"/>
    <x v="2"/>
    <n v="0"/>
  </r>
  <r>
    <x v="0"/>
    <x v="8"/>
    <x v="3"/>
    <x v="5"/>
    <x v="72"/>
    <x v="0"/>
    <x v="3"/>
    <n v="0"/>
  </r>
  <r>
    <x v="0"/>
    <x v="8"/>
    <x v="3"/>
    <x v="5"/>
    <x v="72"/>
    <x v="0"/>
    <x v="4"/>
    <n v="0"/>
  </r>
  <r>
    <x v="0"/>
    <x v="8"/>
    <x v="3"/>
    <x v="5"/>
    <x v="72"/>
    <x v="0"/>
    <x v="5"/>
    <n v="0"/>
  </r>
  <r>
    <x v="0"/>
    <x v="8"/>
    <x v="3"/>
    <x v="5"/>
    <x v="72"/>
    <x v="0"/>
    <x v="6"/>
    <n v="0"/>
  </r>
  <r>
    <x v="0"/>
    <x v="8"/>
    <x v="3"/>
    <x v="5"/>
    <x v="73"/>
    <x v="0"/>
    <x v="0"/>
    <n v="3.0872903813418447E-2"/>
  </r>
  <r>
    <x v="0"/>
    <x v="8"/>
    <x v="3"/>
    <x v="5"/>
    <x v="73"/>
    <x v="0"/>
    <x v="1"/>
    <n v="8.3254633153025615E-2"/>
  </r>
  <r>
    <x v="0"/>
    <x v="8"/>
    <x v="3"/>
    <x v="5"/>
    <x v="73"/>
    <x v="0"/>
    <x v="2"/>
    <n v="1.4432604672099369"/>
  </r>
  <r>
    <x v="0"/>
    <x v="8"/>
    <x v="3"/>
    <x v="5"/>
    <x v="73"/>
    <x v="0"/>
    <x v="3"/>
    <n v="2.5164637051624146"/>
  </r>
  <r>
    <x v="0"/>
    <x v="8"/>
    <x v="3"/>
    <x v="5"/>
    <x v="73"/>
    <x v="0"/>
    <x v="4"/>
    <n v="3.5447351264548925"/>
  </r>
  <r>
    <x v="0"/>
    <x v="8"/>
    <x v="3"/>
    <x v="5"/>
    <x v="73"/>
    <x v="0"/>
    <x v="5"/>
    <n v="5.2707376828091554"/>
  </r>
  <r>
    <x v="0"/>
    <x v="8"/>
    <x v="3"/>
    <x v="5"/>
    <x v="73"/>
    <x v="0"/>
    <x v="6"/>
    <n v="9.2330333380561314"/>
  </r>
  <r>
    <x v="0"/>
    <x v="8"/>
    <x v="5"/>
    <x v="8"/>
    <x v="74"/>
    <x v="0"/>
    <x v="0"/>
    <n v="0.21561277645743951"/>
  </r>
  <r>
    <x v="0"/>
    <x v="8"/>
    <x v="5"/>
    <x v="8"/>
    <x v="74"/>
    <x v="0"/>
    <x v="1"/>
    <n v="0.51980535312638376"/>
  </r>
  <r>
    <x v="0"/>
    <x v="8"/>
    <x v="5"/>
    <x v="8"/>
    <x v="74"/>
    <x v="0"/>
    <x v="2"/>
    <n v="1.198581143276932"/>
  </r>
  <r>
    <x v="0"/>
    <x v="8"/>
    <x v="5"/>
    <x v="8"/>
    <x v="74"/>
    <x v="0"/>
    <x v="3"/>
    <n v="2.5494437654466608"/>
  </r>
  <r>
    <x v="0"/>
    <x v="8"/>
    <x v="5"/>
    <x v="8"/>
    <x v="74"/>
    <x v="0"/>
    <x v="4"/>
    <n v="5.2527246610800269"/>
  </r>
  <r>
    <x v="0"/>
    <x v="8"/>
    <x v="5"/>
    <x v="8"/>
    <x v="74"/>
    <x v="0"/>
    <x v="5"/>
    <n v="8.309362904265754"/>
  </r>
  <r>
    <x v="0"/>
    <x v="8"/>
    <x v="5"/>
    <x v="8"/>
    <x v="74"/>
    <x v="0"/>
    <x v="6"/>
    <n v="11.019977551758126"/>
  </r>
  <r>
    <x v="0"/>
    <x v="8"/>
    <x v="5"/>
    <x v="8"/>
    <x v="75"/>
    <x v="0"/>
    <x v="0"/>
    <n v="1.5794892133159257"/>
  </r>
  <r>
    <x v="0"/>
    <x v="8"/>
    <x v="5"/>
    <x v="8"/>
    <x v="75"/>
    <x v="0"/>
    <x v="1"/>
    <n v="4.3353297908783475"/>
  </r>
  <r>
    <x v="0"/>
    <x v="8"/>
    <x v="5"/>
    <x v="8"/>
    <x v="75"/>
    <x v="0"/>
    <x v="2"/>
    <n v="11.096272918999492"/>
  </r>
  <r>
    <x v="0"/>
    <x v="8"/>
    <x v="5"/>
    <x v="8"/>
    <x v="75"/>
    <x v="0"/>
    <x v="3"/>
    <n v="28.332092658848794"/>
  </r>
  <r>
    <x v="0"/>
    <x v="8"/>
    <x v="5"/>
    <x v="8"/>
    <x v="75"/>
    <x v="0"/>
    <x v="4"/>
    <n v="46.30959114405286"/>
  </r>
  <r>
    <x v="0"/>
    <x v="8"/>
    <x v="5"/>
    <x v="8"/>
    <x v="75"/>
    <x v="0"/>
    <x v="5"/>
    <n v="80.846153780837895"/>
  </r>
  <r>
    <x v="0"/>
    <x v="8"/>
    <x v="5"/>
    <x v="8"/>
    <x v="75"/>
    <x v="0"/>
    <x v="6"/>
    <n v="139.46522097048569"/>
  </r>
  <r>
    <x v="0"/>
    <x v="8"/>
    <x v="5"/>
    <x v="8"/>
    <x v="76"/>
    <x v="0"/>
    <x v="0"/>
    <n v="0.60960126466190423"/>
  </r>
  <r>
    <x v="0"/>
    <x v="8"/>
    <x v="5"/>
    <x v="8"/>
    <x v="76"/>
    <x v="0"/>
    <x v="1"/>
    <n v="1.6078029799423985"/>
  </r>
  <r>
    <x v="0"/>
    <x v="8"/>
    <x v="5"/>
    <x v="8"/>
    <x v="76"/>
    <x v="0"/>
    <x v="2"/>
    <n v="3.8610943932921518"/>
  </r>
  <r>
    <x v="0"/>
    <x v="8"/>
    <x v="5"/>
    <x v="8"/>
    <x v="76"/>
    <x v="0"/>
    <x v="3"/>
    <n v="9.4036440764864473"/>
  </r>
  <r>
    <x v="0"/>
    <x v="8"/>
    <x v="5"/>
    <x v="8"/>
    <x v="76"/>
    <x v="0"/>
    <x v="4"/>
    <n v="15.006892667469902"/>
  </r>
  <r>
    <x v="0"/>
    <x v="8"/>
    <x v="5"/>
    <x v="8"/>
    <x v="76"/>
    <x v="0"/>
    <x v="5"/>
    <n v="25.272278638651475"/>
  </r>
  <r>
    <x v="0"/>
    <x v="8"/>
    <x v="5"/>
    <x v="8"/>
    <x v="76"/>
    <x v="0"/>
    <x v="6"/>
    <n v="38.328679338562218"/>
  </r>
  <r>
    <x v="0"/>
    <x v="8"/>
    <x v="5"/>
    <x v="8"/>
    <x v="77"/>
    <x v="0"/>
    <x v="0"/>
    <n v="1.4846200768336574E-3"/>
  </r>
  <r>
    <x v="0"/>
    <x v="8"/>
    <x v="5"/>
    <x v="8"/>
    <x v="77"/>
    <x v="0"/>
    <x v="1"/>
    <n v="8.0663046397050396E-4"/>
  </r>
  <r>
    <x v="0"/>
    <x v="8"/>
    <x v="5"/>
    <x v="8"/>
    <x v="77"/>
    <x v="0"/>
    <x v="2"/>
    <n v="3.6184242086059466E-3"/>
  </r>
  <r>
    <x v="0"/>
    <x v="8"/>
    <x v="5"/>
    <x v="8"/>
    <x v="77"/>
    <x v="0"/>
    <x v="3"/>
    <n v="1.6189645785988041E-2"/>
  </r>
  <r>
    <x v="0"/>
    <x v="8"/>
    <x v="5"/>
    <x v="8"/>
    <x v="77"/>
    <x v="0"/>
    <x v="4"/>
    <n v="3.3242292260469729E-2"/>
  </r>
  <r>
    <x v="0"/>
    <x v="8"/>
    <x v="5"/>
    <x v="8"/>
    <x v="77"/>
    <x v="0"/>
    <x v="5"/>
    <n v="6.2877953237191517E-2"/>
  </r>
  <r>
    <x v="0"/>
    <x v="8"/>
    <x v="5"/>
    <x v="8"/>
    <x v="77"/>
    <x v="0"/>
    <x v="6"/>
    <n v="9.5464098094540387E-2"/>
  </r>
  <r>
    <x v="0"/>
    <x v="8"/>
    <x v="5"/>
    <x v="8"/>
    <x v="78"/>
    <x v="0"/>
    <x v="0"/>
    <n v="1.4369192336490788"/>
  </r>
  <r>
    <x v="0"/>
    <x v="8"/>
    <x v="5"/>
    <x v="8"/>
    <x v="78"/>
    <x v="0"/>
    <x v="1"/>
    <n v="3.9648516342530113"/>
  </r>
  <r>
    <x v="0"/>
    <x v="8"/>
    <x v="5"/>
    <x v="8"/>
    <x v="78"/>
    <x v="0"/>
    <x v="2"/>
    <n v="8.6089257010076796"/>
  </r>
  <r>
    <x v="0"/>
    <x v="8"/>
    <x v="5"/>
    <x v="8"/>
    <x v="78"/>
    <x v="0"/>
    <x v="3"/>
    <n v="18.632842259545672"/>
  </r>
  <r>
    <x v="0"/>
    <x v="8"/>
    <x v="5"/>
    <x v="8"/>
    <x v="78"/>
    <x v="0"/>
    <x v="4"/>
    <n v="26.01517213077296"/>
  </r>
  <r>
    <x v="0"/>
    <x v="8"/>
    <x v="5"/>
    <x v="8"/>
    <x v="78"/>
    <x v="0"/>
    <x v="5"/>
    <n v="39.962789783767967"/>
  </r>
  <r>
    <x v="0"/>
    <x v="8"/>
    <x v="5"/>
    <x v="8"/>
    <x v="78"/>
    <x v="0"/>
    <x v="6"/>
    <n v="55.653506939912802"/>
  </r>
  <r>
    <x v="0"/>
    <x v="8"/>
    <x v="5"/>
    <x v="8"/>
    <x v="79"/>
    <x v="0"/>
    <x v="0"/>
    <n v="1.1210409050883723"/>
  </r>
  <r>
    <x v="0"/>
    <x v="8"/>
    <x v="5"/>
    <x v="8"/>
    <x v="79"/>
    <x v="0"/>
    <x v="1"/>
    <n v="3.1710610040674259"/>
  </r>
  <r>
    <x v="0"/>
    <x v="8"/>
    <x v="5"/>
    <x v="8"/>
    <x v="79"/>
    <x v="0"/>
    <x v="2"/>
    <n v="7.1292596767358383"/>
  </r>
  <r>
    <x v="0"/>
    <x v="8"/>
    <x v="5"/>
    <x v="8"/>
    <x v="79"/>
    <x v="0"/>
    <x v="3"/>
    <n v="14.749499180711732"/>
  </r>
  <r>
    <x v="0"/>
    <x v="8"/>
    <x v="5"/>
    <x v="8"/>
    <x v="79"/>
    <x v="0"/>
    <x v="4"/>
    <n v="26.574891835870311"/>
  </r>
  <r>
    <x v="0"/>
    <x v="8"/>
    <x v="5"/>
    <x v="8"/>
    <x v="79"/>
    <x v="0"/>
    <x v="5"/>
    <n v="49.822377184796991"/>
  </r>
  <r>
    <x v="0"/>
    <x v="8"/>
    <x v="5"/>
    <x v="8"/>
    <x v="79"/>
    <x v="0"/>
    <x v="6"/>
    <n v="70.468277292556806"/>
  </r>
  <r>
    <x v="0"/>
    <x v="8"/>
    <x v="5"/>
    <x v="8"/>
    <x v="80"/>
    <x v="0"/>
    <x v="0"/>
    <n v="3.0161903218389973E-2"/>
  </r>
  <r>
    <x v="0"/>
    <x v="8"/>
    <x v="5"/>
    <x v="8"/>
    <x v="80"/>
    <x v="0"/>
    <x v="1"/>
    <n v="7.2758042011969462E-2"/>
  </r>
  <r>
    <x v="0"/>
    <x v="8"/>
    <x v="5"/>
    <x v="8"/>
    <x v="80"/>
    <x v="0"/>
    <x v="2"/>
    <n v="0.1516167641305203"/>
  </r>
  <r>
    <x v="0"/>
    <x v="8"/>
    <x v="5"/>
    <x v="8"/>
    <x v="80"/>
    <x v="0"/>
    <x v="3"/>
    <n v="0.3086246615513949"/>
  </r>
  <r>
    <x v="0"/>
    <x v="8"/>
    <x v="5"/>
    <x v="8"/>
    <x v="80"/>
    <x v="0"/>
    <x v="4"/>
    <n v="0.41243793384887228"/>
  </r>
  <r>
    <x v="0"/>
    <x v="8"/>
    <x v="5"/>
    <x v="8"/>
    <x v="80"/>
    <x v="0"/>
    <x v="5"/>
    <n v="0.51858660101932885"/>
  </r>
  <r>
    <x v="0"/>
    <x v="8"/>
    <x v="5"/>
    <x v="8"/>
    <x v="80"/>
    <x v="0"/>
    <x v="6"/>
    <n v="0.590531789833175"/>
  </r>
  <r>
    <x v="0"/>
    <x v="8"/>
    <x v="5"/>
    <x v="8"/>
    <x v="81"/>
    <x v="0"/>
    <x v="0"/>
    <n v="1.1663735416751817"/>
  </r>
  <r>
    <x v="0"/>
    <x v="8"/>
    <x v="5"/>
    <x v="8"/>
    <x v="81"/>
    <x v="0"/>
    <x v="1"/>
    <n v="3.2200554534717778"/>
  </r>
  <r>
    <x v="0"/>
    <x v="8"/>
    <x v="5"/>
    <x v="8"/>
    <x v="81"/>
    <x v="0"/>
    <x v="2"/>
    <n v="7.3842723268472383"/>
  </r>
  <r>
    <x v="0"/>
    <x v="8"/>
    <x v="5"/>
    <x v="8"/>
    <x v="81"/>
    <x v="0"/>
    <x v="3"/>
    <n v="16.546072048670247"/>
  </r>
  <r>
    <x v="0"/>
    <x v="8"/>
    <x v="5"/>
    <x v="8"/>
    <x v="81"/>
    <x v="0"/>
    <x v="4"/>
    <n v="24.954216768688987"/>
  </r>
  <r>
    <x v="0"/>
    <x v="8"/>
    <x v="5"/>
    <x v="8"/>
    <x v="81"/>
    <x v="0"/>
    <x v="5"/>
    <n v="40.756195833811326"/>
  </r>
  <r>
    <x v="0"/>
    <x v="8"/>
    <x v="5"/>
    <x v="8"/>
    <x v="81"/>
    <x v="0"/>
    <x v="6"/>
    <n v="60.36858715707487"/>
  </r>
  <r>
    <x v="0"/>
    <x v="8"/>
    <x v="5"/>
    <x v="8"/>
    <x v="82"/>
    <x v="0"/>
    <x v="0"/>
    <n v="1.7510511526736685"/>
  </r>
  <r>
    <x v="0"/>
    <x v="8"/>
    <x v="5"/>
    <x v="8"/>
    <x v="82"/>
    <x v="0"/>
    <x v="1"/>
    <n v="4.6592848537829354"/>
  </r>
  <r>
    <x v="0"/>
    <x v="8"/>
    <x v="5"/>
    <x v="8"/>
    <x v="82"/>
    <x v="0"/>
    <x v="2"/>
    <n v="10.975843652670342"/>
  </r>
  <r>
    <x v="0"/>
    <x v="8"/>
    <x v="5"/>
    <x v="8"/>
    <x v="82"/>
    <x v="0"/>
    <x v="3"/>
    <n v="24.228523219509231"/>
  </r>
  <r>
    <x v="0"/>
    <x v="8"/>
    <x v="5"/>
    <x v="8"/>
    <x v="82"/>
    <x v="0"/>
    <x v="4"/>
    <n v="35.649020704433063"/>
  </r>
  <r>
    <x v="0"/>
    <x v="8"/>
    <x v="5"/>
    <x v="8"/>
    <x v="82"/>
    <x v="0"/>
    <x v="5"/>
    <n v="55.883149886958783"/>
  </r>
  <r>
    <x v="0"/>
    <x v="8"/>
    <x v="5"/>
    <x v="8"/>
    <x v="82"/>
    <x v="0"/>
    <x v="6"/>
    <n v="80.527901505960159"/>
  </r>
  <r>
    <x v="0"/>
    <x v="8"/>
    <x v="5"/>
    <x v="8"/>
    <x v="83"/>
    <x v="0"/>
    <x v="0"/>
    <n v="2.3695283676916654"/>
  </r>
  <r>
    <x v="0"/>
    <x v="8"/>
    <x v="5"/>
    <x v="8"/>
    <x v="83"/>
    <x v="0"/>
    <x v="1"/>
    <n v="5.9753176494195284"/>
  </r>
  <r>
    <x v="0"/>
    <x v="8"/>
    <x v="5"/>
    <x v="8"/>
    <x v="83"/>
    <x v="0"/>
    <x v="2"/>
    <n v="14.210968797114582"/>
  </r>
  <r>
    <x v="0"/>
    <x v="8"/>
    <x v="5"/>
    <x v="8"/>
    <x v="83"/>
    <x v="0"/>
    <x v="3"/>
    <n v="31.36007501909344"/>
  </r>
  <r>
    <x v="0"/>
    <x v="8"/>
    <x v="5"/>
    <x v="8"/>
    <x v="83"/>
    <x v="0"/>
    <x v="4"/>
    <n v="44.426406509255266"/>
  </r>
  <r>
    <x v="0"/>
    <x v="8"/>
    <x v="5"/>
    <x v="8"/>
    <x v="83"/>
    <x v="0"/>
    <x v="5"/>
    <n v="69.41614917696117"/>
  </r>
  <r>
    <x v="0"/>
    <x v="8"/>
    <x v="5"/>
    <x v="8"/>
    <x v="83"/>
    <x v="0"/>
    <x v="6"/>
    <n v="97.194946121978802"/>
  </r>
  <r>
    <x v="1"/>
    <x v="0"/>
    <x v="0"/>
    <x v="0"/>
    <x v="0"/>
    <x v="0"/>
    <x v="0"/>
    <n v="0"/>
  </r>
  <r>
    <x v="1"/>
    <x v="0"/>
    <x v="0"/>
    <x v="0"/>
    <x v="0"/>
    <x v="0"/>
    <x v="1"/>
    <n v="0"/>
  </r>
  <r>
    <x v="1"/>
    <x v="0"/>
    <x v="0"/>
    <x v="0"/>
    <x v="0"/>
    <x v="0"/>
    <x v="2"/>
    <n v="0"/>
  </r>
  <r>
    <x v="1"/>
    <x v="0"/>
    <x v="0"/>
    <x v="0"/>
    <x v="0"/>
    <x v="0"/>
    <x v="3"/>
    <n v="0"/>
  </r>
  <r>
    <x v="1"/>
    <x v="0"/>
    <x v="0"/>
    <x v="0"/>
    <x v="0"/>
    <x v="0"/>
    <x v="4"/>
    <n v="0"/>
  </r>
  <r>
    <x v="1"/>
    <x v="0"/>
    <x v="0"/>
    <x v="0"/>
    <x v="0"/>
    <x v="0"/>
    <x v="5"/>
    <n v="0"/>
  </r>
  <r>
    <x v="1"/>
    <x v="0"/>
    <x v="0"/>
    <x v="0"/>
    <x v="0"/>
    <x v="0"/>
    <x v="6"/>
    <n v="0"/>
  </r>
  <r>
    <x v="1"/>
    <x v="0"/>
    <x v="0"/>
    <x v="1"/>
    <x v="1"/>
    <x v="0"/>
    <x v="0"/>
    <n v="0"/>
  </r>
  <r>
    <x v="1"/>
    <x v="0"/>
    <x v="0"/>
    <x v="1"/>
    <x v="1"/>
    <x v="0"/>
    <x v="1"/>
    <n v="0"/>
  </r>
  <r>
    <x v="1"/>
    <x v="0"/>
    <x v="0"/>
    <x v="1"/>
    <x v="1"/>
    <x v="0"/>
    <x v="2"/>
    <n v="0"/>
  </r>
  <r>
    <x v="1"/>
    <x v="0"/>
    <x v="0"/>
    <x v="1"/>
    <x v="1"/>
    <x v="0"/>
    <x v="3"/>
    <n v="0"/>
  </r>
  <r>
    <x v="1"/>
    <x v="0"/>
    <x v="0"/>
    <x v="1"/>
    <x v="1"/>
    <x v="0"/>
    <x v="4"/>
    <n v="0"/>
  </r>
  <r>
    <x v="1"/>
    <x v="0"/>
    <x v="0"/>
    <x v="1"/>
    <x v="1"/>
    <x v="0"/>
    <x v="5"/>
    <n v="0"/>
  </r>
  <r>
    <x v="1"/>
    <x v="0"/>
    <x v="0"/>
    <x v="1"/>
    <x v="1"/>
    <x v="0"/>
    <x v="6"/>
    <n v="0"/>
  </r>
  <r>
    <x v="1"/>
    <x v="0"/>
    <x v="0"/>
    <x v="1"/>
    <x v="2"/>
    <x v="0"/>
    <x v="0"/>
    <n v="0"/>
  </r>
  <r>
    <x v="1"/>
    <x v="0"/>
    <x v="0"/>
    <x v="1"/>
    <x v="2"/>
    <x v="0"/>
    <x v="1"/>
    <n v="0"/>
  </r>
  <r>
    <x v="1"/>
    <x v="0"/>
    <x v="0"/>
    <x v="1"/>
    <x v="2"/>
    <x v="0"/>
    <x v="2"/>
    <n v="0"/>
  </r>
  <r>
    <x v="1"/>
    <x v="0"/>
    <x v="0"/>
    <x v="1"/>
    <x v="2"/>
    <x v="0"/>
    <x v="3"/>
    <n v="0"/>
  </r>
  <r>
    <x v="1"/>
    <x v="0"/>
    <x v="0"/>
    <x v="1"/>
    <x v="2"/>
    <x v="0"/>
    <x v="4"/>
    <n v="0"/>
  </r>
  <r>
    <x v="1"/>
    <x v="0"/>
    <x v="0"/>
    <x v="1"/>
    <x v="2"/>
    <x v="0"/>
    <x v="5"/>
    <n v="0"/>
  </r>
  <r>
    <x v="1"/>
    <x v="0"/>
    <x v="0"/>
    <x v="1"/>
    <x v="2"/>
    <x v="0"/>
    <x v="6"/>
    <n v="0"/>
  </r>
  <r>
    <x v="1"/>
    <x v="0"/>
    <x v="0"/>
    <x v="1"/>
    <x v="3"/>
    <x v="0"/>
    <x v="0"/>
    <n v="0"/>
  </r>
  <r>
    <x v="1"/>
    <x v="0"/>
    <x v="0"/>
    <x v="1"/>
    <x v="3"/>
    <x v="0"/>
    <x v="1"/>
    <n v="0"/>
  </r>
  <r>
    <x v="1"/>
    <x v="0"/>
    <x v="0"/>
    <x v="1"/>
    <x v="3"/>
    <x v="0"/>
    <x v="2"/>
    <n v="0"/>
  </r>
  <r>
    <x v="1"/>
    <x v="0"/>
    <x v="0"/>
    <x v="1"/>
    <x v="3"/>
    <x v="0"/>
    <x v="3"/>
    <n v="0"/>
  </r>
  <r>
    <x v="1"/>
    <x v="0"/>
    <x v="0"/>
    <x v="1"/>
    <x v="3"/>
    <x v="0"/>
    <x v="4"/>
    <n v="0"/>
  </r>
  <r>
    <x v="1"/>
    <x v="0"/>
    <x v="0"/>
    <x v="1"/>
    <x v="3"/>
    <x v="0"/>
    <x v="5"/>
    <n v="0"/>
  </r>
  <r>
    <x v="1"/>
    <x v="0"/>
    <x v="0"/>
    <x v="1"/>
    <x v="3"/>
    <x v="0"/>
    <x v="6"/>
    <n v="0"/>
  </r>
  <r>
    <x v="1"/>
    <x v="0"/>
    <x v="0"/>
    <x v="1"/>
    <x v="4"/>
    <x v="0"/>
    <x v="0"/>
    <n v="0"/>
  </r>
  <r>
    <x v="1"/>
    <x v="0"/>
    <x v="0"/>
    <x v="1"/>
    <x v="4"/>
    <x v="0"/>
    <x v="1"/>
    <n v="0"/>
  </r>
  <r>
    <x v="1"/>
    <x v="0"/>
    <x v="0"/>
    <x v="1"/>
    <x v="4"/>
    <x v="0"/>
    <x v="2"/>
    <n v="0"/>
  </r>
  <r>
    <x v="1"/>
    <x v="0"/>
    <x v="0"/>
    <x v="1"/>
    <x v="4"/>
    <x v="0"/>
    <x v="3"/>
    <n v="0"/>
  </r>
  <r>
    <x v="1"/>
    <x v="0"/>
    <x v="0"/>
    <x v="1"/>
    <x v="4"/>
    <x v="0"/>
    <x v="4"/>
    <n v="0"/>
  </r>
  <r>
    <x v="1"/>
    <x v="0"/>
    <x v="0"/>
    <x v="1"/>
    <x v="4"/>
    <x v="0"/>
    <x v="5"/>
    <n v="0"/>
  </r>
  <r>
    <x v="1"/>
    <x v="0"/>
    <x v="0"/>
    <x v="1"/>
    <x v="4"/>
    <x v="0"/>
    <x v="6"/>
    <n v="0"/>
  </r>
  <r>
    <x v="1"/>
    <x v="0"/>
    <x v="0"/>
    <x v="1"/>
    <x v="5"/>
    <x v="0"/>
    <x v="0"/>
    <n v="0"/>
  </r>
  <r>
    <x v="1"/>
    <x v="0"/>
    <x v="0"/>
    <x v="1"/>
    <x v="5"/>
    <x v="0"/>
    <x v="1"/>
    <n v="0"/>
  </r>
  <r>
    <x v="1"/>
    <x v="0"/>
    <x v="0"/>
    <x v="1"/>
    <x v="5"/>
    <x v="0"/>
    <x v="2"/>
    <n v="0"/>
  </r>
  <r>
    <x v="1"/>
    <x v="0"/>
    <x v="0"/>
    <x v="1"/>
    <x v="5"/>
    <x v="0"/>
    <x v="3"/>
    <n v="0"/>
  </r>
  <r>
    <x v="1"/>
    <x v="0"/>
    <x v="0"/>
    <x v="1"/>
    <x v="5"/>
    <x v="0"/>
    <x v="4"/>
    <n v="0"/>
  </r>
  <r>
    <x v="1"/>
    <x v="0"/>
    <x v="0"/>
    <x v="1"/>
    <x v="5"/>
    <x v="0"/>
    <x v="5"/>
    <n v="0"/>
  </r>
  <r>
    <x v="1"/>
    <x v="0"/>
    <x v="0"/>
    <x v="1"/>
    <x v="5"/>
    <x v="0"/>
    <x v="6"/>
    <n v="0"/>
  </r>
  <r>
    <x v="1"/>
    <x v="0"/>
    <x v="0"/>
    <x v="1"/>
    <x v="6"/>
    <x v="0"/>
    <x v="0"/>
    <n v="0"/>
  </r>
  <r>
    <x v="1"/>
    <x v="0"/>
    <x v="0"/>
    <x v="1"/>
    <x v="6"/>
    <x v="0"/>
    <x v="1"/>
    <n v="0"/>
  </r>
  <r>
    <x v="1"/>
    <x v="0"/>
    <x v="0"/>
    <x v="1"/>
    <x v="6"/>
    <x v="0"/>
    <x v="2"/>
    <n v="0"/>
  </r>
  <r>
    <x v="1"/>
    <x v="0"/>
    <x v="0"/>
    <x v="1"/>
    <x v="6"/>
    <x v="0"/>
    <x v="3"/>
    <n v="0"/>
  </r>
  <r>
    <x v="1"/>
    <x v="0"/>
    <x v="0"/>
    <x v="1"/>
    <x v="6"/>
    <x v="0"/>
    <x v="4"/>
    <n v="0"/>
  </r>
  <r>
    <x v="1"/>
    <x v="0"/>
    <x v="0"/>
    <x v="1"/>
    <x v="6"/>
    <x v="0"/>
    <x v="5"/>
    <n v="0"/>
  </r>
  <r>
    <x v="1"/>
    <x v="0"/>
    <x v="0"/>
    <x v="1"/>
    <x v="6"/>
    <x v="0"/>
    <x v="6"/>
    <n v="0"/>
  </r>
  <r>
    <x v="1"/>
    <x v="0"/>
    <x v="0"/>
    <x v="1"/>
    <x v="7"/>
    <x v="0"/>
    <x v="0"/>
    <n v="0"/>
  </r>
  <r>
    <x v="1"/>
    <x v="0"/>
    <x v="0"/>
    <x v="1"/>
    <x v="7"/>
    <x v="0"/>
    <x v="1"/>
    <n v="0"/>
  </r>
  <r>
    <x v="1"/>
    <x v="0"/>
    <x v="0"/>
    <x v="1"/>
    <x v="7"/>
    <x v="0"/>
    <x v="2"/>
    <n v="0"/>
  </r>
  <r>
    <x v="1"/>
    <x v="0"/>
    <x v="0"/>
    <x v="1"/>
    <x v="7"/>
    <x v="0"/>
    <x v="3"/>
    <n v="0"/>
  </r>
  <r>
    <x v="1"/>
    <x v="0"/>
    <x v="0"/>
    <x v="1"/>
    <x v="7"/>
    <x v="0"/>
    <x v="4"/>
    <n v="0"/>
  </r>
  <r>
    <x v="1"/>
    <x v="0"/>
    <x v="0"/>
    <x v="1"/>
    <x v="7"/>
    <x v="0"/>
    <x v="5"/>
    <n v="0"/>
  </r>
  <r>
    <x v="1"/>
    <x v="0"/>
    <x v="0"/>
    <x v="1"/>
    <x v="7"/>
    <x v="0"/>
    <x v="6"/>
    <n v="0"/>
  </r>
  <r>
    <x v="1"/>
    <x v="0"/>
    <x v="0"/>
    <x v="1"/>
    <x v="8"/>
    <x v="0"/>
    <x v="0"/>
    <n v="0"/>
  </r>
  <r>
    <x v="1"/>
    <x v="0"/>
    <x v="0"/>
    <x v="1"/>
    <x v="8"/>
    <x v="0"/>
    <x v="1"/>
    <n v="0"/>
  </r>
  <r>
    <x v="1"/>
    <x v="0"/>
    <x v="0"/>
    <x v="1"/>
    <x v="8"/>
    <x v="0"/>
    <x v="2"/>
    <n v="0"/>
  </r>
  <r>
    <x v="1"/>
    <x v="0"/>
    <x v="0"/>
    <x v="1"/>
    <x v="8"/>
    <x v="0"/>
    <x v="3"/>
    <n v="0"/>
  </r>
  <r>
    <x v="1"/>
    <x v="0"/>
    <x v="0"/>
    <x v="1"/>
    <x v="8"/>
    <x v="0"/>
    <x v="4"/>
    <n v="0"/>
  </r>
  <r>
    <x v="1"/>
    <x v="0"/>
    <x v="0"/>
    <x v="1"/>
    <x v="8"/>
    <x v="0"/>
    <x v="5"/>
    <n v="0"/>
  </r>
  <r>
    <x v="1"/>
    <x v="0"/>
    <x v="0"/>
    <x v="1"/>
    <x v="8"/>
    <x v="0"/>
    <x v="6"/>
    <n v="0"/>
  </r>
  <r>
    <x v="1"/>
    <x v="0"/>
    <x v="0"/>
    <x v="1"/>
    <x v="9"/>
    <x v="0"/>
    <x v="0"/>
    <n v="0"/>
  </r>
  <r>
    <x v="1"/>
    <x v="0"/>
    <x v="0"/>
    <x v="1"/>
    <x v="9"/>
    <x v="0"/>
    <x v="1"/>
    <n v="0"/>
  </r>
  <r>
    <x v="1"/>
    <x v="0"/>
    <x v="0"/>
    <x v="1"/>
    <x v="9"/>
    <x v="0"/>
    <x v="2"/>
    <n v="0"/>
  </r>
  <r>
    <x v="1"/>
    <x v="0"/>
    <x v="0"/>
    <x v="1"/>
    <x v="9"/>
    <x v="0"/>
    <x v="3"/>
    <n v="0"/>
  </r>
  <r>
    <x v="1"/>
    <x v="0"/>
    <x v="0"/>
    <x v="1"/>
    <x v="9"/>
    <x v="0"/>
    <x v="4"/>
    <n v="0"/>
  </r>
  <r>
    <x v="1"/>
    <x v="0"/>
    <x v="0"/>
    <x v="1"/>
    <x v="9"/>
    <x v="0"/>
    <x v="5"/>
    <n v="0"/>
  </r>
  <r>
    <x v="1"/>
    <x v="0"/>
    <x v="0"/>
    <x v="1"/>
    <x v="9"/>
    <x v="0"/>
    <x v="6"/>
    <n v="0"/>
  </r>
  <r>
    <x v="1"/>
    <x v="0"/>
    <x v="0"/>
    <x v="1"/>
    <x v="10"/>
    <x v="0"/>
    <x v="0"/>
    <n v="0"/>
  </r>
  <r>
    <x v="1"/>
    <x v="0"/>
    <x v="0"/>
    <x v="1"/>
    <x v="10"/>
    <x v="0"/>
    <x v="1"/>
    <n v="0"/>
  </r>
  <r>
    <x v="1"/>
    <x v="0"/>
    <x v="0"/>
    <x v="1"/>
    <x v="10"/>
    <x v="0"/>
    <x v="2"/>
    <n v="0"/>
  </r>
  <r>
    <x v="1"/>
    <x v="0"/>
    <x v="0"/>
    <x v="1"/>
    <x v="10"/>
    <x v="0"/>
    <x v="3"/>
    <n v="0"/>
  </r>
  <r>
    <x v="1"/>
    <x v="0"/>
    <x v="0"/>
    <x v="1"/>
    <x v="10"/>
    <x v="0"/>
    <x v="4"/>
    <n v="0"/>
  </r>
  <r>
    <x v="1"/>
    <x v="0"/>
    <x v="0"/>
    <x v="1"/>
    <x v="10"/>
    <x v="0"/>
    <x v="5"/>
    <n v="0"/>
  </r>
  <r>
    <x v="1"/>
    <x v="0"/>
    <x v="0"/>
    <x v="1"/>
    <x v="10"/>
    <x v="0"/>
    <x v="6"/>
    <n v="0"/>
  </r>
  <r>
    <x v="1"/>
    <x v="0"/>
    <x v="0"/>
    <x v="0"/>
    <x v="11"/>
    <x v="0"/>
    <x v="0"/>
    <n v="0"/>
  </r>
  <r>
    <x v="1"/>
    <x v="0"/>
    <x v="0"/>
    <x v="0"/>
    <x v="11"/>
    <x v="0"/>
    <x v="1"/>
    <n v="0"/>
  </r>
  <r>
    <x v="1"/>
    <x v="0"/>
    <x v="0"/>
    <x v="0"/>
    <x v="11"/>
    <x v="0"/>
    <x v="2"/>
    <n v="0"/>
  </r>
  <r>
    <x v="1"/>
    <x v="0"/>
    <x v="0"/>
    <x v="0"/>
    <x v="11"/>
    <x v="0"/>
    <x v="3"/>
    <n v="0"/>
  </r>
  <r>
    <x v="1"/>
    <x v="0"/>
    <x v="0"/>
    <x v="0"/>
    <x v="11"/>
    <x v="0"/>
    <x v="4"/>
    <n v="0"/>
  </r>
  <r>
    <x v="1"/>
    <x v="0"/>
    <x v="0"/>
    <x v="0"/>
    <x v="11"/>
    <x v="0"/>
    <x v="5"/>
    <n v="0"/>
  </r>
  <r>
    <x v="1"/>
    <x v="0"/>
    <x v="0"/>
    <x v="0"/>
    <x v="11"/>
    <x v="0"/>
    <x v="6"/>
    <n v="0"/>
  </r>
  <r>
    <x v="1"/>
    <x v="0"/>
    <x v="0"/>
    <x v="0"/>
    <x v="12"/>
    <x v="0"/>
    <x v="0"/>
    <n v="0"/>
  </r>
  <r>
    <x v="1"/>
    <x v="0"/>
    <x v="0"/>
    <x v="0"/>
    <x v="12"/>
    <x v="0"/>
    <x v="1"/>
    <n v="0"/>
  </r>
  <r>
    <x v="1"/>
    <x v="0"/>
    <x v="0"/>
    <x v="0"/>
    <x v="12"/>
    <x v="0"/>
    <x v="2"/>
    <n v="0"/>
  </r>
  <r>
    <x v="1"/>
    <x v="0"/>
    <x v="0"/>
    <x v="0"/>
    <x v="12"/>
    <x v="0"/>
    <x v="3"/>
    <n v="0"/>
  </r>
  <r>
    <x v="1"/>
    <x v="0"/>
    <x v="0"/>
    <x v="0"/>
    <x v="12"/>
    <x v="0"/>
    <x v="4"/>
    <n v="0"/>
  </r>
  <r>
    <x v="1"/>
    <x v="0"/>
    <x v="0"/>
    <x v="0"/>
    <x v="12"/>
    <x v="0"/>
    <x v="5"/>
    <n v="0"/>
  </r>
  <r>
    <x v="1"/>
    <x v="0"/>
    <x v="0"/>
    <x v="0"/>
    <x v="12"/>
    <x v="0"/>
    <x v="6"/>
    <n v="0"/>
  </r>
  <r>
    <x v="1"/>
    <x v="0"/>
    <x v="0"/>
    <x v="0"/>
    <x v="13"/>
    <x v="0"/>
    <x v="0"/>
    <n v="0"/>
  </r>
  <r>
    <x v="1"/>
    <x v="0"/>
    <x v="0"/>
    <x v="0"/>
    <x v="13"/>
    <x v="0"/>
    <x v="1"/>
    <n v="0"/>
  </r>
  <r>
    <x v="1"/>
    <x v="0"/>
    <x v="0"/>
    <x v="0"/>
    <x v="13"/>
    <x v="0"/>
    <x v="2"/>
    <n v="0"/>
  </r>
  <r>
    <x v="1"/>
    <x v="0"/>
    <x v="0"/>
    <x v="0"/>
    <x v="13"/>
    <x v="0"/>
    <x v="3"/>
    <n v="0"/>
  </r>
  <r>
    <x v="1"/>
    <x v="0"/>
    <x v="0"/>
    <x v="0"/>
    <x v="13"/>
    <x v="0"/>
    <x v="4"/>
    <n v="0"/>
  </r>
  <r>
    <x v="1"/>
    <x v="0"/>
    <x v="0"/>
    <x v="0"/>
    <x v="13"/>
    <x v="0"/>
    <x v="5"/>
    <n v="0"/>
  </r>
  <r>
    <x v="1"/>
    <x v="0"/>
    <x v="0"/>
    <x v="0"/>
    <x v="13"/>
    <x v="0"/>
    <x v="6"/>
    <n v="0"/>
  </r>
  <r>
    <x v="1"/>
    <x v="0"/>
    <x v="0"/>
    <x v="2"/>
    <x v="14"/>
    <x v="0"/>
    <x v="0"/>
    <n v="0"/>
  </r>
  <r>
    <x v="1"/>
    <x v="0"/>
    <x v="0"/>
    <x v="2"/>
    <x v="14"/>
    <x v="0"/>
    <x v="1"/>
    <n v="0"/>
  </r>
  <r>
    <x v="1"/>
    <x v="0"/>
    <x v="0"/>
    <x v="2"/>
    <x v="14"/>
    <x v="0"/>
    <x v="2"/>
    <n v="0"/>
  </r>
  <r>
    <x v="1"/>
    <x v="0"/>
    <x v="0"/>
    <x v="2"/>
    <x v="14"/>
    <x v="0"/>
    <x v="3"/>
    <n v="0"/>
  </r>
  <r>
    <x v="1"/>
    <x v="0"/>
    <x v="0"/>
    <x v="2"/>
    <x v="14"/>
    <x v="0"/>
    <x v="4"/>
    <n v="0"/>
  </r>
  <r>
    <x v="1"/>
    <x v="0"/>
    <x v="0"/>
    <x v="2"/>
    <x v="14"/>
    <x v="0"/>
    <x v="5"/>
    <n v="0"/>
  </r>
  <r>
    <x v="1"/>
    <x v="0"/>
    <x v="0"/>
    <x v="2"/>
    <x v="14"/>
    <x v="0"/>
    <x v="6"/>
    <n v="0"/>
  </r>
  <r>
    <x v="1"/>
    <x v="0"/>
    <x v="0"/>
    <x v="2"/>
    <x v="15"/>
    <x v="0"/>
    <x v="0"/>
    <n v="0"/>
  </r>
  <r>
    <x v="1"/>
    <x v="0"/>
    <x v="0"/>
    <x v="2"/>
    <x v="15"/>
    <x v="0"/>
    <x v="1"/>
    <n v="0"/>
  </r>
  <r>
    <x v="1"/>
    <x v="0"/>
    <x v="0"/>
    <x v="2"/>
    <x v="15"/>
    <x v="0"/>
    <x v="2"/>
    <n v="0"/>
  </r>
  <r>
    <x v="1"/>
    <x v="0"/>
    <x v="0"/>
    <x v="2"/>
    <x v="15"/>
    <x v="0"/>
    <x v="3"/>
    <n v="0"/>
  </r>
  <r>
    <x v="1"/>
    <x v="0"/>
    <x v="0"/>
    <x v="2"/>
    <x v="15"/>
    <x v="0"/>
    <x v="4"/>
    <n v="0"/>
  </r>
  <r>
    <x v="1"/>
    <x v="0"/>
    <x v="0"/>
    <x v="2"/>
    <x v="15"/>
    <x v="0"/>
    <x v="5"/>
    <n v="0"/>
  </r>
  <r>
    <x v="1"/>
    <x v="0"/>
    <x v="0"/>
    <x v="2"/>
    <x v="15"/>
    <x v="0"/>
    <x v="6"/>
    <n v="0"/>
  </r>
  <r>
    <x v="1"/>
    <x v="0"/>
    <x v="0"/>
    <x v="2"/>
    <x v="16"/>
    <x v="0"/>
    <x v="0"/>
    <n v="0"/>
  </r>
  <r>
    <x v="1"/>
    <x v="0"/>
    <x v="0"/>
    <x v="2"/>
    <x v="16"/>
    <x v="0"/>
    <x v="1"/>
    <n v="0"/>
  </r>
  <r>
    <x v="1"/>
    <x v="0"/>
    <x v="0"/>
    <x v="2"/>
    <x v="16"/>
    <x v="0"/>
    <x v="2"/>
    <n v="0"/>
  </r>
  <r>
    <x v="1"/>
    <x v="0"/>
    <x v="0"/>
    <x v="2"/>
    <x v="16"/>
    <x v="0"/>
    <x v="3"/>
    <n v="0"/>
  </r>
  <r>
    <x v="1"/>
    <x v="0"/>
    <x v="0"/>
    <x v="2"/>
    <x v="16"/>
    <x v="0"/>
    <x v="4"/>
    <n v="0"/>
  </r>
  <r>
    <x v="1"/>
    <x v="0"/>
    <x v="0"/>
    <x v="2"/>
    <x v="16"/>
    <x v="0"/>
    <x v="5"/>
    <n v="0"/>
  </r>
  <r>
    <x v="1"/>
    <x v="0"/>
    <x v="0"/>
    <x v="2"/>
    <x v="16"/>
    <x v="0"/>
    <x v="6"/>
    <n v="0"/>
  </r>
  <r>
    <x v="1"/>
    <x v="0"/>
    <x v="0"/>
    <x v="0"/>
    <x v="17"/>
    <x v="0"/>
    <x v="0"/>
    <n v="0"/>
  </r>
  <r>
    <x v="1"/>
    <x v="0"/>
    <x v="0"/>
    <x v="0"/>
    <x v="17"/>
    <x v="0"/>
    <x v="1"/>
    <n v="0"/>
  </r>
  <r>
    <x v="1"/>
    <x v="0"/>
    <x v="0"/>
    <x v="0"/>
    <x v="17"/>
    <x v="0"/>
    <x v="2"/>
    <n v="0"/>
  </r>
  <r>
    <x v="1"/>
    <x v="0"/>
    <x v="0"/>
    <x v="0"/>
    <x v="17"/>
    <x v="0"/>
    <x v="3"/>
    <n v="0"/>
  </r>
  <r>
    <x v="1"/>
    <x v="0"/>
    <x v="0"/>
    <x v="0"/>
    <x v="17"/>
    <x v="0"/>
    <x v="4"/>
    <n v="0"/>
  </r>
  <r>
    <x v="1"/>
    <x v="0"/>
    <x v="0"/>
    <x v="0"/>
    <x v="17"/>
    <x v="0"/>
    <x v="5"/>
    <n v="0"/>
  </r>
  <r>
    <x v="1"/>
    <x v="0"/>
    <x v="0"/>
    <x v="0"/>
    <x v="17"/>
    <x v="0"/>
    <x v="6"/>
    <n v="0"/>
  </r>
  <r>
    <x v="1"/>
    <x v="0"/>
    <x v="0"/>
    <x v="2"/>
    <x v="18"/>
    <x v="0"/>
    <x v="0"/>
    <n v="0"/>
  </r>
  <r>
    <x v="1"/>
    <x v="0"/>
    <x v="0"/>
    <x v="2"/>
    <x v="18"/>
    <x v="0"/>
    <x v="1"/>
    <n v="0"/>
  </r>
  <r>
    <x v="1"/>
    <x v="0"/>
    <x v="0"/>
    <x v="2"/>
    <x v="18"/>
    <x v="0"/>
    <x v="2"/>
    <n v="0"/>
  </r>
  <r>
    <x v="1"/>
    <x v="0"/>
    <x v="0"/>
    <x v="2"/>
    <x v="18"/>
    <x v="0"/>
    <x v="3"/>
    <n v="0"/>
  </r>
  <r>
    <x v="1"/>
    <x v="0"/>
    <x v="0"/>
    <x v="2"/>
    <x v="18"/>
    <x v="0"/>
    <x v="4"/>
    <n v="0"/>
  </r>
  <r>
    <x v="1"/>
    <x v="0"/>
    <x v="0"/>
    <x v="2"/>
    <x v="18"/>
    <x v="0"/>
    <x v="5"/>
    <n v="0"/>
  </r>
  <r>
    <x v="1"/>
    <x v="0"/>
    <x v="0"/>
    <x v="2"/>
    <x v="18"/>
    <x v="0"/>
    <x v="6"/>
    <n v="0"/>
  </r>
  <r>
    <x v="1"/>
    <x v="0"/>
    <x v="1"/>
    <x v="3"/>
    <x v="19"/>
    <x v="0"/>
    <x v="0"/>
    <n v="0"/>
  </r>
  <r>
    <x v="1"/>
    <x v="0"/>
    <x v="1"/>
    <x v="3"/>
    <x v="19"/>
    <x v="0"/>
    <x v="1"/>
    <n v="0"/>
  </r>
  <r>
    <x v="1"/>
    <x v="0"/>
    <x v="1"/>
    <x v="3"/>
    <x v="19"/>
    <x v="0"/>
    <x v="2"/>
    <n v="0"/>
  </r>
  <r>
    <x v="1"/>
    <x v="0"/>
    <x v="1"/>
    <x v="3"/>
    <x v="19"/>
    <x v="0"/>
    <x v="3"/>
    <n v="0"/>
  </r>
  <r>
    <x v="1"/>
    <x v="0"/>
    <x v="1"/>
    <x v="3"/>
    <x v="19"/>
    <x v="0"/>
    <x v="4"/>
    <n v="0"/>
  </r>
  <r>
    <x v="1"/>
    <x v="0"/>
    <x v="1"/>
    <x v="3"/>
    <x v="19"/>
    <x v="0"/>
    <x v="5"/>
    <n v="0"/>
  </r>
  <r>
    <x v="1"/>
    <x v="0"/>
    <x v="1"/>
    <x v="3"/>
    <x v="19"/>
    <x v="0"/>
    <x v="6"/>
    <n v="0"/>
  </r>
  <r>
    <x v="1"/>
    <x v="0"/>
    <x v="1"/>
    <x v="3"/>
    <x v="20"/>
    <x v="0"/>
    <x v="0"/>
    <n v="0"/>
  </r>
  <r>
    <x v="1"/>
    <x v="0"/>
    <x v="1"/>
    <x v="3"/>
    <x v="20"/>
    <x v="0"/>
    <x v="1"/>
    <n v="0"/>
  </r>
  <r>
    <x v="1"/>
    <x v="0"/>
    <x v="1"/>
    <x v="3"/>
    <x v="20"/>
    <x v="0"/>
    <x v="2"/>
    <n v="0"/>
  </r>
  <r>
    <x v="1"/>
    <x v="0"/>
    <x v="1"/>
    <x v="3"/>
    <x v="20"/>
    <x v="0"/>
    <x v="3"/>
    <n v="0"/>
  </r>
  <r>
    <x v="1"/>
    <x v="0"/>
    <x v="1"/>
    <x v="3"/>
    <x v="20"/>
    <x v="0"/>
    <x v="4"/>
    <n v="0"/>
  </r>
  <r>
    <x v="1"/>
    <x v="0"/>
    <x v="1"/>
    <x v="3"/>
    <x v="20"/>
    <x v="0"/>
    <x v="5"/>
    <n v="0"/>
  </r>
  <r>
    <x v="1"/>
    <x v="0"/>
    <x v="1"/>
    <x v="3"/>
    <x v="20"/>
    <x v="0"/>
    <x v="6"/>
    <n v="0"/>
  </r>
  <r>
    <x v="1"/>
    <x v="0"/>
    <x v="1"/>
    <x v="3"/>
    <x v="21"/>
    <x v="0"/>
    <x v="0"/>
    <n v="0"/>
  </r>
  <r>
    <x v="1"/>
    <x v="0"/>
    <x v="1"/>
    <x v="3"/>
    <x v="21"/>
    <x v="0"/>
    <x v="1"/>
    <n v="0"/>
  </r>
  <r>
    <x v="1"/>
    <x v="0"/>
    <x v="1"/>
    <x v="3"/>
    <x v="21"/>
    <x v="0"/>
    <x v="2"/>
    <n v="0"/>
  </r>
  <r>
    <x v="1"/>
    <x v="0"/>
    <x v="1"/>
    <x v="3"/>
    <x v="21"/>
    <x v="0"/>
    <x v="3"/>
    <n v="0"/>
  </r>
  <r>
    <x v="1"/>
    <x v="0"/>
    <x v="1"/>
    <x v="3"/>
    <x v="21"/>
    <x v="0"/>
    <x v="4"/>
    <n v="0"/>
  </r>
  <r>
    <x v="1"/>
    <x v="0"/>
    <x v="1"/>
    <x v="3"/>
    <x v="21"/>
    <x v="0"/>
    <x v="5"/>
    <n v="0"/>
  </r>
  <r>
    <x v="1"/>
    <x v="0"/>
    <x v="1"/>
    <x v="3"/>
    <x v="21"/>
    <x v="0"/>
    <x v="6"/>
    <n v="0"/>
  </r>
  <r>
    <x v="1"/>
    <x v="0"/>
    <x v="1"/>
    <x v="3"/>
    <x v="22"/>
    <x v="0"/>
    <x v="0"/>
    <n v="0"/>
  </r>
  <r>
    <x v="1"/>
    <x v="0"/>
    <x v="1"/>
    <x v="3"/>
    <x v="22"/>
    <x v="0"/>
    <x v="1"/>
    <n v="0"/>
  </r>
  <r>
    <x v="1"/>
    <x v="0"/>
    <x v="1"/>
    <x v="3"/>
    <x v="22"/>
    <x v="0"/>
    <x v="2"/>
    <n v="0"/>
  </r>
  <r>
    <x v="1"/>
    <x v="0"/>
    <x v="1"/>
    <x v="3"/>
    <x v="22"/>
    <x v="0"/>
    <x v="3"/>
    <n v="0"/>
  </r>
  <r>
    <x v="1"/>
    <x v="0"/>
    <x v="1"/>
    <x v="3"/>
    <x v="22"/>
    <x v="0"/>
    <x v="4"/>
    <n v="0"/>
  </r>
  <r>
    <x v="1"/>
    <x v="0"/>
    <x v="1"/>
    <x v="3"/>
    <x v="22"/>
    <x v="0"/>
    <x v="5"/>
    <n v="0"/>
  </r>
  <r>
    <x v="1"/>
    <x v="0"/>
    <x v="1"/>
    <x v="3"/>
    <x v="22"/>
    <x v="0"/>
    <x v="6"/>
    <n v="0"/>
  </r>
  <r>
    <x v="1"/>
    <x v="0"/>
    <x v="1"/>
    <x v="3"/>
    <x v="23"/>
    <x v="0"/>
    <x v="0"/>
    <n v="0"/>
  </r>
  <r>
    <x v="1"/>
    <x v="0"/>
    <x v="1"/>
    <x v="3"/>
    <x v="23"/>
    <x v="0"/>
    <x v="1"/>
    <n v="0"/>
  </r>
  <r>
    <x v="1"/>
    <x v="0"/>
    <x v="1"/>
    <x v="3"/>
    <x v="23"/>
    <x v="0"/>
    <x v="2"/>
    <n v="0"/>
  </r>
  <r>
    <x v="1"/>
    <x v="0"/>
    <x v="1"/>
    <x v="3"/>
    <x v="23"/>
    <x v="0"/>
    <x v="3"/>
    <n v="0"/>
  </r>
  <r>
    <x v="1"/>
    <x v="0"/>
    <x v="1"/>
    <x v="3"/>
    <x v="23"/>
    <x v="0"/>
    <x v="4"/>
    <n v="0"/>
  </r>
  <r>
    <x v="1"/>
    <x v="0"/>
    <x v="1"/>
    <x v="3"/>
    <x v="23"/>
    <x v="0"/>
    <x v="5"/>
    <n v="0"/>
  </r>
  <r>
    <x v="1"/>
    <x v="0"/>
    <x v="1"/>
    <x v="3"/>
    <x v="23"/>
    <x v="0"/>
    <x v="6"/>
    <n v="0"/>
  </r>
  <r>
    <x v="1"/>
    <x v="0"/>
    <x v="1"/>
    <x v="3"/>
    <x v="24"/>
    <x v="0"/>
    <x v="0"/>
    <n v="0"/>
  </r>
  <r>
    <x v="1"/>
    <x v="0"/>
    <x v="1"/>
    <x v="3"/>
    <x v="24"/>
    <x v="0"/>
    <x v="1"/>
    <n v="0"/>
  </r>
  <r>
    <x v="1"/>
    <x v="0"/>
    <x v="1"/>
    <x v="3"/>
    <x v="24"/>
    <x v="0"/>
    <x v="2"/>
    <n v="0"/>
  </r>
  <r>
    <x v="1"/>
    <x v="0"/>
    <x v="1"/>
    <x v="3"/>
    <x v="24"/>
    <x v="0"/>
    <x v="3"/>
    <n v="0"/>
  </r>
  <r>
    <x v="1"/>
    <x v="0"/>
    <x v="1"/>
    <x v="3"/>
    <x v="24"/>
    <x v="0"/>
    <x v="4"/>
    <n v="0"/>
  </r>
  <r>
    <x v="1"/>
    <x v="0"/>
    <x v="1"/>
    <x v="3"/>
    <x v="24"/>
    <x v="0"/>
    <x v="5"/>
    <n v="0"/>
  </r>
  <r>
    <x v="1"/>
    <x v="0"/>
    <x v="1"/>
    <x v="3"/>
    <x v="24"/>
    <x v="0"/>
    <x v="6"/>
    <n v="0"/>
  </r>
  <r>
    <x v="1"/>
    <x v="0"/>
    <x v="1"/>
    <x v="3"/>
    <x v="25"/>
    <x v="0"/>
    <x v="0"/>
    <n v="0"/>
  </r>
  <r>
    <x v="1"/>
    <x v="0"/>
    <x v="1"/>
    <x v="3"/>
    <x v="25"/>
    <x v="0"/>
    <x v="1"/>
    <n v="0"/>
  </r>
  <r>
    <x v="1"/>
    <x v="0"/>
    <x v="1"/>
    <x v="3"/>
    <x v="25"/>
    <x v="0"/>
    <x v="2"/>
    <n v="0"/>
  </r>
  <r>
    <x v="1"/>
    <x v="0"/>
    <x v="1"/>
    <x v="3"/>
    <x v="25"/>
    <x v="0"/>
    <x v="3"/>
    <n v="0"/>
  </r>
  <r>
    <x v="1"/>
    <x v="0"/>
    <x v="1"/>
    <x v="3"/>
    <x v="25"/>
    <x v="0"/>
    <x v="4"/>
    <n v="0"/>
  </r>
  <r>
    <x v="1"/>
    <x v="0"/>
    <x v="1"/>
    <x v="3"/>
    <x v="25"/>
    <x v="0"/>
    <x v="5"/>
    <n v="0"/>
  </r>
  <r>
    <x v="1"/>
    <x v="0"/>
    <x v="1"/>
    <x v="3"/>
    <x v="25"/>
    <x v="0"/>
    <x v="6"/>
    <n v="0"/>
  </r>
  <r>
    <x v="1"/>
    <x v="0"/>
    <x v="2"/>
    <x v="4"/>
    <x v="26"/>
    <x v="0"/>
    <x v="0"/>
    <n v="0"/>
  </r>
  <r>
    <x v="1"/>
    <x v="0"/>
    <x v="2"/>
    <x v="4"/>
    <x v="26"/>
    <x v="0"/>
    <x v="1"/>
    <n v="0"/>
  </r>
  <r>
    <x v="1"/>
    <x v="0"/>
    <x v="2"/>
    <x v="4"/>
    <x v="26"/>
    <x v="0"/>
    <x v="2"/>
    <n v="0"/>
  </r>
  <r>
    <x v="1"/>
    <x v="0"/>
    <x v="2"/>
    <x v="4"/>
    <x v="26"/>
    <x v="0"/>
    <x v="3"/>
    <n v="0"/>
  </r>
  <r>
    <x v="1"/>
    <x v="0"/>
    <x v="2"/>
    <x v="4"/>
    <x v="26"/>
    <x v="0"/>
    <x v="4"/>
    <n v="0"/>
  </r>
  <r>
    <x v="1"/>
    <x v="0"/>
    <x v="2"/>
    <x v="4"/>
    <x v="26"/>
    <x v="0"/>
    <x v="5"/>
    <n v="0"/>
  </r>
  <r>
    <x v="1"/>
    <x v="0"/>
    <x v="2"/>
    <x v="4"/>
    <x v="26"/>
    <x v="0"/>
    <x v="6"/>
    <n v="0"/>
  </r>
  <r>
    <x v="1"/>
    <x v="0"/>
    <x v="2"/>
    <x v="4"/>
    <x v="27"/>
    <x v="0"/>
    <x v="0"/>
    <n v="0"/>
  </r>
  <r>
    <x v="1"/>
    <x v="0"/>
    <x v="2"/>
    <x v="4"/>
    <x v="27"/>
    <x v="0"/>
    <x v="1"/>
    <n v="0"/>
  </r>
  <r>
    <x v="1"/>
    <x v="0"/>
    <x v="2"/>
    <x v="4"/>
    <x v="27"/>
    <x v="0"/>
    <x v="2"/>
    <n v="0"/>
  </r>
  <r>
    <x v="1"/>
    <x v="0"/>
    <x v="2"/>
    <x v="4"/>
    <x v="27"/>
    <x v="0"/>
    <x v="3"/>
    <n v="0"/>
  </r>
  <r>
    <x v="1"/>
    <x v="0"/>
    <x v="2"/>
    <x v="4"/>
    <x v="27"/>
    <x v="0"/>
    <x v="4"/>
    <n v="0"/>
  </r>
  <r>
    <x v="1"/>
    <x v="0"/>
    <x v="2"/>
    <x v="4"/>
    <x v="27"/>
    <x v="0"/>
    <x v="5"/>
    <n v="0"/>
  </r>
  <r>
    <x v="1"/>
    <x v="0"/>
    <x v="2"/>
    <x v="4"/>
    <x v="27"/>
    <x v="0"/>
    <x v="6"/>
    <n v="0"/>
  </r>
  <r>
    <x v="1"/>
    <x v="0"/>
    <x v="2"/>
    <x v="4"/>
    <x v="28"/>
    <x v="0"/>
    <x v="0"/>
    <n v="0"/>
  </r>
  <r>
    <x v="1"/>
    <x v="0"/>
    <x v="2"/>
    <x v="4"/>
    <x v="28"/>
    <x v="0"/>
    <x v="1"/>
    <n v="0"/>
  </r>
  <r>
    <x v="1"/>
    <x v="0"/>
    <x v="2"/>
    <x v="4"/>
    <x v="28"/>
    <x v="0"/>
    <x v="2"/>
    <n v="0"/>
  </r>
  <r>
    <x v="1"/>
    <x v="0"/>
    <x v="2"/>
    <x v="4"/>
    <x v="28"/>
    <x v="0"/>
    <x v="3"/>
    <n v="0"/>
  </r>
  <r>
    <x v="1"/>
    <x v="0"/>
    <x v="2"/>
    <x v="4"/>
    <x v="28"/>
    <x v="0"/>
    <x v="4"/>
    <n v="0"/>
  </r>
  <r>
    <x v="1"/>
    <x v="0"/>
    <x v="2"/>
    <x v="4"/>
    <x v="28"/>
    <x v="0"/>
    <x v="5"/>
    <n v="0"/>
  </r>
  <r>
    <x v="1"/>
    <x v="0"/>
    <x v="2"/>
    <x v="4"/>
    <x v="28"/>
    <x v="0"/>
    <x v="6"/>
    <n v="0"/>
  </r>
  <r>
    <x v="1"/>
    <x v="0"/>
    <x v="2"/>
    <x v="4"/>
    <x v="29"/>
    <x v="0"/>
    <x v="0"/>
    <n v="0"/>
  </r>
  <r>
    <x v="1"/>
    <x v="0"/>
    <x v="2"/>
    <x v="4"/>
    <x v="29"/>
    <x v="0"/>
    <x v="1"/>
    <n v="0"/>
  </r>
  <r>
    <x v="1"/>
    <x v="0"/>
    <x v="2"/>
    <x v="4"/>
    <x v="29"/>
    <x v="0"/>
    <x v="2"/>
    <n v="0"/>
  </r>
  <r>
    <x v="1"/>
    <x v="0"/>
    <x v="2"/>
    <x v="4"/>
    <x v="29"/>
    <x v="0"/>
    <x v="3"/>
    <n v="0"/>
  </r>
  <r>
    <x v="1"/>
    <x v="0"/>
    <x v="2"/>
    <x v="4"/>
    <x v="29"/>
    <x v="0"/>
    <x v="4"/>
    <n v="0"/>
  </r>
  <r>
    <x v="1"/>
    <x v="0"/>
    <x v="2"/>
    <x v="4"/>
    <x v="29"/>
    <x v="0"/>
    <x v="5"/>
    <n v="0"/>
  </r>
  <r>
    <x v="1"/>
    <x v="0"/>
    <x v="2"/>
    <x v="4"/>
    <x v="29"/>
    <x v="0"/>
    <x v="6"/>
    <n v="0"/>
  </r>
  <r>
    <x v="1"/>
    <x v="0"/>
    <x v="3"/>
    <x v="5"/>
    <x v="30"/>
    <x v="0"/>
    <x v="0"/>
    <n v="0"/>
  </r>
  <r>
    <x v="1"/>
    <x v="0"/>
    <x v="3"/>
    <x v="5"/>
    <x v="30"/>
    <x v="0"/>
    <x v="1"/>
    <n v="0"/>
  </r>
  <r>
    <x v="1"/>
    <x v="0"/>
    <x v="3"/>
    <x v="5"/>
    <x v="30"/>
    <x v="0"/>
    <x v="2"/>
    <n v="0"/>
  </r>
  <r>
    <x v="1"/>
    <x v="0"/>
    <x v="3"/>
    <x v="5"/>
    <x v="30"/>
    <x v="0"/>
    <x v="3"/>
    <n v="0"/>
  </r>
  <r>
    <x v="1"/>
    <x v="0"/>
    <x v="3"/>
    <x v="5"/>
    <x v="30"/>
    <x v="0"/>
    <x v="4"/>
    <n v="0"/>
  </r>
  <r>
    <x v="1"/>
    <x v="0"/>
    <x v="3"/>
    <x v="5"/>
    <x v="30"/>
    <x v="0"/>
    <x v="5"/>
    <n v="0"/>
  </r>
  <r>
    <x v="1"/>
    <x v="0"/>
    <x v="3"/>
    <x v="5"/>
    <x v="30"/>
    <x v="0"/>
    <x v="6"/>
    <n v="0"/>
  </r>
  <r>
    <x v="1"/>
    <x v="0"/>
    <x v="2"/>
    <x v="4"/>
    <x v="31"/>
    <x v="0"/>
    <x v="0"/>
    <n v="0"/>
  </r>
  <r>
    <x v="1"/>
    <x v="0"/>
    <x v="2"/>
    <x v="4"/>
    <x v="31"/>
    <x v="0"/>
    <x v="1"/>
    <n v="0"/>
  </r>
  <r>
    <x v="1"/>
    <x v="0"/>
    <x v="2"/>
    <x v="4"/>
    <x v="31"/>
    <x v="0"/>
    <x v="2"/>
    <n v="0"/>
  </r>
  <r>
    <x v="1"/>
    <x v="0"/>
    <x v="2"/>
    <x v="4"/>
    <x v="31"/>
    <x v="0"/>
    <x v="3"/>
    <n v="0"/>
  </r>
  <r>
    <x v="1"/>
    <x v="0"/>
    <x v="2"/>
    <x v="4"/>
    <x v="31"/>
    <x v="0"/>
    <x v="4"/>
    <n v="0"/>
  </r>
  <r>
    <x v="1"/>
    <x v="0"/>
    <x v="2"/>
    <x v="4"/>
    <x v="31"/>
    <x v="0"/>
    <x v="5"/>
    <n v="0"/>
  </r>
  <r>
    <x v="1"/>
    <x v="0"/>
    <x v="2"/>
    <x v="4"/>
    <x v="31"/>
    <x v="0"/>
    <x v="6"/>
    <n v="0"/>
  </r>
  <r>
    <x v="1"/>
    <x v="0"/>
    <x v="2"/>
    <x v="4"/>
    <x v="32"/>
    <x v="0"/>
    <x v="0"/>
    <n v="0"/>
  </r>
  <r>
    <x v="1"/>
    <x v="0"/>
    <x v="2"/>
    <x v="4"/>
    <x v="32"/>
    <x v="0"/>
    <x v="1"/>
    <n v="0"/>
  </r>
  <r>
    <x v="1"/>
    <x v="0"/>
    <x v="2"/>
    <x v="4"/>
    <x v="32"/>
    <x v="0"/>
    <x v="2"/>
    <n v="0"/>
  </r>
  <r>
    <x v="1"/>
    <x v="0"/>
    <x v="2"/>
    <x v="4"/>
    <x v="32"/>
    <x v="0"/>
    <x v="3"/>
    <n v="0"/>
  </r>
  <r>
    <x v="1"/>
    <x v="0"/>
    <x v="2"/>
    <x v="4"/>
    <x v="32"/>
    <x v="0"/>
    <x v="4"/>
    <n v="0"/>
  </r>
  <r>
    <x v="1"/>
    <x v="0"/>
    <x v="2"/>
    <x v="4"/>
    <x v="32"/>
    <x v="0"/>
    <x v="5"/>
    <n v="0"/>
  </r>
  <r>
    <x v="1"/>
    <x v="0"/>
    <x v="2"/>
    <x v="4"/>
    <x v="32"/>
    <x v="0"/>
    <x v="6"/>
    <n v="0"/>
  </r>
  <r>
    <x v="1"/>
    <x v="0"/>
    <x v="2"/>
    <x v="4"/>
    <x v="33"/>
    <x v="0"/>
    <x v="0"/>
    <n v="0"/>
  </r>
  <r>
    <x v="1"/>
    <x v="0"/>
    <x v="2"/>
    <x v="4"/>
    <x v="33"/>
    <x v="0"/>
    <x v="1"/>
    <n v="0"/>
  </r>
  <r>
    <x v="1"/>
    <x v="0"/>
    <x v="2"/>
    <x v="4"/>
    <x v="33"/>
    <x v="0"/>
    <x v="2"/>
    <n v="0"/>
  </r>
  <r>
    <x v="1"/>
    <x v="0"/>
    <x v="2"/>
    <x v="4"/>
    <x v="33"/>
    <x v="0"/>
    <x v="3"/>
    <n v="0"/>
  </r>
  <r>
    <x v="1"/>
    <x v="0"/>
    <x v="2"/>
    <x v="4"/>
    <x v="33"/>
    <x v="0"/>
    <x v="4"/>
    <n v="0"/>
  </r>
  <r>
    <x v="1"/>
    <x v="0"/>
    <x v="2"/>
    <x v="4"/>
    <x v="33"/>
    <x v="0"/>
    <x v="5"/>
    <n v="0"/>
  </r>
  <r>
    <x v="1"/>
    <x v="0"/>
    <x v="2"/>
    <x v="4"/>
    <x v="33"/>
    <x v="0"/>
    <x v="6"/>
    <n v="0"/>
  </r>
  <r>
    <x v="1"/>
    <x v="0"/>
    <x v="2"/>
    <x v="4"/>
    <x v="34"/>
    <x v="0"/>
    <x v="0"/>
    <n v="0"/>
  </r>
  <r>
    <x v="1"/>
    <x v="0"/>
    <x v="2"/>
    <x v="4"/>
    <x v="34"/>
    <x v="0"/>
    <x v="1"/>
    <n v="0"/>
  </r>
  <r>
    <x v="1"/>
    <x v="0"/>
    <x v="2"/>
    <x v="4"/>
    <x v="34"/>
    <x v="0"/>
    <x v="2"/>
    <n v="0"/>
  </r>
  <r>
    <x v="1"/>
    <x v="0"/>
    <x v="2"/>
    <x v="4"/>
    <x v="34"/>
    <x v="0"/>
    <x v="3"/>
    <n v="0"/>
  </r>
  <r>
    <x v="1"/>
    <x v="0"/>
    <x v="2"/>
    <x v="4"/>
    <x v="34"/>
    <x v="0"/>
    <x v="4"/>
    <n v="0"/>
  </r>
  <r>
    <x v="1"/>
    <x v="0"/>
    <x v="2"/>
    <x v="4"/>
    <x v="34"/>
    <x v="0"/>
    <x v="5"/>
    <n v="0"/>
  </r>
  <r>
    <x v="1"/>
    <x v="0"/>
    <x v="2"/>
    <x v="4"/>
    <x v="34"/>
    <x v="0"/>
    <x v="6"/>
    <n v="0"/>
  </r>
  <r>
    <x v="1"/>
    <x v="0"/>
    <x v="2"/>
    <x v="6"/>
    <x v="35"/>
    <x v="0"/>
    <x v="0"/>
    <n v="0"/>
  </r>
  <r>
    <x v="1"/>
    <x v="0"/>
    <x v="2"/>
    <x v="6"/>
    <x v="35"/>
    <x v="0"/>
    <x v="1"/>
    <n v="0"/>
  </r>
  <r>
    <x v="1"/>
    <x v="0"/>
    <x v="2"/>
    <x v="6"/>
    <x v="35"/>
    <x v="0"/>
    <x v="2"/>
    <n v="0"/>
  </r>
  <r>
    <x v="1"/>
    <x v="0"/>
    <x v="2"/>
    <x v="6"/>
    <x v="35"/>
    <x v="0"/>
    <x v="3"/>
    <n v="0"/>
  </r>
  <r>
    <x v="1"/>
    <x v="0"/>
    <x v="2"/>
    <x v="6"/>
    <x v="35"/>
    <x v="0"/>
    <x v="4"/>
    <n v="0"/>
  </r>
  <r>
    <x v="1"/>
    <x v="0"/>
    <x v="2"/>
    <x v="6"/>
    <x v="35"/>
    <x v="0"/>
    <x v="5"/>
    <n v="0"/>
  </r>
  <r>
    <x v="1"/>
    <x v="0"/>
    <x v="2"/>
    <x v="6"/>
    <x v="35"/>
    <x v="0"/>
    <x v="6"/>
    <n v="0"/>
  </r>
  <r>
    <x v="1"/>
    <x v="0"/>
    <x v="2"/>
    <x v="6"/>
    <x v="36"/>
    <x v="0"/>
    <x v="0"/>
    <n v="0"/>
  </r>
  <r>
    <x v="1"/>
    <x v="0"/>
    <x v="2"/>
    <x v="6"/>
    <x v="36"/>
    <x v="0"/>
    <x v="1"/>
    <n v="0"/>
  </r>
  <r>
    <x v="1"/>
    <x v="0"/>
    <x v="2"/>
    <x v="6"/>
    <x v="36"/>
    <x v="0"/>
    <x v="2"/>
    <n v="0"/>
  </r>
  <r>
    <x v="1"/>
    <x v="0"/>
    <x v="2"/>
    <x v="6"/>
    <x v="36"/>
    <x v="0"/>
    <x v="3"/>
    <n v="0"/>
  </r>
  <r>
    <x v="1"/>
    <x v="0"/>
    <x v="2"/>
    <x v="6"/>
    <x v="36"/>
    <x v="0"/>
    <x v="4"/>
    <n v="0"/>
  </r>
  <r>
    <x v="1"/>
    <x v="0"/>
    <x v="2"/>
    <x v="6"/>
    <x v="36"/>
    <x v="0"/>
    <x v="5"/>
    <n v="0"/>
  </r>
  <r>
    <x v="1"/>
    <x v="0"/>
    <x v="2"/>
    <x v="6"/>
    <x v="36"/>
    <x v="0"/>
    <x v="6"/>
    <n v="0"/>
  </r>
  <r>
    <x v="1"/>
    <x v="0"/>
    <x v="2"/>
    <x v="6"/>
    <x v="37"/>
    <x v="0"/>
    <x v="0"/>
    <n v="0"/>
  </r>
  <r>
    <x v="1"/>
    <x v="0"/>
    <x v="2"/>
    <x v="6"/>
    <x v="37"/>
    <x v="0"/>
    <x v="1"/>
    <n v="0"/>
  </r>
  <r>
    <x v="1"/>
    <x v="0"/>
    <x v="2"/>
    <x v="6"/>
    <x v="37"/>
    <x v="0"/>
    <x v="2"/>
    <n v="0"/>
  </r>
  <r>
    <x v="1"/>
    <x v="0"/>
    <x v="2"/>
    <x v="6"/>
    <x v="37"/>
    <x v="0"/>
    <x v="3"/>
    <n v="0"/>
  </r>
  <r>
    <x v="1"/>
    <x v="0"/>
    <x v="2"/>
    <x v="6"/>
    <x v="37"/>
    <x v="0"/>
    <x v="4"/>
    <n v="0"/>
  </r>
  <r>
    <x v="1"/>
    <x v="0"/>
    <x v="2"/>
    <x v="6"/>
    <x v="37"/>
    <x v="0"/>
    <x v="5"/>
    <n v="0"/>
  </r>
  <r>
    <x v="1"/>
    <x v="0"/>
    <x v="2"/>
    <x v="6"/>
    <x v="37"/>
    <x v="0"/>
    <x v="6"/>
    <n v="0"/>
  </r>
  <r>
    <x v="1"/>
    <x v="0"/>
    <x v="2"/>
    <x v="6"/>
    <x v="38"/>
    <x v="0"/>
    <x v="0"/>
    <n v="0"/>
  </r>
  <r>
    <x v="1"/>
    <x v="0"/>
    <x v="2"/>
    <x v="6"/>
    <x v="38"/>
    <x v="0"/>
    <x v="1"/>
    <n v="0"/>
  </r>
  <r>
    <x v="1"/>
    <x v="0"/>
    <x v="2"/>
    <x v="6"/>
    <x v="38"/>
    <x v="0"/>
    <x v="2"/>
    <n v="0"/>
  </r>
  <r>
    <x v="1"/>
    <x v="0"/>
    <x v="2"/>
    <x v="6"/>
    <x v="38"/>
    <x v="0"/>
    <x v="3"/>
    <n v="0"/>
  </r>
  <r>
    <x v="1"/>
    <x v="0"/>
    <x v="2"/>
    <x v="6"/>
    <x v="38"/>
    <x v="0"/>
    <x v="4"/>
    <n v="0"/>
  </r>
  <r>
    <x v="1"/>
    <x v="0"/>
    <x v="2"/>
    <x v="6"/>
    <x v="38"/>
    <x v="0"/>
    <x v="5"/>
    <n v="0"/>
  </r>
  <r>
    <x v="1"/>
    <x v="0"/>
    <x v="2"/>
    <x v="6"/>
    <x v="38"/>
    <x v="0"/>
    <x v="6"/>
    <n v="0"/>
  </r>
  <r>
    <x v="1"/>
    <x v="0"/>
    <x v="3"/>
    <x v="5"/>
    <x v="39"/>
    <x v="0"/>
    <x v="0"/>
    <n v="0"/>
  </r>
  <r>
    <x v="1"/>
    <x v="0"/>
    <x v="3"/>
    <x v="5"/>
    <x v="39"/>
    <x v="0"/>
    <x v="1"/>
    <n v="0"/>
  </r>
  <r>
    <x v="1"/>
    <x v="0"/>
    <x v="3"/>
    <x v="5"/>
    <x v="39"/>
    <x v="0"/>
    <x v="2"/>
    <n v="0"/>
  </r>
  <r>
    <x v="1"/>
    <x v="0"/>
    <x v="3"/>
    <x v="5"/>
    <x v="39"/>
    <x v="0"/>
    <x v="3"/>
    <n v="0"/>
  </r>
  <r>
    <x v="1"/>
    <x v="0"/>
    <x v="3"/>
    <x v="5"/>
    <x v="39"/>
    <x v="0"/>
    <x v="4"/>
    <n v="0"/>
  </r>
  <r>
    <x v="1"/>
    <x v="0"/>
    <x v="3"/>
    <x v="5"/>
    <x v="39"/>
    <x v="0"/>
    <x v="5"/>
    <n v="0"/>
  </r>
  <r>
    <x v="1"/>
    <x v="0"/>
    <x v="3"/>
    <x v="5"/>
    <x v="39"/>
    <x v="0"/>
    <x v="6"/>
    <n v="0"/>
  </r>
  <r>
    <x v="1"/>
    <x v="0"/>
    <x v="2"/>
    <x v="6"/>
    <x v="40"/>
    <x v="0"/>
    <x v="0"/>
    <n v="0"/>
  </r>
  <r>
    <x v="1"/>
    <x v="0"/>
    <x v="2"/>
    <x v="6"/>
    <x v="40"/>
    <x v="0"/>
    <x v="1"/>
    <n v="0"/>
  </r>
  <r>
    <x v="1"/>
    <x v="0"/>
    <x v="2"/>
    <x v="6"/>
    <x v="40"/>
    <x v="0"/>
    <x v="2"/>
    <n v="0"/>
  </r>
  <r>
    <x v="1"/>
    <x v="0"/>
    <x v="2"/>
    <x v="6"/>
    <x v="40"/>
    <x v="0"/>
    <x v="3"/>
    <n v="0"/>
  </r>
  <r>
    <x v="1"/>
    <x v="0"/>
    <x v="2"/>
    <x v="6"/>
    <x v="40"/>
    <x v="0"/>
    <x v="4"/>
    <n v="0"/>
  </r>
  <r>
    <x v="1"/>
    <x v="0"/>
    <x v="2"/>
    <x v="6"/>
    <x v="40"/>
    <x v="0"/>
    <x v="5"/>
    <n v="0"/>
  </r>
  <r>
    <x v="1"/>
    <x v="0"/>
    <x v="2"/>
    <x v="6"/>
    <x v="40"/>
    <x v="0"/>
    <x v="6"/>
    <n v="0"/>
  </r>
  <r>
    <x v="1"/>
    <x v="0"/>
    <x v="2"/>
    <x v="6"/>
    <x v="41"/>
    <x v="0"/>
    <x v="0"/>
    <n v="0"/>
  </r>
  <r>
    <x v="1"/>
    <x v="0"/>
    <x v="2"/>
    <x v="6"/>
    <x v="41"/>
    <x v="0"/>
    <x v="1"/>
    <n v="0"/>
  </r>
  <r>
    <x v="1"/>
    <x v="0"/>
    <x v="2"/>
    <x v="6"/>
    <x v="41"/>
    <x v="0"/>
    <x v="2"/>
    <n v="0"/>
  </r>
  <r>
    <x v="1"/>
    <x v="0"/>
    <x v="2"/>
    <x v="6"/>
    <x v="41"/>
    <x v="0"/>
    <x v="3"/>
    <n v="0"/>
  </r>
  <r>
    <x v="1"/>
    <x v="0"/>
    <x v="2"/>
    <x v="6"/>
    <x v="41"/>
    <x v="0"/>
    <x v="4"/>
    <n v="0"/>
  </r>
  <r>
    <x v="1"/>
    <x v="0"/>
    <x v="2"/>
    <x v="6"/>
    <x v="41"/>
    <x v="0"/>
    <x v="5"/>
    <n v="0"/>
  </r>
  <r>
    <x v="1"/>
    <x v="0"/>
    <x v="2"/>
    <x v="6"/>
    <x v="41"/>
    <x v="0"/>
    <x v="6"/>
    <n v="0"/>
  </r>
  <r>
    <x v="1"/>
    <x v="0"/>
    <x v="2"/>
    <x v="6"/>
    <x v="42"/>
    <x v="0"/>
    <x v="0"/>
    <n v="0"/>
  </r>
  <r>
    <x v="1"/>
    <x v="0"/>
    <x v="2"/>
    <x v="6"/>
    <x v="42"/>
    <x v="0"/>
    <x v="1"/>
    <n v="0"/>
  </r>
  <r>
    <x v="1"/>
    <x v="0"/>
    <x v="2"/>
    <x v="6"/>
    <x v="42"/>
    <x v="0"/>
    <x v="2"/>
    <n v="0"/>
  </r>
  <r>
    <x v="1"/>
    <x v="0"/>
    <x v="2"/>
    <x v="6"/>
    <x v="42"/>
    <x v="0"/>
    <x v="3"/>
    <n v="0"/>
  </r>
  <r>
    <x v="1"/>
    <x v="0"/>
    <x v="2"/>
    <x v="6"/>
    <x v="42"/>
    <x v="0"/>
    <x v="4"/>
    <n v="0"/>
  </r>
  <r>
    <x v="1"/>
    <x v="0"/>
    <x v="2"/>
    <x v="6"/>
    <x v="42"/>
    <x v="0"/>
    <x v="5"/>
    <n v="0"/>
  </r>
  <r>
    <x v="1"/>
    <x v="0"/>
    <x v="2"/>
    <x v="6"/>
    <x v="42"/>
    <x v="0"/>
    <x v="6"/>
    <n v="0"/>
  </r>
  <r>
    <x v="1"/>
    <x v="0"/>
    <x v="2"/>
    <x v="6"/>
    <x v="43"/>
    <x v="0"/>
    <x v="0"/>
    <n v="0"/>
  </r>
  <r>
    <x v="1"/>
    <x v="0"/>
    <x v="2"/>
    <x v="6"/>
    <x v="43"/>
    <x v="0"/>
    <x v="1"/>
    <n v="0"/>
  </r>
  <r>
    <x v="1"/>
    <x v="0"/>
    <x v="2"/>
    <x v="6"/>
    <x v="43"/>
    <x v="0"/>
    <x v="2"/>
    <n v="0"/>
  </r>
  <r>
    <x v="1"/>
    <x v="0"/>
    <x v="2"/>
    <x v="6"/>
    <x v="43"/>
    <x v="0"/>
    <x v="3"/>
    <n v="0"/>
  </r>
  <r>
    <x v="1"/>
    <x v="0"/>
    <x v="2"/>
    <x v="6"/>
    <x v="43"/>
    <x v="0"/>
    <x v="4"/>
    <n v="0"/>
  </r>
  <r>
    <x v="1"/>
    <x v="0"/>
    <x v="2"/>
    <x v="6"/>
    <x v="43"/>
    <x v="0"/>
    <x v="5"/>
    <n v="0"/>
  </r>
  <r>
    <x v="1"/>
    <x v="0"/>
    <x v="2"/>
    <x v="6"/>
    <x v="43"/>
    <x v="0"/>
    <x v="6"/>
    <n v="0"/>
  </r>
  <r>
    <x v="1"/>
    <x v="0"/>
    <x v="4"/>
    <x v="7"/>
    <x v="44"/>
    <x v="0"/>
    <x v="0"/>
    <n v="0"/>
  </r>
  <r>
    <x v="1"/>
    <x v="0"/>
    <x v="4"/>
    <x v="7"/>
    <x v="44"/>
    <x v="0"/>
    <x v="1"/>
    <n v="0"/>
  </r>
  <r>
    <x v="1"/>
    <x v="0"/>
    <x v="4"/>
    <x v="7"/>
    <x v="44"/>
    <x v="0"/>
    <x v="2"/>
    <n v="0"/>
  </r>
  <r>
    <x v="1"/>
    <x v="0"/>
    <x v="4"/>
    <x v="7"/>
    <x v="44"/>
    <x v="0"/>
    <x v="3"/>
    <n v="0"/>
  </r>
  <r>
    <x v="1"/>
    <x v="0"/>
    <x v="4"/>
    <x v="7"/>
    <x v="44"/>
    <x v="0"/>
    <x v="4"/>
    <n v="0"/>
  </r>
  <r>
    <x v="1"/>
    <x v="0"/>
    <x v="4"/>
    <x v="7"/>
    <x v="44"/>
    <x v="0"/>
    <x v="5"/>
    <n v="0"/>
  </r>
  <r>
    <x v="1"/>
    <x v="0"/>
    <x v="4"/>
    <x v="7"/>
    <x v="44"/>
    <x v="0"/>
    <x v="6"/>
    <n v="0"/>
  </r>
  <r>
    <x v="1"/>
    <x v="0"/>
    <x v="4"/>
    <x v="7"/>
    <x v="45"/>
    <x v="0"/>
    <x v="0"/>
    <n v="0"/>
  </r>
  <r>
    <x v="1"/>
    <x v="0"/>
    <x v="4"/>
    <x v="7"/>
    <x v="45"/>
    <x v="0"/>
    <x v="1"/>
    <n v="0"/>
  </r>
  <r>
    <x v="1"/>
    <x v="0"/>
    <x v="4"/>
    <x v="7"/>
    <x v="45"/>
    <x v="0"/>
    <x v="2"/>
    <n v="0"/>
  </r>
  <r>
    <x v="1"/>
    <x v="0"/>
    <x v="4"/>
    <x v="7"/>
    <x v="45"/>
    <x v="0"/>
    <x v="3"/>
    <n v="0"/>
  </r>
  <r>
    <x v="1"/>
    <x v="0"/>
    <x v="4"/>
    <x v="7"/>
    <x v="45"/>
    <x v="0"/>
    <x v="4"/>
    <n v="0"/>
  </r>
  <r>
    <x v="1"/>
    <x v="0"/>
    <x v="4"/>
    <x v="7"/>
    <x v="45"/>
    <x v="0"/>
    <x v="5"/>
    <n v="0"/>
  </r>
  <r>
    <x v="1"/>
    <x v="0"/>
    <x v="4"/>
    <x v="7"/>
    <x v="45"/>
    <x v="0"/>
    <x v="6"/>
    <n v="0"/>
  </r>
  <r>
    <x v="1"/>
    <x v="0"/>
    <x v="4"/>
    <x v="7"/>
    <x v="46"/>
    <x v="0"/>
    <x v="0"/>
    <n v="0"/>
  </r>
  <r>
    <x v="1"/>
    <x v="0"/>
    <x v="4"/>
    <x v="7"/>
    <x v="46"/>
    <x v="0"/>
    <x v="1"/>
    <n v="0"/>
  </r>
  <r>
    <x v="1"/>
    <x v="0"/>
    <x v="4"/>
    <x v="7"/>
    <x v="46"/>
    <x v="0"/>
    <x v="2"/>
    <n v="0"/>
  </r>
  <r>
    <x v="1"/>
    <x v="0"/>
    <x v="4"/>
    <x v="7"/>
    <x v="46"/>
    <x v="0"/>
    <x v="3"/>
    <n v="0"/>
  </r>
  <r>
    <x v="1"/>
    <x v="0"/>
    <x v="4"/>
    <x v="7"/>
    <x v="46"/>
    <x v="0"/>
    <x v="4"/>
    <n v="0"/>
  </r>
  <r>
    <x v="1"/>
    <x v="0"/>
    <x v="4"/>
    <x v="7"/>
    <x v="46"/>
    <x v="0"/>
    <x v="5"/>
    <n v="0"/>
  </r>
  <r>
    <x v="1"/>
    <x v="0"/>
    <x v="4"/>
    <x v="7"/>
    <x v="46"/>
    <x v="0"/>
    <x v="6"/>
    <n v="0"/>
  </r>
  <r>
    <x v="1"/>
    <x v="0"/>
    <x v="4"/>
    <x v="7"/>
    <x v="47"/>
    <x v="0"/>
    <x v="0"/>
    <n v="0"/>
  </r>
  <r>
    <x v="1"/>
    <x v="0"/>
    <x v="4"/>
    <x v="7"/>
    <x v="47"/>
    <x v="0"/>
    <x v="1"/>
    <n v="0"/>
  </r>
  <r>
    <x v="1"/>
    <x v="0"/>
    <x v="4"/>
    <x v="7"/>
    <x v="47"/>
    <x v="0"/>
    <x v="2"/>
    <n v="0"/>
  </r>
  <r>
    <x v="1"/>
    <x v="0"/>
    <x v="4"/>
    <x v="7"/>
    <x v="47"/>
    <x v="0"/>
    <x v="3"/>
    <n v="0"/>
  </r>
  <r>
    <x v="1"/>
    <x v="0"/>
    <x v="4"/>
    <x v="7"/>
    <x v="47"/>
    <x v="0"/>
    <x v="4"/>
    <n v="0"/>
  </r>
  <r>
    <x v="1"/>
    <x v="0"/>
    <x v="4"/>
    <x v="7"/>
    <x v="47"/>
    <x v="0"/>
    <x v="5"/>
    <n v="0"/>
  </r>
  <r>
    <x v="1"/>
    <x v="0"/>
    <x v="4"/>
    <x v="7"/>
    <x v="47"/>
    <x v="0"/>
    <x v="6"/>
    <n v="0"/>
  </r>
  <r>
    <x v="1"/>
    <x v="0"/>
    <x v="4"/>
    <x v="7"/>
    <x v="48"/>
    <x v="0"/>
    <x v="0"/>
    <n v="0"/>
  </r>
  <r>
    <x v="1"/>
    <x v="0"/>
    <x v="4"/>
    <x v="7"/>
    <x v="48"/>
    <x v="0"/>
    <x v="1"/>
    <n v="0"/>
  </r>
  <r>
    <x v="1"/>
    <x v="0"/>
    <x v="4"/>
    <x v="7"/>
    <x v="48"/>
    <x v="0"/>
    <x v="2"/>
    <n v="0"/>
  </r>
  <r>
    <x v="1"/>
    <x v="0"/>
    <x v="4"/>
    <x v="7"/>
    <x v="48"/>
    <x v="0"/>
    <x v="3"/>
    <n v="0"/>
  </r>
  <r>
    <x v="1"/>
    <x v="0"/>
    <x v="4"/>
    <x v="7"/>
    <x v="48"/>
    <x v="0"/>
    <x v="4"/>
    <n v="0"/>
  </r>
  <r>
    <x v="1"/>
    <x v="0"/>
    <x v="4"/>
    <x v="7"/>
    <x v="48"/>
    <x v="0"/>
    <x v="5"/>
    <n v="0"/>
  </r>
  <r>
    <x v="1"/>
    <x v="0"/>
    <x v="4"/>
    <x v="7"/>
    <x v="48"/>
    <x v="0"/>
    <x v="6"/>
    <n v="0"/>
  </r>
  <r>
    <x v="1"/>
    <x v="0"/>
    <x v="4"/>
    <x v="7"/>
    <x v="49"/>
    <x v="0"/>
    <x v="0"/>
    <n v="0"/>
  </r>
  <r>
    <x v="1"/>
    <x v="0"/>
    <x v="4"/>
    <x v="7"/>
    <x v="49"/>
    <x v="0"/>
    <x v="1"/>
    <n v="0"/>
  </r>
  <r>
    <x v="1"/>
    <x v="0"/>
    <x v="4"/>
    <x v="7"/>
    <x v="49"/>
    <x v="0"/>
    <x v="2"/>
    <n v="0"/>
  </r>
  <r>
    <x v="1"/>
    <x v="0"/>
    <x v="4"/>
    <x v="7"/>
    <x v="49"/>
    <x v="0"/>
    <x v="3"/>
    <n v="0"/>
  </r>
  <r>
    <x v="1"/>
    <x v="0"/>
    <x v="4"/>
    <x v="7"/>
    <x v="49"/>
    <x v="0"/>
    <x v="4"/>
    <n v="0"/>
  </r>
  <r>
    <x v="1"/>
    <x v="0"/>
    <x v="4"/>
    <x v="7"/>
    <x v="49"/>
    <x v="0"/>
    <x v="5"/>
    <n v="0"/>
  </r>
  <r>
    <x v="1"/>
    <x v="0"/>
    <x v="4"/>
    <x v="7"/>
    <x v="49"/>
    <x v="0"/>
    <x v="6"/>
    <n v="0"/>
  </r>
  <r>
    <x v="1"/>
    <x v="0"/>
    <x v="4"/>
    <x v="7"/>
    <x v="50"/>
    <x v="0"/>
    <x v="0"/>
    <n v="0"/>
  </r>
  <r>
    <x v="1"/>
    <x v="0"/>
    <x v="4"/>
    <x v="7"/>
    <x v="50"/>
    <x v="0"/>
    <x v="1"/>
    <n v="0"/>
  </r>
  <r>
    <x v="1"/>
    <x v="0"/>
    <x v="4"/>
    <x v="7"/>
    <x v="50"/>
    <x v="0"/>
    <x v="2"/>
    <n v="0"/>
  </r>
  <r>
    <x v="1"/>
    <x v="0"/>
    <x v="4"/>
    <x v="7"/>
    <x v="50"/>
    <x v="0"/>
    <x v="3"/>
    <n v="0"/>
  </r>
  <r>
    <x v="1"/>
    <x v="0"/>
    <x v="4"/>
    <x v="7"/>
    <x v="50"/>
    <x v="0"/>
    <x v="4"/>
    <n v="0"/>
  </r>
  <r>
    <x v="1"/>
    <x v="0"/>
    <x v="4"/>
    <x v="7"/>
    <x v="50"/>
    <x v="0"/>
    <x v="5"/>
    <n v="0"/>
  </r>
  <r>
    <x v="1"/>
    <x v="0"/>
    <x v="4"/>
    <x v="7"/>
    <x v="50"/>
    <x v="0"/>
    <x v="6"/>
    <n v="0"/>
  </r>
  <r>
    <x v="1"/>
    <x v="0"/>
    <x v="5"/>
    <x v="8"/>
    <x v="51"/>
    <x v="0"/>
    <x v="0"/>
    <n v="0"/>
  </r>
  <r>
    <x v="1"/>
    <x v="0"/>
    <x v="5"/>
    <x v="8"/>
    <x v="51"/>
    <x v="0"/>
    <x v="1"/>
    <n v="0"/>
  </r>
  <r>
    <x v="1"/>
    <x v="0"/>
    <x v="5"/>
    <x v="8"/>
    <x v="51"/>
    <x v="0"/>
    <x v="2"/>
    <n v="0"/>
  </r>
  <r>
    <x v="1"/>
    <x v="0"/>
    <x v="5"/>
    <x v="8"/>
    <x v="51"/>
    <x v="0"/>
    <x v="3"/>
    <n v="0"/>
  </r>
  <r>
    <x v="1"/>
    <x v="0"/>
    <x v="5"/>
    <x v="8"/>
    <x v="51"/>
    <x v="0"/>
    <x v="4"/>
    <n v="0"/>
  </r>
  <r>
    <x v="1"/>
    <x v="0"/>
    <x v="5"/>
    <x v="8"/>
    <x v="51"/>
    <x v="0"/>
    <x v="5"/>
    <n v="0"/>
  </r>
  <r>
    <x v="1"/>
    <x v="0"/>
    <x v="5"/>
    <x v="8"/>
    <x v="51"/>
    <x v="0"/>
    <x v="6"/>
    <n v="0"/>
  </r>
  <r>
    <x v="1"/>
    <x v="0"/>
    <x v="3"/>
    <x v="5"/>
    <x v="52"/>
    <x v="0"/>
    <x v="0"/>
    <n v="0"/>
  </r>
  <r>
    <x v="1"/>
    <x v="0"/>
    <x v="3"/>
    <x v="5"/>
    <x v="52"/>
    <x v="0"/>
    <x v="1"/>
    <n v="0"/>
  </r>
  <r>
    <x v="1"/>
    <x v="0"/>
    <x v="3"/>
    <x v="5"/>
    <x v="52"/>
    <x v="0"/>
    <x v="2"/>
    <n v="0"/>
  </r>
  <r>
    <x v="1"/>
    <x v="0"/>
    <x v="3"/>
    <x v="5"/>
    <x v="52"/>
    <x v="0"/>
    <x v="3"/>
    <n v="0"/>
  </r>
  <r>
    <x v="1"/>
    <x v="0"/>
    <x v="3"/>
    <x v="5"/>
    <x v="52"/>
    <x v="0"/>
    <x v="4"/>
    <n v="0"/>
  </r>
  <r>
    <x v="1"/>
    <x v="0"/>
    <x v="3"/>
    <x v="5"/>
    <x v="52"/>
    <x v="0"/>
    <x v="5"/>
    <n v="0"/>
  </r>
  <r>
    <x v="1"/>
    <x v="0"/>
    <x v="3"/>
    <x v="5"/>
    <x v="52"/>
    <x v="0"/>
    <x v="6"/>
    <n v="0"/>
  </r>
  <r>
    <x v="1"/>
    <x v="0"/>
    <x v="5"/>
    <x v="8"/>
    <x v="53"/>
    <x v="0"/>
    <x v="0"/>
    <n v="0"/>
  </r>
  <r>
    <x v="1"/>
    <x v="0"/>
    <x v="5"/>
    <x v="8"/>
    <x v="53"/>
    <x v="0"/>
    <x v="1"/>
    <n v="0"/>
  </r>
  <r>
    <x v="1"/>
    <x v="0"/>
    <x v="5"/>
    <x v="8"/>
    <x v="53"/>
    <x v="0"/>
    <x v="2"/>
    <n v="0"/>
  </r>
  <r>
    <x v="1"/>
    <x v="0"/>
    <x v="5"/>
    <x v="8"/>
    <x v="53"/>
    <x v="0"/>
    <x v="3"/>
    <n v="0"/>
  </r>
  <r>
    <x v="1"/>
    <x v="0"/>
    <x v="5"/>
    <x v="8"/>
    <x v="53"/>
    <x v="0"/>
    <x v="4"/>
    <n v="0"/>
  </r>
  <r>
    <x v="1"/>
    <x v="0"/>
    <x v="5"/>
    <x v="8"/>
    <x v="53"/>
    <x v="0"/>
    <x v="5"/>
    <n v="0"/>
  </r>
  <r>
    <x v="1"/>
    <x v="0"/>
    <x v="5"/>
    <x v="8"/>
    <x v="53"/>
    <x v="0"/>
    <x v="6"/>
    <n v="0"/>
  </r>
  <r>
    <x v="1"/>
    <x v="0"/>
    <x v="4"/>
    <x v="7"/>
    <x v="54"/>
    <x v="0"/>
    <x v="0"/>
    <n v="0"/>
  </r>
  <r>
    <x v="1"/>
    <x v="0"/>
    <x v="4"/>
    <x v="7"/>
    <x v="54"/>
    <x v="0"/>
    <x v="1"/>
    <n v="0"/>
  </r>
  <r>
    <x v="1"/>
    <x v="0"/>
    <x v="4"/>
    <x v="7"/>
    <x v="54"/>
    <x v="0"/>
    <x v="2"/>
    <n v="0"/>
  </r>
  <r>
    <x v="1"/>
    <x v="0"/>
    <x v="4"/>
    <x v="7"/>
    <x v="54"/>
    <x v="0"/>
    <x v="3"/>
    <n v="0"/>
  </r>
  <r>
    <x v="1"/>
    <x v="0"/>
    <x v="4"/>
    <x v="7"/>
    <x v="54"/>
    <x v="0"/>
    <x v="4"/>
    <n v="0"/>
  </r>
  <r>
    <x v="1"/>
    <x v="0"/>
    <x v="4"/>
    <x v="7"/>
    <x v="54"/>
    <x v="0"/>
    <x v="5"/>
    <n v="0"/>
  </r>
  <r>
    <x v="1"/>
    <x v="0"/>
    <x v="4"/>
    <x v="7"/>
    <x v="54"/>
    <x v="0"/>
    <x v="6"/>
    <n v="0"/>
  </r>
  <r>
    <x v="1"/>
    <x v="0"/>
    <x v="4"/>
    <x v="7"/>
    <x v="55"/>
    <x v="0"/>
    <x v="0"/>
    <n v="0"/>
  </r>
  <r>
    <x v="1"/>
    <x v="0"/>
    <x v="4"/>
    <x v="7"/>
    <x v="55"/>
    <x v="0"/>
    <x v="1"/>
    <n v="0"/>
  </r>
  <r>
    <x v="1"/>
    <x v="0"/>
    <x v="4"/>
    <x v="7"/>
    <x v="55"/>
    <x v="0"/>
    <x v="2"/>
    <n v="0"/>
  </r>
  <r>
    <x v="1"/>
    <x v="0"/>
    <x v="4"/>
    <x v="7"/>
    <x v="55"/>
    <x v="0"/>
    <x v="3"/>
    <n v="0"/>
  </r>
  <r>
    <x v="1"/>
    <x v="0"/>
    <x v="4"/>
    <x v="7"/>
    <x v="55"/>
    <x v="0"/>
    <x v="4"/>
    <n v="0"/>
  </r>
  <r>
    <x v="1"/>
    <x v="0"/>
    <x v="4"/>
    <x v="7"/>
    <x v="55"/>
    <x v="0"/>
    <x v="5"/>
    <n v="0"/>
  </r>
  <r>
    <x v="1"/>
    <x v="0"/>
    <x v="4"/>
    <x v="7"/>
    <x v="55"/>
    <x v="0"/>
    <x v="6"/>
    <n v="0"/>
  </r>
  <r>
    <x v="1"/>
    <x v="0"/>
    <x v="4"/>
    <x v="7"/>
    <x v="56"/>
    <x v="0"/>
    <x v="0"/>
    <n v="0"/>
  </r>
  <r>
    <x v="1"/>
    <x v="0"/>
    <x v="4"/>
    <x v="7"/>
    <x v="56"/>
    <x v="0"/>
    <x v="1"/>
    <n v="0"/>
  </r>
  <r>
    <x v="1"/>
    <x v="0"/>
    <x v="4"/>
    <x v="7"/>
    <x v="56"/>
    <x v="0"/>
    <x v="2"/>
    <n v="0"/>
  </r>
  <r>
    <x v="1"/>
    <x v="0"/>
    <x v="4"/>
    <x v="7"/>
    <x v="56"/>
    <x v="0"/>
    <x v="3"/>
    <n v="0"/>
  </r>
  <r>
    <x v="1"/>
    <x v="0"/>
    <x v="4"/>
    <x v="7"/>
    <x v="56"/>
    <x v="0"/>
    <x v="4"/>
    <n v="0"/>
  </r>
  <r>
    <x v="1"/>
    <x v="0"/>
    <x v="4"/>
    <x v="7"/>
    <x v="56"/>
    <x v="0"/>
    <x v="5"/>
    <n v="0"/>
  </r>
  <r>
    <x v="1"/>
    <x v="0"/>
    <x v="4"/>
    <x v="7"/>
    <x v="56"/>
    <x v="0"/>
    <x v="6"/>
    <n v="0"/>
  </r>
  <r>
    <x v="1"/>
    <x v="0"/>
    <x v="4"/>
    <x v="7"/>
    <x v="57"/>
    <x v="0"/>
    <x v="0"/>
    <n v="0"/>
  </r>
  <r>
    <x v="1"/>
    <x v="0"/>
    <x v="4"/>
    <x v="7"/>
    <x v="57"/>
    <x v="0"/>
    <x v="1"/>
    <n v="0"/>
  </r>
  <r>
    <x v="1"/>
    <x v="0"/>
    <x v="4"/>
    <x v="7"/>
    <x v="57"/>
    <x v="0"/>
    <x v="2"/>
    <n v="0"/>
  </r>
  <r>
    <x v="1"/>
    <x v="0"/>
    <x v="4"/>
    <x v="7"/>
    <x v="57"/>
    <x v="0"/>
    <x v="3"/>
    <n v="0"/>
  </r>
  <r>
    <x v="1"/>
    <x v="0"/>
    <x v="4"/>
    <x v="7"/>
    <x v="57"/>
    <x v="0"/>
    <x v="4"/>
    <n v="0"/>
  </r>
  <r>
    <x v="1"/>
    <x v="0"/>
    <x v="4"/>
    <x v="7"/>
    <x v="57"/>
    <x v="0"/>
    <x v="5"/>
    <n v="0"/>
  </r>
  <r>
    <x v="1"/>
    <x v="0"/>
    <x v="4"/>
    <x v="7"/>
    <x v="57"/>
    <x v="0"/>
    <x v="6"/>
    <n v="0"/>
  </r>
  <r>
    <x v="1"/>
    <x v="0"/>
    <x v="4"/>
    <x v="7"/>
    <x v="58"/>
    <x v="0"/>
    <x v="0"/>
    <n v="0"/>
  </r>
  <r>
    <x v="1"/>
    <x v="0"/>
    <x v="4"/>
    <x v="7"/>
    <x v="58"/>
    <x v="0"/>
    <x v="1"/>
    <n v="0"/>
  </r>
  <r>
    <x v="1"/>
    <x v="0"/>
    <x v="4"/>
    <x v="7"/>
    <x v="58"/>
    <x v="0"/>
    <x v="2"/>
    <n v="0"/>
  </r>
  <r>
    <x v="1"/>
    <x v="0"/>
    <x v="4"/>
    <x v="7"/>
    <x v="58"/>
    <x v="0"/>
    <x v="3"/>
    <n v="0"/>
  </r>
  <r>
    <x v="1"/>
    <x v="0"/>
    <x v="4"/>
    <x v="7"/>
    <x v="58"/>
    <x v="0"/>
    <x v="4"/>
    <n v="0"/>
  </r>
  <r>
    <x v="1"/>
    <x v="0"/>
    <x v="4"/>
    <x v="7"/>
    <x v="58"/>
    <x v="0"/>
    <x v="5"/>
    <n v="0"/>
  </r>
  <r>
    <x v="1"/>
    <x v="0"/>
    <x v="4"/>
    <x v="7"/>
    <x v="58"/>
    <x v="0"/>
    <x v="6"/>
    <n v="0"/>
  </r>
  <r>
    <x v="1"/>
    <x v="0"/>
    <x v="4"/>
    <x v="7"/>
    <x v="59"/>
    <x v="0"/>
    <x v="0"/>
    <n v="0"/>
  </r>
  <r>
    <x v="1"/>
    <x v="0"/>
    <x v="4"/>
    <x v="7"/>
    <x v="59"/>
    <x v="0"/>
    <x v="1"/>
    <n v="0"/>
  </r>
  <r>
    <x v="1"/>
    <x v="0"/>
    <x v="4"/>
    <x v="7"/>
    <x v="59"/>
    <x v="0"/>
    <x v="2"/>
    <n v="0"/>
  </r>
  <r>
    <x v="1"/>
    <x v="0"/>
    <x v="4"/>
    <x v="7"/>
    <x v="59"/>
    <x v="0"/>
    <x v="3"/>
    <n v="0"/>
  </r>
  <r>
    <x v="1"/>
    <x v="0"/>
    <x v="4"/>
    <x v="7"/>
    <x v="59"/>
    <x v="0"/>
    <x v="4"/>
    <n v="0"/>
  </r>
  <r>
    <x v="1"/>
    <x v="0"/>
    <x v="4"/>
    <x v="7"/>
    <x v="59"/>
    <x v="0"/>
    <x v="5"/>
    <n v="0"/>
  </r>
  <r>
    <x v="1"/>
    <x v="0"/>
    <x v="4"/>
    <x v="7"/>
    <x v="59"/>
    <x v="0"/>
    <x v="6"/>
    <n v="0"/>
  </r>
  <r>
    <x v="1"/>
    <x v="0"/>
    <x v="4"/>
    <x v="7"/>
    <x v="60"/>
    <x v="0"/>
    <x v="0"/>
    <n v="0"/>
  </r>
  <r>
    <x v="1"/>
    <x v="0"/>
    <x v="4"/>
    <x v="7"/>
    <x v="60"/>
    <x v="0"/>
    <x v="1"/>
    <n v="0"/>
  </r>
  <r>
    <x v="1"/>
    <x v="0"/>
    <x v="4"/>
    <x v="7"/>
    <x v="60"/>
    <x v="0"/>
    <x v="2"/>
    <n v="0"/>
  </r>
  <r>
    <x v="1"/>
    <x v="0"/>
    <x v="4"/>
    <x v="7"/>
    <x v="60"/>
    <x v="0"/>
    <x v="3"/>
    <n v="0"/>
  </r>
  <r>
    <x v="1"/>
    <x v="0"/>
    <x v="4"/>
    <x v="7"/>
    <x v="60"/>
    <x v="0"/>
    <x v="4"/>
    <n v="0"/>
  </r>
  <r>
    <x v="1"/>
    <x v="0"/>
    <x v="4"/>
    <x v="7"/>
    <x v="60"/>
    <x v="0"/>
    <x v="5"/>
    <n v="0"/>
  </r>
  <r>
    <x v="1"/>
    <x v="0"/>
    <x v="4"/>
    <x v="7"/>
    <x v="60"/>
    <x v="0"/>
    <x v="6"/>
    <n v="0"/>
  </r>
  <r>
    <x v="1"/>
    <x v="0"/>
    <x v="4"/>
    <x v="7"/>
    <x v="61"/>
    <x v="0"/>
    <x v="0"/>
    <n v="0"/>
  </r>
  <r>
    <x v="1"/>
    <x v="0"/>
    <x v="4"/>
    <x v="7"/>
    <x v="61"/>
    <x v="0"/>
    <x v="1"/>
    <n v="0"/>
  </r>
  <r>
    <x v="1"/>
    <x v="0"/>
    <x v="4"/>
    <x v="7"/>
    <x v="61"/>
    <x v="0"/>
    <x v="2"/>
    <n v="0"/>
  </r>
  <r>
    <x v="1"/>
    <x v="0"/>
    <x v="4"/>
    <x v="7"/>
    <x v="61"/>
    <x v="0"/>
    <x v="3"/>
    <n v="0"/>
  </r>
  <r>
    <x v="1"/>
    <x v="0"/>
    <x v="4"/>
    <x v="7"/>
    <x v="61"/>
    <x v="0"/>
    <x v="4"/>
    <n v="0"/>
  </r>
  <r>
    <x v="1"/>
    <x v="0"/>
    <x v="4"/>
    <x v="7"/>
    <x v="61"/>
    <x v="0"/>
    <x v="5"/>
    <n v="0"/>
  </r>
  <r>
    <x v="1"/>
    <x v="0"/>
    <x v="4"/>
    <x v="7"/>
    <x v="61"/>
    <x v="0"/>
    <x v="6"/>
    <n v="0"/>
  </r>
  <r>
    <x v="1"/>
    <x v="0"/>
    <x v="4"/>
    <x v="7"/>
    <x v="62"/>
    <x v="0"/>
    <x v="0"/>
    <n v="0"/>
  </r>
  <r>
    <x v="1"/>
    <x v="0"/>
    <x v="4"/>
    <x v="7"/>
    <x v="62"/>
    <x v="0"/>
    <x v="1"/>
    <n v="0"/>
  </r>
  <r>
    <x v="1"/>
    <x v="0"/>
    <x v="4"/>
    <x v="7"/>
    <x v="62"/>
    <x v="0"/>
    <x v="2"/>
    <n v="0"/>
  </r>
  <r>
    <x v="1"/>
    <x v="0"/>
    <x v="4"/>
    <x v="7"/>
    <x v="62"/>
    <x v="0"/>
    <x v="3"/>
    <n v="0"/>
  </r>
  <r>
    <x v="1"/>
    <x v="0"/>
    <x v="4"/>
    <x v="7"/>
    <x v="62"/>
    <x v="0"/>
    <x v="4"/>
    <n v="0"/>
  </r>
  <r>
    <x v="1"/>
    <x v="0"/>
    <x v="4"/>
    <x v="7"/>
    <x v="62"/>
    <x v="0"/>
    <x v="5"/>
    <n v="0"/>
  </r>
  <r>
    <x v="1"/>
    <x v="0"/>
    <x v="4"/>
    <x v="7"/>
    <x v="62"/>
    <x v="0"/>
    <x v="6"/>
    <n v="0"/>
  </r>
  <r>
    <x v="1"/>
    <x v="0"/>
    <x v="4"/>
    <x v="7"/>
    <x v="63"/>
    <x v="0"/>
    <x v="0"/>
    <n v="0"/>
  </r>
  <r>
    <x v="1"/>
    <x v="0"/>
    <x v="4"/>
    <x v="7"/>
    <x v="63"/>
    <x v="0"/>
    <x v="1"/>
    <n v="0"/>
  </r>
  <r>
    <x v="1"/>
    <x v="0"/>
    <x v="4"/>
    <x v="7"/>
    <x v="63"/>
    <x v="0"/>
    <x v="2"/>
    <n v="0"/>
  </r>
  <r>
    <x v="1"/>
    <x v="0"/>
    <x v="4"/>
    <x v="7"/>
    <x v="63"/>
    <x v="0"/>
    <x v="3"/>
    <n v="0"/>
  </r>
  <r>
    <x v="1"/>
    <x v="0"/>
    <x v="4"/>
    <x v="7"/>
    <x v="63"/>
    <x v="0"/>
    <x v="4"/>
    <n v="0"/>
  </r>
  <r>
    <x v="1"/>
    <x v="0"/>
    <x v="4"/>
    <x v="7"/>
    <x v="63"/>
    <x v="0"/>
    <x v="5"/>
    <n v="0"/>
  </r>
  <r>
    <x v="1"/>
    <x v="0"/>
    <x v="4"/>
    <x v="7"/>
    <x v="63"/>
    <x v="0"/>
    <x v="6"/>
    <n v="0"/>
  </r>
  <r>
    <x v="1"/>
    <x v="0"/>
    <x v="4"/>
    <x v="7"/>
    <x v="64"/>
    <x v="0"/>
    <x v="0"/>
    <n v="0"/>
  </r>
  <r>
    <x v="1"/>
    <x v="0"/>
    <x v="4"/>
    <x v="7"/>
    <x v="64"/>
    <x v="0"/>
    <x v="1"/>
    <n v="0"/>
  </r>
  <r>
    <x v="1"/>
    <x v="0"/>
    <x v="4"/>
    <x v="7"/>
    <x v="64"/>
    <x v="0"/>
    <x v="2"/>
    <n v="0"/>
  </r>
  <r>
    <x v="1"/>
    <x v="0"/>
    <x v="4"/>
    <x v="7"/>
    <x v="64"/>
    <x v="0"/>
    <x v="3"/>
    <n v="0"/>
  </r>
  <r>
    <x v="1"/>
    <x v="0"/>
    <x v="4"/>
    <x v="7"/>
    <x v="64"/>
    <x v="0"/>
    <x v="4"/>
    <n v="0"/>
  </r>
  <r>
    <x v="1"/>
    <x v="0"/>
    <x v="4"/>
    <x v="7"/>
    <x v="64"/>
    <x v="0"/>
    <x v="5"/>
    <n v="0"/>
  </r>
  <r>
    <x v="1"/>
    <x v="0"/>
    <x v="4"/>
    <x v="7"/>
    <x v="64"/>
    <x v="0"/>
    <x v="6"/>
    <n v="0"/>
  </r>
  <r>
    <x v="1"/>
    <x v="0"/>
    <x v="3"/>
    <x v="5"/>
    <x v="65"/>
    <x v="0"/>
    <x v="0"/>
    <n v="0"/>
  </r>
  <r>
    <x v="1"/>
    <x v="0"/>
    <x v="3"/>
    <x v="5"/>
    <x v="65"/>
    <x v="0"/>
    <x v="1"/>
    <n v="0"/>
  </r>
  <r>
    <x v="1"/>
    <x v="0"/>
    <x v="3"/>
    <x v="5"/>
    <x v="65"/>
    <x v="0"/>
    <x v="2"/>
    <n v="0"/>
  </r>
  <r>
    <x v="1"/>
    <x v="0"/>
    <x v="3"/>
    <x v="5"/>
    <x v="65"/>
    <x v="0"/>
    <x v="3"/>
    <n v="0"/>
  </r>
  <r>
    <x v="1"/>
    <x v="0"/>
    <x v="3"/>
    <x v="5"/>
    <x v="65"/>
    <x v="0"/>
    <x v="4"/>
    <n v="0"/>
  </r>
  <r>
    <x v="1"/>
    <x v="0"/>
    <x v="3"/>
    <x v="5"/>
    <x v="65"/>
    <x v="0"/>
    <x v="5"/>
    <n v="0"/>
  </r>
  <r>
    <x v="1"/>
    <x v="0"/>
    <x v="3"/>
    <x v="5"/>
    <x v="65"/>
    <x v="0"/>
    <x v="6"/>
    <n v="0"/>
  </r>
  <r>
    <x v="1"/>
    <x v="0"/>
    <x v="3"/>
    <x v="5"/>
    <x v="66"/>
    <x v="0"/>
    <x v="0"/>
    <n v="0"/>
  </r>
  <r>
    <x v="1"/>
    <x v="0"/>
    <x v="3"/>
    <x v="5"/>
    <x v="66"/>
    <x v="0"/>
    <x v="1"/>
    <n v="0"/>
  </r>
  <r>
    <x v="1"/>
    <x v="0"/>
    <x v="3"/>
    <x v="5"/>
    <x v="66"/>
    <x v="0"/>
    <x v="2"/>
    <n v="0"/>
  </r>
  <r>
    <x v="1"/>
    <x v="0"/>
    <x v="3"/>
    <x v="5"/>
    <x v="66"/>
    <x v="0"/>
    <x v="3"/>
    <n v="0"/>
  </r>
  <r>
    <x v="1"/>
    <x v="0"/>
    <x v="3"/>
    <x v="5"/>
    <x v="66"/>
    <x v="0"/>
    <x v="4"/>
    <n v="0"/>
  </r>
  <r>
    <x v="1"/>
    <x v="0"/>
    <x v="3"/>
    <x v="5"/>
    <x v="66"/>
    <x v="0"/>
    <x v="5"/>
    <n v="0"/>
  </r>
  <r>
    <x v="1"/>
    <x v="0"/>
    <x v="3"/>
    <x v="5"/>
    <x v="66"/>
    <x v="0"/>
    <x v="6"/>
    <n v="0"/>
  </r>
  <r>
    <x v="1"/>
    <x v="0"/>
    <x v="3"/>
    <x v="5"/>
    <x v="67"/>
    <x v="0"/>
    <x v="0"/>
    <n v="0"/>
  </r>
  <r>
    <x v="1"/>
    <x v="0"/>
    <x v="3"/>
    <x v="5"/>
    <x v="67"/>
    <x v="0"/>
    <x v="1"/>
    <n v="0"/>
  </r>
  <r>
    <x v="1"/>
    <x v="0"/>
    <x v="3"/>
    <x v="5"/>
    <x v="67"/>
    <x v="0"/>
    <x v="2"/>
    <n v="0"/>
  </r>
  <r>
    <x v="1"/>
    <x v="0"/>
    <x v="3"/>
    <x v="5"/>
    <x v="67"/>
    <x v="0"/>
    <x v="3"/>
    <n v="0"/>
  </r>
  <r>
    <x v="1"/>
    <x v="0"/>
    <x v="3"/>
    <x v="5"/>
    <x v="67"/>
    <x v="0"/>
    <x v="4"/>
    <n v="0"/>
  </r>
  <r>
    <x v="1"/>
    <x v="0"/>
    <x v="3"/>
    <x v="5"/>
    <x v="67"/>
    <x v="0"/>
    <x v="5"/>
    <n v="0"/>
  </r>
  <r>
    <x v="1"/>
    <x v="0"/>
    <x v="3"/>
    <x v="5"/>
    <x v="67"/>
    <x v="0"/>
    <x v="6"/>
    <n v="0"/>
  </r>
  <r>
    <x v="1"/>
    <x v="0"/>
    <x v="3"/>
    <x v="5"/>
    <x v="68"/>
    <x v="0"/>
    <x v="0"/>
    <n v="0"/>
  </r>
  <r>
    <x v="1"/>
    <x v="0"/>
    <x v="3"/>
    <x v="5"/>
    <x v="68"/>
    <x v="0"/>
    <x v="1"/>
    <n v="0"/>
  </r>
  <r>
    <x v="1"/>
    <x v="0"/>
    <x v="3"/>
    <x v="5"/>
    <x v="68"/>
    <x v="0"/>
    <x v="2"/>
    <n v="0"/>
  </r>
  <r>
    <x v="1"/>
    <x v="0"/>
    <x v="3"/>
    <x v="5"/>
    <x v="68"/>
    <x v="0"/>
    <x v="3"/>
    <n v="0"/>
  </r>
  <r>
    <x v="1"/>
    <x v="0"/>
    <x v="3"/>
    <x v="5"/>
    <x v="68"/>
    <x v="0"/>
    <x v="4"/>
    <n v="0"/>
  </r>
  <r>
    <x v="1"/>
    <x v="0"/>
    <x v="3"/>
    <x v="5"/>
    <x v="68"/>
    <x v="0"/>
    <x v="5"/>
    <n v="0"/>
  </r>
  <r>
    <x v="1"/>
    <x v="0"/>
    <x v="3"/>
    <x v="5"/>
    <x v="68"/>
    <x v="0"/>
    <x v="6"/>
    <n v="0"/>
  </r>
  <r>
    <x v="1"/>
    <x v="0"/>
    <x v="3"/>
    <x v="5"/>
    <x v="69"/>
    <x v="0"/>
    <x v="0"/>
    <n v="0"/>
  </r>
  <r>
    <x v="1"/>
    <x v="0"/>
    <x v="3"/>
    <x v="5"/>
    <x v="69"/>
    <x v="0"/>
    <x v="1"/>
    <n v="0"/>
  </r>
  <r>
    <x v="1"/>
    <x v="0"/>
    <x v="3"/>
    <x v="5"/>
    <x v="69"/>
    <x v="0"/>
    <x v="2"/>
    <n v="0"/>
  </r>
  <r>
    <x v="1"/>
    <x v="0"/>
    <x v="3"/>
    <x v="5"/>
    <x v="69"/>
    <x v="0"/>
    <x v="3"/>
    <n v="0"/>
  </r>
  <r>
    <x v="1"/>
    <x v="0"/>
    <x v="3"/>
    <x v="5"/>
    <x v="69"/>
    <x v="0"/>
    <x v="4"/>
    <n v="0"/>
  </r>
  <r>
    <x v="1"/>
    <x v="0"/>
    <x v="3"/>
    <x v="5"/>
    <x v="69"/>
    <x v="0"/>
    <x v="5"/>
    <n v="0"/>
  </r>
  <r>
    <x v="1"/>
    <x v="0"/>
    <x v="3"/>
    <x v="5"/>
    <x v="69"/>
    <x v="0"/>
    <x v="6"/>
    <n v="0"/>
  </r>
  <r>
    <x v="1"/>
    <x v="0"/>
    <x v="3"/>
    <x v="5"/>
    <x v="70"/>
    <x v="0"/>
    <x v="0"/>
    <n v="0"/>
  </r>
  <r>
    <x v="1"/>
    <x v="0"/>
    <x v="3"/>
    <x v="5"/>
    <x v="70"/>
    <x v="0"/>
    <x v="1"/>
    <n v="0"/>
  </r>
  <r>
    <x v="1"/>
    <x v="0"/>
    <x v="3"/>
    <x v="5"/>
    <x v="70"/>
    <x v="0"/>
    <x v="2"/>
    <n v="0"/>
  </r>
  <r>
    <x v="1"/>
    <x v="0"/>
    <x v="3"/>
    <x v="5"/>
    <x v="70"/>
    <x v="0"/>
    <x v="3"/>
    <n v="0"/>
  </r>
  <r>
    <x v="1"/>
    <x v="0"/>
    <x v="3"/>
    <x v="5"/>
    <x v="70"/>
    <x v="0"/>
    <x v="4"/>
    <n v="0"/>
  </r>
  <r>
    <x v="1"/>
    <x v="0"/>
    <x v="3"/>
    <x v="5"/>
    <x v="70"/>
    <x v="0"/>
    <x v="5"/>
    <n v="0"/>
  </r>
  <r>
    <x v="1"/>
    <x v="0"/>
    <x v="3"/>
    <x v="5"/>
    <x v="70"/>
    <x v="0"/>
    <x v="6"/>
    <n v="0"/>
  </r>
  <r>
    <x v="1"/>
    <x v="0"/>
    <x v="3"/>
    <x v="5"/>
    <x v="71"/>
    <x v="0"/>
    <x v="0"/>
    <n v="0"/>
  </r>
  <r>
    <x v="1"/>
    <x v="0"/>
    <x v="3"/>
    <x v="5"/>
    <x v="71"/>
    <x v="0"/>
    <x v="1"/>
    <n v="0"/>
  </r>
  <r>
    <x v="1"/>
    <x v="0"/>
    <x v="3"/>
    <x v="5"/>
    <x v="71"/>
    <x v="0"/>
    <x v="2"/>
    <n v="0"/>
  </r>
  <r>
    <x v="1"/>
    <x v="0"/>
    <x v="3"/>
    <x v="5"/>
    <x v="71"/>
    <x v="0"/>
    <x v="3"/>
    <n v="0"/>
  </r>
  <r>
    <x v="1"/>
    <x v="0"/>
    <x v="3"/>
    <x v="5"/>
    <x v="71"/>
    <x v="0"/>
    <x v="4"/>
    <n v="0"/>
  </r>
  <r>
    <x v="1"/>
    <x v="0"/>
    <x v="3"/>
    <x v="5"/>
    <x v="71"/>
    <x v="0"/>
    <x v="5"/>
    <n v="0"/>
  </r>
  <r>
    <x v="1"/>
    <x v="0"/>
    <x v="3"/>
    <x v="5"/>
    <x v="71"/>
    <x v="0"/>
    <x v="6"/>
    <n v="0"/>
  </r>
  <r>
    <x v="1"/>
    <x v="0"/>
    <x v="3"/>
    <x v="5"/>
    <x v="72"/>
    <x v="0"/>
    <x v="0"/>
    <n v="0"/>
  </r>
  <r>
    <x v="1"/>
    <x v="0"/>
    <x v="3"/>
    <x v="5"/>
    <x v="72"/>
    <x v="0"/>
    <x v="1"/>
    <n v="0"/>
  </r>
  <r>
    <x v="1"/>
    <x v="0"/>
    <x v="3"/>
    <x v="5"/>
    <x v="72"/>
    <x v="0"/>
    <x v="2"/>
    <n v="0"/>
  </r>
  <r>
    <x v="1"/>
    <x v="0"/>
    <x v="3"/>
    <x v="5"/>
    <x v="72"/>
    <x v="0"/>
    <x v="3"/>
    <n v="0"/>
  </r>
  <r>
    <x v="1"/>
    <x v="0"/>
    <x v="3"/>
    <x v="5"/>
    <x v="72"/>
    <x v="0"/>
    <x v="4"/>
    <n v="0"/>
  </r>
  <r>
    <x v="1"/>
    <x v="0"/>
    <x v="3"/>
    <x v="5"/>
    <x v="72"/>
    <x v="0"/>
    <x v="5"/>
    <n v="0"/>
  </r>
  <r>
    <x v="1"/>
    <x v="0"/>
    <x v="3"/>
    <x v="5"/>
    <x v="72"/>
    <x v="0"/>
    <x v="6"/>
    <n v="0"/>
  </r>
  <r>
    <x v="1"/>
    <x v="0"/>
    <x v="3"/>
    <x v="5"/>
    <x v="73"/>
    <x v="0"/>
    <x v="0"/>
    <n v="0"/>
  </r>
  <r>
    <x v="1"/>
    <x v="0"/>
    <x v="3"/>
    <x v="5"/>
    <x v="73"/>
    <x v="0"/>
    <x v="1"/>
    <n v="0"/>
  </r>
  <r>
    <x v="1"/>
    <x v="0"/>
    <x v="3"/>
    <x v="5"/>
    <x v="73"/>
    <x v="0"/>
    <x v="2"/>
    <n v="0"/>
  </r>
  <r>
    <x v="1"/>
    <x v="0"/>
    <x v="3"/>
    <x v="5"/>
    <x v="73"/>
    <x v="0"/>
    <x v="3"/>
    <n v="0"/>
  </r>
  <r>
    <x v="1"/>
    <x v="0"/>
    <x v="3"/>
    <x v="5"/>
    <x v="73"/>
    <x v="0"/>
    <x v="4"/>
    <n v="0"/>
  </r>
  <r>
    <x v="1"/>
    <x v="0"/>
    <x v="3"/>
    <x v="5"/>
    <x v="73"/>
    <x v="0"/>
    <x v="5"/>
    <n v="0"/>
  </r>
  <r>
    <x v="1"/>
    <x v="0"/>
    <x v="3"/>
    <x v="5"/>
    <x v="73"/>
    <x v="0"/>
    <x v="6"/>
    <n v="0"/>
  </r>
  <r>
    <x v="1"/>
    <x v="0"/>
    <x v="5"/>
    <x v="8"/>
    <x v="74"/>
    <x v="0"/>
    <x v="0"/>
    <n v="0"/>
  </r>
  <r>
    <x v="1"/>
    <x v="0"/>
    <x v="5"/>
    <x v="8"/>
    <x v="74"/>
    <x v="0"/>
    <x v="1"/>
    <n v="0"/>
  </r>
  <r>
    <x v="1"/>
    <x v="0"/>
    <x v="5"/>
    <x v="8"/>
    <x v="74"/>
    <x v="0"/>
    <x v="2"/>
    <n v="0"/>
  </r>
  <r>
    <x v="1"/>
    <x v="0"/>
    <x v="5"/>
    <x v="8"/>
    <x v="74"/>
    <x v="0"/>
    <x v="3"/>
    <n v="0"/>
  </r>
  <r>
    <x v="1"/>
    <x v="0"/>
    <x v="5"/>
    <x v="8"/>
    <x v="74"/>
    <x v="0"/>
    <x v="4"/>
    <n v="0"/>
  </r>
  <r>
    <x v="1"/>
    <x v="0"/>
    <x v="5"/>
    <x v="8"/>
    <x v="74"/>
    <x v="0"/>
    <x v="5"/>
    <n v="0"/>
  </r>
  <r>
    <x v="1"/>
    <x v="0"/>
    <x v="5"/>
    <x v="8"/>
    <x v="74"/>
    <x v="0"/>
    <x v="6"/>
    <n v="0"/>
  </r>
  <r>
    <x v="1"/>
    <x v="0"/>
    <x v="5"/>
    <x v="8"/>
    <x v="75"/>
    <x v="0"/>
    <x v="0"/>
    <n v="0"/>
  </r>
  <r>
    <x v="1"/>
    <x v="0"/>
    <x v="5"/>
    <x v="8"/>
    <x v="75"/>
    <x v="0"/>
    <x v="1"/>
    <n v="0"/>
  </r>
  <r>
    <x v="1"/>
    <x v="0"/>
    <x v="5"/>
    <x v="8"/>
    <x v="75"/>
    <x v="0"/>
    <x v="2"/>
    <n v="0"/>
  </r>
  <r>
    <x v="1"/>
    <x v="0"/>
    <x v="5"/>
    <x v="8"/>
    <x v="75"/>
    <x v="0"/>
    <x v="3"/>
    <n v="0"/>
  </r>
  <r>
    <x v="1"/>
    <x v="0"/>
    <x v="5"/>
    <x v="8"/>
    <x v="75"/>
    <x v="0"/>
    <x v="4"/>
    <n v="0"/>
  </r>
  <r>
    <x v="1"/>
    <x v="0"/>
    <x v="5"/>
    <x v="8"/>
    <x v="75"/>
    <x v="0"/>
    <x v="5"/>
    <n v="0"/>
  </r>
  <r>
    <x v="1"/>
    <x v="0"/>
    <x v="5"/>
    <x v="8"/>
    <x v="75"/>
    <x v="0"/>
    <x v="6"/>
    <n v="0"/>
  </r>
  <r>
    <x v="1"/>
    <x v="0"/>
    <x v="5"/>
    <x v="8"/>
    <x v="76"/>
    <x v="0"/>
    <x v="0"/>
    <n v="0"/>
  </r>
  <r>
    <x v="1"/>
    <x v="0"/>
    <x v="5"/>
    <x v="8"/>
    <x v="76"/>
    <x v="0"/>
    <x v="1"/>
    <n v="0"/>
  </r>
  <r>
    <x v="1"/>
    <x v="0"/>
    <x v="5"/>
    <x v="8"/>
    <x v="76"/>
    <x v="0"/>
    <x v="2"/>
    <n v="0"/>
  </r>
  <r>
    <x v="1"/>
    <x v="0"/>
    <x v="5"/>
    <x v="8"/>
    <x v="76"/>
    <x v="0"/>
    <x v="3"/>
    <n v="0"/>
  </r>
  <r>
    <x v="1"/>
    <x v="0"/>
    <x v="5"/>
    <x v="8"/>
    <x v="76"/>
    <x v="0"/>
    <x v="4"/>
    <n v="0"/>
  </r>
  <r>
    <x v="1"/>
    <x v="0"/>
    <x v="5"/>
    <x v="8"/>
    <x v="76"/>
    <x v="0"/>
    <x v="5"/>
    <n v="0"/>
  </r>
  <r>
    <x v="1"/>
    <x v="0"/>
    <x v="5"/>
    <x v="8"/>
    <x v="76"/>
    <x v="0"/>
    <x v="6"/>
    <n v="0"/>
  </r>
  <r>
    <x v="1"/>
    <x v="0"/>
    <x v="5"/>
    <x v="8"/>
    <x v="77"/>
    <x v="0"/>
    <x v="0"/>
    <n v="0"/>
  </r>
  <r>
    <x v="1"/>
    <x v="0"/>
    <x v="5"/>
    <x v="8"/>
    <x v="77"/>
    <x v="0"/>
    <x v="1"/>
    <n v="0"/>
  </r>
  <r>
    <x v="1"/>
    <x v="0"/>
    <x v="5"/>
    <x v="8"/>
    <x v="77"/>
    <x v="0"/>
    <x v="2"/>
    <n v="0"/>
  </r>
  <r>
    <x v="1"/>
    <x v="0"/>
    <x v="5"/>
    <x v="8"/>
    <x v="77"/>
    <x v="0"/>
    <x v="3"/>
    <n v="0"/>
  </r>
  <r>
    <x v="1"/>
    <x v="0"/>
    <x v="5"/>
    <x v="8"/>
    <x v="77"/>
    <x v="0"/>
    <x v="4"/>
    <n v="0"/>
  </r>
  <r>
    <x v="1"/>
    <x v="0"/>
    <x v="5"/>
    <x v="8"/>
    <x v="77"/>
    <x v="0"/>
    <x v="5"/>
    <n v="0"/>
  </r>
  <r>
    <x v="1"/>
    <x v="0"/>
    <x v="5"/>
    <x v="8"/>
    <x v="77"/>
    <x v="0"/>
    <x v="6"/>
    <n v="0"/>
  </r>
  <r>
    <x v="1"/>
    <x v="0"/>
    <x v="5"/>
    <x v="8"/>
    <x v="78"/>
    <x v="0"/>
    <x v="0"/>
    <n v="0"/>
  </r>
  <r>
    <x v="1"/>
    <x v="0"/>
    <x v="5"/>
    <x v="8"/>
    <x v="78"/>
    <x v="0"/>
    <x v="1"/>
    <n v="0"/>
  </r>
  <r>
    <x v="1"/>
    <x v="0"/>
    <x v="5"/>
    <x v="8"/>
    <x v="78"/>
    <x v="0"/>
    <x v="2"/>
    <n v="0"/>
  </r>
  <r>
    <x v="1"/>
    <x v="0"/>
    <x v="5"/>
    <x v="8"/>
    <x v="78"/>
    <x v="0"/>
    <x v="3"/>
    <n v="0"/>
  </r>
  <r>
    <x v="1"/>
    <x v="0"/>
    <x v="5"/>
    <x v="8"/>
    <x v="78"/>
    <x v="0"/>
    <x v="4"/>
    <n v="0"/>
  </r>
  <r>
    <x v="1"/>
    <x v="0"/>
    <x v="5"/>
    <x v="8"/>
    <x v="78"/>
    <x v="0"/>
    <x v="5"/>
    <n v="0"/>
  </r>
  <r>
    <x v="1"/>
    <x v="0"/>
    <x v="5"/>
    <x v="8"/>
    <x v="78"/>
    <x v="0"/>
    <x v="6"/>
    <n v="0"/>
  </r>
  <r>
    <x v="1"/>
    <x v="0"/>
    <x v="5"/>
    <x v="8"/>
    <x v="79"/>
    <x v="0"/>
    <x v="0"/>
    <n v="0"/>
  </r>
  <r>
    <x v="1"/>
    <x v="0"/>
    <x v="5"/>
    <x v="8"/>
    <x v="79"/>
    <x v="0"/>
    <x v="1"/>
    <n v="0"/>
  </r>
  <r>
    <x v="1"/>
    <x v="0"/>
    <x v="5"/>
    <x v="8"/>
    <x v="79"/>
    <x v="0"/>
    <x v="2"/>
    <n v="0"/>
  </r>
  <r>
    <x v="1"/>
    <x v="0"/>
    <x v="5"/>
    <x v="8"/>
    <x v="79"/>
    <x v="0"/>
    <x v="3"/>
    <n v="0"/>
  </r>
  <r>
    <x v="1"/>
    <x v="0"/>
    <x v="5"/>
    <x v="8"/>
    <x v="79"/>
    <x v="0"/>
    <x v="4"/>
    <n v="0"/>
  </r>
  <r>
    <x v="1"/>
    <x v="0"/>
    <x v="5"/>
    <x v="8"/>
    <x v="79"/>
    <x v="0"/>
    <x v="5"/>
    <n v="0"/>
  </r>
  <r>
    <x v="1"/>
    <x v="0"/>
    <x v="5"/>
    <x v="8"/>
    <x v="79"/>
    <x v="0"/>
    <x v="6"/>
    <n v="0"/>
  </r>
  <r>
    <x v="1"/>
    <x v="0"/>
    <x v="5"/>
    <x v="8"/>
    <x v="80"/>
    <x v="0"/>
    <x v="0"/>
    <n v="0"/>
  </r>
  <r>
    <x v="1"/>
    <x v="0"/>
    <x v="5"/>
    <x v="8"/>
    <x v="80"/>
    <x v="0"/>
    <x v="1"/>
    <n v="0"/>
  </r>
  <r>
    <x v="1"/>
    <x v="0"/>
    <x v="5"/>
    <x v="8"/>
    <x v="80"/>
    <x v="0"/>
    <x v="2"/>
    <n v="0"/>
  </r>
  <r>
    <x v="1"/>
    <x v="0"/>
    <x v="5"/>
    <x v="8"/>
    <x v="80"/>
    <x v="0"/>
    <x v="3"/>
    <n v="0"/>
  </r>
  <r>
    <x v="1"/>
    <x v="0"/>
    <x v="5"/>
    <x v="8"/>
    <x v="80"/>
    <x v="0"/>
    <x v="4"/>
    <n v="0"/>
  </r>
  <r>
    <x v="1"/>
    <x v="0"/>
    <x v="5"/>
    <x v="8"/>
    <x v="80"/>
    <x v="0"/>
    <x v="5"/>
    <n v="0"/>
  </r>
  <r>
    <x v="1"/>
    <x v="0"/>
    <x v="5"/>
    <x v="8"/>
    <x v="80"/>
    <x v="0"/>
    <x v="6"/>
    <n v="0"/>
  </r>
  <r>
    <x v="1"/>
    <x v="0"/>
    <x v="5"/>
    <x v="8"/>
    <x v="81"/>
    <x v="0"/>
    <x v="0"/>
    <n v="0"/>
  </r>
  <r>
    <x v="1"/>
    <x v="0"/>
    <x v="5"/>
    <x v="8"/>
    <x v="81"/>
    <x v="0"/>
    <x v="1"/>
    <n v="0"/>
  </r>
  <r>
    <x v="1"/>
    <x v="0"/>
    <x v="5"/>
    <x v="8"/>
    <x v="81"/>
    <x v="0"/>
    <x v="2"/>
    <n v="0"/>
  </r>
  <r>
    <x v="1"/>
    <x v="0"/>
    <x v="5"/>
    <x v="8"/>
    <x v="81"/>
    <x v="0"/>
    <x v="3"/>
    <n v="0"/>
  </r>
  <r>
    <x v="1"/>
    <x v="0"/>
    <x v="5"/>
    <x v="8"/>
    <x v="81"/>
    <x v="0"/>
    <x v="4"/>
    <n v="0"/>
  </r>
  <r>
    <x v="1"/>
    <x v="0"/>
    <x v="5"/>
    <x v="8"/>
    <x v="81"/>
    <x v="0"/>
    <x v="5"/>
    <n v="0"/>
  </r>
  <r>
    <x v="1"/>
    <x v="0"/>
    <x v="5"/>
    <x v="8"/>
    <x v="81"/>
    <x v="0"/>
    <x v="6"/>
    <n v="0"/>
  </r>
  <r>
    <x v="1"/>
    <x v="0"/>
    <x v="5"/>
    <x v="8"/>
    <x v="82"/>
    <x v="0"/>
    <x v="0"/>
    <n v="0"/>
  </r>
  <r>
    <x v="1"/>
    <x v="0"/>
    <x v="5"/>
    <x v="8"/>
    <x v="82"/>
    <x v="0"/>
    <x v="1"/>
    <n v="0"/>
  </r>
  <r>
    <x v="1"/>
    <x v="0"/>
    <x v="5"/>
    <x v="8"/>
    <x v="82"/>
    <x v="0"/>
    <x v="2"/>
    <n v="0"/>
  </r>
  <r>
    <x v="1"/>
    <x v="0"/>
    <x v="5"/>
    <x v="8"/>
    <x v="82"/>
    <x v="0"/>
    <x v="3"/>
    <n v="0"/>
  </r>
  <r>
    <x v="1"/>
    <x v="0"/>
    <x v="5"/>
    <x v="8"/>
    <x v="82"/>
    <x v="0"/>
    <x v="4"/>
    <n v="0"/>
  </r>
  <r>
    <x v="1"/>
    <x v="0"/>
    <x v="5"/>
    <x v="8"/>
    <x v="82"/>
    <x v="0"/>
    <x v="5"/>
    <n v="0"/>
  </r>
  <r>
    <x v="1"/>
    <x v="0"/>
    <x v="5"/>
    <x v="8"/>
    <x v="82"/>
    <x v="0"/>
    <x v="6"/>
    <n v="0"/>
  </r>
  <r>
    <x v="1"/>
    <x v="0"/>
    <x v="5"/>
    <x v="8"/>
    <x v="83"/>
    <x v="0"/>
    <x v="0"/>
    <n v="0"/>
  </r>
  <r>
    <x v="1"/>
    <x v="0"/>
    <x v="5"/>
    <x v="8"/>
    <x v="83"/>
    <x v="0"/>
    <x v="1"/>
    <n v="0"/>
  </r>
  <r>
    <x v="1"/>
    <x v="0"/>
    <x v="5"/>
    <x v="8"/>
    <x v="83"/>
    <x v="0"/>
    <x v="2"/>
    <n v="0"/>
  </r>
  <r>
    <x v="1"/>
    <x v="0"/>
    <x v="5"/>
    <x v="8"/>
    <x v="83"/>
    <x v="0"/>
    <x v="3"/>
    <n v="0"/>
  </r>
  <r>
    <x v="1"/>
    <x v="0"/>
    <x v="5"/>
    <x v="8"/>
    <x v="83"/>
    <x v="0"/>
    <x v="4"/>
    <n v="0"/>
  </r>
  <r>
    <x v="1"/>
    <x v="0"/>
    <x v="5"/>
    <x v="8"/>
    <x v="83"/>
    <x v="0"/>
    <x v="5"/>
    <n v="0"/>
  </r>
  <r>
    <x v="1"/>
    <x v="0"/>
    <x v="5"/>
    <x v="8"/>
    <x v="83"/>
    <x v="0"/>
    <x v="6"/>
    <n v="0"/>
  </r>
  <r>
    <x v="1"/>
    <x v="1"/>
    <x v="0"/>
    <x v="0"/>
    <x v="0"/>
    <x v="0"/>
    <x v="0"/>
    <n v="0"/>
  </r>
  <r>
    <x v="1"/>
    <x v="1"/>
    <x v="0"/>
    <x v="0"/>
    <x v="0"/>
    <x v="0"/>
    <x v="1"/>
    <n v="0"/>
  </r>
  <r>
    <x v="1"/>
    <x v="1"/>
    <x v="0"/>
    <x v="0"/>
    <x v="0"/>
    <x v="0"/>
    <x v="2"/>
    <n v="0"/>
  </r>
  <r>
    <x v="1"/>
    <x v="1"/>
    <x v="0"/>
    <x v="0"/>
    <x v="0"/>
    <x v="0"/>
    <x v="3"/>
    <n v="0"/>
  </r>
  <r>
    <x v="1"/>
    <x v="1"/>
    <x v="0"/>
    <x v="0"/>
    <x v="0"/>
    <x v="0"/>
    <x v="4"/>
    <n v="0"/>
  </r>
  <r>
    <x v="1"/>
    <x v="1"/>
    <x v="0"/>
    <x v="0"/>
    <x v="0"/>
    <x v="0"/>
    <x v="5"/>
    <n v="0"/>
  </r>
  <r>
    <x v="1"/>
    <x v="1"/>
    <x v="0"/>
    <x v="0"/>
    <x v="0"/>
    <x v="0"/>
    <x v="6"/>
    <n v="0"/>
  </r>
  <r>
    <x v="1"/>
    <x v="1"/>
    <x v="0"/>
    <x v="1"/>
    <x v="1"/>
    <x v="0"/>
    <x v="0"/>
    <n v="0"/>
  </r>
  <r>
    <x v="1"/>
    <x v="1"/>
    <x v="0"/>
    <x v="1"/>
    <x v="1"/>
    <x v="0"/>
    <x v="1"/>
    <n v="0"/>
  </r>
  <r>
    <x v="1"/>
    <x v="1"/>
    <x v="0"/>
    <x v="1"/>
    <x v="1"/>
    <x v="0"/>
    <x v="2"/>
    <n v="0"/>
  </r>
  <r>
    <x v="1"/>
    <x v="1"/>
    <x v="0"/>
    <x v="1"/>
    <x v="1"/>
    <x v="0"/>
    <x v="3"/>
    <n v="0"/>
  </r>
  <r>
    <x v="1"/>
    <x v="1"/>
    <x v="0"/>
    <x v="1"/>
    <x v="1"/>
    <x v="0"/>
    <x v="4"/>
    <n v="0"/>
  </r>
  <r>
    <x v="1"/>
    <x v="1"/>
    <x v="0"/>
    <x v="1"/>
    <x v="1"/>
    <x v="0"/>
    <x v="5"/>
    <n v="0"/>
  </r>
  <r>
    <x v="1"/>
    <x v="1"/>
    <x v="0"/>
    <x v="1"/>
    <x v="1"/>
    <x v="0"/>
    <x v="6"/>
    <n v="0"/>
  </r>
  <r>
    <x v="1"/>
    <x v="1"/>
    <x v="0"/>
    <x v="1"/>
    <x v="2"/>
    <x v="0"/>
    <x v="0"/>
    <n v="0"/>
  </r>
  <r>
    <x v="1"/>
    <x v="1"/>
    <x v="0"/>
    <x v="1"/>
    <x v="2"/>
    <x v="0"/>
    <x v="1"/>
    <n v="0"/>
  </r>
  <r>
    <x v="1"/>
    <x v="1"/>
    <x v="0"/>
    <x v="1"/>
    <x v="2"/>
    <x v="0"/>
    <x v="2"/>
    <n v="0"/>
  </r>
  <r>
    <x v="1"/>
    <x v="1"/>
    <x v="0"/>
    <x v="1"/>
    <x v="2"/>
    <x v="0"/>
    <x v="3"/>
    <n v="0"/>
  </r>
  <r>
    <x v="1"/>
    <x v="1"/>
    <x v="0"/>
    <x v="1"/>
    <x v="2"/>
    <x v="0"/>
    <x v="4"/>
    <n v="0"/>
  </r>
  <r>
    <x v="1"/>
    <x v="1"/>
    <x v="0"/>
    <x v="1"/>
    <x v="2"/>
    <x v="0"/>
    <x v="5"/>
    <n v="0"/>
  </r>
  <r>
    <x v="1"/>
    <x v="1"/>
    <x v="0"/>
    <x v="1"/>
    <x v="2"/>
    <x v="0"/>
    <x v="6"/>
    <n v="0"/>
  </r>
  <r>
    <x v="1"/>
    <x v="1"/>
    <x v="0"/>
    <x v="1"/>
    <x v="3"/>
    <x v="0"/>
    <x v="0"/>
    <n v="0"/>
  </r>
  <r>
    <x v="1"/>
    <x v="1"/>
    <x v="0"/>
    <x v="1"/>
    <x v="3"/>
    <x v="0"/>
    <x v="1"/>
    <n v="0"/>
  </r>
  <r>
    <x v="1"/>
    <x v="1"/>
    <x v="0"/>
    <x v="1"/>
    <x v="3"/>
    <x v="0"/>
    <x v="2"/>
    <n v="0"/>
  </r>
  <r>
    <x v="1"/>
    <x v="1"/>
    <x v="0"/>
    <x v="1"/>
    <x v="3"/>
    <x v="0"/>
    <x v="3"/>
    <n v="0"/>
  </r>
  <r>
    <x v="1"/>
    <x v="1"/>
    <x v="0"/>
    <x v="1"/>
    <x v="3"/>
    <x v="0"/>
    <x v="4"/>
    <n v="0"/>
  </r>
  <r>
    <x v="1"/>
    <x v="1"/>
    <x v="0"/>
    <x v="1"/>
    <x v="3"/>
    <x v="0"/>
    <x v="5"/>
    <n v="0"/>
  </r>
  <r>
    <x v="1"/>
    <x v="1"/>
    <x v="0"/>
    <x v="1"/>
    <x v="3"/>
    <x v="0"/>
    <x v="6"/>
    <n v="0"/>
  </r>
  <r>
    <x v="1"/>
    <x v="1"/>
    <x v="0"/>
    <x v="1"/>
    <x v="4"/>
    <x v="0"/>
    <x v="0"/>
    <n v="0"/>
  </r>
  <r>
    <x v="1"/>
    <x v="1"/>
    <x v="0"/>
    <x v="1"/>
    <x v="4"/>
    <x v="0"/>
    <x v="1"/>
    <n v="0"/>
  </r>
  <r>
    <x v="1"/>
    <x v="1"/>
    <x v="0"/>
    <x v="1"/>
    <x v="4"/>
    <x v="0"/>
    <x v="2"/>
    <n v="0"/>
  </r>
  <r>
    <x v="1"/>
    <x v="1"/>
    <x v="0"/>
    <x v="1"/>
    <x v="4"/>
    <x v="0"/>
    <x v="3"/>
    <n v="0"/>
  </r>
  <r>
    <x v="1"/>
    <x v="1"/>
    <x v="0"/>
    <x v="1"/>
    <x v="4"/>
    <x v="0"/>
    <x v="4"/>
    <n v="0"/>
  </r>
  <r>
    <x v="1"/>
    <x v="1"/>
    <x v="0"/>
    <x v="1"/>
    <x v="4"/>
    <x v="0"/>
    <x v="5"/>
    <n v="0"/>
  </r>
  <r>
    <x v="1"/>
    <x v="1"/>
    <x v="0"/>
    <x v="1"/>
    <x v="4"/>
    <x v="0"/>
    <x v="6"/>
    <n v="0"/>
  </r>
  <r>
    <x v="1"/>
    <x v="1"/>
    <x v="0"/>
    <x v="1"/>
    <x v="5"/>
    <x v="0"/>
    <x v="0"/>
    <n v="0"/>
  </r>
  <r>
    <x v="1"/>
    <x v="1"/>
    <x v="0"/>
    <x v="1"/>
    <x v="5"/>
    <x v="0"/>
    <x v="1"/>
    <n v="0"/>
  </r>
  <r>
    <x v="1"/>
    <x v="1"/>
    <x v="0"/>
    <x v="1"/>
    <x v="5"/>
    <x v="0"/>
    <x v="2"/>
    <n v="0"/>
  </r>
  <r>
    <x v="1"/>
    <x v="1"/>
    <x v="0"/>
    <x v="1"/>
    <x v="5"/>
    <x v="0"/>
    <x v="3"/>
    <n v="0"/>
  </r>
  <r>
    <x v="1"/>
    <x v="1"/>
    <x v="0"/>
    <x v="1"/>
    <x v="5"/>
    <x v="0"/>
    <x v="4"/>
    <n v="0"/>
  </r>
  <r>
    <x v="1"/>
    <x v="1"/>
    <x v="0"/>
    <x v="1"/>
    <x v="5"/>
    <x v="0"/>
    <x v="5"/>
    <n v="0"/>
  </r>
  <r>
    <x v="1"/>
    <x v="1"/>
    <x v="0"/>
    <x v="1"/>
    <x v="5"/>
    <x v="0"/>
    <x v="6"/>
    <n v="0"/>
  </r>
  <r>
    <x v="1"/>
    <x v="1"/>
    <x v="0"/>
    <x v="1"/>
    <x v="6"/>
    <x v="0"/>
    <x v="0"/>
    <n v="0"/>
  </r>
  <r>
    <x v="1"/>
    <x v="1"/>
    <x v="0"/>
    <x v="1"/>
    <x v="6"/>
    <x v="0"/>
    <x v="1"/>
    <n v="0"/>
  </r>
  <r>
    <x v="1"/>
    <x v="1"/>
    <x v="0"/>
    <x v="1"/>
    <x v="6"/>
    <x v="0"/>
    <x v="2"/>
    <n v="0"/>
  </r>
  <r>
    <x v="1"/>
    <x v="1"/>
    <x v="0"/>
    <x v="1"/>
    <x v="6"/>
    <x v="0"/>
    <x v="3"/>
    <n v="0"/>
  </r>
  <r>
    <x v="1"/>
    <x v="1"/>
    <x v="0"/>
    <x v="1"/>
    <x v="6"/>
    <x v="0"/>
    <x v="4"/>
    <n v="0"/>
  </r>
  <r>
    <x v="1"/>
    <x v="1"/>
    <x v="0"/>
    <x v="1"/>
    <x v="6"/>
    <x v="0"/>
    <x v="5"/>
    <n v="0"/>
  </r>
  <r>
    <x v="1"/>
    <x v="1"/>
    <x v="0"/>
    <x v="1"/>
    <x v="6"/>
    <x v="0"/>
    <x v="6"/>
    <n v="0"/>
  </r>
  <r>
    <x v="1"/>
    <x v="1"/>
    <x v="0"/>
    <x v="1"/>
    <x v="7"/>
    <x v="0"/>
    <x v="0"/>
    <n v="0"/>
  </r>
  <r>
    <x v="1"/>
    <x v="1"/>
    <x v="0"/>
    <x v="1"/>
    <x v="7"/>
    <x v="0"/>
    <x v="1"/>
    <n v="0"/>
  </r>
  <r>
    <x v="1"/>
    <x v="1"/>
    <x v="0"/>
    <x v="1"/>
    <x v="7"/>
    <x v="0"/>
    <x v="2"/>
    <n v="0"/>
  </r>
  <r>
    <x v="1"/>
    <x v="1"/>
    <x v="0"/>
    <x v="1"/>
    <x v="7"/>
    <x v="0"/>
    <x v="3"/>
    <n v="0"/>
  </r>
  <r>
    <x v="1"/>
    <x v="1"/>
    <x v="0"/>
    <x v="1"/>
    <x v="7"/>
    <x v="0"/>
    <x v="4"/>
    <n v="0"/>
  </r>
  <r>
    <x v="1"/>
    <x v="1"/>
    <x v="0"/>
    <x v="1"/>
    <x v="7"/>
    <x v="0"/>
    <x v="5"/>
    <n v="0"/>
  </r>
  <r>
    <x v="1"/>
    <x v="1"/>
    <x v="0"/>
    <x v="1"/>
    <x v="7"/>
    <x v="0"/>
    <x v="6"/>
    <n v="0"/>
  </r>
  <r>
    <x v="1"/>
    <x v="1"/>
    <x v="0"/>
    <x v="1"/>
    <x v="8"/>
    <x v="0"/>
    <x v="0"/>
    <n v="0"/>
  </r>
  <r>
    <x v="1"/>
    <x v="1"/>
    <x v="0"/>
    <x v="1"/>
    <x v="8"/>
    <x v="0"/>
    <x v="1"/>
    <n v="0"/>
  </r>
  <r>
    <x v="1"/>
    <x v="1"/>
    <x v="0"/>
    <x v="1"/>
    <x v="8"/>
    <x v="0"/>
    <x v="2"/>
    <n v="0"/>
  </r>
  <r>
    <x v="1"/>
    <x v="1"/>
    <x v="0"/>
    <x v="1"/>
    <x v="8"/>
    <x v="0"/>
    <x v="3"/>
    <n v="0"/>
  </r>
  <r>
    <x v="1"/>
    <x v="1"/>
    <x v="0"/>
    <x v="1"/>
    <x v="8"/>
    <x v="0"/>
    <x v="4"/>
    <n v="0"/>
  </r>
  <r>
    <x v="1"/>
    <x v="1"/>
    <x v="0"/>
    <x v="1"/>
    <x v="8"/>
    <x v="0"/>
    <x v="5"/>
    <n v="0"/>
  </r>
  <r>
    <x v="1"/>
    <x v="1"/>
    <x v="0"/>
    <x v="1"/>
    <x v="8"/>
    <x v="0"/>
    <x v="6"/>
    <n v="0"/>
  </r>
  <r>
    <x v="1"/>
    <x v="1"/>
    <x v="0"/>
    <x v="1"/>
    <x v="9"/>
    <x v="0"/>
    <x v="0"/>
    <n v="0"/>
  </r>
  <r>
    <x v="1"/>
    <x v="1"/>
    <x v="0"/>
    <x v="1"/>
    <x v="9"/>
    <x v="0"/>
    <x v="1"/>
    <n v="0"/>
  </r>
  <r>
    <x v="1"/>
    <x v="1"/>
    <x v="0"/>
    <x v="1"/>
    <x v="9"/>
    <x v="0"/>
    <x v="2"/>
    <n v="0"/>
  </r>
  <r>
    <x v="1"/>
    <x v="1"/>
    <x v="0"/>
    <x v="1"/>
    <x v="9"/>
    <x v="0"/>
    <x v="3"/>
    <n v="0"/>
  </r>
  <r>
    <x v="1"/>
    <x v="1"/>
    <x v="0"/>
    <x v="1"/>
    <x v="9"/>
    <x v="0"/>
    <x v="4"/>
    <n v="0"/>
  </r>
  <r>
    <x v="1"/>
    <x v="1"/>
    <x v="0"/>
    <x v="1"/>
    <x v="9"/>
    <x v="0"/>
    <x v="5"/>
    <n v="0"/>
  </r>
  <r>
    <x v="1"/>
    <x v="1"/>
    <x v="0"/>
    <x v="1"/>
    <x v="9"/>
    <x v="0"/>
    <x v="6"/>
    <n v="0"/>
  </r>
  <r>
    <x v="1"/>
    <x v="1"/>
    <x v="0"/>
    <x v="1"/>
    <x v="10"/>
    <x v="0"/>
    <x v="0"/>
    <n v="0"/>
  </r>
  <r>
    <x v="1"/>
    <x v="1"/>
    <x v="0"/>
    <x v="1"/>
    <x v="10"/>
    <x v="0"/>
    <x v="1"/>
    <n v="0"/>
  </r>
  <r>
    <x v="1"/>
    <x v="1"/>
    <x v="0"/>
    <x v="1"/>
    <x v="10"/>
    <x v="0"/>
    <x v="2"/>
    <n v="0"/>
  </r>
  <r>
    <x v="1"/>
    <x v="1"/>
    <x v="0"/>
    <x v="1"/>
    <x v="10"/>
    <x v="0"/>
    <x v="3"/>
    <n v="0"/>
  </r>
  <r>
    <x v="1"/>
    <x v="1"/>
    <x v="0"/>
    <x v="1"/>
    <x v="10"/>
    <x v="0"/>
    <x v="4"/>
    <n v="0"/>
  </r>
  <r>
    <x v="1"/>
    <x v="1"/>
    <x v="0"/>
    <x v="1"/>
    <x v="10"/>
    <x v="0"/>
    <x v="5"/>
    <n v="0"/>
  </r>
  <r>
    <x v="1"/>
    <x v="1"/>
    <x v="0"/>
    <x v="1"/>
    <x v="10"/>
    <x v="0"/>
    <x v="6"/>
    <n v="0"/>
  </r>
  <r>
    <x v="1"/>
    <x v="1"/>
    <x v="0"/>
    <x v="0"/>
    <x v="11"/>
    <x v="0"/>
    <x v="0"/>
    <n v="0"/>
  </r>
  <r>
    <x v="1"/>
    <x v="1"/>
    <x v="0"/>
    <x v="0"/>
    <x v="11"/>
    <x v="0"/>
    <x v="1"/>
    <n v="0"/>
  </r>
  <r>
    <x v="1"/>
    <x v="1"/>
    <x v="0"/>
    <x v="0"/>
    <x v="11"/>
    <x v="0"/>
    <x v="2"/>
    <n v="0"/>
  </r>
  <r>
    <x v="1"/>
    <x v="1"/>
    <x v="0"/>
    <x v="0"/>
    <x v="11"/>
    <x v="0"/>
    <x v="3"/>
    <n v="0"/>
  </r>
  <r>
    <x v="1"/>
    <x v="1"/>
    <x v="0"/>
    <x v="0"/>
    <x v="11"/>
    <x v="0"/>
    <x v="4"/>
    <n v="0"/>
  </r>
  <r>
    <x v="1"/>
    <x v="1"/>
    <x v="0"/>
    <x v="0"/>
    <x v="11"/>
    <x v="0"/>
    <x v="5"/>
    <n v="0"/>
  </r>
  <r>
    <x v="1"/>
    <x v="1"/>
    <x v="0"/>
    <x v="0"/>
    <x v="11"/>
    <x v="0"/>
    <x v="6"/>
    <n v="0"/>
  </r>
  <r>
    <x v="1"/>
    <x v="1"/>
    <x v="0"/>
    <x v="0"/>
    <x v="12"/>
    <x v="0"/>
    <x v="0"/>
    <n v="0"/>
  </r>
  <r>
    <x v="1"/>
    <x v="1"/>
    <x v="0"/>
    <x v="0"/>
    <x v="12"/>
    <x v="0"/>
    <x v="1"/>
    <n v="0"/>
  </r>
  <r>
    <x v="1"/>
    <x v="1"/>
    <x v="0"/>
    <x v="0"/>
    <x v="12"/>
    <x v="0"/>
    <x v="2"/>
    <n v="0"/>
  </r>
  <r>
    <x v="1"/>
    <x v="1"/>
    <x v="0"/>
    <x v="0"/>
    <x v="12"/>
    <x v="0"/>
    <x v="3"/>
    <n v="0"/>
  </r>
  <r>
    <x v="1"/>
    <x v="1"/>
    <x v="0"/>
    <x v="0"/>
    <x v="12"/>
    <x v="0"/>
    <x v="4"/>
    <n v="0"/>
  </r>
  <r>
    <x v="1"/>
    <x v="1"/>
    <x v="0"/>
    <x v="0"/>
    <x v="12"/>
    <x v="0"/>
    <x v="5"/>
    <n v="0"/>
  </r>
  <r>
    <x v="1"/>
    <x v="1"/>
    <x v="0"/>
    <x v="0"/>
    <x v="12"/>
    <x v="0"/>
    <x v="6"/>
    <n v="0"/>
  </r>
  <r>
    <x v="1"/>
    <x v="1"/>
    <x v="0"/>
    <x v="0"/>
    <x v="13"/>
    <x v="0"/>
    <x v="0"/>
    <n v="0"/>
  </r>
  <r>
    <x v="1"/>
    <x v="1"/>
    <x v="0"/>
    <x v="0"/>
    <x v="13"/>
    <x v="0"/>
    <x v="1"/>
    <n v="0"/>
  </r>
  <r>
    <x v="1"/>
    <x v="1"/>
    <x v="0"/>
    <x v="0"/>
    <x v="13"/>
    <x v="0"/>
    <x v="2"/>
    <n v="0"/>
  </r>
  <r>
    <x v="1"/>
    <x v="1"/>
    <x v="0"/>
    <x v="0"/>
    <x v="13"/>
    <x v="0"/>
    <x v="3"/>
    <n v="0"/>
  </r>
  <r>
    <x v="1"/>
    <x v="1"/>
    <x v="0"/>
    <x v="0"/>
    <x v="13"/>
    <x v="0"/>
    <x v="4"/>
    <n v="0"/>
  </r>
  <r>
    <x v="1"/>
    <x v="1"/>
    <x v="0"/>
    <x v="0"/>
    <x v="13"/>
    <x v="0"/>
    <x v="5"/>
    <n v="0"/>
  </r>
  <r>
    <x v="1"/>
    <x v="1"/>
    <x v="0"/>
    <x v="0"/>
    <x v="13"/>
    <x v="0"/>
    <x v="6"/>
    <n v="0"/>
  </r>
  <r>
    <x v="1"/>
    <x v="1"/>
    <x v="0"/>
    <x v="2"/>
    <x v="14"/>
    <x v="0"/>
    <x v="0"/>
    <n v="0"/>
  </r>
  <r>
    <x v="1"/>
    <x v="1"/>
    <x v="0"/>
    <x v="2"/>
    <x v="14"/>
    <x v="0"/>
    <x v="1"/>
    <n v="0"/>
  </r>
  <r>
    <x v="1"/>
    <x v="1"/>
    <x v="0"/>
    <x v="2"/>
    <x v="14"/>
    <x v="0"/>
    <x v="2"/>
    <n v="0"/>
  </r>
  <r>
    <x v="1"/>
    <x v="1"/>
    <x v="0"/>
    <x v="2"/>
    <x v="14"/>
    <x v="0"/>
    <x v="3"/>
    <n v="0"/>
  </r>
  <r>
    <x v="1"/>
    <x v="1"/>
    <x v="0"/>
    <x v="2"/>
    <x v="14"/>
    <x v="0"/>
    <x v="4"/>
    <n v="0"/>
  </r>
  <r>
    <x v="1"/>
    <x v="1"/>
    <x v="0"/>
    <x v="2"/>
    <x v="14"/>
    <x v="0"/>
    <x v="5"/>
    <n v="0"/>
  </r>
  <r>
    <x v="1"/>
    <x v="1"/>
    <x v="0"/>
    <x v="2"/>
    <x v="14"/>
    <x v="0"/>
    <x v="6"/>
    <n v="0"/>
  </r>
  <r>
    <x v="1"/>
    <x v="1"/>
    <x v="0"/>
    <x v="2"/>
    <x v="15"/>
    <x v="0"/>
    <x v="0"/>
    <n v="0"/>
  </r>
  <r>
    <x v="1"/>
    <x v="1"/>
    <x v="0"/>
    <x v="2"/>
    <x v="15"/>
    <x v="0"/>
    <x v="1"/>
    <n v="0"/>
  </r>
  <r>
    <x v="1"/>
    <x v="1"/>
    <x v="0"/>
    <x v="2"/>
    <x v="15"/>
    <x v="0"/>
    <x v="2"/>
    <n v="0"/>
  </r>
  <r>
    <x v="1"/>
    <x v="1"/>
    <x v="0"/>
    <x v="2"/>
    <x v="15"/>
    <x v="0"/>
    <x v="3"/>
    <n v="0"/>
  </r>
  <r>
    <x v="1"/>
    <x v="1"/>
    <x v="0"/>
    <x v="2"/>
    <x v="15"/>
    <x v="0"/>
    <x v="4"/>
    <n v="0"/>
  </r>
  <r>
    <x v="1"/>
    <x v="1"/>
    <x v="0"/>
    <x v="2"/>
    <x v="15"/>
    <x v="0"/>
    <x v="5"/>
    <n v="0"/>
  </r>
  <r>
    <x v="1"/>
    <x v="1"/>
    <x v="0"/>
    <x v="2"/>
    <x v="15"/>
    <x v="0"/>
    <x v="6"/>
    <n v="0"/>
  </r>
  <r>
    <x v="1"/>
    <x v="1"/>
    <x v="0"/>
    <x v="2"/>
    <x v="16"/>
    <x v="0"/>
    <x v="0"/>
    <n v="0"/>
  </r>
  <r>
    <x v="1"/>
    <x v="1"/>
    <x v="0"/>
    <x v="2"/>
    <x v="16"/>
    <x v="0"/>
    <x v="1"/>
    <n v="0"/>
  </r>
  <r>
    <x v="1"/>
    <x v="1"/>
    <x v="0"/>
    <x v="2"/>
    <x v="16"/>
    <x v="0"/>
    <x v="2"/>
    <n v="0"/>
  </r>
  <r>
    <x v="1"/>
    <x v="1"/>
    <x v="0"/>
    <x v="2"/>
    <x v="16"/>
    <x v="0"/>
    <x v="3"/>
    <n v="0"/>
  </r>
  <r>
    <x v="1"/>
    <x v="1"/>
    <x v="0"/>
    <x v="2"/>
    <x v="16"/>
    <x v="0"/>
    <x v="4"/>
    <n v="0"/>
  </r>
  <r>
    <x v="1"/>
    <x v="1"/>
    <x v="0"/>
    <x v="2"/>
    <x v="16"/>
    <x v="0"/>
    <x v="5"/>
    <n v="0"/>
  </r>
  <r>
    <x v="1"/>
    <x v="1"/>
    <x v="0"/>
    <x v="2"/>
    <x v="16"/>
    <x v="0"/>
    <x v="6"/>
    <n v="0"/>
  </r>
  <r>
    <x v="1"/>
    <x v="1"/>
    <x v="0"/>
    <x v="0"/>
    <x v="17"/>
    <x v="0"/>
    <x v="0"/>
    <n v="0"/>
  </r>
  <r>
    <x v="1"/>
    <x v="1"/>
    <x v="0"/>
    <x v="0"/>
    <x v="17"/>
    <x v="0"/>
    <x v="1"/>
    <n v="0"/>
  </r>
  <r>
    <x v="1"/>
    <x v="1"/>
    <x v="0"/>
    <x v="0"/>
    <x v="17"/>
    <x v="0"/>
    <x v="2"/>
    <n v="0"/>
  </r>
  <r>
    <x v="1"/>
    <x v="1"/>
    <x v="0"/>
    <x v="0"/>
    <x v="17"/>
    <x v="0"/>
    <x v="3"/>
    <n v="0"/>
  </r>
  <r>
    <x v="1"/>
    <x v="1"/>
    <x v="0"/>
    <x v="0"/>
    <x v="17"/>
    <x v="0"/>
    <x v="4"/>
    <n v="0"/>
  </r>
  <r>
    <x v="1"/>
    <x v="1"/>
    <x v="0"/>
    <x v="0"/>
    <x v="17"/>
    <x v="0"/>
    <x v="5"/>
    <n v="0"/>
  </r>
  <r>
    <x v="1"/>
    <x v="1"/>
    <x v="0"/>
    <x v="0"/>
    <x v="17"/>
    <x v="0"/>
    <x v="6"/>
    <n v="0"/>
  </r>
  <r>
    <x v="1"/>
    <x v="1"/>
    <x v="0"/>
    <x v="2"/>
    <x v="18"/>
    <x v="0"/>
    <x v="0"/>
    <n v="0"/>
  </r>
  <r>
    <x v="1"/>
    <x v="1"/>
    <x v="0"/>
    <x v="2"/>
    <x v="18"/>
    <x v="0"/>
    <x v="1"/>
    <n v="0"/>
  </r>
  <r>
    <x v="1"/>
    <x v="1"/>
    <x v="0"/>
    <x v="2"/>
    <x v="18"/>
    <x v="0"/>
    <x v="2"/>
    <n v="0"/>
  </r>
  <r>
    <x v="1"/>
    <x v="1"/>
    <x v="0"/>
    <x v="2"/>
    <x v="18"/>
    <x v="0"/>
    <x v="3"/>
    <n v="0"/>
  </r>
  <r>
    <x v="1"/>
    <x v="1"/>
    <x v="0"/>
    <x v="2"/>
    <x v="18"/>
    <x v="0"/>
    <x v="4"/>
    <n v="0"/>
  </r>
  <r>
    <x v="1"/>
    <x v="1"/>
    <x v="0"/>
    <x v="2"/>
    <x v="18"/>
    <x v="0"/>
    <x v="5"/>
    <n v="0"/>
  </r>
  <r>
    <x v="1"/>
    <x v="1"/>
    <x v="0"/>
    <x v="2"/>
    <x v="18"/>
    <x v="0"/>
    <x v="6"/>
    <n v="0"/>
  </r>
  <r>
    <x v="1"/>
    <x v="1"/>
    <x v="1"/>
    <x v="3"/>
    <x v="19"/>
    <x v="0"/>
    <x v="0"/>
    <n v="0"/>
  </r>
  <r>
    <x v="1"/>
    <x v="1"/>
    <x v="1"/>
    <x v="3"/>
    <x v="19"/>
    <x v="0"/>
    <x v="1"/>
    <n v="0"/>
  </r>
  <r>
    <x v="1"/>
    <x v="1"/>
    <x v="1"/>
    <x v="3"/>
    <x v="19"/>
    <x v="0"/>
    <x v="2"/>
    <n v="0"/>
  </r>
  <r>
    <x v="1"/>
    <x v="1"/>
    <x v="1"/>
    <x v="3"/>
    <x v="19"/>
    <x v="0"/>
    <x v="3"/>
    <n v="0"/>
  </r>
  <r>
    <x v="1"/>
    <x v="1"/>
    <x v="1"/>
    <x v="3"/>
    <x v="19"/>
    <x v="0"/>
    <x v="4"/>
    <n v="0"/>
  </r>
  <r>
    <x v="1"/>
    <x v="1"/>
    <x v="1"/>
    <x v="3"/>
    <x v="19"/>
    <x v="0"/>
    <x v="5"/>
    <n v="0"/>
  </r>
  <r>
    <x v="1"/>
    <x v="1"/>
    <x v="1"/>
    <x v="3"/>
    <x v="19"/>
    <x v="0"/>
    <x v="6"/>
    <n v="0"/>
  </r>
  <r>
    <x v="1"/>
    <x v="1"/>
    <x v="1"/>
    <x v="3"/>
    <x v="20"/>
    <x v="0"/>
    <x v="0"/>
    <n v="0"/>
  </r>
  <r>
    <x v="1"/>
    <x v="1"/>
    <x v="1"/>
    <x v="3"/>
    <x v="20"/>
    <x v="0"/>
    <x v="1"/>
    <n v="0"/>
  </r>
  <r>
    <x v="1"/>
    <x v="1"/>
    <x v="1"/>
    <x v="3"/>
    <x v="20"/>
    <x v="0"/>
    <x v="2"/>
    <n v="0"/>
  </r>
  <r>
    <x v="1"/>
    <x v="1"/>
    <x v="1"/>
    <x v="3"/>
    <x v="20"/>
    <x v="0"/>
    <x v="3"/>
    <n v="0"/>
  </r>
  <r>
    <x v="1"/>
    <x v="1"/>
    <x v="1"/>
    <x v="3"/>
    <x v="20"/>
    <x v="0"/>
    <x v="4"/>
    <n v="0"/>
  </r>
  <r>
    <x v="1"/>
    <x v="1"/>
    <x v="1"/>
    <x v="3"/>
    <x v="20"/>
    <x v="0"/>
    <x v="5"/>
    <n v="0"/>
  </r>
  <r>
    <x v="1"/>
    <x v="1"/>
    <x v="1"/>
    <x v="3"/>
    <x v="20"/>
    <x v="0"/>
    <x v="6"/>
    <n v="0"/>
  </r>
  <r>
    <x v="1"/>
    <x v="1"/>
    <x v="1"/>
    <x v="3"/>
    <x v="21"/>
    <x v="0"/>
    <x v="0"/>
    <n v="0"/>
  </r>
  <r>
    <x v="1"/>
    <x v="1"/>
    <x v="1"/>
    <x v="3"/>
    <x v="21"/>
    <x v="0"/>
    <x v="1"/>
    <n v="0"/>
  </r>
  <r>
    <x v="1"/>
    <x v="1"/>
    <x v="1"/>
    <x v="3"/>
    <x v="21"/>
    <x v="0"/>
    <x v="2"/>
    <n v="0"/>
  </r>
  <r>
    <x v="1"/>
    <x v="1"/>
    <x v="1"/>
    <x v="3"/>
    <x v="21"/>
    <x v="0"/>
    <x v="3"/>
    <n v="0"/>
  </r>
  <r>
    <x v="1"/>
    <x v="1"/>
    <x v="1"/>
    <x v="3"/>
    <x v="21"/>
    <x v="0"/>
    <x v="4"/>
    <n v="0"/>
  </r>
  <r>
    <x v="1"/>
    <x v="1"/>
    <x v="1"/>
    <x v="3"/>
    <x v="21"/>
    <x v="0"/>
    <x v="5"/>
    <n v="0"/>
  </r>
  <r>
    <x v="1"/>
    <x v="1"/>
    <x v="1"/>
    <x v="3"/>
    <x v="21"/>
    <x v="0"/>
    <x v="6"/>
    <n v="0"/>
  </r>
  <r>
    <x v="1"/>
    <x v="1"/>
    <x v="1"/>
    <x v="3"/>
    <x v="22"/>
    <x v="0"/>
    <x v="0"/>
    <n v="0"/>
  </r>
  <r>
    <x v="1"/>
    <x v="1"/>
    <x v="1"/>
    <x v="3"/>
    <x v="22"/>
    <x v="0"/>
    <x v="1"/>
    <n v="0"/>
  </r>
  <r>
    <x v="1"/>
    <x v="1"/>
    <x v="1"/>
    <x v="3"/>
    <x v="22"/>
    <x v="0"/>
    <x v="2"/>
    <n v="0"/>
  </r>
  <r>
    <x v="1"/>
    <x v="1"/>
    <x v="1"/>
    <x v="3"/>
    <x v="22"/>
    <x v="0"/>
    <x v="3"/>
    <n v="0"/>
  </r>
  <r>
    <x v="1"/>
    <x v="1"/>
    <x v="1"/>
    <x v="3"/>
    <x v="22"/>
    <x v="0"/>
    <x v="4"/>
    <n v="0"/>
  </r>
  <r>
    <x v="1"/>
    <x v="1"/>
    <x v="1"/>
    <x v="3"/>
    <x v="22"/>
    <x v="0"/>
    <x v="5"/>
    <n v="0"/>
  </r>
  <r>
    <x v="1"/>
    <x v="1"/>
    <x v="1"/>
    <x v="3"/>
    <x v="22"/>
    <x v="0"/>
    <x v="6"/>
    <n v="0"/>
  </r>
  <r>
    <x v="1"/>
    <x v="1"/>
    <x v="1"/>
    <x v="3"/>
    <x v="23"/>
    <x v="0"/>
    <x v="0"/>
    <n v="0"/>
  </r>
  <r>
    <x v="1"/>
    <x v="1"/>
    <x v="1"/>
    <x v="3"/>
    <x v="23"/>
    <x v="0"/>
    <x v="1"/>
    <n v="0"/>
  </r>
  <r>
    <x v="1"/>
    <x v="1"/>
    <x v="1"/>
    <x v="3"/>
    <x v="23"/>
    <x v="0"/>
    <x v="2"/>
    <n v="0"/>
  </r>
  <r>
    <x v="1"/>
    <x v="1"/>
    <x v="1"/>
    <x v="3"/>
    <x v="23"/>
    <x v="0"/>
    <x v="3"/>
    <n v="0"/>
  </r>
  <r>
    <x v="1"/>
    <x v="1"/>
    <x v="1"/>
    <x v="3"/>
    <x v="23"/>
    <x v="0"/>
    <x v="4"/>
    <n v="0"/>
  </r>
  <r>
    <x v="1"/>
    <x v="1"/>
    <x v="1"/>
    <x v="3"/>
    <x v="23"/>
    <x v="0"/>
    <x v="5"/>
    <n v="0"/>
  </r>
  <r>
    <x v="1"/>
    <x v="1"/>
    <x v="1"/>
    <x v="3"/>
    <x v="23"/>
    <x v="0"/>
    <x v="6"/>
    <n v="0"/>
  </r>
  <r>
    <x v="1"/>
    <x v="1"/>
    <x v="1"/>
    <x v="3"/>
    <x v="24"/>
    <x v="0"/>
    <x v="0"/>
    <n v="0"/>
  </r>
  <r>
    <x v="1"/>
    <x v="1"/>
    <x v="1"/>
    <x v="3"/>
    <x v="24"/>
    <x v="0"/>
    <x v="1"/>
    <n v="0"/>
  </r>
  <r>
    <x v="1"/>
    <x v="1"/>
    <x v="1"/>
    <x v="3"/>
    <x v="24"/>
    <x v="0"/>
    <x v="2"/>
    <n v="0"/>
  </r>
  <r>
    <x v="1"/>
    <x v="1"/>
    <x v="1"/>
    <x v="3"/>
    <x v="24"/>
    <x v="0"/>
    <x v="3"/>
    <n v="0"/>
  </r>
  <r>
    <x v="1"/>
    <x v="1"/>
    <x v="1"/>
    <x v="3"/>
    <x v="24"/>
    <x v="0"/>
    <x v="4"/>
    <n v="0"/>
  </r>
  <r>
    <x v="1"/>
    <x v="1"/>
    <x v="1"/>
    <x v="3"/>
    <x v="24"/>
    <x v="0"/>
    <x v="5"/>
    <n v="0"/>
  </r>
  <r>
    <x v="1"/>
    <x v="1"/>
    <x v="1"/>
    <x v="3"/>
    <x v="24"/>
    <x v="0"/>
    <x v="6"/>
    <n v="0"/>
  </r>
  <r>
    <x v="1"/>
    <x v="1"/>
    <x v="1"/>
    <x v="3"/>
    <x v="25"/>
    <x v="0"/>
    <x v="0"/>
    <n v="0"/>
  </r>
  <r>
    <x v="1"/>
    <x v="1"/>
    <x v="1"/>
    <x v="3"/>
    <x v="25"/>
    <x v="0"/>
    <x v="1"/>
    <n v="0"/>
  </r>
  <r>
    <x v="1"/>
    <x v="1"/>
    <x v="1"/>
    <x v="3"/>
    <x v="25"/>
    <x v="0"/>
    <x v="2"/>
    <n v="0"/>
  </r>
  <r>
    <x v="1"/>
    <x v="1"/>
    <x v="1"/>
    <x v="3"/>
    <x v="25"/>
    <x v="0"/>
    <x v="3"/>
    <n v="0"/>
  </r>
  <r>
    <x v="1"/>
    <x v="1"/>
    <x v="1"/>
    <x v="3"/>
    <x v="25"/>
    <x v="0"/>
    <x v="4"/>
    <n v="0"/>
  </r>
  <r>
    <x v="1"/>
    <x v="1"/>
    <x v="1"/>
    <x v="3"/>
    <x v="25"/>
    <x v="0"/>
    <x v="5"/>
    <n v="0"/>
  </r>
  <r>
    <x v="1"/>
    <x v="1"/>
    <x v="1"/>
    <x v="3"/>
    <x v="25"/>
    <x v="0"/>
    <x v="6"/>
    <n v="0"/>
  </r>
  <r>
    <x v="1"/>
    <x v="1"/>
    <x v="2"/>
    <x v="4"/>
    <x v="26"/>
    <x v="0"/>
    <x v="0"/>
    <n v="0"/>
  </r>
  <r>
    <x v="1"/>
    <x v="1"/>
    <x v="2"/>
    <x v="4"/>
    <x v="26"/>
    <x v="0"/>
    <x v="1"/>
    <n v="0"/>
  </r>
  <r>
    <x v="1"/>
    <x v="1"/>
    <x v="2"/>
    <x v="4"/>
    <x v="26"/>
    <x v="0"/>
    <x v="2"/>
    <n v="0"/>
  </r>
  <r>
    <x v="1"/>
    <x v="1"/>
    <x v="2"/>
    <x v="4"/>
    <x v="26"/>
    <x v="0"/>
    <x v="3"/>
    <n v="0"/>
  </r>
  <r>
    <x v="1"/>
    <x v="1"/>
    <x v="2"/>
    <x v="4"/>
    <x v="26"/>
    <x v="0"/>
    <x v="4"/>
    <n v="0"/>
  </r>
  <r>
    <x v="1"/>
    <x v="1"/>
    <x v="2"/>
    <x v="4"/>
    <x v="26"/>
    <x v="0"/>
    <x v="5"/>
    <n v="0"/>
  </r>
  <r>
    <x v="1"/>
    <x v="1"/>
    <x v="2"/>
    <x v="4"/>
    <x v="26"/>
    <x v="0"/>
    <x v="6"/>
    <n v="0"/>
  </r>
  <r>
    <x v="1"/>
    <x v="1"/>
    <x v="2"/>
    <x v="4"/>
    <x v="27"/>
    <x v="0"/>
    <x v="0"/>
    <n v="0"/>
  </r>
  <r>
    <x v="1"/>
    <x v="1"/>
    <x v="2"/>
    <x v="4"/>
    <x v="27"/>
    <x v="0"/>
    <x v="1"/>
    <n v="0"/>
  </r>
  <r>
    <x v="1"/>
    <x v="1"/>
    <x v="2"/>
    <x v="4"/>
    <x v="27"/>
    <x v="0"/>
    <x v="2"/>
    <n v="0"/>
  </r>
  <r>
    <x v="1"/>
    <x v="1"/>
    <x v="2"/>
    <x v="4"/>
    <x v="27"/>
    <x v="0"/>
    <x v="3"/>
    <n v="0"/>
  </r>
  <r>
    <x v="1"/>
    <x v="1"/>
    <x v="2"/>
    <x v="4"/>
    <x v="27"/>
    <x v="0"/>
    <x v="4"/>
    <n v="0"/>
  </r>
  <r>
    <x v="1"/>
    <x v="1"/>
    <x v="2"/>
    <x v="4"/>
    <x v="27"/>
    <x v="0"/>
    <x v="5"/>
    <n v="0"/>
  </r>
  <r>
    <x v="1"/>
    <x v="1"/>
    <x v="2"/>
    <x v="4"/>
    <x v="27"/>
    <x v="0"/>
    <x v="6"/>
    <n v="0"/>
  </r>
  <r>
    <x v="1"/>
    <x v="1"/>
    <x v="2"/>
    <x v="4"/>
    <x v="28"/>
    <x v="0"/>
    <x v="0"/>
    <n v="0"/>
  </r>
  <r>
    <x v="1"/>
    <x v="1"/>
    <x v="2"/>
    <x v="4"/>
    <x v="28"/>
    <x v="0"/>
    <x v="1"/>
    <n v="0"/>
  </r>
  <r>
    <x v="1"/>
    <x v="1"/>
    <x v="2"/>
    <x v="4"/>
    <x v="28"/>
    <x v="0"/>
    <x v="2"/>
    <n v="0"/>
  </r>
  <r>
    <x v="1"/>
    <x v="1"/>
    <x v="2"/>
    <x v="4"/>
    <x v="28"/>
    <x v="0"/>
    <x v="3"/>
    <n v="0"/>
  </r>
  <r>
    <x v="1"/>
    <x v="1"/>
    <x v="2"/>
    <x v="4"/>
    <x v="28"/>
    <x v="0"/>
    <x v="4"/>
    <n v="0"/>
  </r>
  <r>
    <x v="1"/>
    <x v="1"/>
    <x v="2"/>
    <x v="4"/>
    <x v="28"/>
    <x v="0"/>
    <x v="5"/>
    <n v="0"/>
  </r>
  <r>
    <x v="1"/>
    <x v="1"/>
    <x v="2"/>
    <x v="4"/>
    <x v="28"/>
    <x v="0"/>
    <x v="6"/>
    <n v="0"/>
  </r>
  <r>
    <x v="1"/>
    <x v="1"/>
    <x v="2"/>
    <x v="4"/>
    <x v="29"/>
    <x v="0"/>
    <x v="0"/>
    <n v="0"/>
  </r>
  <r>
    <x v="1"/>
    <x v="1"/>
    <x v="2"/>
    <x v="4"/>
    <x v="29"/>
    <x v="0"/>
    <x v="1"/>
    <n v="0"/>
  </r>
  <r>
    <x v="1"/>
    <x v="1"/>
    <x v="2"/>
    <x v="4"/>
    <x v="29"/>
    <x v="0"/>
    <x v="2"/>
    <n v="0"/>
  </r>
  <r>
    <x v="1"/>
    <x v="1"/>
    <x v="2"/>
    <x v="4"/>
    <x v="29"/>
    <x v="0"/>
    <x v="3"/>
    <n v="0"/>
  </r>
  <r>
    <x v="1"/>
    <x v="1"/>
    <x v="2"/>
    <x v="4"/>
    <x v="29"/>
    <x v="0"/>
    <x v="4"/>
    <n v="0"/>
  </r>
  <r>
    <x v="1"/>
    <x v="1"/>
    <x v="2"/>
    <x v="4"/>
    <x v="29"/>
    <x v="0"/>
    <x v="5"/>
    <n v="0"/>
  </r>
  <r>
    <x v="1"/>
    <x v="1"/>
    <x v="2"/>
    <x v="4"/>
    <x v="29"/>
    <x v="0"/>
    <x v="6"/>
    <n v="0"/>
  </r>
  <r>
    <x v="1"/>
    <x v="1"/>
    <x v="3"/>
    <x v="5"/>
    <x v="30"/>
    <x v="0"/>
    <x v="0"/>
    <n v="0"/>
  </r>
  <r>
    <x v="1"/>
    <x v="1"/>
    <x v="3"/>
    <x v="5"/>
    <x v="30"/>
    <x v="0"/>
    <x v="1"/>
    <n v="0"/>
  </r>
  <r>
    <x v="1"/>
    <x v="1"/>
    <x v="3"/>
    <x v="5"/>
    <x v="30"/>
    <x v="0"/>
    <x v="2"/>
    <n v="0"/>
  </r>
  <r>
    <x v="1"/>
    <x v="1"/>
    <x v="3"/>
    <x v="5"/>
    <x v="30"/>
    <x v="0"/>
    <x v="3"/>
    <n v="0"/>
  </r>
  <r>
    <x v="1"/>
    <x v="1"/>
    <x v="3"/>
    <x v="5"/>
    <x v="30"/>
    <x v="0"/>
    <x v="4"/>
    <n v="0"/>
  </r>
  <r>
    <x v="1"/>
    <x v="1"/>
    <x v="3"/>
    <x v="5"/>
    <x v="30"/>
    <x v="0"/>
    <x v="5"/>
    <n v="0"/>
  </r>
  <r>
    <x v="1"/>
    <x v="1"/>
    <x v="3"/>
    <x v="5"/>
    <x v="30"/>
    <x v="0"/>
    <x v="6"/>
    <n v="0"/>
  </r>
  <r>
    <x v="1"/>
    <x v="1"/>
    <x v="2"/>
    <x v="4"/>
    <x v="31"/>
    <x v="0"/>
    <x v="0"/>
    <n v="0"/>
  </r>
  <r>
    <x v="1"/>
    <x v="1"/>
    <x v="2"/>
    <x v="4"/>
    <x v="31"/>
    <x v="0"/>
    <x v="1"/>
    <n v="0"/>
  </r>
  <r>
    <x v="1"/>
    <x v="1"/>
    <x v="2"/>
    <x v="4"/>
    <x v="31"/>
    <x v="0"/>
    <x v="2"/>
    <n v="0"/>
  </r>
  <r>
    <x v="1"/>
    <x v="1"/>
    <x v="2"/>
    <x v="4"/>
    <x v="31"/>
    <x v="0"/>
    <x v="3"/>
    <n v="0"/>
  </r>
  <r>
    <x v="1"/>
    <x v="1"/>
    <x v="2"/>
    <x v="4"/>
    <x v="31"/>
    <x v="0"/>
    <x v="4"/>
    <n v="0"/>
  </r>
  <r>
    <x v="1"/>
    <x v="1"/>
    <x v="2"/>
    <x v="4"/>
    <x v="31"/>
    <x v="0"/>
    <x v="5"/>
    <n v="0"/>
  </r>
  <r>
    <x v="1"/>
    <x v="1"/>
    <x v="2"/>
    <x v="4"/>
    <x v="31"/>
    <x v="0"/>
    <x v="6"/>
    <n v="0"/>
  </r>
  <r>
    <x v="1"/>
    <x v="1"/>
    <x v="2"/>
    <x v="4"/>
    <x v="32"/>
    <x v="0"/>
    <x v="0"/>
    <n v="0"/>
  </r>
  <r>
    <x v="1"/>
    <x v="1"/>
    <x v="2"/>
    <x v="4"/>
    <x v="32"/>
    <x v="0"/>
    <x v="1"/>
    <n v="0"/>
  </r>
  <r>
    <x v="1"/>
    <x v="1"/>
    <x v="2"/>
    <x v="4"/>
    <x v="32"/>
    <x v="0"/>
    <x v="2"/>
    <n v="0"/>
  </r>
  <r>
    <x v="1"/>
    <x v="1"/>
    <x v="2"/>
    <x v="4"/>
    <x v="32"/>
    <x v="0"/>
    <x v="3"/>
    <n v="0"/>
  </r>
  <r>
    <x v="1"/>
    <x v="1"/>
    <x v="2"/>
    <x v="4"/>
    <x v="32"/>
    <x v="0"/>
    <x v="4"/>
    <n v="0"/>
  </r>
  <r>
    <x v="1"/>
    <x v="1"/>
    <x v="2"/>
    <x v="4"/>
    <x v="32"/>
    <x v="0"/>
    <x v="5"/>
    <n v="0"/>
  </r>
  <r>
    <x v="1"/>
    <x v="1"/>
    <x v="2"/>
    <x v="4"/>
    <x v="32"/>
    <x v="0"/>
    <x v="6"/>
    <n v="0"/>
  </r>
  <r>
    <x v="1"/>
    <x v="1"/>
    <x v="2"/>
    <x v="4"/>
    <x v="33"/>
    <x v="0"/>
    <x v="0"/>
    <n v="0"/>
  </r>
  <r>
    <x v="1"/>
    <x v="1"/>
    <x v="2"/>
    <x v="4"/>
    <x v="33"/>
    <x v="0"/>
    <x v="1"/>
    <n v="0"/>
  </r>
  <r>
    <x v="1"/>
    <x v="1"/>
    <x v="2"/>
    <x v="4"/>
    <x v="33"/>
    <x v="0"/>
    <x v="2"/>
    <n v="0"/>
  </r>
  <r>
    <x v="1"/>
    <x v="1"/>
    <x v="2"/>
    <x v="4"/>
    <x v="33"/>
    <x v="0"/>
    <x v="3"/>
    <n v="0"/>
  </r>
  <r>
    <x v="1"/>
    <x v="1"/>
    <x v="2"/>
    <x v="4"/>
    <x v="33"/>
    <x v="0"/>
    <x v="4"/>
    <n v="0"/>
  </r>
  <r>
    <x v="1"/>
    <x v="1"/>
    <x v="2"/>
    <x v="4"/>
    <x v="33"/>
    <x v="0"/>
    <x v="5"/>
    <n v="0"/>
  </r>
  <r>
    <x v="1"/>
    <x v="1"/>
    <x v="2"/>
    <x v="4"/>
    <x v="33"/>
    <x v="0"/>
    <x v="6"/>
    <n v="0"/>
  </r>
  <r>
    <x v="1"/>
    <x v="1"/>
    <x v="2"/>
    <x v="4"/>
    <x v="34"/>
    <x v="0"/>
    <x v="0"/>
    <n v="0"/>
  </r>
  <r>
    <x v="1"/>
    <x v="1"/>
    <x v="2"/>
    <x v="4"/>
    <x v="34"/>
    <x v="0"/>
    <x v="1"/>
    <n v="0"/>
  </r>
  <r>
    <x v="1"/>
    <x v="1"/>
    <x v="2"/>
    <x v="4"/>
    <x v="34"/>
    <x v="0"/>
    <x v="2"/>
    <n v="0"/>
  </r>
  <r>
    <x v="1"/>
    <x v="1"/>
    <x v="2"/>
    <x v="4"/>
    <x v="34"/>
    <x v="0"/>
    <x v="3"/>
    <n v="0"/>
  </r>
  <r>
    <x v="1"/>
    <x v="1"/>
    <x v="2"/>
    <x v="4"/>
    <x v="34"/>
    <x v="0"/>
    <x v="4"/>
    <n v="0"/>
  </r>
  <r>
    <x v="1"/>
    <x v="1"/>
    <x v="2"/>
    <x v="4"/>
    <x v="34"/>
    <x v="0"/>
    <x v="5"/>
    <n v="0"/>
  </r>
  <r>
    <x v="1"/>
    <x v="1"/>
    <x v="2"/>
    <x v="4"/>
    <x v="34"/>
    <x v="0"/>
    <x v="6"/>
    <n v="0"/>
  </r>
  <r>
    <x v="1"/>
    <x v="1"/>
    <x v="2"/>
    <x v="6"/>
    <x v="35"/>
    <x v="0"/>
    <x v="0"/>
    <n v="0"/>
  </r>
  <r>
    <x v="1"/>
    <x v="1"/>
    <x v="2"/>
    <x v="6"/>
    <x v="35"/>
    <x v="0"/>
    <x v="1"/>
    <n v="0"/>
  </r>
  <r>
    <x v="1"/>
    <x v="1"/>
    <x v="2"/>
    <x v="6"/>
    <x v="35"/>
    <x v="0"/>
    <x v="2"/>
    <n v="0"/>
  </r>
  <r>
    <x v="1"/>
    <x v="1"/>
    <x v="2"/>
    <x v="6"/>
    <x v="35"/>
    <x v="0"/>
    <x v="3"/>
    <n v="0"/>
  </r>
  <r>
    <x v="1"/>
    <x v="1"/>
    <x v="2"/>
    <x v="6"/>
    <x v="35"/>
    <x v="0"/>
    <x v="4"/>
    <n v="0"/>
  </r>
  <r>
    <x v="1"/>
    <x v="1"/>
    <x v="2"/>
    <x v="6"/>
    <x v="35"/>
    <x v="0"/>
    <x v="5"/>
    <n v="0"/>
  </r>
  <r>
    <x v="1"/>
    <x v="1"/>
    <x v="2"/>
    <x v="6"/>
    <x v="35"/>
    <x v="0"/>
    <x v="6"/>
    <n v="0"/>
  </r>
  <r>
    <x v="1"/>
    <x v="1"/>
    <x v="2"/>
    <x v="6"/>
    <x v="36"/>
    <x v="0"/>
    <x v="0"/>
    <n v="0"/>
  </r>
  <r>
    <x v="1"/>
    <x v="1"/>
    <x v="2"/>
    <x v="6"/>
    <x v="36"/>
    <x v="0"/>
    <x v="1"/>
    <n v="0"/>
  </r>
  <r>
    <x v="1"/>
    <x v="1"/>
    <x v="2"/>
    <x v="6"/>
    <x v="36"/>
    <x v="0"/>
    <x v="2"/>
    <n v="0"/>
  </r>
  <r>
    <x v="1"/>
    <x v="1"/>
    <x v="2"/>
    <x v="6"/>
    <x v="36"/>
    <x v="0"/>
    <x v="3"/>
    <n v="0"/>
  </r>
  <r>
    <x v="1"/>
    <x v="1"/>
    <x v="2"/>
    <x v="6"/>
    <x v="36"/>
    <x v="0"/>
    <x v="4"/>
    <n v="0"/>
  </r>
  <r>
    <x v="1"/>
    <x v="1"/>
    <x v="2"/>
    <x v="6"/>
    <x v="36"/>
    <x v="0"/>
    <x v="5"/>
    <n v="0"/>
  </r>
  <r>
    <x v="1"/>
    <x v="1"/>
    <x v="2"/>
    <x v="6"/>
    <x v="36"/>
    <x v="0"/>
    <x v="6"/>
    <n v="0"/>
  </r>
  <r>
    <x v="1"/>
    <x v="1"/>
    <x v="2"/>
    <x v="6"/>
    <x v="37"/>
    <x v="0"/>
    <x v="0"/>
    <n v="0"/>
  </r>
  <r>
    <x v="1"/>
    <x v="1"/>
    <x v="2"/>
    <x v="6"/>
    <x v="37"/>
    <x v="0"/>
    <x v="1"/>
    <n v="0"/>
  </r>
  <r>
    <x v="1"/>
    <x v="1"/>
    <x v="2"/>
    <x v="6"/>
    <x v="37"/>
    <x v="0"/>
    <x v="2"/>
    <n v="0"/>
  </r>
  <r>
    <x v="1"/>
    <x v="1"/>
    <x v="2"/>
    <x v="6"/>
    <x v="37"/>
    <x v="0"/>
    <x v="3"/>
    <n v="0"/>
  </r>
  <r>
    <x v="1"/>
    <x v="1"/>
    <x v="2"/>
    <x v="6"/>
    <x v="37"/>
    <x v="0"/>
    <x v="4"/>
    <n v="0"/>
  </r>
  <r>
    <x v="1"/>
    <x v="1"/>
    <x v="2"/>
    <x v="6"/>
    <x v="37"/>
    <x v="0"/>
    <x v="5"/>
    <n v="0"/>
  </r>
  <r>
    <x v="1"/>
    <x v="1"/>
    <x v="2"/>
    <x v="6"/>
    <x v="37"/>
    <x v="0"/>
    <x v="6"/>
    <n v="0"/>
  </r>
  <r>
    <x v="1"/>
    <x v="1"/>
    <x v="2"/>
    <x v="6"/>
    <x v="38"/>
    <x v="0"/>
    <x v="0"/>
    <n v="0"/>
  </r>
  <r>
    <x v="1"/>
    <x v="1"/>
    <x v="2"/>
    <x v="6"/>
    <x v="38"/>
    <x v="0"/>
    <x v="1"/>
    <n v="0"/>
  </r>
  <r>
    <x v="1"/>
    <x v="1"/>
    <x v="2"/>
    <x v="6"/>
    <x v="38"/>
    <x v="0"/>
    <x v="2"/>
    <n v="0"/>
  </r>
  <r>
    <x v="1"/>
    <x v="1"/>
    <x v="2"/>
    <x v="6"/>
    <x v="38"/>
    <x v="0"/>
    <x v="3"/>
    <n v="0"/>
  </r>
  <r>
    <x v="1"/>
    <x v="1"/>
    <x v="2"/>
    <x v="6"/>
    <x v="38"/>
    <x v="0"/>
    <x v="4"/>
    <n v="0"/>
  </r>
  <r>
    <x v="1"/>
    <x v="1"/>
    <x v="2"/>
    <x v="6"/>
    <x v="38"/>
    <x v="0"/>
    <x v="5"/>
    <n v="0"/>
  </r>
  <r>
    <x v="1"/>
    <x v="1"/>
    <x v="2"/>
    <x v="6"/>
    <x v="38"/>
    <x v="0"/>
    <x v="6"/>
    <n v="0"/>
  </r>
  <r>
    <x v="1"/>
    <x v="1"/>
    <x v="3"/>
    <x v="5"/>
    <x v="39"/>
    <x v="0"/>
    <x v="0"/>
    <n v="0"/>
  </r>
  <r>
    <x v="1"/>
    <x v="1"/>
    <x v="3"/>
    <x v="5"/>
    <x v="39"/>
    <x v="0"/>
    <x v="1"/>
    <n v="0"/>
  </r>
  <r>
    <x v="1"/>
    <x v="1"/>
    <x v="3"/>
    <x v="5"/>
    <x v="39"/>
    <x v="0"/>
    <x v="2"/>
    <n v="0"/>
  </r>
  <r>
    <x v="1"/>
    <x v="1"/>
    <x v="3"/>
    <x v="5"/>
    <x v="39"/>
    <x v="0"/>
    <x v="3"/>
    <n v="0"/>
  </r>
  <r>
    <x v="1"/>
    <x v="1"/>
    <x v="3"/>
    <x v="5"/>
    <x v="39"/>
    <x v="0"/>
    <x v="4"/>
    <n v="0"/>
  </r>
  <r>
    <x v="1"/>
    <x v="1"/>
    <x v="3"/>
    <x v="5"/>
    <x v="39"/>
    <x v="0"/>
    <x v="5"/>
    <n v="0"/>
  </r>
  <r>
    <x v="1"/>
    <x v="1"/>
    <x v="3"/>
    <x v="5"/>
    <x v="39"/>
    <x v="0"/>
    <x v="6"/>
    <n v="0"/>
  </r>
  <r>
    <x v="1"/>
    <x v="1"/>
    <x v="2"/>
    <x v="6"/>
    <x v="40"/>
    <x v="0"/>
    <x v="0"/>
    <n v="0"/>
  </r>
  <r>
    <x v="1"/>
    <x v="1"/>
    <x v="2"/>
    <x v="6"/>
    <x v="40"/>
    <x v="0"/>
    <x v="1"/>
    <n v="0"/>
  </r>
  <r>
    <x v="1"/>
    <x v="1"/>
    <x v="2"/>
    <x v="6"/>
    <x v="40"/>
    <x v="0"/>
    <x v="2"/>
    <n v="0"/>
  </r>
  <r>
    <x v="1"/>
    <x v="1"/>
    <x v="2"/>
    <x v="6"/>
    <x v="40"/>
    <x v="0"/>
    <x v="3"/>
    <n v="0"/>
  </r>
  <r>
    <x v="1"/>
    <x v="1"/>
    <x v="2"/>
    <x v="6"/>
    <x v="40"/>
    <x v="0"/>
    <x v="4"/>
    <n v="0"/>
  </r>
  <r>
    <x v="1"/>
    <x v="1"/>
    <x v="2"/>
    <x v="6"/>
    <x v="40"/>
    <x v="0"/>
    <x v="5"/>
    <n v="0"/>
  </r>
  <r>
    <x v="1"/>
    <x v="1"/>
    <x v="2"/>
    <x v="6"/>
    <x v="40"/>
    <x v="0"/>
    <x v="6"/>
    <n v="0"/>
  </r>
  <r>
    <x v="1"/>
    <x v="1"/>
    <x v="2"/>
    <x v="6"/>
    <x v="41"/>
    <x v="0"/>
    <x v="0"/>
    <n v="0"/>
  </r>
  <r>
    <x v="1"/>
    <x v="1"/>
    <x v="2"/>
    <x v="6"/>
    <x v="41"/>
    <x v="0"/>
    <x v="1"/>
    <n v="0"/>
  </r>
  <r>
    <x v="1"/>
    <x v="1"/>
    <x v="2"/>
    <x v="6"/>
    <x v="41"/>
    <x v="0"/>
    <x v="2"/>
    <n v="0"/>
  </r>
  <r>
    <x v="1"/>
    <x v="1"/>
    <x v="2"/>
    <x v="6"/>
    <x v="41"/>
    <x v="0"/>
    <x v="3"/>
    <n v="0"/>
  </r>
  <r>
    <x v="1"/>
    <x v="1"/>
    <x v="2"/>
    <x v="6"/>
    <x v="41"/>
    <x v="0"/>
    <x v="4"/>
    <n v="0"/>
  </r>
  <r>
    <x v="1"/>
    <x v="1"/>
    <x v="2"/>
    <x v="6"/>
    <x v="41"/>
    <x v="0"/>
    <x v="5"/>
    <n v="0"/>
  </r>
  <r>
    <x v="1"/>
    <x v="1"/>
    <x v="2"/>
    <x v="6"/>
    <x v="41"/>
    <x v="0"/>
    <x v="6"/>
    <n v="0"/>
  </r>
  <r>
    <x v="1"/>
    <x v="1"/>
    <x v="2"/>
    <x v="6"/>
    <x v="42"/>
    <x v="0"/>
    <x v="0"/>
    <n v="0"/>
  </r>
  <r>
    <x v="1"/>
    <x v="1"/>
    <x v="2"/>
    <x v="6"/>
    <x v="42"/>
    <x v="0"/>
    <x v="1"/>
    <n v="0"/>
  </r>
  <r>
    <x v="1"/>
    <x v="1"/>
    <x v="2"/>
    <x v="6"/>
    <x v="42"/>
    <x v="0"/>
    <x v="2"/>
    <n v="0"/>
  </r>
  <r>
    <x v="1"/>
    <x v="1"/>
    <x v="2"/>
    <x v="6"/>
    <x v="42"/>
    <x v="0"/>
    <x v="3"/>
    <n v="0"/>
  </r>
  <r>
    <x v="1"/>
    <x v="1"/>
    <x v="2"/>
    <x v="6"/>
    <x v="42"/>
    <x v="0"/>
    <x v="4"/>
    <n v="0"/>
  </r>
  <r>
    <x v="1"/>
    <x v="1"/>
    <x v="2"/>
    <x v="6"/>
    <x v="42"/>
    <x v="0"/>
    <x v="5"/>
    <n v="0"/>
  </r>
  <r>
    <x v="1"/>
    <x v="1"/>
    <x v="2"/>
    <x v="6"/>
    <x v="42"/>
    <x v="0"/>
    <x v="6"/>
    <n v="0"/>
  </r>
  <r>
    <x v="1"/>
    <x v="1"/>
    <x v="2"/>
    <x v="6"/>
    <x v="43"/>
    <x v="0"/>
    <x v="0"/>
    <n v="0"/>
  </r>
  <r>
    <x v="1"/>
    <x v="1"/>
    <x v="2"/>
    <x v="6"/>
    <x v="43"/>
    <x v="0"/>
    <x v="1"/>
    <n v="0"/>
  </r>
  <r>
    <x v="1"/>
    <x v="1"/>
    <x v="2"/>
    <x v="6"/>
    <x v="43"/>
    <x v="0"/>
    <x v="2"/>
    <n v="0"/>
  </r>
  <r>
    <x v="1"/>
    <x v="1"/>
    <x v="2"/>
    <x v="6"/>
    <x v="43"/>
    <x v="0"/>
    <x v="3"/>
    <n v="0"/>
  </r>
  <r>
    <x v="1"/>
    <x v="1"/>
    <x v="2"/>
    <x v="6"/>
    <x v="43"/>
    <x v="0"/>
    <x v="4"/>
    <n v="0"/>
  </r>
  <r>
    <x v="1"/>
    <x v="1"/>
    <x v="2"/>
    <x v="6"/>
    <x v="43"/>
    <x v="0"/>
    <x v="5"/>
    <n v="0"/>
  </r>
  <r>
    <x v="1"/>
    <x v="1"/>
    <x v="2"/>
    <x v="6"/>
    <x v="43"/>
    <x v="0"/>
    <x v="6"/>
    <n v="0"/>
  </r>
  <r>
    <x v="1"/>
    <x v="1"/>
    <x v="4"/>
    <x v="7"/>
    <x v="44"/>
    <x v="0"/>
    <x v="0"/>
    <n v="0"/>
  </r>
  <r>
    <x v="1"/>
    <x v="1"/>
    <x v="4"/>
    <x v="7"/>
    <x v="44"/>
    <x v="0"/>
    <x v="1"/>
    <n v="0"/>
  </r>
  <r>
    <x v="1"/>
    <x v="1"/>
    <x v="4"/>
    <x v="7"/>
    <x v="44"/>
    <x v="0"/>
    <x v="2"/>
    <n v="0"/>
  </r>
  <r>
    <x v="1"/>
    <x v="1"/>
    <x v="4"/>
    <x v="7"/>
    <x v="44"/>
    <x v="0"/>
    <x v="3"/>
    <n v="0"/>
  </r>
  <r>
    <x v="1"/>
    <x v="1"/>
    <x v="4"/>
    <x v="7"/>
    <x v="44"/>
    <x v="0"/>
    <x v="4"/>
    <n v="0"/>
  </r>
  <r>
    <x v="1"/>
    <x v="1"/>
    <x v="4"/>
    <x v="7"/>
    <x v="44"/>
    <x v="0"/>
    <x v="5"/>
    <n v="0"/>
  </r>
  <r>
    <x v="1"/>
    <x v="1"/>
    <x v="4"/>
    <x v="7"/>
    <x v="44"/>
    <x v="0"/>
    <x v="6"/>
    <n v="0"/>
  </r>
  <r>
    <x v="1"/>
    <x v="1"/>
    <x v="4"/>
    <x v="7"/>
    <x v="45"/>
    <x v="0"/>
    <x v="0"/>
    <n v="0"/>
  </r>
  <r>
    <x v="1"/>
    <x v="1"/>
    <x v="4"/>
    <x v="7"/>
    <x v="45"/>
    <x v="0"/>
    <x v="1"/>
    <n v="0"/>
  </r>
  <r>
    <x v="1"/>
    <x v="1"/>
    <x v="4"/>
    <x v="7"/>
    <x v="45"/>
    <x v="0"/>
    <x v="2"/>
    <n v="0"/>
  </r>
  <r>
    <x v="1"/>
    <x v="1"/>
    <x v="4"/>
    <x v="7"/>
    <x v="45"/>
    <x v="0"/>
    <x v="3"/>
    <n v="0"/>
  </r>
  <r>
    <x v="1"/>
    <x v="1"/>
    <x v="4"/>
    <x v="7"/>
    <x v="45"/>
    <x v="0"/>
    <x v="4"/>
    <n v="0"/>
  </r>
  <r>
    <x v="1"/>
    <x v="1"/>
    <x v="4"/>
    <x v="7"/>
    <x v="45"/>
    <x v="0"/>
    <x v="5"/>
    <n v="0"/>
  </r>
  <r>
    <x v="1"/>
    <x v="1"/>
    <x v="4"/>
    <x v="7"/>
    <x v="45"/>
    <x v="0"/>
    <x v="6"/>
    <n v="0"/>
  </r>
  <r>
    <x v="1"/>
    <x v="1"/>
    <x v="4"/>
    <x v="7"/>
    <x v="46"/>
    <x v="0"/>
    <x v="0"/>
    <n v="0"/>
  </r>
  <r>
    <x v="1"/>
    <x v="1"/>
    <x v="4"/>
    <x v="7"/>
    <x v="46"/>
    <x v="0"/>
    <x v="1"/>
    <n v="0"/>
  </r>
  <r>
    <x v="1"/>
    <x v="1"/>
    <x v="4"/>
    <x v="7"/>
    <x v="46"/>
    <x v="0"/>
    <x v="2"/>
    <n v="0"/>
  </r>
  <r>
    <x v="1"/>
    <x v="1"/>
    <x v="4"/>
    <x v="7"/>
    <x v="46"/>
    <x v="0"/>
    <x v="3"/>
    <n v="0"/>
  </r>
  <r>
    <x v="1"/>
    <x v="1"/>
    <x v="4"/>
    <x v="7"/>
    <x v="46"/>
    <x v="0"/>
    <x v="4"/>
    <n v="0"/>
  </r>
  <r>
    <x v="1"/>
    <x v="1"/>
    <x v="4"/>
    <x v="7"/>
    <x v="46"/>
    <x v="0"/>
    <x v="5"/>
    <n v="0"/>
  </r>
  <r>
    <x v="1"/>
    <x v="1"/>
    <x v="4"/>
    <x v="7"/>
    <x v="46"/>
    <x v="0"/>
    <x v="6"/>
    <n v="0"/>
  </r>
  <r>
    <x v="1"/>
    <x v="1"/>
    <x v="4"/>
    <x v="7"/>
    <x v="47"/>
    <x v="0"/>
    <x v="0"/>
    <n v="0"/>
  </r>
  <r>
    <x v="1"/>
    <x v="1"/>
    <x v="4"/>
    <x v="7"/>
    <x v="47"/>
    <x v="0"/>
    <x v="1"/>
    <n v="0"/>
  </r>
  <r>
    <x v="1"/>
    <x v="1"/>
    <x v="4"/>
    <x v="7"/>
    <x v="47"/>
    <x v="0"/>
    <x v="2"/>
    <n v="0"/>
  </r>
  <r>
    <x v="1"/>
    <x v="1"/>
    <x v="4"/>
    <x v="7"/>
    <x v="47"/>
    <x v="0"/>
    <x v="3"/>
    <n v="0"/>
  </r>
  <r>
    <x v="1"/>
    <x v="1"/>
    <x v="4"/>
    <x v="7"/>
    <x v="47"/>
    <x v="0"/>
    <x v="4"/>
    <n v="0"/>
  </r>
  <r>
    <x v="1"/>
    <x v="1"/>
    <x v="4"/>
    <x v="7"/>
    <x v="47"/>
    <x v="0"/>
    <x v="5"/>
    <n v="0"/>
  </r>
  <r>
    <x v="1"/>
    <x v="1"/>
    <x v="4"/>
    <x v="7"/>
    <x v="47"/>
    <x v="0"/>
    <x v="6"/>
    <n v="0"/>
  </r>
  <r>
    <x v="1"/>
    <x v="1"/>
    <x v="4"/>
    <x v="7"/>
    <x v="48"/>
    <x v="0"/>
    <x v="0"/>
    <n v="0"/>
  </r>
  <r>
    <x v="1"/>
    <x v="1"/>
    <x v="4"/>
    <x v="7"/>
    <x v="48"/>
    <x v="0"/>
    <x v="1"/>
    <n v="0"/>
  </r>
  <r>
    <x v="1"/>
    <x v="1"/>
    <x v="4"/>
    <x v="7"/>
    <x v="48"/>
    <x v="0"/>
    <x v="2"/>
    <n v="0"/>
  </r>
  <r>
    <x v="1"/>
    <x v="1"/>
    <x v="4"/>
    <x v="7"/>
    <x v="48"/>
    <x v="0"/>
    <x v="3"/>
    <n v="0"/>
  </r>
  <r>
    <x v="1"/>
    <x v="1"/>
    <x v="4"/>
    <x v="7"/>
    <x v="48"/>
    <x v="0"/>
    <x v="4"/>
    <n v="0"/>
  </r>
  <r>
    <x v="1"/>
    <x v="1"/>
    <x v="4"/>
    <x v="7"/>
    <x v="48"/>
    <x v="0"/>
    <x v="5"/>
    <n v="0"/>
  </r>
  <r>
    <x v="1"/>
    <x v="1"/>
    <x v="4"/>
    <x v="7"/>
    <x v="48"/>
    <x v="0"/>
    <x v="6"/>
    <n v="0"/>
  </r>
  <r>
    <x v="1"/>
    <x v="1"/>
    <x v="4"/>
    <x v="7"/>
    <x v="49"/>
    <x v="0"/>
    <x v="0"/>
    <n v="0"/>
  </r>
  <r>
    <x v="1"/>
    <x v="1"/>
    <x v="4"/>
    <x v="7"/>
    <x v="49"/>
    <x v="0"/>
    <x v="1"/>
    <n v="0"/>
  </r>
  <r>
    <x v="1"/>
    <x v="1"/>
    <x v="4"/>
    <x v="7"/>
    <x v="49"/>
    <x v="0"/>
    <x v="2"/>
    <n v="0"/>
  </r>
  <r>
    <x v="1"/>
    <x v="1"/>
    <x v="4"/>
    <x v="7"/>
    <x v="49"/>
    <x v="0"/>
    <x v="3"/>
    <n v="0"/>
  </r>
  <r>
    <x v="1"/>
    <x v="1"/>
    <x v="4"/>
    <x v="7"/>
    <x v="49"/>
    <x v="0"/>
    <x v="4"/>
    <n v="0"/>
  </r>
  <r>
    <x v="1"/>
    <x v="1"/>
    <x v="4"/>
    <x v="7"/>
    <x v="49"/>
    <x v="0"/>
    <x v="5"/>
    <n v="0"/>
  </r>
  <r>
    <x v="1"/>
    <x v="1"/>
    <x v="4"/>
    <x v="7"/>
    <x v="49"/>
    <x v="0"/>
    <x v="6"/>
    <n v="0"/>
  </r>
  <r>
    <x v="1"/>
    <x v="1"/>
    <x v="4"/>
    <x v="7"/>
    <x v="50"/>
    <x v="0"/>
    <x v="0"/>
    <n v="0"/>
  </r>
  <r>
    <x v="1"/>
    <x v="1"/>
    <x v="4"/>
    <x v="7"/>
    <x v="50"/>
    <x v="0"/>
    <x v="1"/>
    <n v="0"/>
  </r>
  <r>
    <x v="1"/>
    <x v="1"/>
    <x v="4"/>
    <x v="7"/>
    <x v="50"/>
    <x v="0"/>
    <x v="2"/>
    <n v="0"/>
  </r>
  <r>
    <x v="1"/>
    <x v="1"/>
    <x v="4"/>
    <x v="7"/>
    <x v="50"/>
    <x v="0"/>
    <x v="3"/>
    <n v="0"/>
  </r>
  <r>
    <x v="1"/>
    <x v="1"/>
    <x v="4"/>
    <x v="7"/>
    <x v="50"/>
    <x v="0"/>
    <x v="4"/>
    <n v="0"/>
  </r>
  <r>
    <x v="1"/>
    <x v="1"/>
    <x v="4"/>
    <x v="7"/>
    <x v="50"/>
    <x v="0"/>
    <x v="5"/>
    <n v="0"/>
  </r>
  <r>
    <x v="1"/>
    <x v="1"/>
    <x v="4"/>
    <x v="7"/>
    <x v="50"/>
    <x v="0"/>
    <x v="6"/>
    <n v="0"/>
  </r>
  <r>
    <x v="1"/>
    <x v="1"/>
    <x v="5"/>
    <x v="8"/>
    <x v="51"/>
    <x v="0"/>
    <x v="0"/>
    <n v="0"/>
  </r>
  <r>
    <x v="1"/>
    <x v="1"/>
    <x v="5"/>
    <x v="8"/>
    <x v="51"/>
    <x v="0"/>
    <x v="1"/>
    <n v="0"/>
  </r>
  <r>
    <x v="1"/>
    <x v="1"/>
    <x v="5"/>
    <x v="8"/>
    <x v="51"/>
    <x v="0"/>
    <x v="2"/>
    <n v="0"/>
  </r>
  <r>
    <x v="1"/>
    <x v="1"/>
    <x v="5"/>
    <x v="8"/>
    <x v="51"/>
    <x v="0"/>
    <x v="3"/>
    <n v="0"/>
  </r>
  <r>
    <x v="1"/>
    <x v="1"/>
    <x v="5"/>
    <x v="8"/>
    <x v="51"/>
    <x v="0"/>
    <x v="4"/>
    <n v="0"/>
  </r>
  <r>
    <x v="1"/>
    <x v="1"/>
    <x v="5"/>
    <x v="8"/>
    <x v="51"/>
    <x v="0"/>
    <x v="5"/>
    <n v="0"/>
  </r>
  <r>
    <x v="1"/>
    <x v="1"/>
    <x v="5"/>
    <x v="8"/>
    <x v="51"/>
    <x v="0"/>
    <x v="6"/>
    <n v="0"/>
  </r>
  <r>
    <x v="1"/>
    <x v="1"/>
    <x v="3"/>
    <x v="5"/>
    <x v="52"/>
    <x v="0"/>
    <x v="0"/>
    <n v="0"/>
  </r>
  <r>
    <x v="1"/>
    <x v="1"/>
    <x v="3"/>
    <x v="5"/>
    <x v="52"/>
    <x v="0"/>
    <x v="1"/>
    <n v="0"/>
  </r>
  <r>
    <x v="1"/>
    <x v="1"/>
    <x v="3"/>
    <x v="5"/>
    <x v="52"/>
    <x v="0"/>
    <x v="2"/>
    <n v="0"/>
  </r>
  <r>
    <x v="1"/>
    <x v="1"/>
    <x v="3"/>
    <x v="5"/>
    <x v="52"/>
    <x v="0"/>
    <x v="3"/>
    <n v="0"/>
  </r>
  <r>
    <x v="1"/>
    <x v="1"/>
    <x v="3"/>
    <x v="5"/>
    <x v="52"/>
    <x v="0"/>
    <x v="4"/>
    <n v="0"/>
  </r>
  <r>
    <x v="1"/>
    <x v="1"/>
    <x v="3"/>
    <x v="5"/>
    <x v="52"/>
    <x v="0"/>
    <x v="5"/>
    <n v="0"/>
  </r>
  <r>
    <x v="1"/>
    <x v="1"/>
    <x v="3"/>
    <x v="5"/>
    <x v="52"/>
    <x v="0"/>
    <x v="6"/>
    <n v="0"/>
  </r>
  <r>
    <x v="1"/>
    <x v="1"/>
    <x v="5"/>
    <x v="8"/>
    <x v="53"/>
    <x v="0"/>
    <x v="0"/>
    <n v="0"/>
  </r>
  <r>
    <x v="1"/>
    <x v="1"/>
    <x v="5"/>
    <x v="8"/>
    <x v="53"/>
    <x v="0"/>
    <x v="1"/>
    <n v="0"/>
  </r>
  <r>
    <x v="1"/>
    <x v="1"/>
    <x v="5"/>
    <x v="8"/>
    <x v="53"/>
    <x v="0"/>
    <x v="2"/>
    <n v="0"/>
  </r>
  <r>
    <x v="1"/>
    <x v="1"/>
    <x v="5"/>
    <x v="8"/>
    <x v="53"/>
    <x v="0"/>
    <x v="3"/>
    <n v="0"/>
  </r>
  <r>
    <x v="1"/>
    <x v="1"/>
    <x v="5"/>
    <x v="8"/>
    <x v="53"/>
    <x v="0"/>
    <x v="4"/>
    <n v="0"/>
  </r>
  <r>
    <x v="1"/>
    <x v="1"/>
    <x v="5"/>
    <x v="8"/>
    <x v="53"/>
    <x v="0"/>
    <x v="5"/>
    <n v="0"/>
  </r>
  <r>
    <x v="1"/>
    <x v="1"/>
    <x v="5"/>
    <x v="8"/>
    <x v="53"/>
    <x v="0"/>
    <x v="6"/>
    <n v="0"/>
  </r>
  <r>
    <x v="1"/>
    <x v="1"/>
    <x v="4"/>
    <x v="7"/>
    <x v="54"/>
    <x v="0"/>
    <x v="0"/>
    <n v="0"/>
  </r>
  <r>
    <x v="1"/>
    <x v="1"/>
    <x v="4"/>
    <x v="7"/>
    <x v="54"/>
    <x v="0"/>
    <x v="1"/>
    <n v="0"/>
  </r>
  <r>
    <x v="1"/>
    <x v="1"/>
    <x v="4"/>
    <x v="7"/>
    <x v="54"/>
    <x v="0"/>
    <x v="2"/>
    <n v="0"/>
  </r>
  <r>
    <x v="1"/>
    <x v="1"/>
    <x v="4"/>
    <x v="7"/>
    <x v="54"/>
    <x v="0"/>
    <x v="3"/>
    <n v="0"/>
  </r>
  <r>
    <x v="1"/>
    <x v="1"/>
    <x v="4"/>
    <x v="7"/>
    <x v="54"/>
    <x v="0"/>
    <x v="4"/>
    <n v="0"/>
  </r>
  <r>
    <x v="1"/>
    <x v="1"/>
    <x v="4"/>
    <x v="7"/>
    <x v="54"/>
    <x v="0"/>
    <x v="5"/>
    <n v="0"/>
  </r>
  <r>
    <x v="1"/>
    <x v="1"/>
    <x v="4"/>
    <x v="7"/>
    <x v="54"/>
    <x v="0"/>
    <x v="6"/>
    <n v="0"/>
  </r>
  <r>
    <x v="1"/>
    <x v="1"/>
    <x v="4"/>
    <x v="7"/>
    <x v="55"/>
    <x v="0"/>
    <x v="0"/>
    <n v="0"/>
  </r>
  <r>
    <x v="1"/>
    <x v="1"/>
    <x v="4"/>
    <x v="7"/>
    <x v="55"/>
    <x v="0"/>
    <x v="1"/>
    <n v="0"/>
  </r>
  <r>
    <x v="1"/>
    <x v="1"/>
    <x v="4"/>
    <x v="7"/>
    <x v="55"/>
    <x v="0"/>
    <x v="2"/>
    <n v="0"/>
  </r>
  <r>
    <x v="1"/>
    <x v="1"/>
    <x v="4"/>
    <x v="7"/>
    <x v="55"/>
    <x v="0"/>
    <x v="3"/>
    <n v="0"/>
  </r>
  <r>
    <x v="1"/>
    <x v="1"/>
    <x v="4"/>
    <x v="7"/>
    <x v="55"/>
    <x v="0"/>
    <x v="4"/>
    <n v="0"/>
  </r>
  <r>
    <x v="1"/>
    <x v="1"/>
    <x v="4"/>
    <x v="7"/>
    <x v="55"/>
    <x v="0"/>
    <x v="5"/>
    <n v="0"/>
  </r>
  <r>
    <x v="1"/>
    <x v="1"/>
    <x v="4"/>
    <x v="7"/>
    <x v="55"/>
    <x v="0"/>
    <x v="6"/>
    <n v="0"/>
  </r>
  <r>
    <x v="1"/>
    <x v="1"/>
    <x v="4"/>
    <x v="7"/>
    <x v="56"/>
    <x v="0"/>
    <x v="0"/>
    <n v="0"/>
  </r>
  <r>
    <x v="1"/>
    <x v="1"/>
    <x v="4"/>
    <x v="7"/>
    <x v="56"/>
    <x v="0"/>
    <x v="1"/>
    <n v="0"/>
  </r>
  <r>
    <x v="1"/>
    <x v="1"/>
    <x v="4"/>
    <x v="7"/>
    <x v="56"/>
    <x v="0"/>
    <x v="2"/>
    <n v="0"/>
  </r>
  <r>
    <x v="1"/>
    <x v="1"/>
    <x v="4"/>
    <x v="7"/>
    <x v="56"/>
    <x v="0"/>
    <x v="3"/>
    <n v="0"/>
  </r>
  <r>
    <x v="1"/>
    <x v="1"/>
    <x v="4"/>
    <x v="7"/>
    <x v="56"/>
    <x v="0"/>
    <x v="4"/>
    <n v="0"/>
  </r>
  <r>
    <x v="1"/>
    <x v="1"/>
    <x v="4"/>
    <x v="7"/>
    <x v="56"/>
    <x v="0"/>
    <x v="5"/>
    <n v="0"/>
  </r>
  <r>
    <x v="1"/>
    <x v="1"/>
    <x v="4"/>
    <x v="7"/>
    <x v="56"/>
    <x v="0"/>
    <x v="6"/>
    <n v="0"/>
  </r>
  <r>
    <x v="1"/>
    <x v="1"/>
    <x v="4"/>
    <x v="7"/>
    <x v="57"/>
    <x v="0"/>
    <x v="0"/>
    <n v="0"/>
  </r>
  <r>
    <x v="1"/>
    <x v="1"/>
    <x v="4"/>
    <x v="7"/>
    <x v="57"/>
    <x v="0"/>
    <x v="1"/>
    <n v="0"/>
  </r>
  <r>
    <x v="1"/>
    <x v="1"/>
    <x v="4"/>
    <x v="7"/>
    <x v="57"/>
    <x v="0"/>
    <x v="2"/>
    <n v="0"/>
  </r>
  <r>
    <x v="1"/>
    <x v="1"/>
    <x v="4"/>
    <x v="7"/>
    <x v="57"/>
    <x v="0"/>
    <x v="3"/>
    <n v="0"/>
  </r>
  <r>
    <x v="1"/>
    <x v="1"/>
    <x v="4"/>
    <x v="7"/>
    <x v="57"/>
    <x v="0"/>
    <x v="4"/>
    <n v="0"/>
  </r>
  <r>
    <x v="1"/>
    <x v="1"/>
    <x v="4"/>
    <x v="7"/>
    <x v="57"/>
    <x v="0"/>
    <x v="5"/>
    <n v="0"/>
  </r>
  <r>
    <x v="1"/>
    <x v="1"/>
    <x v="4"/>
    <x v="7"/>
    <x v="57"/>
    <x v="0"/>
    <x v="6"/>
    <n v="0"/>
  </r>
  <r>
    <x v="1"/>
    <x v="1"/>
    <x v="4"/>
    <x v="7"/>
    <x v="58"/>
    <x v="0"/>
    <x v="0"/>
    <n v="0"/>
  </r>
  <r>
    <x v="1"/>
    <x v="1"/>
    <x v="4"/>
    <x v="7"/>
    <x v="58"/>
    <x v="0"/>
    <x v="1"/>
    <n v="0"/>
  </r>
  <r>
    <x v="1"/>
    <x v="1"/>
    <x v="4"/>
    <x v="7"/>
    <x v="58"/>
    <x v="0"/>
    <x v="2"/>
    <n v="0"/>
  </r>
  <r>
    <x v="1"/>
    <x v="1"/>
    <x v="4"/>
    <x v="7"/>
    <x v="58"/>
    <x v="0"/>
    <x v="3"/>
    <n v="0"/>
  </r>
  <r>
    <x v="1"/>
    <x v="1"/>
    <x v="4"/>
    <x v="7"/>
    <x v="58"/>
    <x v="0"/>
    <x v="4"/>
    <n v="0"/>
  </r>
  <r>
    <x v="1"/>
    <x v="1"/>
    <x v="4"/>
    <x v="7"/>
    <x v="58"/>
    <x v="0"/>
    <x v="5"/>
    <n v="0"/>
  </r>
  <r>
    <x v="1"/>
    <x v="1"/>
    <x v="4"/>
    <x v="7"/>
    <x v="58"/>
    <x v="0"/>
    <x v="6"/>
    <n v="0"/>
  </r>
  <r>
    <x v="1"/>
    <x v="1"/>
    <x v="4"/>
    <x v="7"/>
    <x v="59"/>
    <x v="0"/>
    <x v="0"/>
    <n v="0"/>
  </r>
  <r>
    <x v="1"/>
    <x v="1"/>
    <x v="4"/>
    <x v="7"/>
    <x v="59"/>
    <x v="0"/>
    <x v="1"/>
    <n v="0"/>
  </r>
  <r>
    <x v="1"/>
    <x v="1"/>
    <x v="4"/>
    <x v="7"/>
    <x v="59"/>
    <x v="0"/>
    <x v="2"/>
    <n v="0"/>
  </r>
  <r>
    <x v="1"/>
    <x v="1"/>
    <x v="4"/>
    <x v="7"/>
    <x v="59"/>
    <x v="0"/>
    <x v="3"/>
    <n v="0"/>
  </r>
  <r>
    <x v="1"/>
    <x v="1"/>
    <x v="4"/>
    <x v="7"/>
    <x v="59"/>
    <x v="0"/>
    <x v="4"/>
    <n v="0"/>
  </r>
  <r>
    <x v="1"/>
    <x v="1"/>
    <x v="4"/>
    <x v="7"/>
    <x v="59"/>
    <x v="0"/>
    <x v="5"/>
    <n v="0"/>
  </r>
  <r>
    <x v="1"/>
    <x v="1"/>
    <x v="4"/>
    <x v="7"/>
    <x v="59"/>
    <x v="0"/>
    <x v="6"/>
    <n v="0"/>
  </r>
  <r>
    <x v="1"/>
    <x v="1"/>
    <x v="4"/>
    <x v="7"/>
    <x v="60"/>
    <x v="0"/>
    <x v="0"/>
    <n v="0"/>
  </r>
  <r>
    <x v="1"/>
    <x v="1"/>
    <x v="4"/>
    <x v="7"/>
    <x v="60"/>
    <x v="0"/>
    <x v="1"/>
    <n v="0"/>
  </r>
  <r>
    <x v="1"/>
    <x v="1"/>
    <x v="4"/>
    <x v="7"/>
    <x v="60"/>
    <x v="0"/>
    <x v="2"/>
    <n v="0"/>
  </r>
  <r>
    <x v="1"/>
    <x v="1"/>
    <x v="4"/>
    <x v="7"/>
    <x v="60"/>
    <x v="0"/>
    <x v="3"/>
    <n v="0"/>
  </r>
  <r>
    <x v="1"/>
    <x v="1"/>
    <x v="4"/>
    <x v="7"/>
    <x v="60"/>
    <x v="0"/>
    <x v="4"/>
    <n v="0"/>
  </r>
  <r>
    <x v="1"/>
    <x v="1"/>
    <x v="4"/>
    <x v="7"/>
    <x v="60"/>
    <x v="0"/>
    <x v="5"/>
    <n v="0"/>
  </r>
  <r>
    <x v="1"/>
    <x v="1"/>
    <x v="4"/>
    <x v="7"/>
    <x v="60"/>
    <x v="0"/>
    <x v="6"/>
    <n v="0"/>
  </r>
  <r>
    <x v="1"/>
    <x v="1"/>
    <x v="4"/>
    <x v="7"/>
    <x v="61"/>
    <x v="0"/>
    <x v="0"/>
    <n v="0"/>
  </r>
  <r>
    <x v="1"/>
    <x v="1"/>
    <x v="4"/>
    <x v="7"/>
    <x v="61"/>
    <x v="0"/>
    <x v="1"/>
    <n v="0"/>
  </r>
  <r>
    <x v="1"/>
    <x v="1"/>
    <x v="4"/>
    <x v="7"/>
    <x v="61"/>
    <x v="0"/>
    <x v="2"/>
    <n v="0"/>
  </r>
  <r>
    <x v="1"/>
    <x v="1"/>
    <x v="4"/>
    <x v="7"/>
    <x v="61"/>
    <x v="0"/>
    <x v="3"/>
    <n v="0"/>
  </r>
  <r>
    <x v="1"/>
    <x v="1"/>
    <x v="4"/>
    <x v="7"/>
    <x v="61"/>
    <x v="0"/>
    <x v="4"/>
    <n v="0"/>
  </r>
  <r>
    <x v="1"/>
    <x v="1"/>
    <x v="4"/>
    <x v="7"/>
    <x v="61"/>
    <x v="0"/>
    <x v="5"/>
    <n v="0"/>
  </r>
  <r>
    <x v="1"/>
    <x v="1"/>
    <x v="4"/>
    <x v="7"/>
    <x v="61"/>
    <x v="0"/>
    <x v="6"/>
    <n v="0"/>
  </r>
  <r>
    <x v="1"/>
    <x v="1"/>
    <x v="4"/>
    <x v="7"/>
    <x v="62"/>
    <x v="0"/>
    <x v="0"/>
    <n v="0"/>
  </r>
  <r>
    <x v="1"/>
    <x v="1"/>
    <x v="4"/>
    <x v="7"/>
    <x v="62"/>
    <x v="0"/>
    <x v="1"/>
    <n v="0"/>
  </r>
  <r>
    <x v="1"/>
    <x v="1"/>
    <x v="4"/>
    <x v="7"/>
    <x v="62"/>
    <x v="0"/>
    <x v="2"/>
    <n v="0"/>
  </r>
  <r>
    <x v="1"/>
    <x v="1"/>
    <x v="4"/>
    <x v="7"/>
    <x v="62"/>
    <x v="0"/>
    <x v="3"/>
    <n v="0"/>
  </r>
  <r>
    <x v="1"/>
    <x v="1"/>
    <x v="4"/>
    <x v="7"/>
    <x v="62"/>
    <x v="0"/>
    <x v="4"/>
    <n v="0"/>
  </r>
  <r>
    <x v="1"/>
    <x v="1"/>
    <x v="4"/>
    <x v="7"/>
    <x v="62"/>
    <x v="0"/>
    <x v="5"/>
    <n v="0"/>
  </r>
  <r>
    <x v="1"/>
    <x v="1"/>
    <x v="4"/>
    <x v="7"/>
    <x v="62"/>
    <x v="0"/>
    <x v="6"/>
    <n v="0"/>
  </r>
  <r>
    <x v="1"/>
    <x v="1"/>
    <x v="4"/>
    <x v="7"/>
    <x v="63"/>
    <x v="0"/>
    <x v="0"/>
    <n v="0"/>
  </r>
  <r>
    <x v="1"/>
    <x v="1"/>
    <x v="4"/>
    <x v="7"/>
    <x v="63"/>
    <x v="0"/>
    <x v="1"/>
    <n v="0"/>
  </r>
  <r>
    <x v="1"/>
    <x v="1"/>
    <x v="4"/>
    <x v="7"/>
    <x v="63"/>
    <x v="0"/>
    <x v="2"/>
    <n v="0"/>
  </r>
  <r>
    <x v="1"/>
    <x v="1"/>
    <x v="4"/>
    <x v="7"/>
    <x v="63"/>
    <x v="0"/>
    <x v="3"/>
    <n v="0"/>
  </r>
  <r>
    <x v="1"/>
    <x v="1"/>
    <x v="4"/>
    <x v="7"/>
    <x v="63"/>
    <x v="0"/>
    <x v="4"/>
    <n v="0"/>
  </r>
  <r>
    <x v="1"/>
    <x v="1"/>
    <x v="4"/>
    <x v="7"/>
    <x v="63"/>
    <x v="0"/>
    <x v="5"/>
    <n v="0"/>
  </r>
  <r>
    <x v="1"/>
    <x v="1"/>
    <x v="4"/>
    <x v="7"/>
    <x v="63"/>
    <x v="0"/>
    <x v="6"/>
    <n v="0"/>
  </r>
  <r>
    <x v="1"/>
    <x v="1"/>
    <x v="4"/>
    <x v="7"/>
    <x v="64"/>
    <x v="0"/>
    <x v="0"/>
    <n v="0"/>
  </r>
  <r>
    <x v="1"/>
    <x v="1"/>
    <x v="4"/>
    <x v="7"/>
    <x v="64"/>
    <x v="0"/>
    <x v="1"/>
    <n v="0"/>
  </r>
  <r>
    <x v="1"/>
    <x v="1"/>
    <x v="4"/>
    <x v="7"/>
    <x v="64"/>
    <x v="0"/>
    <x v="2"/>
    <n v="0"/>
  </r>
  <r>
    <x v="1"/>
    <x v="1"/>
    <x v="4"/>
    <x v="7"/>
    <x v="64"/>
    <x v="0"/>
    <x v="3"/>
    <n v="0"/>
  </r>
  <r>
    <x v="1"/>
    <x v="1"/>
    <x v="4"/>
    <x v="7"/>
    <x v="64"/>
    <x v="0"/>
    <x v="4"/>
    <n v="0"/>
  </r>
  <r>
    <x v="1"/>
    <x v="1"/>
    <x v="4"/>
    <x v="7"/>
    <x v="64"/>
    <x v="0"/>
    <x v="5"/>
    <n v="0"/>
  </r>
  <r>
    <x v="1"/>
    <x v="1"/>
    <x v="4"/>
    <x v="7"/>
    <x v="64"/>
    <x v="0"/>
    <x v="6"/>
    <n v="0"/>
  </r>
  <r>
    <x v="1"/>
    <x v="1"/>
    <x v="3"/>
    <x v="5"/>
    <x v="65"/>
    <x v="0"/>
    <x v="0"/>
    <n v="0"/>
  </r>
  <r>
    <x v="1"/>
    <x v="1"/>
    <x v="3"/>
    <x v="5"/>
    <x v="65"/>
    <x v="0"/>
    <x v="1"/>
    <n v="0"/>
  </r>
  <r>
    <x v="1"/>
    <x v="1"/>
    <x v="3"/>
    <x v="5"/>
    <x v="65"/>
    <x v="0"/>
    <x v="2"/>
    <n v="0"/>
  </r>
  <r>
    <x v="1"/>
    <x v="1"/>
    <x v="3"/>
    <x v="5"/>
    <x v="65"/>
    <x v="0"/>
    <x v="3"/>
    <n v="0"/>
  </r>
  <r>
    <x v="1"/>
    <x v="1"/>
    <x v="3"/>
    <x v="5"/>
    <x v="65"/>
    <x v="0"/>
    <x v="4"/>
    <n v="0"/>
  </r>
  <r>
    <x v="1"/>
    <x v="1"/>
    <x v="3"/>
    <x v="5"/>
    <x v="65"/>
    <x v="0"/>
    <x v="5"/>
    <n v="0"/>
  </r>
  <r>
    <x v="1"/>
    <x v="1"/>
    <x v="3"/>
    <x v="5"/>
    <x v="65"/>
    <x v="0"/>
    <x v="6"/>
    <n v="0"/>
  </r>
  <r>
    <x v="1"/>
    <x v="1"/>
    <x v="3"/>
    <x v="5"/>
    <x v="66"/>
    <x v="0"/>
    <x v="0"/>
    <n v="0"/>
  </r>
  <r>
    <x v="1"/>
    <x v="1"/>
    <x v="3"/>
    <x v="5"/>
    <x v="66"/>
    <x v="0"/>
    <x v="1"/>
    <n v="0"/>
  </r>
  <r>
    <x v="1"/>
    <x v="1"/>
    <x v="3"/>
    <x v="5"/>
    <x v="66"/>
    <x v="0"/>
    <x v="2"/>
    <n v="0"/>
  </r>
  <r>
    <x v="1"/>
    <x v="1"/>
    <x v="3"/>
    <x v="5"/>
    <x v="66"/>
    <x v="0"/>
    <x v="3"/>
    <n v="0"/>
  </r>
  <r>
    <x v="1"/>
    <x v="1"/>
    <x v="3"/>
    <x v="5"/>
    <x v="66"/>
    <x v="0"/>
    <x v="4"/>
    <n v="0"/>
  </r>
  <r>
    <x v="1"/>
    <x v="1"/>
    <x v="3"/>
    <x v="5"/>
    <x v="66"/>
    <x v="0"/>
    <x v="5"/>
    <n v="0"/>
  </r>
  <r>
    <x v="1"/>
    <x v="1"/>
    <x v="3"/>
    <x v="5"/>
    <x v="66"/>
    <x v="0"/>
    <x v="6"/>
    <n v="0"/>
  </r>
  <r>
    <x v="1"/>
    <x v="1"/>
    <x v="3"/>
    <x v="5"/>
    <x v="67"/>
    <x v="0"/>
    <x v="0"/>
    <n v="0"/>
  </r>
  <r>
    <x v="1"/>
    <x v="1"/>
    <x v="3"/>
    <x v="5"/>
    <x v="67"/>
    <x v="0"/>
    <x v="1"/>
    <n v="0"/>
  </r>
  <r>
    <x v="1"/>
    <x v="1"/>
    <x v="3"/>
    <x v="5"/>
    <x v="67"/>
    <x v="0"/>
    <x v="2"/>
    <n v="0"/>
  </r>
  <r>
    <x v="1"/>
    <x v="1"/>
    <x v="3"/>
    <x v="5"/>
    <x v="67"/>
    <x v="0"/>
    <x v="3"/>
    <n v="0"/>
  </r>
  <r>
    <x v="1"/>
    <x v="1"/>
    <x v="3"/>
    <x v="5"/>
    <x v="67"/>
    <x v="0"/>
    <x v="4"/>
    <n v="0"/>
  </r>
  <r>
    <x v="1"/>
    <x v="1"/>
    <x v="3"/>
    <x v="5"/>
    <x v="67"/>
    <x v="0"/>
    <x v="5"/>
    <n v="0"/>
  </r>
  <r>
    <x v="1"/>
    <x v="1"/>
    <x v="3"/>
    <x v="5"/>
    <x v="67"/>
    <x v="0"/>
    <x v="6"/>
    <n v="0"/>
  </r>
  <r>
    <x v="1"/>
    <x v="1"/>
    <x v="3"/>
    <x v="5"/>
    <x v="68"/>
    <x v="0"/>
    <x v="0"/>
    <n v="0"/>
  </r>
  <r>
    <x v="1"/>
    <x v="1"/>
    <x v="3"/>
    <x v="5"/>
    <x v="68"/>
    <x v="0"/>
    <x v="1"/>
    <n v="0"/>
  </r>
  <r>
    <x v="1"/>
    <x v="1"/>
    <x v="3"/>
    <x v="5"/>
    <x v="68"/>
    <x v="0"/>
    <x v="2"/>
    <n v="0"/>
  </r>
  <r>
    <x v="1"/>
    <x v="1"/>
    <x v="3"/>
    <x v="5"/>
    <x v="68"/>
    <x v="0"/>
    <x v="3"/>
    <n v="0"/>
  </r>
  <r>
    <x v="1"/>
    <x v="1"/>
    <x v="3"/>
    <x v="5"/>
    <x v="68"/>
    <x v="0"/>
    <x v="4"/>
    <n v="0"/>
  </r>
  <r>
    <x v="1"/>
    <x v="1"/>
    <x v="3"/>
    <x v="5"/>
    <x v="68"/>
    <x v="0"/>
    <x v="5"/>
    <n v="0"/>
  </r>
  <r>
    <x v="1"/>
    <x v="1"/>
    <x v="3"/>
    <x v="5"/>
    <x v="68"/>
    <x v="0"/>
    <x v="6"/>
    <n v="0"/>
  </r>
  <r>
    <x v="1"/>
    <x v="1"/>
    <x v="3"/>
    <x v="5"/>
    <x v="69"/>
    <x v="0"/>
    <x v="0"/>
    <n v="0"/>
  </r>
  <r>
    <x v="1"/>
    <x v="1"/>
    <x v="3"/>
    <x v="5"/>
    <x v="69"/>
    <x v="0"/>
    <x v="1"/>
    <n v="0"/>
  </r>
  <r>
    <x v="1"/>
    <x v="1"/>
    <x v="3"/>
    <x v="5"/>
    <x v="69"/>
    <x v="0"/>
    <x v="2"/>
    <n v="0"/>
  </r>
  <r>
    <x v="1"/>
    <x v="1"/>
    <x v="3"/>
    <x v="5"/>
    <x v="69"/>
    <x v="0"/>
    <x v="3"/>
    <n v="0"/>
  </r>
  <r>
    <x v="1"/>
    <x v="1"/>
    <x v="3"/>
    <x v="5"/>
    <x v="69"/>
    <x v="0"/>
    <x v="4"/>
    <n v="0"/>
  </r>
  <r>
    <x v="1"/>
    <x v="1"/>
    <x v="3"/>
    <x v="5"/>
    <x v="69"/>
    <x v="0"/>
    <x v="5"/>
    <n v="0"/>
  </r>
  <r>
    <x v="1"/>
    <x v="1"/>
    <x v="3"/>
    <x v="5"/>
    <x v="69"/>
    <x v="0"/>
    <x v="6"/>
    <n v="0"/>
  </r>
  <r>
    <x v="1"/>
    <x v="1"/>
    <x v="3"/>
    <x v="5"/>
    <x v="70"/>
    <x v="0"/>
    <x v="0"/>
    <n v="0"/>
  </r>
  <r>
    <x v="1"/>
    <x v="1"/>
    <x v="3"/>
    <x v="5"/>
    <x v="70"/>
    <x v="0"/>
    <x v="1"/>
    <n v="0"/>
  </r>
  <r>
    <x v="1"/>
    <x v="1"/>
    <x v="3"/>
    <x v="5"/>
    <x v="70"/>
    <x v="0"/>
    <x v="2"/>
    <n v="0"/>
  </r>
  <r>
    <x v="1"/>
    <x v="1"/>
    <x v="3"/>
    <x v="5"/>
    <x v="70"/>
    <x v="0"/>
    <x v="3"/>
    <n v="0"/>
  </r>
  <r>
    <x v="1"/>
    <x v="1"/>
    <x v="3"/>
    <x v="5"/>
    <x v="70"/>
    <x v="0"/>
    <x v="4"/>
    <n v="0"/>
  </r>
  <r>
    <x v="1"/>
    <x v="1"/>
    <x v="3"/>
    <x v="5"/>
    <x v="70"/>
    <x v="0"/>
    <x v="5"/>
    <n v="0"/>
  </r>
  <r>
    <x v="1"/>
    <x v="1"/>
    <x v="3"/>
    <x v="5"/>
    <x v="70"/>
    <x v="0"/>
    <x v="6"/>
    <n v="0"/>
  </r>
  <r>
    <x v="1"/>
    <x v="1"/>
    <x v="3"/>
    <x v="5"/>
    <x v="71"/>
    <x v="0"/>
    <x v="0"/>
    <n v="0"/>
  </r>
  <r>
    <x v="1"/>
    <x v="1"/>
    <x v="3"/>
    <x v="5"/>
    <x v="71"/>
    <x v="0"/>
    <x v="1"/>
    <n v="0"/>
  </r>
  <r>
    <x v="1"/>
    <x v="1"/>
    <x v="3"/>
    <x v="5"/>
    <x v="71"/>
    <x v="0"/>
    <x v="2"/>
    <n v="0"/>
  </r>
  <r>
    <x v="1"/>
    <x v="1"/>
    <x v="3"/>
    <x v="5"/>
    <x v="71"/>
    <x v="0"/>
    <x v="3"/>
    <n v="0"/>
  </r>
  <r>
    <x v="1"/>
    <x v="1"/>
    <x v="3"/>
    <x v="5"/>
    <x v="71"/>
    <x v="0"/>
    <x v="4"/>
    <n v="0"/>
  </r>
  <r>
    <x v="1"/>
    <x v="1"/>
    <x v="3"/>
    <x v="5"/>
    <x v="71"/>
    <x v="0"/>
    <x v="5"/>
    <n v="0"/>
  </r>
  <r>
    <x v="1"/>
    <x v="1"/>
    <x v="3"/>
    <x v="5"/>
    <x v="71"/>
    <x v="0"/>
    <x v="6"/>
    <n v="0"/>
  </r>
  <r>
    <x v="1"/>
    <x v="1"/>
    <x v="3"/>
    <x v="5"/>
    <x v="72"/>
    <x v="0"/>
    <x v="0"/>
    <n v="0"/>
  </r>
  <r>
    <x v="1"/>
    <x v="1"/>
    <x v="3"/>
    <x v="5"/>
    <x v="72"/>
    <x v="0"/>
    <x v="1"/>
    <n v="0"/>
  </r>
  <r>
    <x v="1"/>
    <x v="1"/>
    <x v="3"/>
    <x v="5"/>
    <x v="72"/>
    <x v="0"/>
    <x v="2"/>
    <n v="0"/>
  </r>
  <r>
    <x v="1"/>
    <x v="1"/>
    <x v="3"/>
    <x v="5"/>
    <x v="72"/>
    <x v="0"/>
    <x v="3"/>
    <n v="0"/>
  </r>
  <r>
    <x v="1"/>
    <x v="1"/>
    <x v="3"/>
    <x v="5"/>
    <x v="72"/>
    <x v="0"/>
    <x v="4"/>
    <n v="0"/>
  </r>
  <r>
    <x v="1"/>
    <x v="1"/>
    <x v="3"/>
    <x v="5"/>
    <x v="72"/>
    <x v="0"/>
    <x v="5"/>
    <n v="0"/>
  </r>
  <r>
    <x v="1"/>
    <x v="1"/>
    <x v="3"/>
    <x v="5"/>
    <x v="72"/>
    <x v="0"/>
    <x v="6"/>
    <n v="0"/>
  </r>
  <r>
    <x v="1"/>
    <x v="1"/>
    <x v="3"/>
    <x v="5"/>
    <x v="73"/>
    <x v="0"/>
    <x v="0"/>
    <n v="0"/>
  </r>
  <r>
    <x v="1"/>
    <x v="1"/>
    <x v="3"/>
    <x v="5"/>
    <x v="73"/>
    <x v="0"/>
    <x v="1"/>
    <n v="0"/>
  </r>
  <r>
    <x v="1"/>
    <x v="1"/>
    <x v="3"/>
    <x v="5"/>
    <x v="73"/>
    <x v="0"/>
    <x v="2"/>
    <n v="0"/>
  </r>
  <r>
    <x v="1"/>
    <x v="1"/>
    <x v="3"/>
    <x v="5"/>
    <x v="73"/>
    <x v="0"/>
    <x v="3"/>
    <n v="0"/>
  </r>
  <r>
    <x v="1"/>
    <x v="1"/>
    <x v="3"/>
    <x v="5"/>
    <x v="73"/>
    <x v="0"/>
    <x v="4"/>
    <n v="0"/>
  </r>
  <r>
    <x v="1"/>
    <x v="1"/>
    <x v="3"/>
    <x v="5"/>
    <x v="73"/>
    <x v="0"/>
    <x v="5"/>
    <n v="0"/>
  </r>
  <r>
    <x v="1"/>
    <x v="1"/>
    <x v="3"/>
    <x v="5"/>
    <x v="73"/>
    <x v="0"/>
    <x v="6"/>
    <n v="0"/>
  </r>
  <r>
    <x v="1"/>
    <x v="1"/>
    <x v="5"/>
    <x v="8"/>
    <x v="74"/>
    <x v="0"/>
    <x v="0"/>
    <n v="0"/>
  </r>
  <r>
    <x v="1"/>
    <x v="1"/>
    <x v="5"/>
    <x v="8"/>
    <x v="74"/>
    <x v="0"/>
    <x v="1"/>
    <n v="0"/>
  </r>
  <r>
    <x v="1"/>
    <x v="1"/>
    <x v="5"/>
    <x v="8"/>
    <x v="74"/>
    <x v="0"/>
    <x v="2"/>
    <n v="0"/>
  </r>
  <r>
    <x v="1"/>
    <x v="1"/>
    <x v="5"/>
    <x v="8"/>
    <x v="74"/>
    <x v="0"/>
    <x v="3"/>
    <n v="0"/>
  </r>
  <r>
    <x v="1"/>
    <x v="1"/>
    <x v="5"/>
    <x v="8"/>
    <x v="74"/>
    <x v="0"/>
    <x v="4"/>
    <n v="0"/>
  </r>
  <r>
    <x v="1"/>
    <x v="1"/>
    <x v="5"/>
    <x v="8"/>
    <x v="74"/>
    <x v="0"/>
    <x v="5"/>
    <n v="0"/>
  </r>
  <r>
    <x v="1"/>
    <x v="1"/>
    <x v="5"/>
    <x v="8"/>
    <x v="74"/>
    <x v="0"/>
    <x v="6"/>
    <n v="0"/>
  </r>
  <r>
    <x v="1"/>
    <x v="1"/>
    <x v="5"/>
    <x v="8"/>
    <x v="75"/>
    <x v="0"/>
    <x v="0"/>
    <n v="0"/>
  </r>
  <r>
    <x v="1"/>
    <x v="1"/>
    <x v="5"/>
    <x v="8"/>
    <x v="75"/>
    <x v="0"/>
    <x v="1"/>
    <n v="0"/>
  </r>
  <r>
    <x v="1"/>
    <x v="1"/>
    <x v="5"/>
    <x v="8"/>
    <x v="75"/>
    <x v="0"/>
    <x v="2"/>
    <n v="0"/>
  </r>
  <r>
    <x v="1"/>
    <x v="1"/>
    <x v="5"/>
    <x v="8"/>
    <x v="75"/>
    <x v="0"/>
    <x v="3"/>
    <n v="0"/>
  </r>
  <r>
    <x v="1"/>
    <x v="1"/>
    <x v="5"/>
    <x v="8"/>
    <x v="75"/>
    <x v="0"/>
    <x v="4"/>
    <n v="0"/>
  </r>
  <r>
    <x v="1"/>
    <x v="1"/>
    <x v="5"/>
    <x v="8"/>
    <x v="75"/>
    <x v="0"/>
    <x v="5"/>
    <n v="0"/>
  </r>
  <r>
    <x v="1"/>
    <x v="1"/>
    <x v="5"/>
    <x v="8"/>
    <x v="75"/>
    <x v="0"/>
    <x v="6"/>
    <n v="0"/>
  </r>
  <r>
    <x v="1"/>
    <x v="1"/>
    <x v="5"/>
    <x v="8"/>
    <x v="76"/>
    <x v="0"/>
    <x v="0"/>
    <n v="0"/>
  </r>
  <r>
    <x v="1"/>
    <x v="1"/>
    <x v="5"/>
    <x v="8"/>
    <x v="76"/>
    <x v="0"/>
    <x v="1"/>
    <n v="0"/>
  </r>
  <r>
    <x v="1"/>
    <x v="1"/>
    <x v="5"/>
    <x v="8"/>
    <x v="76"/>
    <x v="0"/>
    <x v="2"/>
    <n v="0"/>
  </r>
  <r>
    <x v="1"/>
    <x v="1"/>
    <x v="5"/>
    <x v="8"/>
    <x v="76"/>
    <x v="0"/>
    <x v="3"/>
    <n v="0"/>
  </r>
  <r>
    <x v="1"/>
    <x v="1"/>
    <x v="5"/>
    <x v="8"/>
    <x v="76"/>
    <x v="0"/>
    <x v="4"/>
    <n v="0"/>
  </r>
  <r>
    <x v="1"/>
    <x v="1"/>
    <x v="5"/>
    <x v="8"/>
    <x v="76"/>
    <x v="0"/>
    <x v="5"/>
    <n v="0"/>
  </r>
  <r>
    <x v="1"/>
    <x v="1"/>
    <x v="5"/>
    <x v="8"/>
    <x v="76"/>
    <x v="0"/>
    <x v="6"/>
    <n v="0"/>
  </r>
  <r>
    <x v="1"/>
    <x v="1"/>
    <x v="5"/>
    <x v="8"/>
    <x v="77"/>
    <x v="0"/>
    <x v="0"/>
    <n v="0"/>
  </r>
  <r>
    <x v="1"/>
    <x v="1"/>
    <x v="5"/>
    <x v="8"/>
    <x v="77"/>
    <x v="0"/>
    <x v="1"/>
    <n v="0"/>
  </r>
  <r>
    <x v="1"/>
    <x v="1"/>
    <x v="5"/>
    <x v="8"/>
    <x v="77"/>
    <x v="0"/>
    <x v="2"/>
    <n v="0"/>
  </r>
  <r>
    <x v="1"/>
    <x v="1"/>
    <x v="5"/>
    <x v="8"/>
    <x v="77"/>
    <x v="0"/>
    <x v="3"/>
    <n v="0"/>
  </r>
  <r>
    <x v="1"/>
    <x v="1"/>
    <x v="5"/>
    <x v="8"/>
    <x v="77"/>
    <x v="0"/>
    <x v="4"/>
    <n v="0"/>
  </r>
  <r>
    <x v="1"/>
    <x v="1"/>
    <x v="5"/>
    <x v="8"/>
    <x v="77"/>
    <x v="0"/>
    <x v="5"/>
    <n v="0"/>
  </r>
  <r>
    <x v="1"/>
    <x v="1"/>
    <x v="5"/>
    <x v="8"/>
    <x v="77"/>
    <x v="0"/>
    <x v="6"/>
    <n v="0"/>
  </r>
  <r>
    <x v="1"/>
    <x v="1"/>
    <x v="5"/>
    <x v="8"/>
    <x v="78"/>
    <x v="0"/>
    <x v="0"/>
    <n v="0"/>
  </r>
  <r>
    <x v="1"/>
    <x v="1"/>
    <x v="5"/>
    <x v="8"/>
    <x v="78"/>
    <x v="0"/>
    <x v="1"/>
    <n v="0"/>
  </r>
  <r>
    <x v="1"/>
    <x v="1"/>
    <x v="5"/>
    <x v="8"/>
    <x v="78"/>
    <x v="0"/>
    <x v="2"/>
    <n v="0"/>
  </r>
  <r>
    <x v="1"/>
    <x v="1"/>
    <x v="5"/>
    <x v="8"/>
    <x v="78"/>
    <x v="0"/>
    <x v="3"/>
    <n v="0"/>
  </r>
  <r>
    <x v="1"/>
    <x v="1"/>
    <x v="5"/>
    <x v="8"/>
    <x v="78"/>
    <x v="0"/>
    <x v="4"/>
    <n v="0"/>
  </r>
  <r>
    <x v="1"/>
    <x v="1"/>
    <x v="5"/>
    <x v="8"/>
    <x v="78"/>
    <x v="0"/>
    <x v="5"/>
    <n v="0"/>
  </r>
  <r>
    <x v="1"/>
    <x v="1"/>
    <x v="5"/>
    <x v="8"/>
    <x v="78"/>
    <x v="0"/>
    <x v="6"/>
    <n v="0"/>
  </r>
  <r>
    <x v="1"/>
    <x v="1"/>
    <x v="5"/>
    <x v="8"/>
    <x v="79"/>
    <x v="0"/>
    <x v="0"/>
    <n v="0"/>
  </r>
  <r>
    <x v="1"/>
    <x v="1"/>
    <x v="5"/>
    <x v="8"/>
    <x v="79"/>
    <x v="0"/>
    <x v="1"/>
    <n v="0"/>
  </r>
  <r>
    <x v="1"/>
    <x v="1"/>
    <x v="5"/>
    <x v="8"/>
    <x v="79"/>
    <x v="0"/>
    <x v="2"/>
    <n v="0"/>
  </r>
  <r>
    <x v="1"/>
    <x v="1"/>
    <x v="5"/>
    <x v="8"/>
    <x v="79"/>
    <x v="0"/>
    <x v="3"/>
    <n v="0"/>
  </r>
  <r>
    <x v="1"/>
    <x v="1"/>
    <x v="5"/>
    <x v="8"/>
    <x v="79"/>
    <x v="0"/>
    <x v="4"/>
    <n v="0"/>
  </r>
  <r>
    <x v="1"/>
    <x v="1"/>
    <x v="5"/>
    <x v="8"/>
    <x v="79"/>
    <x v="0"/>
    <x v="5"/>
    <n v="0"/>
  </r>
  <r>
    <x v="1"/>
    <x v="1"/>
    <x v="5"/>
    <x v="8"/>
    <x v="79"/>
    <x v="0"/>
    <x v="6"/>
    <n v="0"/>
  </r>
  <r>
    <x v="1"/>
    <x v="1"/>
    <x v="5"/>
    <x v="8"/>
    <x v="80"/>
    <x v="0"/>
    <x v="0"/>
    <n v="0"/>
  </r>
  <r>
    <x v="1"/>
    <x v="1"/>
    <x v="5"/>
    <x v="8"/>
    <x v="80"/>
    <x v="0"/>
    <x v="1"/>
    <n v="0"/>
  </r>
  <r>
    <x v="1"/>
    <x v="1"/>
    <x v="5"/>
    <x v="8"/>
    <x v="80"/>
    <x v="0"/>
    <x v="2"/>
    <n v="0"/>
  </r>
  <r>
    <x v="1"/>
    <x v="1"/>
    <x v="5"/>
    <x v="8"/>
    <x v="80"/>
    <x v="0"/>
    <x v="3"/>
    <n v="0"/>
  </r>
  <r>
    <x v="1"/>
    <x v="1"/>
    <x v="5"/>
    <x v="8"/>
    <x v="80"/>
    <x v="0"/>
    <x v="4"/>
    <n v="0"/>
  </r>
  <r>
    <x v="1"/>
    <x v="1"/>
    <x v="5"/>
    <x v="8"/>
    <x v="80"/>
    <x v="0"/>
    <x v="5"/>
    <n v="0"/>
  </r>
  <r>
    <x v="1"/>
    <x v="1"/>
    <x v="5"/>
    <x v="8"/>
    <x v="80"/>
    <x v="0"/>
    <x v="6"/>
    <n v="0"/>
  </r>
  <r>
    <x v="1"/>
    <x v="1"/>
    <x v="5"/>
    <x v="8"/>
    <x v="81"/>
    <x v="0"/>
    <x v="0"/>
    <n v="0"/>
  </r>
  <r>
    <x v="1"/>
    <x v="1"/>
    <x v="5"/>
    <x v="8"/>
    <x v="81"/>
    <x v="0"/>
    <x v="1"/>
    <n v="0"/>
  </r>
  <r>
    <x v="1"/>
    <x v="1"/>
    <x v="5"/>
    <x v="8"/>
    <x v="81"/>
    <x v="0"/>
    <x v="2"/>
    <n v="0"/>
  </r>
  <r>
    <x v="1"/>
    <x v="1"/>
    <x v="5"/>
    <x v="8"/>
    <x v="81"/>
    <x v="0"/>
    <x v="3"/>
    <n v="0"/>
  </r>
  <r>
    <x v="1"/>
    <x v="1"/>
    <x v="5"/>
    <x v="8"/>
    <x v="81"/>
    <x v="0"/>
    <x v="4"/>
    <n v="0"/>
  </r>
  <r>
    <x v="1"/>
    <x v="1"/>
    <x v="5"/>
    <x v="8"/>
    <x v="81"/>
    <x v="0"/>
    <x v="5"/>
    <n v="0"/>
  </r>
  <r>
    <x v="1"/>
    <x v="1"/>
    <x v="5"/>
    <x v="8"/>
    <x v="81"/>
    <x v="0"/>
    <x v="6"/>
    <n v="0"/>
  </r>
  <r>
    <x v="1"/>
    <x v="1"/>
    <x v="5"/>
    <x v="8"/>
    <x v="82"/>
    <x v="0"/>
    <x v="0"/>
    <n v="0"/>
  </r>
  <r>
    <x v="1"/>
    <x v="1"/>
    <x v="5"/>
    <x v="8"/>
    <x v="82"/>
    <x v="0"/>
    <x v="1"/>
    <n v="0"/>
  </r>
  <r>
    <x v="1"/>
    <x v="1"/>
    <x v="5"/>
    <x v="8"/>
    <x v="82"/>
    <x v="0"/>
    <x v="2"/>
    <n v="0"/>
  </r>
  <r>
    <x v="1"/>
    <x v="1"/>
    <x v="5"/>
    <x v="8"/>
    <x v="82"/>
    <x v="0"/>
    <x v="3"/>
    <n v="0"/>
  </r>
  <r>
    <x v="1"/>
    <x v="1"/>
    <x v="5"/>
    <x v="8"/>
    <x v="82"/>
    <x v="0"/>
    <x v="4"/>
    <n v="0"/>
  </r>
  <r>
    <x v="1"/>
    <x v="1"/>
    <x v="5"/>
    <x v="8"/>
    <x v="82"/>
    <x v="0"/>
    <x v="5"/>
    <n v="0"/>
  </r>
  <r>
    <x v="1"/>
    <x v="1"/>
    <x v="5"/>
    <x v="8"/>
    <x v="82"/>
    <x v="0"/>
    <x v="6"/>
    <n v="0"/>
  </r>
  <r>
    <x v="1"/>
    <x v="1"/>
    <x v="5"/>
    <x v="8"/>
    <x v="83"/>
    <x v="0"/>
    <x v="0"/>
    <n v="0"/>
  </r>
  <r>
    <x v="1"/>
    <x v="1"/>
    <x v="5"/>
    <x v="8"/>
    <x v="83"/>
    <x v="0"/>
    <x v="1"/>
    <n v="0"/>
  </r>
  <r>
    <x v="1"/>
    <x v="1"/>
    <x v="5"/>
    <x v="8"/>
    <x v="83"/>
    <x v="0"/>
    <x v="2"/>
    <n v="0"/>
  </r>
  <r>
    <x v="1"/>
    <x v="1"/>
    <x v="5"/>
    <x v="8"/>
    <x v="83"/>
    <x v="0"/>
    <x v="3"/>
    <n v="0"/>
  </r>
  <r>
    <x v="1"/>
    <x v="1"/>
    <x v="5"/>
    <x v="8"/>
    <x v="83"/>
    <x v="0"/>
    <x v="4"/>
    <n v="0"/>
  </r>
  <r>
    <x v="1"/>
    <x v="1"/>
    <x v="5"/>
    <x v="8"/>
    <x v="83"/>
    <x v="0"/>
    <x v="5"/>
    <n v="0"/>
  </r>
  <r>
    <x v="1"/>
    <x v="1"/>
    <x v="5"/>
    <x v="8"/>
    <x v="83"/>
    <x v="0"/>
    <x v="6"/>
    <n v="0"/>
  </r>
  <r>
    <x v="1"/>
    <x v="2"/>
    <x v="0"/>
    <x v="0"/>
    <x v="0"/>
    <x v="0"/>
    <x v="0"/>
    <n v="0"/>
  </r>
  <r>
    <x v="1"/>
    <x v="2"/>
    <x v="0"/>
    <x v="0"/>
    <x v="0"/>
    <x v="0"/>
    <x v="1"/>
    <n v="0"/>
  </r>
  <r>
    <x v="1"/>
    <x v="2"/>
    <x v="0"/>
    <x v="0"/>
    <x v="0"/>
    <x v="0"/>
    <x v="2"/>
    <n v="0"/>
  </r>
  <r>
    <x v="1"/>
    <x v="2"/>
    <x v="0"/>
    <x v="0"/>
    <x v="0"/>
    <x v="0"/>
    <x v="3"/>
    <n v="0"/>
  </r>
  <r>
    <x v="1"/>
    <x v="2"/>
    <x v="0"/>
    <x v="0"/>
    <x v="0"/>
    <x v="0"/>
    <x v="4"/>
    <n v="0"/>
  </r>
  <r>
    <x v="1"/>
    <x v="2"/>
    <x v="0"/>
    <x v="0"/>
    <x v="0"/>
    <x v="0"/>
    <x v="5"/>
    <n v="0"/>
  </r>
  <r>
    <x v="1"/>
    <x v="2"/>
    <x v="0"/>
    <x v="0"/>
    <x v="0"/>
    <x v="0"/>
    <x v="6"/>
    <n v="0"/>
  </r>
  <r>
    <x v="1"/>
    <x v="2"/>
    <x v="0"/>
    <x v="1"/>
    <x v="1"/>
    <x v="0"/>
    <x v="0"/>
    <n v="31.742862492372211"/>
  </r>
  <r>
    <x v="1"/>
    <x v="2"/>
    <x v="0"/>
    <x v="1"/>
    <x v="1"/>
    <x v="0"/>
    <x v="1"/>
    <n v="141.55078147514084"/>
  </r>
  <r>
    <x v="1"/>
    <x v="2"/>
    <x v="0"/>
    <x v="1"/>
    <x v="1"/>
    <x v="0"/>
    <x v="2"/>
    <n v="257.90701965056542"/>
  </r>
  <r>
    <x v="1"/>
    <x v="2"/>
    <x v="0"/>
    <x v="1"/>
    <x v="1"/>
    <x v="0"/>
    <x v="3"/>
    <n v="583.56325375024267"/>
  </r>
  <r>
    <x v="1"/>
    <x v="2"/>
    <x v="0"/>
    <x v="1"/>
    <x v="1"/>
    <x v="0"/>
    <x v="4"/>
    <n v="999.84935549462011"/>
  </r>
  <r>
    <x v="1"/>
    <x v="2"/>
    <x v="0"/>
    <x v="1"/>
    <x v="1"/>
    <x v="0"/>
    <x v="5"/>
    <n v="1529.0998755700198"/>
  </r>
  <r>
    <x v="1"/>
    <x v="2"/>
    <x v="0"/>
    <x v="1"/>
    <x v="1"/>
    <x v="0"/>
    <x v="6"/>
    <n v="2000.7173647800726"/>
  </r>
  <r>
    <x v="1"/>
    <x v="2"/>
    <x v="0"/>
    <x v="1"/>
    <x v="2"/>
    <x v="0"/>
    <x v="0"/>
    <n v="2.5321561556065038"/>
  </r>
  <r>
    <x v="1"/>
    <x v="2"/>
    <x v="0"/>
    <x v="1"/>
    <x v="2"/>
    <x v="0"/>
    <x v="1"/>
    <n v="6.0154890606531959"/>
  </r>
  <r>
    <x v="1"/>
    <x v="2"/>
    <x v="0"/>
    <x v="1"/>
    <x v="2"/>
    <x v="0"/>
    <x v="2"/>
    <n v="26.089073810832584"/>
  </r>
  <r>
    <x v="1"/>
    <x v="2"/>
    <x v="0"/>
    <x v="1"/>
    <x v="2"/>
    <x v="0"/>
    <x v="3"/>
    <n v="29.975513818834269"/>
  </r>
  <r>
    <x v="1"/>
    <x v="2"/>
    <x v="0"/>
    <x v="1"/>
    <x v="2"/>
    <x v="0"/>
    <x v="4"/>
    <n v="34.009566189433926"/>
  </r>
  <r>
    <x v="1"/>
    <x v="2"/>
    <x v="0"/>
    <x v="1"/>
    <x v="2"/>
    <x v="0"/>
    <x v="5"/>
    <n v="40.709440831257993"/>
  </r>
  <r>
    <x v="1"/>
    <x v="2"/>
    <x v="0"/>
    <x v="1"/>
    <x v="2"/>
    <x v="0"/>
    <x v="6"/>
    <n v="42.974476836200971"/>
  </r>
  <r>
    <x v="1"/>
    <x v="2"/>
    <x v="0"/>
    <x v="1"/>
    <x v="3"/>
    <x v="0"/>
    <x v="0"/>
    <n v="0"/>
  </r>
  <r>
    <x v="1"/>
    <x v="2"/>
    <x v="0"/>
    <x v="1"/>
    <x v="3"/>
    <x v="0"/>
    <x v="1"/>
    <n v="0"/>
  </r>
  <r>
    <x v="1"/>
    <x v="2"/>
    <x v="0"/>
    <x v="1"/>
    <x v="3"/>
    <x v="0"/>
    <x v="2"/>
    <n v="0"/>
  </r>
  <r>
    <x v="1"/>
    <x v="2"/>
    <x v="0"/>
    <x v="1"/>
    <x v="3"/>
    <x v="0"/>
    <x v="3"/>
    <n v="0"/>
  </r>
  <r>
    <x v="1"/>
    <x v="2"/>
    <x v="0"/>
    <x v="1"/>
    <x v="3"/>
    <x v="0"/>
    <x v="4"/>
    <n v="0"/>
  </r>
  <r>
    <x v="1"/>
    <x v="2"/>
    <x v="0"/>
    <x v="1"/>
    <x v="3"/>
    <x v="0"/>
    <x v="5"/>
    <n v="0"/>
  </r>
  <r>
    <x v="1"/>
    <x v="2"/>
    <x v="0"/>
    <x v="1"/>
    <x v="3"/>
    <x v="0"/>
    <x v="6"/>
    <n v="0"/>
  </r>
  <r>
    <x v="1"/>
    <x v="2"/>
    <x v="0"/>
    <x v="1"/>
    <x v="4"/>
    <x v="0"/>
    <x v="0"/>
    <n v="0"/>
  </r>
  <r>
    <x v="1"/>
    <x v="2"/>
    <x v="0"/>
    <x v="1"/>
    <x v="4"/>
    <x v="0"/>
    <x v="1"/>
    <n v="0"/>
  </r>
  <r>
    <x v="1"/>
    <x v="2"/>
    <x v="0"/>
    <x v="1"/>
    <x v="4"/>
    <x v="0"/>
    <x v="2"/>
    <n v="0"/>
  </r>
  <r>
    <x v="1"/>
    <x v="2"/>
    <x v="0"/>
    <x v="1"/>
    <x v="4"/>
    <x v="0"/>
    <x v="3"/>
    <n v="0"/>
  </r>
  <r>
    <x v="1"/>
    <x v="2"/>
    <x v="0"/>
    <x v="1"/>
    <x v="4"/>
    <x v="0"/>
    <x v="4"/>
    <n v="0"/>
  </r>
  <r>
    <x v="1"/>
    <x v="2"/>
    <x v="0"/>
    <x v="1"/>
    <x v="4"/>
    <x v="0"/>
    <x v="5"/>
    <n v="0"/>
  </r>
  <r>
    <x v="1"/>
    <x v="2"/>
    <x v="0"/>
    <x v="1"/>
    <x v="4"/>
    <x v="0"/>
    <x v="6"/>
    <n v="0"/>
  </r>
  <r>
    <x v="1"/>
    <x v="2"/>
    <x v="0"/>
    <x v="1"/>
    <x v="5"/>
    <x v="0"/>
    <x v="0"/>
    <n v="7.5769741492581241E-2"/>
  </r>
  <r>
    <x v="1"/>
    <x v="2"/>
    <x v="0"/>
    <x v="1"/>
    <x v="5"/>
    <x v="0"/>
    <x v="1"/>
    <n v="0.18486450430762846"/>
  </r>
  <r>
    <x v="1"/>
    <x v="2"/>
    <x v="0"/>
    <x v="1"/>
    <x v="5"/>
    <x v="0"/>
    <x v="2"/>
    <n v="0.21839429704945412"/>
  </r>
  <r>
    <x v="1"/>
    <x v="2"/>
    <x v="0"/>
    <x v="1"/>
    <x v="5"/>
    <x v="0"/>
    <x v="3"/>
    <n v="0.31008881403971134"/>
  </r>
  <r>
    <x v="1"/>
    <x v="2"/>
    <x v="0"/>
    <x v="1"/>
    <x v="5"/>
    <x v="0"/>
    <x v="4"/>
    <n v="0.37529994683576778"/>
  </r>
  <r>
    <x v="1"/>
    <x v="2"/>
    <x v="0"/>
    <x v="1"/>
    <x v="5"/>
    <x v="0"/>
    <x v="5"/>
    <n v="0.47981475017579295"/>
  </r>
  <r>
    <x v="1"/>
    <x v="2"/>
    <x v="0"/>
    <x v="1"/>
    <x v="5"/>
    <x v="0"/>
    <x v="6"/>
    <n v="0.48194341338708485"/>
  </r>
  <r>
    <x v="1"/>
    <x v="2"/>
    <x v="0"/>
    <x v="1"/>
    <x v="6"/>
    <x v="0"/>
    <x v="0"/>
    <n v="0"/>
  </r>
  <r>
    <x v="1"/>
    <x v="2"/>
    <x v="0"/>
    <x v="1"/>
    <x v="6"/>
    <x v="0"/>
    <x v="1"/>
    <n v="0"/>
  </r>
  <r>
    <x v="1"/>
    <x v="2"/>
    <x v="0"/>
    <x v="1"/>
    <x v="6"/>
    <x v="0"/>
    <x v="2"/>
    <n v="0"/>
  </r>
  <r>
    <x v="1"/>
    <x v="2"/>
    <x v="0"/>
    <x v="1"/>
    <x v="6"/>
    <x v="0"/>
    <x v="3"/>
    <n v="0"/>
  </r>
  <r>
    <x v="1"/>
    <x v="2"/>
    <x v="0"/>
    <x v="1"/>
    <x v="6"/>
    <x v="0"/>
    <x v="4"/>
    <n v="0"/>
  </r>
  <r>
    <x v="1"/>
    <x v="2"/>
    <x v="0"/>
    <x v="1"/>
    <x v="6"/>
    <x v="0"/>
    <x v="5"/>
    <n v="0"/>
  </r>
  <r>
    <x v="1"/>
    <x v="2"/>
    <x v="0"/>
    <x v="1"/>
    <x v="6"/>
    <x v="0"/>
    <x v="6"/>
    <n v="0"/>
  </r>
  <r>
    <x v="1"/>
    <x v="2"/>
    <x v="0"/>
    <x v="1"/>
    <x v="7"/>
    <x v="0"/>
    <x v="0"/>
    <n v="1.3272031933227928"/>
  </r>
  <r>
    <x v="1"/>
    <x v="2"/>
    <x v="0"/>
    <x v="1"/>
    <x v="7"/>
    <x v="0"/>
    <x v="1"/>
    <n v="3.300898764548267"/>
  </r>
  <r>
    <x v="1"/>
    <x v="2"/>
    <x v="0"/>
    <x v="1"/>
    <x v="7"/>
    <x v="0"/>
    <x v="2"/>
    <n v="5.8004681613768314"/>
  </r>
  <r>
    <x v="1"/>
    <x v="2"/>
    <x v="0"/>
    <x v="1"/>
    <x v="7"/>
    <x v="0"/>
    <x v="3"/>
    <n v="6.1400729132540208"/>
  </r>
  <r>
    <x v="1"/>
    <x v="2"/>
    <x v="0"/>
    <x v="1"/>
    <x v="7"/>
    <x v="0"/>
    <x v="4"/>
    <n v="4.4278465193315597"/>
  </r>
  <r>
    <x v="1"/>
    <x v="2"/>
    <x v="0"/>
    <x v="1"/>
    <x v="7"/>
    <x v="0"/>
    <x v="5"/>
    <n v="5.4653085859146939"/>
  </r>
  <r>
    <x v="1"/>
    <x v="2"/>
    <x v="0"/>
    <x v="1"/>
    <x v="7"/>
    <x v="0"/>
    <x v="6"/>
    <n v="4.9010038836680172"/>
  </r>
  <r>
    <x v="1"/>
    <x v="2"/>
    <x v="0"/>
    <x v="1"/>
    <x v="8"/>
    <x v="0"/>
    <x v="0"/>
    <n v="0"/>
  </r>
  <r>
    <x v="1"/>
    <x v="2"/>
    <x v="0"/>
    <x v="1"/>
    <x v="8"/>
    <x v="0"/>
    <x v="1"/>
    <n v="0"/>
  </r>
  <r>
    <x v="1"/>
    <x v="2"/>
    <x v="0"/>
    <x v="1"/>
    <x v="8"/>
    <x v="0"/>
    <x v="2"/>
    <n v="0"/>
  </r>
  <r>
    <x v="1"/>
    <x v="2"/>
    <x v="0"/>
    <x v="1"/>
    <x v="8"/>
    <x v="0"/>
    <x v="3"/>
    <n v="0"/>
  </r>
  <r>
    <x v="1"/>
    <x v="2"/>
    <x v="0"/>
    <x v="1"/>
    <x v="8"/>
    <x v="0"/>
    <x v="4"/>
    <n v="0"/>
  </r>
  <r>
    <x v="1"/>
    <x v="2"/>
    <x v="0"/>
    <x v="1"/>
    <x v="8"/>
    <x v="0"/>
    <x v="5"/>
    <n v="0"/>
  </r>
  <r>
    <x v="1"/>
    <x v="2"/>
    <x v="0"/>
    <x v="1"/>
    <x v="8"/>
    <x v="0"/>
    <x v="6"/>
    <n v="0"/>
  </r>
  <r>
    <x v="1"/>
    <x v="2"/>
    <x v="0"/>
    <x v="1"/>
    <x v="9"/>
    <x v="0"/>
    <x v="0"/>
    <n v="0.30353377002074761"/>
  </r>
  <r>
    <x v="1"/>
    <x v="2"/>
    <x v="0"/>
    <x v="1"/>
    <x v="9"/>
    <x v="0"/>
    <x v="1"/>
    <n v="0.66144363247220439"/>
  </r>
  <r>
    <x v="1"/>
    <x v="2"/>
    <x v="0"/>
    <x v="1"/>
    <x v="9"/>
    <x v="0"/>
    <x v="2"/>
    <n v="1.0879762498840402"/>
  </r>
  <r>
    <x v="1"/>
    <x v="2"/>
    <x v="0"/>
    <x v="1"/>
    <x v="9"/>
    <x v="0"/>
    <x v="3"/>
    <n v="1.5739340295300721"/>
  </r>
  <r>
    <x v="1"/>
    <x v="2"/>
    <x v="0"/>
    <x v="1"/>
    <x v="9"/>
    <x v="0"/>
    <x v="4"/>
    <n v="2.0015905690909648"/>
  </r>
  <r>
    <x v="1"/>
    <x v="2"/>
    <x v="0"/>
    <x v="1"/>
    <x v="9"/>
    <x v="0"/>
    <x v="5"/>
    <n v="2.8877510136772231"/>
  </r>
  <r>
    <x v="1"/>
    <x v="2"/>
    <x v="0"/>
    <x v="1"/>
    <x v="9"/>
    <x v="0"/>
    <x v="6"/>
    <n v="3.1782458771453541"/>
  </r>
  <r>
    <x v="1"/>
    <x v="2"/>
    <x v="0"/>
    <x v="1"/>
    <x v="10"/>
    <x v="0"/>
    <x v="0"/>
    <n v="3.1763934056465932"/>
  </r>
  <r>
    <x v="1"/>
    <x v="2"/>
    <x v="0"/>
    <x v="1"/>
    <x v="10"/>
    <x v="0"/>
    <x v="1"/>
    <n v="7.5408842488027759"/>
  </r>
  <r>
    <x v="1"/>
    <x v="2"/>
    <x v="0"/>
    <x v="1"/>
    <x v="10"/>
    <x v="0"/>
    <x v="2"/>
    <n v="13.025666334256632"/>
  </r>
  <r>
    <x v="1"/>
    <x v="2"/>
    <x v="0"/>
    <x v="1"/>
    <x v="10"/>
    <x v="0"/>
    <x v="3"/>
    <n v="19.804476270702956"/>
  </r>
  <r>
    <x v="1"/>
    <x v="2"/>
    <x v="0"/>
    <x v="1"/>
    <x v="10"/>
    <x v="0"/>
    <x v="4"/>
    <n v="23.438356151641266"/>
  </r>
  <r>
    <x v="1"/>
    <x v="2"/>
    <x v="0"/>
    <x v="1"/>
    <x v="10"/>
    <x v="0"/>
    <x v="5"/>
    <n v="42.308749296948797"/>
  </r>
  <r>
    <x v="1"/>
    <x v="2"/>
    <x v="0"/>
    <x v="1"/>
    <x v="10"/>
    <x v="0"/>
    <x v="6"/>
    <n v="54.666131110664779"/>
  </r>
  <r>
    <x v="1"/>
    <x v="2"/>
    <x v="0"/>
    <x v="0"/>
    <x v="11"/>
    <x v="0"/>
    <x v="0"/>
    <n v="0"/>
  </r>
  <r>
    <x v="1"/>
    <x v="2"/>
    <x v="0"/>
    <x v="0"/>
    <x v="11"/>
    <x v="0"/>
    <x v="1"/>
    <n v="0"/>
  </r>
  <r>
    <x v="1"/>
    <x v="2"/>
    <x v="0"/>
    <x v="0"/>
    <x v="11"/>
    <x v="0"/>
    <x v="2"/>
    <n v="0"/>
  </r>
  <r>
    <x v="1"/>
    <x v="2"/>
    <x v="0"/>
    <x v="0"/>
    <x v="11"/>
    <x v="0"/>
    <x v="3"/>
    <n v="0"/>
  </r>
  <r>
    <x v="1"/>
    <x v="2"/>
    <x v="0"/>
    <x v="0"/>
    <x v="11"/>
    <x v="0"/>
    <x v="4"/>
    <n v="0"/>
  </r>
  <r>
    <x v="1"/>
    <x v="2"/>
    <x v="0"/>
    <x v="0"/>
    <x v="11"/>
    <x v="0"/>
    <x v="5"/>
    <n v="0"/>
  </r>
  <r>
    <x v="1"/>
    <x v="2"/>
    <x v="0"/>
    <x v="0"/>
    <x v="11"/>
    <x v="0"/>
    <x v="6"/>
    <n v="0"/>
  </r>
  <r>
    <x v="1"/>
    <x v="2"/>
    <x v="0"/>
    <x v="0"/>
    <x v="12"/>
    <x v="0"/>
    <x v="0"/>
    <n v="0"/>
  </r>
  <r>
    <x v="1"/>
    <x v="2"/>
    <x v="0"/>
    <x v="0"/>
    <x v="12"/>
    <x v="0"/>
    <x v="1"/>
    <n v="0"/>
  </r>
  <r>
    <x v="1"/>
    <x v="2"/>
    <x v="0"/>
    <x v="0"/>
    <x v="12"/>
    <x v="0"/>
    <x v="2"/>
    <n v="0"/>
  </r>
  <r>
    <x v="1"/>
    <x v="2"/>
    <x v="0"/>
    <x v="0"/>
    <x v="12"/>
    <x v="0"/>
    <x v="3"/>
    <n v="0"/>
  </r>
  <r>
    <x v="1"/>
    <x v="2"/>
    <x v="0"/>
    <x v="0"/>
    <x v="12"/>
    <x v="0"/>
    <x v="4"/>
    <n v="0"/>
  </r>
  <r>
    <x v="1"/>
    <x v="2"/>
    <x v="0"/>
    <x v="0"/>
    <x v="12"/>
    <x v="0"/>
    <x v="5"/>
    <n v="0"/>
  </r>
  <r>
    <x v="1"/>
    <x v="2"/>
    <x v="0"/>
    <x v="0"/>
    <x v="12"/>
    <x v="0"/>
    <x v="6"/>
    <n v="0"/>
  </r>
  <r>
    <x v="1"/>
    <x v="2"/>
    <x v="0"/>
    <x v="0"/>
    <x v="13"/>
    <x v="0"/>
    <x v="0"/>
    <n v="0"/>
  </r>
  <r>
    <x v="1"/>
    <x v="2"/>
    <x v="0"/>
    <x v="0"/>
    <x v="13"/>
    <x v="0"/>
    <x v="1"/>
    <n v="0"/>
  </r>
  <r>
    <x v="1"/>
    <x v="2"/>
    <x v="0"/>
    <x v="0"/>
    <x v="13"/>
    <x v="0"/>
    <x v="2"/>
    <n v="0"/>
  </r>
  <r>
    <x v="1"/>
    <x v="2"/>
    <x v="0"/>
    <x v="0"/>
    <x v="13"/>
    <x v="0"/>
    <x v="3"/>
    <n v="0"/>
  </r>
  <r>
    <x v="1"/>
    <x v="2"/>
    <x v="0"/>
    <x v="0"/>
    <x v="13"/>
    <x v="0"/>
    <x v="4"/>
    <n v="0"/>
  </r>
  <r>
    <x v="1"/>
    <x v="2"/>
    <x v="0"/>
    <x v="0"/>
    <x v="13"/>
    <x v="0"/>
    <x v="5"/>
    <n v="0"/>
  </r>
  <r>
    <x v="1"/>
    <x v="2"/>
    <x v="0"/>
    <x v="0"/>
    <x v="13"/>
    <x v="0"/>
    <x v="6"/>
    <n v="0"/>
  </r>
  <r>
    <x v="1"/>
    <x v="2"/>
    <x v="0"/>
    <x v="2"/>
    <x v="14"/>
    <x v="0"/>
    <x v="0"/>
    <n v="0"/>
  </r>
  <r>
    <x v="1"/>
    <x v="2"/>
    <x v="0"/>
    <x v="2"/>
    <x v="14"/>
    <x v="0"/>
    <x v="1"/>
    <n v="0"/>
  </r>
  <r>
    <x v="1"/>
    <x v="2"/>
    <x v="0"/>
    <x v="2"/>
    <x v="14"/>
    <x v="0"/>
    <x v="2"/>
    <n v="0"/>
  </r>
  <r>
    <x v="1"/>
    <x v="2"/>
    <x v="0"/>
    <x v="2"/>
    <x v="14"/>
    <x v="0"/>
    <x v="3"/>
    <n v="0"/>
  </r>
  <r>
    <x v="1"/>
    <x v="2"/>
    <x v="0"/>
    <x v="2"/>
    <x v="14"/>
    <x v="0"/>
    <x v="4"/>
    <n v="0"/>
  </r>
  <r>
    <x v="1"/>
    <x v="2"/>
    <x v="0"/>
    <x v="2"/>
    <x v="14"/>
    <x v="0"/>
    <x v="5"/>
    <n v="0"/>
  </r>
  <r>
    <x v="1"/>
    <x v="2"/>
    <x v="0"/>
    <x v="2"/>
    <x v="14"/>
    <x v="0"/>
    <x v="6"/>
    <n v="0"/>
  </r>
  <r>
    <x v="1"/>
    <x v="2"/>
    <x v="0"/>
    <x v="2"/>
    <x v="15"/>
    <x v="0"/>
    <x v="0"/>
    <n v="901.38333629354622"/>
  </r>
  <r>
    <x v="1"/>
    <x v="2"/>
    <x v="0"/>
    <x v="2"/>
    <x v="15"/>
    <x v="0"/>
    <x v="1"/>
    <n v="1534.3349119398683"/>
  </r>
  <r>
    <x v="1"/>
    <x v="2"/>
    <x v="0"/>
    <x v="2"/>
    <x v="15"/>
    <x v="0"/>
    <x v="2"/>
    <n v="1834.7926081706703"/>
  </r>
  <r>
    <x v="1"/>
    <x v="2"/>
    <x v="0"/>
    <x v="2"/>
    <x v="15"/>
    <x v="0"/>
    <x v="3"/>
    <n v="2284.876769968675"/>
  </r>
  <r>
    <x v="1"/>
    <x v="2"/>
    <x v="0"/>
    <x v="2"/>
    <x v="15"/>
    <x v="0"/>
    <x v="4"/>
    <n v="2646.4550935762904"/>
  </r>
  <r>
    <x v="1"/>
    <x v="2"/>
    <x v="0"/>
    <x v="2"/>
    <x v="15"/>
    <x v="0"/>
    <x v="5"/>
    <n v="3120.1190592617809"/>
  </r>
  <r>
    <x v="1"/>
    <x v="2"/>
    <x v="0"/>
    <x v="2"/>
    <x v="15"/>
    <x v="0"/>
    <x v="6"/>
    <n v="3561.7001135982478"/>
  </r>
  <r>
    <x v="1"/>
    <x v="2"/>
    <x v="0"/>
    <x v="2"/>
    <x v="16"/>
    <x v="0"/>
    <x v="0"/>
    <n v="9.494617210047597"/>
  </r>
  <r>
    <x v="1"/>
    <x v="2"/>
    <x v="0"/>
    <x v="2"/>
    <x v="16"/>
    <x v="0"/>
    <x v="1"/>
    <n v="27.86425401561592"/>
  </r>
  <r>
    <x v="1"/>
    <x v="2"/>
    <x v="0"/>
    <x v="2"/>
    <x v="16"/>
    <x v="0"/>
    <x v="2"/>
    <n v="47.842168015370653"/>
  </r>
  <r>
    <x v="1"/>
    <x v="2"/>
    <x v="0"/>
    <x v="2"/>
    <x v="16"/>
    <x v="0"/>
    <x v="3"/>
    <n v="70.54887102216918"/>
  </r>
  <r>
    <x v="1"/>
    <x v="2"/>
    <x v="0"/>
    <x v="2"/>
    <x v="16"/>
    <x v="0"/>
    <x v="4"/>
    <n v="179.84243346644644"/>
  </r>
  <r>
    <x v="1"/>
    <x v="2"/>
    <x v="0"/>
    <x v="2"/>
    <x v="16"/>
    <x v="0"/>
    <x v="5"/>
    <n v="282.39180169201614"/>
  </r>
  <r>
    <x v="1"/>
    <x v="2"/>
    <x v="0"/>
    <x v="2"/>
    <x v="16"/>
    <x v="0"/>
    <x v="6"/>
    <n v="455.81509213002806"/>
  </r>
  <r>
    <x v="1"/>
    <x v="2"/>
    <x v="0"/>
    <x v="0"/>
    <x v="17"/>
    <x v="0"/>
    <x v="0"/>
    <n v="0"/>
  </r>
  <r>
    <x v="1"/>
    <x v="2"/>
    <x v="0"/>
    <x v="0"/>
    <x v="17"/>
    <x v="0"/>
    <x v="1"/>
    <n v="0"/>
  </r>
  <r>
    <x v="1"/>
    <x v="2"/>
    <x v="0"/>
    <x v="0"/>
    <x v="17"/>
    <x v="0"/>
    <x v="2"/>
    <n v="0"/>
  </r>
  <r>
    <x v="1"/>
    <x v="2"/>
    <x v="0"/>
    <x v="0"/>
    <x v="17"/>
    <x v="0"/>
    <x v="3"/>
    <n v="0"/>
  </r>
  <r>
    <x v="1"/>
    <x v="2"/>
    <x v="0"/>
    <x v="0"/>
    <x v="17"/>
    <x v="0"/>
    <x v="4"/>
    <n v="0"/>
  </r>
  <r>
    <x v="1"/>
    <x v="2"/>
    <x v="0"/>
    <x v="0"/>
    <x v="17"/>
    <x v="0"/>
    <x v="5"/>
    <n v="0"/>
  </r>
  <r>
    <x v="1"/>
    <x v="2"/>
    <x v="0"/>
    <x v="0"/>
    <x v="17"/>
    <x v="0"/>
    <x v="6"/>
    <n v="0"/>
  </r>
  <r>
    <x v="1"/>
    <x v="2"/>
    <x v="0"/>
    <x v="2"/>
    <x v="18"/>
    <x v="0"/>
    <x v="0"/>
    <n v="1627.1040610135983"/>
  </r>
  <r>
    <x v="1"/>
    <x v="2"/>
    <x v="0"/>
    <x v="2"/>
    <x v="18"/>
    <x v="0"/>
    <x v="1"/>
    <n v="3022.7073235183793"/>
  </r>
  <r>
    <x v="1"/>
    <x v="2"/>
    <x v="0"/>
    <x v="2"/>
    <x v="18"/>
    <x v="0"/>
    <x v="2"/>
    <n v="3615.4939673171057"/>
  </r>
  <r>
    <x v="1"/>
    <x v="2"/>
    <x v="0"/>
    <x v="2"/>
    <x v="18"/>
    <x v="0"/>
    <x v="3"/>
    <n v="4145.2037380283691"/>
  </r>
  <r>
    <x v="1"/>
    <x v="2"/>
    <x v="0"/>
    <x v="2"/>
    <x v="18"/>
    <x v="0"/>
    <x v="4"/>
    <n v="4888.5766873724779"/>
  </r>
  <r>
    <x v="1"/>
    <x v="2"/>
    <x v="0"/>
    <x v="2"/>
    <x v="18"/>
    <x v="0"/>
    <x v="5"/>
    <n v="5374.3741877283874"/>
  </r>
  <r>
    <x v="1"/>
    <x v="2"/>
    <x v="0"/>
    <x v="2"/>
    <x v="18"/>
    <x v="0"/>
    <x v="6"/>
    <n v="5843.8725932363204"/>
  </r>
  <r>
    <x v="1"/>
    <x v="2"/>
    <x v="1"/>
    <x v="3"/>
    <x v="19"/>
    <x v="0"/>
    <x v="0"/>
    <n v="0"/>
  </r>
  <r>
    <x v="1"/>
    <x v="2"/>
    <x v="1"/>
    <x v="3"/>
    <x v="19"/>
    <x v="0"/>
    <x v="1"/>
    <n v="0"/>
  </r>
  <r>
    <x v="1"/>
    <x v="2"/>
    <x v="1"/>
    <x v="3"/>
    <x v="19"/>
    <x v="0"/>
    <x v="2"/>
    <n v="0"/>
  </r>
  <r>
    <x v="1"/>
    <x v="2"/>
    <x v="1"/>
    <x v="3"/>
    <x v="19"/>
    <x v="0"/>
    <x v="3"/>
    <n v="0"/>
  </r>
  <r>
    <x v="1"/>
    <x v="2"/>
    <x v="1"/>
    <x v="3"/>
    <x v="19"/>
    <x v="0"/>
    <x v="4"/>
    <n v="0"/>
  </r>
  <r>
    <x v="1"/>
    <x v="2"/>
    <x v="1"/>
    <x v="3"/>
    <x v="19"/>
    <x v="0"/>
    <x v="5"/>
    <n v="0"/>
  </r>
  <r>
    <x v="1"/>
    <x v="2"/>
    <x v="1"/>
    <x v="3"/>
    <x v="19"/>
    <x v="0"/>
    <x v="6"/>
    <n v="0"/>
  </r>
  <r>
    <x v="1"/>
    <x v="2"/>
    <x v="1"/>
    <x v="3"/>
    <x v="20"/>
    <x v="0"/>
    <x v="0"/>
    <n v="0"/>
  </r>
  <r>
    <x v="1"/>
    <x v="2"/>
    <x v="1"/>
    <x v="3"/>
    <x v="20"/>
    <x v="0"/>
    <x v="1"/>
    <n v="0"/>
  </r>
  <r>
    <x v="1"/>
    <x v="2"/>
    <x v="1"/>
    <x v="3"/>
    <x v="20"/>
    <x v="0"/>
    <x v="2"/>
    <n v="0"/>
  </r>
  <r>
    <x v="1"/>
    <x v="2"/>
    <x v="1"/>
    <x v="3"/>
    <x v="20"/>
    <x v="0"/>
    <x v="3"/>
    <n v="0"/>
  </r>
  <r>
    <x v="1"/>
    <x v="2"/>
    <x v="1"/>
    <x v="3"/>
    <x v="20"/>
    <x v="0"/>
    <x v="4"/>
    <n v="0"/>
  </r>
  <r>
    <x v="1"/>
    <x v="2"/>
    <x v="1"/>
    <x v="3"/>
    <x v="20"/>
    <x v="0"/>
    <x v="5"/>
    <n v="0"/>
  </r>
  <r>
    <x v="1"/>
    <x v="2"/>
    <x v="1"/>
    <x v="3"/>
    <x v="20"/>
    <x v="0"/>
    <x v="6"/>
    <n v="0"/>
  </r>
  <r>
    <x v="1"/>
    <x v="2"/>
    <x v="1"/>
    <x v="3"/>
    <x v="21"/>
    <x v="0"/>
    <x v="0"/>
    <n v="0"/>
  </r>
  <r>
    <x v="1"/>
    <x v="2"/>
    <x v="1"/>
    <x v="3"/>
    <x v="21"/>
    <x v="0"/>
    <x v="1"/>
    <n v="0"/>
  </r>
  <r>
    <x v="1"/>
    <x v="2"/>
    <x v="1"/>
    <x v="3"/>
    <x v="21"/>
    <x v="0"/>
    <x v="2"/>
    <n v="0"/>
  </r>
  <r>
    <x v="1"/>
    <x v="2"/>
    <x v="1"/>
    <x v="3"/>
    <x v="21"/>
    <x v="0"/>
    <x v="3"/>
    <n v="0"/>
  </r>
  <r>
    <x v="1"/>
    <x v="2"/>
    <x v="1"/>
    <x v="3"/>
    <x v="21"/>
    <x v="0"/>
    <x v="4"/>
    <n v="0"/>
  </r>
  <r>
    <x v="1"/>
    <x v="2"/>
    <x v="1"/>
    <x v="3"/>
    <x v="21"/>
    <x v="0"/>
    <x v="5"/>
    <n v="0"/>
  </r>
  <r>
    <x v="1"/>
    <x v="2"/>
    <x v="1"/>
    <x v="3"/>
    <x v="21"/>
    <x v="0"/>
    <x v="6"/>
    <n v="0"/>
  </r>
  <r>
    <x v="1"/>
    <x v="2"/>
    <x v="1"/>
    <x v="3"/>
    <x v="22"/>
    <x v="0"/>
    <x v="0"/>
    <n v="0"/>
  </r>
  <r>
    <x v="1"/>
    <x v="2"/>
    <x v="1"/>
    <x v="3"/>
    <x v="22"/>
    <x v="0"/>
    <x v="1"/>
    <n v="0"/>
  </r>
  <r>
    <x v="1"/>
    <x v="2"/>
    <x v="1"/>
    <x v="3"/>
    <x v="22"/>
    <x v="0"/>
    <x v="2"/>
    <n v="0"/>
  </r>
  <r>
    <x v="1"/>
    <x v="2"/>
    <x v="1"/>
    <x v="3"/>
    <x v="22"/>
    <x v="0"/>
    <x v="3"/>
    <n v="0"/>
  </r>
  <r>
    <x v="1"/>
    <x v="2"/>
    <x v="1"/>
    <x v="3"/>
    <x v="22"/>
    <x v="0"/>
    <x v="4"/>
    <n v="0"/>
  </r>
  <r>
    <x v="1"/>
    <x v="2"/>
    <x v="1"/>
    <x v="3"/>
    <x v="22"/>
    <x v="0"/>
    <x v="5"/>
    <n v="0"/>
  </r>
  <r>
    <x v="1"/>
    <x v="2"/>
    <x v="1"/>
    <x v="3"/>
    <x v="22"/>
    <x v="0"/>
    <x v="6"/>
    <n v="0"/>
  </r>
  <r>
    <x v="1"/>
    <x v="2"/>
    <x v="1"/>
    <x v="3"/>
    <x v="23"/>
    <x v="0"/>
    <x v="0"/>
    <n v="0"/>
  </r>
  <r>
    <x v="1"/>
    <x v="2"/>
    <x v="1"/>
    <x v="3"/>
    <x v="23"/>
    <x v="0"/>
    <x v="1"/>
    <n v="0"/>
  </r>
  <r>
    <x v="1"/>
    <x v="2"/>
    <x v="1"/>
    <x v="3"/>
    <x v="23"/>
    <x v="0"/>
    <x v="2"/>
    <n v="0"/>
  </r>
  <r>
    <x v="1"/>
    <x v="2"/>
    <x v="1"/>
    <x v="3"/>
    <x v="23"/>
    <x v="0"/>
    <x v="3"/>
    <n v="0"/>
  </r>
  <r>
    <x v="1"/>
    <x v="2"/>
    <x v="1"/>
    <x v="3"/>
    <x v="23"/>
    <x v="0"/>
    <x v="4"/>
    <n v="0"/>
  </r>
  <r>
    <x v="1"/>
    <x v="2"/>
    <x v="1"/>
    <x v="3"/>
    <x v="23"/>
    <x v="0"/>
    <x v="5"/>
    <n v="0"/>
  </r>
  <r>
    <x v="1"/>
    <x v="2"/>
    <x v="1"/>
    <x v="3"/>
    <x v="23"/>
    <x v="0"/>
    <x v="6"/>
    <n v="0"/>
  </r>
  <r>
    <x v="1"/>
    <x v="2"/>
    <x v="1"/>
    <x v="3"/>
    <x v="24"/>
    <x v="0"/>
    <x v="0"/>
    <n v="0"/>
  </r>
  <r>
    <x v="1"/>
    <x v="2"/>
    <x v="1"/>
    <x v="3"/>
    <x v="24"/>
    <x v="0"/>
    <x v="1"/>
    <n v="0"/>
  </r>
  <r>
    <x v="1"/>
    <x v="2"/>
    <x v="1"/>
    <x v="3"/>
    <x v="24"/>
    <x v="0"/>
    <x v="2"/>
    <n v="0"/>
  </r>
  <r>
    <x v="1"/>
    <x v="2"/>
    <x v="1"/>
    <x v="3"/>
    <x v="24"/>
    <x v="0"/>
    <x v="3"/>
    <n v="0"/>
  </r>
  <r>
    <x v="1"/>
    <x v="2"/>
    <x v="1"/>
    <x v="3"/>
    <x v="24"/>
    <x v="0"/>
    <x v="4"/>
    <n v="0"/>
  </r>
  <r>
    <x v="1"/>
    <x v="2"/>
    <x v="1"/>
    <x v="3"/>
    <x v="24"/>
    <x v="0"/>
    <x v="5"/>
    <n v="0"/>
  </r>
  <r>
    <x v="1"/>
    <x v="2"/>
    <x v="1"/>
    <x v="3"/>
    <x v="24"/>
    <x v="0"/>
    <x v="6"/>
    <n v="0"/>
  </r>
  <r>
    <x v="1"/>
    <x v="2"/>
    <x v="1"/>
    <x v="3"/>
    <x v="25"/>
    <x v="0"/>
    <x v="0"/>
    <n v="0"/>
  </r>
  <r>
    <x v="1"/>
    <x v="2"/>
    <x v="1"/>
    <x v="3"/>
    <x v="25"/>
    <x v="0"/>
    <x v="1"/>
    <n v="0"/>
  </r>
  <r>
    <x v="1"/>
    <x v="2"/>
    <x v="1"/>
    <x v="3"/>
    <x v="25"/>
    <x v="0"/>
    <x v="2"/>
    <n v="0"/>
  </r>
  <r>
    <x v="1"/>
    <x v="2"/>
    <x v="1"/>
    <x v="3"/>
    <x v="25"/>
    <x v="0"/>
    <x v="3"/>
    <n v="0"/>
  </r>
  <r>
    <x v="1"/>
    <x v="2"/>
    <x v="1"/>
    <x v="3"/>
    <x v="25"/>
    <x v="0"/>
    <x v="4"/>
    <n v="0"/>
  </r>
  <r>
    <x v="1"/>
    <x v="2"/>
    <x v="1"/>
    <x v="3"/>
    <x v="25"/>
    <x v="0"/>
    <x v="5"/>
    <n v="0"/>
  </r>
  <r>
    <x v="1"/>
    <x v="2"/>
    <x v="1"/>
    <x v="3"/>
    <x v="25"/>
    <x v="0"/>
    <x v="6"/>
    <n v="0"/>
  </r>
  <r>
    <x v="1"/>
    <x v="2"/>
    <x v="2"/>
    <x v="4"/>
    <x v="26"/>
    <x v="0"/>
    <x v="0"/>
    <n v="0"/>
  </r>
  <r>
    <x v="1"/>
    <x v="2"/>
    <x v="2"/>
    <x v="4"/>
    <x v="26"/>
    <x v="0"/>
    <x v="1"/>
    <n v="0"/>
  </r>
  <r>
    <x v="1"/>
    <x v="2"/>
    <x v="2"/>
    <x v="4"/>
    <x v="26"/>
    <x v="0"/>
    <x v="2"/>
    <n v="0"/>
  </r>
  <r>
    <x v="1"/>
    <x v="2"/>
    <x v="2"/>
    <x v="4"/>
    <x v="26"/>
    <x v="0"/>
    <x v="3"/>
    <n v="0"/>
  </r>
  <r>
    <x v="1"/>
    <x v="2"/>
    <x v="2"/>
    <x v="4"/>
    <x v="26"/>
    <x v="0"/>
    <x v="4"/>
    <n v="0"/>
  </r>
  <r>
    <x v="1"/>
    <x v="2"/>
    <x v="2"/>
    <x v="4"/>
    <x v="26"/>
    <x v="0"/>
    <x v="5"/>
    <n v="0"/>
  </r>
  <r>
    <x v="1"/>
    <x v="2"/>
    <x v="2"/>
    <x v="4"/>
    <x v="26"/>
    <x v="0"/>
    <x v="6"/>
    <n v="0"/>
  </r>
  <r>
    <x v="1"/>
    <x v="2"/>
    <x v="2"/>
    <x v="4"/>
    <x v="27"/>
    <x v="0"/>
    <x v="0"/>
    <n v="0"/>
  </r>
  <r>
    <x v="1"/>
    <x v="2"/>
    <x v="2"/>
    <x v="4"/>
    <x v="27"/>
    <x v="0"/>
    <x v="1"/>
    <n v="0"/>
  </r>
  <r>
    <x v="1"/>
    <x v="2"/>
    <x v="2"/>
    <x v="4"/>
    <x v="27"/>
    <x v="0"/>
    <x v="2"/>
    <n v="0"/>
  </r>
  <r>
    <x v="1"/>
    <x v="2"/>
    <x v="2"/>
    <x v="4"/>
    <x v="27"/>
    <x v="0"/>
    <x v="3"/>
    <n v="0"/>
  </r>
  <r>
    <x v="1"/>
    <x v="2"/>
    <x v="2"/>
    <x v="4"/>
    <x v="27"/>
    <x v="0"/>
    <x v="4"/>
    <n v="0"/>
  </r>
  <r>
    <x v="1"/>
    <x v="2"/>
    <x v="2"/>
    <x v="4"/>
    <x v="27"/>
    <x v="0"/>
    <x v="5"/>
    <n v="0"/>
  </r>
  <r>
    <x v="1"/>
    <x v="2"/>
    <x v="2"/>
    <x v="4"/>
    <x v="27"/>
    <x v="0"/>
    <x v="6"/>
    <n v="0"/>
  </r>
  <r>
    <x v="1"/>
    <x v="2"/>
    <x v="2"/>
    <x v="4"/>
    <x v="28"/>
    <x v="0"/>
    <x v="0"/>
    <n v="0"/>
  </r>
  <r>
    <x v="1"/>
    <x v="2"/>
    <x v="2"/>
    <x v="4"/>
    <x v="28"/>
    <x v="0"/>
    <x v="1"/>
    <n v="0"/>
  </r>
  <r>
    <x v="1"/>
    <x v="2"/>
    <x v="2"/>
    <x v="4"/>
    <x v="28"/>
    <x v="0"/>
    <x v="2"/>
    <n v="0"/>
  </r>
  <r>
    <x v="1"/>
    <x v="2"/>
    <x v="2"/>
    <x v="4"/>
    <x v="28"/>
    <x v="0"/>
    <x v="3"/>
    <n v="0"/>
  </r>
  <r>
    <x v="1"/>
    <x v="2"/>
    <x v="2"/>
    <x v="4"/>
    <x v="28"/>
    <x v="0"/>
    <x v="4"/>
    <n v="0"/>
  </r>
  <r>
    <x v="1"/>
    <x v="2"/>
    <x v="2"/>
    <x v="4"/>
    <x v="28"/>
    <x v="0"/>
    <x v="5"/>
    <n v="0"/>
  </r>
  <r>
    <x v="1"/>
    <x v="2"/>
    <x v="2"/>
    <x v="4"/>
    <x v="28"/>
    <x v="0"/>
    <x v="6"/>
    <n v="0"/>
  </r>
  <r>
    <x v="1"/>
    <x v="2"/>
    <x v="2"/>
    <x v="4"/>
    <x v="29"/>
    <x v="0"/>
    <x v="0"/>
    <n v="0"/>
  </r>
  <r>
    <x v="1"/>
    <x v="2"/>
    <x v="2"/>
    <x v="4"/>
    <x v="29"/>
    <x v="0"/>
    <x v="1"/>
    <n v="0"/>
  </r>
  <r>
    <x v="1"/>
    <x v="2"/>
    <x v="2"/>
    <x v="4"/>
    <x v="29"/>
    <x v="0"/>
    <x v="2"/>
    <n v="0"/>
  </r>
  <r>
    <x v="1"/>
    <x v="2"/>
    <x v="2"/>
    <x v="4"/>
    <x v="29"/>
    <x v="0"/>
    <x v="3"/>
    <n v="0"/>
  </r>
  <r>
    <x v="1"/>
    <x v="2"/>
    <x v="2"/>
    <x v="4"/>
    <x v="29"/>
    <x v="0"/>
    <x v="4"/>
    <n v="0"/>
  </r>
  <r>
    <x v="1"/>
    <x v="2"/>
    <x v="2"/>
    <x v="4"/>
    <x v="29"/>
    <x v="0"/>
    <x v="5"/>
    <n v="0"/>
  </r>
  <r>
    <x v="1"/>
    <x v="2"/>
    <x v="2"/>
    <x v="4"/>
    <x v="29"/>
    <x v="0"/>
    <x v="6"/>
    <n v="0"/>
  </r>
  <r>
    <x v="1"/>
    <x v="2"/>
    <x v="3"/>
    <x v="5"/>
    <x v="30"/>
    <x v="0"/>
    <x v="0"/>
    <n v="22.950221184728715"/>
  </r>
  <r>
    <x v="1"/>
    <x v="2"/>
    <x v="3"/>
    <x v="5"/>
    <x v="30"/>
    <x v="0"/>
    <x v="1"/>
    <n v="25.222272057345467"/>
  </r>
  <r>
    <x v="1"/>
    <x v="2"/>
    <x v="3"/>
    <x v="5"/>
    <x v="30"/>
    <x v="0"/>
    <x v="2"/>
    <n v="41.028198278192242"/>
  </r>
  <r>
    <x v="1"/>
    <x v="2"/>
    <x v="3"/>
    <x v="5"/>
    <x v="30"/>
    <x v="0"/>
    <x v="3"/>
    <n v="44.31668496872652"/>
  </r>
  <r>
    <x v="1"/>
    <x v="2"/>
    <x v="3"/>
    <x v="5"/>
    <x v="30"/>
    <x v="0"/>
    <x v="4"/>
    <n v="55.915221453577395"/>
  </r>
  <r>
    <x v="1"/>
    <x v="2"/>
    <x v="3"/>
    <x v="5"/>
    <x v="30"/>
    <x v="0"/>
    <x v="5"/>
    <n v="79.946967589044078"/>
  </r>
  <r>
    <x v="1"/>
    <x v="2"/>
    <x v="3"/>
    <x v="5"/>
    <x v="30"/>
    <x v="0"/>
    <x v="6"/>
    <n v="94.686823625890668"/>
  </r>
  <r>
    <x v="1"/>
    <x v="2"/>
    <x v="2"/>
    <x v="4"/>
    <x v="31"/>
    <x v="0"/>
    <x v="0"/>
    <n v="0"/>
  </r>
  <r>
    <x v="1"/>
    <x v="2"/>
    <x v="2"/>
    <x v="4"/>
    <x v="31"/>
    <x v="0"/>
    <x v="1"/>
    <n v="0"/>
  </r>
  <r>
    <x v="1"/>
    <x v="2"/>
    <x v="2"/>
    <x v="4"/>
    <x v="31"/>
    <x v="0"/>
    <x v="2"/>
    <n v="3.8255394671576459E-2"/>
  </r>
  <r>
    <x v="1"/>
    <x v="2"/>
    <x v="2"/>
    <x v="4"/>
    <x v="31"/>
    <x v="0"/>
    <x v="3"/>
    <n v="9.7672388115727898E-2"/>
  </r>
  <r>
    <x v="1"/>
    <x v="2"/>
    <x v="2"/>
    <x v="4"/>
    <x v="31"/>
    <x v="0"/>
    <x v="4"/>
    <n v="0.17748260511698039"/>
  </r>
  <r>
    <x v="1"/>
    <x v="2"/>
    <x v="2"/>
    <x v="4"/>
    <x v="31"/>
    <x v="0"/>
    <x v="5"/>
    <n v="0.26613211481419868"/>
  </r>
  <r>
    <x v="1"/>
    <x v="2"/>
    <x v="2"/>
    <x v="4"/>
    <x v="31"/>
    <x v="0"/>
    <x v="6"/>
    <n v="0.35079550186149289"/>
  </r>
  <r>
    <x v="1"/>
    <x v="2"/>
    <x v="2"/>
    <x v="4"/>
    <x v="32"/>
    <x v="0"/>
    <x v="0"/>
    <n v="0"/>
  </r>
  <r>
    <x v="1"/>
    <x v="2"/>
    <x v="2"/>
    <x v="4"/>
    <x v="32"/>
    <x v="0"/>
    <x v="1"/>
    <n v="0"/>
  </r>
  <r>
    <x v="1"/>
    <x v="2"/>
    <x v="2"/>
    <x v="4"/>
    <x v="32"/>
    <x v="0"/>
    <x v="2"/>
    <n v="0"/>
  </r>
  <r>
    <x v="1"/>
    <x v="2"/>
    <x v="2"/>
    <x v="4"/>
    <x v="32"/>
    <x v="0"/>
    <x v="3"/>
    <n v="0"/>
  </r>
  <r>
    <x v="1"/>
    <x v="2"/>
    <x v="2"/>
    <x v="4"/>
    <x v="32"/>
    <x v="0"/>
    <x v="4"/>
    <n v="0"/>
  </r>
  <r>
    <x v="1"/>
    <x v="2"/>
    <x v="2"/>
    <x v="4"/>
    <x v="32"/>
    <x v="0"/>
    <x v="5"/>
    <n v="0"/>
  </r>
  <r>
    <x v="1"/>
    <x v="2"/>
    <x v="2"/>
    <x v="4"/>
    <x v="32"/>
    <x v="0"/>
    <x v="6"/>
    <n v="0"/>
  </r>
  <r>
    <x v="1"/>
    <x v="2"/>
    <x v="2"/>
    <x v="4"/>
    <x v="33"/>
    <x v="0"/>
    <x v="0"/>
    <n v="0"/>
  </r>
  <r>
    <x v="1"/>
    <x v="2"/>
    <x v="2"/>
    <x v="4"/>
    <x v="33"/>
    <x v="0"/>
    <x v="1"/>
    <n v="0"/>
  </r>
  <r>
    <x v="1"/>
    <x v="2"/>
    <x v="2"/>
    <x v="4"/>
    <x v="33"/>
    <x v="0"/>
    <x v="2"/>
    <n v="0"/>
  </r>
  <r>
    <x v="1"/>
    <x v="2"/>
    <x v="2"/>
    <x v="4"/>
    <x v="33"/>
    <x v="0"/>
    <x v="3"/>
    <n v="0"/>
  </r>
  <r>
    <x v="1"/>
    <x v="2"/>
    <x v="2"/>
    <x v="4"/>
    <x v="33"/>
    <x v="0"/>
    <x v="4"/>
    <n v="0"/>
  </r>
  <r>
    <x v="1"/>
    <x v="2"/>
    <x v="2"/>
    <x v="4"/>
    <x v="33"/>
    <x v="0"/>
    <x v="5"/>
    <n v="0"/>
  </r>
  <r>
    <x v="1"/>
    <x v="2"/>
    <x v="2"/>
    <x v="4"/>
    <x v="33"/>
    <x v="0"/>
    <x v="6"/>
    <n v="0"/>
  </r>
  <r>
    <x v="1"/>
    <x v="2"/>
    <x v="2"/>
    <x v="4"/>
    <x v="34"/>
    <x v="0"/>
    <x v="0"/>
    <n v="0"/>
  </r>
  <r>
    <x v="1"/>
    <x v="2"/>
    <x v="2"/>
    <x v="4"/>
    <x v="34"/>
    <x v="0"/>
    <x v="1"/>
    <n v="0"/>
  </r>
  <r>
    <x v="1"/>
    <x v="2"/>
    <x v="2"/>
    <x v="4"/>
    <x v="34"/>
    <x v="0"/>
    <x v="2"/>
    <n v="0"/>
  </r>
  <r>
    <x v="1"/>
    <x v="2"/>
    <x v="2"/>
    <x v="4"/>
    <x v="34"/>
    <x v="0"/>
    <x v="3"/>
    <n v="0"/>
  </r>
  <r>
    <x v="1"/>
    <x v="2"/>
    <x v="2"/>
    <x v="4"/>
    <x v="34"/>
    <x v="0"/>
    <x v="4"/>
    <n v="0"/>
  </r>
  <r>
    <x v="1"/>
    <x v="2"/>
    <x v="2"/>
    <x v="4"/>
    <x v="34"/>
    <x v="0"/>
    <x v="5"/>
    <n v="0"/>
  </r>
  <r>
    <x v="1"/>
    <x v="2"/>
    <x v="2"/>
    <x v="4"/>
    <x v="34"/>
    <x v="0"/>
    <x v="6"/>
    <n v="0"/>
  </r>
  <r>
    <x v="1"/>
    <x v="2"/>
    <x v="2"/>
    <x v="6"/>
    <x v="35"/>
    <x v="0"/>
    <x v="0"/>
    <n v="0"/>
  </r>
  <r>
    <x v="1"/>
    <x v="2"/>
    <x v="2"/>
    <x v="6"/>
    <x v="35"/>
    <x v="0"/>
    <x v="1"/>
    <n v="0"/>
  </r>
  <r>
    <x v="1"/>
    <x v="2"/>
    <x v="2"/>
    <x v="6"/>
    <x v="35"/>
    <x v="0"/>
    <x v="2"/>
    <n v="0"/>
  </r>
  <r>
    <x v="1"/>
    <x v="2"/>
    <x v="2"/>
    <x v="6"/>
    <x v="35"/>
    <x v="0"/>
    <x v="3"/>
    <n v="0"/>
  </r>
  <r>
    <x v="1"/>
    <x v="2"/>
    <x v="2"/>
    <x v="6"/>
    <x v="35"/>
    <x v="0"/>
    <x v="4"/>
    <n v="0"/>
  </r>
  <r>
    <x v="1"/>
    <x v="2"/>
    <x v="2"/>
    <x v="6"/>
    <x v="35"/>
    <x v="0"/>
    <x v="5"/>
    <n v="0"/>
  </r>
  <r>
    <x v="1"/>
    <x v="2"/>
    <x v="2"/>
    <x v="6"/>
    <x v="35"/>
    <x v="0"/>
    <x v="6"/>
    <n v="0"/>
  </r>
  <r>
    <x v="1"/>
    <x v="2"/>
    <x v="2"/>
    <x v="6"/>
    <x v="36"/>
    <x v="0"/>
    <x v="0"/>
    <n v="0"/>
  </r>
  <r>
    <x v="1"/>
    <x v="2"/>
    <x v="2"/>
    <x v="6"/>
    <x v="36"/>
    <x v="0"/>
    <x v="1"/>
    <n v="0"/>
  </r>
  <r>
    <x v="1"/>
    <x v="2"/>
    <x v="2"/>
    <x v="6"/>
    <x v="36"/>
    <x v="0"/>
    <x v="2"/>
    <n v="0"/>
  </r>
  <r>
    <x v="1"/>
    <x v="2"/>
    <x v="2"/>
    <x v="6"/>
    <x v="36"/>
    <x v="0"/>
    <x v="3"/>
    <n v="0"/>
  </r>
  <r>
    <x v="1"/>
    <x v="2"/>
    <x v="2"/>
    <x v="6"/>
    <x v="36"/>
    <x v="0"/>
    <x v="4"/>
    <n v="0"/>
  </r>
  <r>
    <x v="1"/>
    <x v="2"/>
    <x v="2"/>
    <x v="6"/>
    <x v="36"/>
    <x v="0"/>
    <x v="5"/>
    <n v="0"/>
  </r>
  <r>
    <x v="1"/>
    <x v="2"/>
    <x v="2"/>
    <x v="6"/>
    <x v="36"/>
    <x v="0"/>
    <x v="6"/>
    <n v="0"/>
  </r>
  <r>
    <x v="1"/>
    <x v="2"/>
    <x v="2"/>
    <x v="6"/>
    <x v="37"/>
    <x v="0"/>
    <x v="0"/>
    <n v="0"/>
  </r>
  <r>
    <x v="1"/>
    <x v="2"/>
    <x v="2"/>
    <x v="6"/>
    <x v="37"/>
    <x v="0"/>
    <x v="1"/>
    <n v="0"/>
  </r>
  <r>
    <x v="1"/>
    <x v="2"/>
    <x v="2"/>
    <x v="6"/>
    <x v="37"/>
    <x v="0"/>
    <x v="2"/>
    <n v="0"/>
  </r>
  <r>
    <x v="1"/>
    <x v="2"/>
    <x v="2"/>
    <x v="6"/>
    <x v="37"/>
    <x v="0"/>
    <x v="3"/>
    <n v="0"/>
  </r>
  <r>
    <x v="1"/>
    <x v="2"/>
    <x v="2"/>
    <x v="6"/>
    <x v="37"/>
    <x v="0"/>
    <x v="4"/>
    <n v="0"/>
  </r>
  <r>
    <x v="1"/>
    <x v="2"/>
    <x v="2"/>
    <x v="6"/>
    <x v="37"/>
    <x v="0"/>
    <x v="5"/>
    <n v="0"/>
  </r>
  <r>
    <x v="1"/>
    <x v="2"/>
    <x v="2"/>
    <x v="6"/>
    <x v="37"/>
    <x v="0"/>
    <x v="6"/>
    <n v="0"/>
  </r>
  <r>
    <x v="1"/>
    <x v="2"/>
    <x v="2"/>
    <x v="6"/>
    <x v="38"/>
    <x v="0"/>
    <x v="0"/>
    <n v="0"/>
  </r>
  <r>
    <x v="1"/>
    <x v="2"/>
    <x v="2"/>
    <x v="6"/>
    <x v="38"/>
    <x v="0"/>
    <x v="1"/>
    <n v="0"/>
  </r>
  <r>
    <x v="1"/>
    <x v="2"/>
    <x v="2"/>
    <x v="6"/>
    <x v="38"/>
    <x v="0"/>
    <x v="2"/>
    <n v="2.7271224701540267E-2"/>
  </r>
  <r>
    <x v="1"/>
    <x v="2"/>
    <x v="2"/>
    <x v="6"/>
    <x v="38"/>
    <x v="0"/>
    <x v="3"/>
    <n v="5.5141987667884661E-2"/>
  </r>
  <r>
    <x v="1"/>
    <x v="2"/>
    <x v="2"/>
    <x v="6"/>
    <x v="38"/>
    <x v="0"/>
    <x v="4"/>
    <n v="9.0943035864233787E-2"/>
  </r>
  <r>
    <x v="1"/>
    <x v="2"/>
    <x v="2"/>
    <x v="6"/>
    <x v="38"/>
    <x v="0"/>
    <x v="5"/>
    <n v="0.19425772795298943"/>
  </r>
  <r>
    <x v="1"/>
    <x v="2"/>
    <x v="2"/>
    <x v="6"/>
    <x v="38"/>
    <x v="0"/>
    <x v="6"/>
    <n v="0.33487109521655983"/>
  </r>
  <r>
    <x v="1"/>
    <x v="2"/>
    <x v="3"/>
    <x v="5"/>
    <x v="39"/>
    <x v="0"/>
    <x v="0"/>
    <n v="0"/>
  </r>
  <r>
    <x v="1"/>
    <x v="2"/>
    <x v="3"/>
    <x v="5"/>
    <x v="39"/>
    <x v="0"/>
    <x v="1"/>
    <n v="0"/>
  </r>
  <r>
    <x v="1"/>
    <x v="2"/>
    <x v="3"/>
    <x v="5"/>
    <x v="39"/>
    <x v="0"/>
    <x v="2"/>
    <n v="0"/>
  </r>
  <r>
    <x v="1"/>
    <x v="2"/>
    <x v="3"/>
    <x v="5"/>
    <x v="39"/>
    <x v="0"/>
    <x v="3"/>
    <n v="0"/>
  </r>
  <r>
    <x v="1"/>
    <x v="2"/>
    <x v="3"/>
    <x v="5"/>
    <x v="39"/>
    <x v="0"/>
    <x v="4"/>
    <n v="0"/>
  </r>
  <r>
    <x v="1"/>
    <x v="2"/>
    <x v="3"/>
    <x v="5"/>
    <x v="39"/>
    <x v="0"/>
    <x v="5"/>
    <n v="0"/>
  </r>
  <r>
    <x v="1"/>
    <x v="2"/>
    <x v="3"/>
    <x v="5"/>
    <x v="39"/>
    <x v="0"/>
    <x v="6"/>
    <n v="0"/>
  </r>
  <r>
    <x v="1"/>
    <x v="2"/>
    <x v="2"/>
    <x v="6"/>
    <x v="40"/>
    <x v="0"/>
    <x v="0"/>
    <n v="0"/>
  </r>
  <r>
    <x v="1"/>
    <x v="2"/>
    <x v="2"/>
    <x v="6"/>
    <x v="40"/>
    <x v="0"/>
    <x v="1"/>
    <n v="0"/>
  </r>
  <r>
    <x v="1"/>
    <x v="2"/>
    <x v="2"/>
    <x v="6"/>
    <x v="40"/>
    <x v="0"/>
    <x v="2"/>
    <n v="0"/>
  </r>
  <r>
    <x v="1"/>
    <x v="2"/>
    <x v="2"/>
    <x v="6"/>
    <x v="40"/>
    <x v="0"/>
    <x v="3"/>
    <n v="0"/>
  </r>
  <r>
    <x v="1"/>
    <x v="2"/>
    <x v="2"/>
    <x v="6"/>
    <x v="40"/>
    <x v="0"/>
    <x v="4"/>
    <n v="0"/>
  </r>
  <r>
    <x v="1"/>
    <x v="2"/>
    <x v="2"/>
    <x v="6"/>
    <x v="40"/>
    <x v="0"/>
    <x v="5"/>
    <n v="0"/>
  </r>
  <r>
    <x v="1"/>
    <x v="2"/>
    <x v="2"/>
    <x v="6"/>
    <x v="40"/>
    <x v="0"/>
    <x v="6"/>
    <n v="0"/>
  </r>
  <r>
    <x v="1"/>
    <x v="2"/>
    <x v="2"/>
    <x v="6"/>
    <x v="41"/>
    <x v="0"/>
    <x v="0"/>
    <n v="0"/>
  </r>
  <r>
    <x v="1"/>
    <x v="2"/>
    <x v="2"/>
    <x v="6"/>
    <x v="41"/>
    <x v="0"/>
    <x v="1"/>
    <n v="0"/>
  </r>
  <r>
    <x v="1"/>
    <x v="2"/>
    <x v="2"/>
    <x v="6"/>
    <x v="41"/>
    <x v="0"/>
    <x v="2"/>
    <n v="0"/>
  </r>
  <r>
    <x v="1"/>
    <x v="2"/>
    <x v="2"/>
    <x v="6"/>
    <x v="41"/>
    <x v="0"/>
    <x v="3"/>
    <n v="0"/>
  </r>
  <r>
    <x v="1"/>
    <x v="2"/>
    <x v="2"/>
    <x v="6"/>
    <x v="41"/>
    <x v="0"/>
    <x v="4"/>
    <n v="0"/>
  </r>
  <r>
    <x v="1"/>
    <x v="2"/>
    <x v="2"/>
    <x v="6"/>
    <x v="41"/>
    <x v="0"/>
    <x v="5"/>
    <n v="0"/>
  </r>
  <r>
    <x v="1"/>
    <x v="2"/>
    <x v="2"/>
    <x v="6"/>
    <x v="41"/>
    <x v="0"/>
    <x v="6"/>
    <n v="0"/>
  </r>
  <r>
    <x v="1"/>
    <x v="2"/>
    <x v="2"/>
    <x v="6"/>
    <x v="42"/>
    <x v="0"/>
    <x v="0"/>
    <n v="0"/>
  </r>
  <r>
    <x v="1"/>
    <x v="2"/>
    <x v="2"/>
    <x v="6"/>
    <x v="42"/>
    <x v="0"/>
    <x v="1"/>
    <n v="0"/>
  </r>
  <r>
    <x v="1"/>
    <x v="2"/>
    <x v="2"/>
    <x v="6"/>
    <x v="42"/>
    <x v="0"/>
    <x v="2"/>
    <n v="0"/>
  </r>
  <r>
    <x v="1"/>
    <x v="2"/>
    <x v="2"/>
    <x v="6"/>
    <x v="42"/>
    <x v="0"/>
    <x v="3"/>
    <n v="0"/>
  </r>
  <r>
    <x v="1"/>
    <x v="2"/>
    <x v="2"/>
    <x v="6"/>
    <x v="42"/>
    <x v="0"/>
    <x v="4"/>
    <n v="0"/>
  </r>
  <r>
    <x v="1"/>
    <x v="2"/>
    <x v="2"/>
    <x v="6"/>
    <x v="42"/>
    <x v="0"/>
    <x v="5"/>
    <n v="0"/>
  </r>
  <r>
    <x v="1"/>
    <x v="2"/>
    <x v="2"/>
    <x v="6"/>
    <x v="42"/>
    <x v="0"/>
    <x v="6"/>
    <n v="0"/>
  </r>
  <r>
    <x v="1"/>
    <x v="2"/>
    <x v="2"/>
    <x v="6"/>
    <x v="43"/>
    <x v="0"/>
    <x v="0"/>
    <n v="0"/>
  </r>
  <r>
    <x v="1"/>
    <x v="2"/>
    <x v="2"/>
    <x v="6"/>
    <x v="43"/>
    <x v="0"/>
    <x v="1"/>
    <n v="0"/>
  </r>
  <r>
    <x v="1"/>
    <x v="2"/>
    <x v="2"/>
    <x v="6"/>
    <x v="43"/>
    <x v="0"/>
    <x v="2"/>
    <n v="0"/>
  </r>
  <r>
    <x v="1"/>
    <x v="2"/>
    <x v="2"/>
    <x v="6"/>
    <x v="43"/>
    <x v="0"/>
    <x v="3"/>
    <n v="0"/>
  </r>
  <r>
    <x v="1"/>
    <x v="2"/>
    <x v="2"/>
    <x v="6"/>
    <x v="43"/>
    <x v="0"/>
    <x v="4"/>
    <n v="0"/>
  </r>
  <r>
    <x v="1"/>
    <x v="2"/>
    <x v="2"/>
    <x v="6"/>
    <x v="43"/>
    <x v="0"/>
    <x v="5"/>
    <n v="0"/>
  </r>
  <r>
    <x v="1"/>
    <x v="2"/>
    <x v="2"/>
    <x v="6"/>
    <x v="43"/>
    <x v="0"/>
    <x v="6"/>
    <n v="0"/>
  </r>
  <r>
    <x v="1"/>
    <x v="2"/>
    <x v="4"/>
    <x v="7"/>
    <x v="44"/>
    <x v="0"/>
    <x v="0"/>
    <n v="0"/>
  </r>
  <r>
    <x v="1"/>
    <x v="2"/>
    <x v="4"/>
    <x v="7"/>
    <x v="44"/>
    <x v="0"/>
    <x v="1"/>
    <n v="0"/>
  </r>
  <r>
    <x v="1"/>
    <x v="2"/>
    <x v="4"/>
    <x v="7"/>
    <x v="44"/>
    <x v="0"/>
    <x v="2"/>
    <n v="0"/>
  </r>
  <r>
    <x v="1"/>
    <x v="2"/>
    <x v="4"/>
    <x v="7"/>
    <x v="44"/>
    <x v="0"/>
    <x v="3"/>
    <n v="0"/>
  </r>
  <r>
    <x v="1"/>
    <x v="2"/>
    <x v="4"/>
    <x v="7"/>
    <x v="44"/>
    <x v="0"/>
    <x v="4"/>
    <n v="0"/>
  </r>
  <r>
    <x v="1"/>
    <x v="2"/>
    <x v="4"/>
    <x v="7"/>
    <x v="44"/>
    <x v="0"/>
    <x v="5"/>
    <n v="0"/>
  </r>
  <r>
    <x v="1"/>
    <x v="2"/>
    <x v="4"/>
    <x v="7"/>
    <x v="44"/>
    <x v="0"/>
    <x v="6"/>
    <n v="0"/>
  </r>
  <r>
    <x v="1"/>
    <x v="2"/>
    <x v="4"/>
    <x v="7"/>
    <x v="45"/>
    <x v="0"/>
    <x v="0"/>
    <n v="0"/>
  </r>
  <r>
    <x v="1"/>
    <x v="2"/>
    <x v="4"/>
    <x v="7"/>
    <x v="45"/>
    <x v="0"/>
    <x v="1"/>
    <n v="0"/>
  </r>
  <r>
    <x v="1"/>
    <x v="2"/>
    <x v="4"/>
    <x v="7"/>
    <x v="45"/>
    <x v="0"/>
    <x v="2"/>
    <n v="0"/>
  </r>
  <r>
    <x v="1"/>
    <x v="2"/>
    <x v="4"/>
    <x v="7"/>
    <x v="45"/>
    <x v="0"/>
    <x v="3"/>
    <n v="0"/>
  </r>
  <r>
    <x v="1"/>
    <x v="2"/>
    <x v="4"/>
    <x v="7"/>
    <x v="45"/>
    <x v="0"/>
    <x v="4"/>
    <n v="0"/>
  </r>
  <r>
    <x v="1"/>
    <x v="2"/>
    <x v="4"/>
    <x v="7"/>
    <x v="45"/>
    <x v="0"/>
    <x v="5"/>
    <n v="0"/>
  </r>
  <r>
    <x v="1"/>
    <x v="2"/>
    <x v="4"/>
    <x v="7"/>
    <x v="45"/>
    <x v="0"/>
    <x v="6"/>
    <n v="0"/>
  </r>
  <r>
    <x v="1"/>
    <x v="2"/>
    <x v="4"/>
    <x v="7"/>
    <x v="46"/>
    <x v="0"/>
    <x v="0"/>
    <n v="0"/>
  </r>
  <r>
    <x v="1"/>
    <x v="2"/>
    <x v="4"/>
    <x v="7"/>
    <x v="46"/>
    <x v="0"/>
    <x v="1"/>
    <n v="0"/>
  </r>
  <r>
    <x v="1"/>
    <x v="2"/>
    <x v="4"/>
    <x v="7"/>
    <x v="46"/>
    <x v="0"/>
    <x v="2"/>
    <n v="0"/>
  </r>
  <r>
    <x v="1"/>
    <x v="2"/>
    <x v="4"/>
    <x v="7"/>
    <x v="46"/>
    <x v="0"/>
    <x v="3"/>
    <n v="0"/>
  </r>
  <r>
    <x v="1"/>
    <x v="2"/>
    <x v="4"/>
    <x v="7"/>
    <x v="46"/>
    <x v="0"/>
    <x v="4"/>
    <n v="0"/>
  </r>
  <r>
    <x v="1"/>
    <x v="2"/>
    <x v="4"/>
    <x v="7"/>
    <x v="46"/>
    <x v="0"/>
    <x v="5"/>
    <n v="0"/>
  </r>
  <r>
    <x v="1"/>
    <x v="2"/>
    <x v="4"/>
    <x v="7"/>
    <x v="46"/>
    <x v="0"/>
    <x v="6"/>
    <n v="0"/>
  </r>
  <r>
    <x v="1"/>
    <x v="2"/>
    <x v="4"/>
    <x v="7"/>
    <x v="47"/>
    <x v="0"/>
    <x v="0"/>
    <n v="0"/>
  </r>
  <r>
    <x v="1"/>
    <x v="2"/>
    <x v="4"/>
    <x v="7"/>
    <x v="47"/>
    <x v="0"/>
    <x v="1"/>
    <n v="0"/>
  </r>
  <r>
    <x v="1"/>
    <x v="2"/>
    <x v="4"/>
    <x v="7"/>
    <x v="47"/>
    <x v="0"/>
    <x v="2"/>
    <n v="0"/>
  </r>
  <r>
    <x v="1"/>
    <x v="2"/>
    <x v="4"/>
    <x v="7"/>
    <x v="47"/>
    <x v="0"/>
    <x v="3"/>
    <n v="0"/>
  </r>
  <r>
    <x v="1"/>
    <x v="2"/>
    <x v="4"/>
    <x v="7"/>
    <x v="47"/>
    <x v="0"/>
    <x v="4"/>
    <n v="0"/>
  </r>
  <r>
    <x v="1"/>
    <x v="2"/>
    <x v="4"/>
    <x v="7"/>
    <x v="47"/>
    <x v="0"/>
    <x v="5"/>
    <n v="0"/>
  </r>
  <r>
    <x v="1"/>
    <x v="2"/>
    <x v="4"/>
    <x v="7"/>
    <x v="47"/>
    <x v="0"/>
    <x v="6"/>
    <n v="0"/>
  </r>
  <r>
    <x v="1"/>
    <x v="2"/>
    <x v="4"/>
    <x v="7"/>
    <x v="48"/>
    <x v="0"/>
    <x v="0"/>
    <n v="0"/>
  </r>
  <r>
    <x v="1"/>
    <x v="2"/>
    <x v="4"/>
    <x v="7"/>
    <x v="48"/>
    <x v="0"/>
    <x v="1"/>
    <n v="0"/>
  </r>
  <r>
    <x v="1"/>
    <x v="2"/>
    <x v="4"/>
    <x v="7"/>
    <x v="48"/>
    <x v="0"/>
    <x v="2"/>
    <n v="0"/>
  </r>
  <r>
    <x v="1"/>
    <x v="2"/>
    <x v="4"/>
    <x v="7"/>
    <x v="48"/>
    <x v="0"/>
    <x v="3"/>
    <n v="0"/>
  </r>
  <r>
    <x v="1"/>
    <x v="2"/>
    <x v="4"/>
    <x v="7"/>
    <x v="48"/>
    <x v="0"/>
    <x v="4"/>
    <n v="0"/>
  </r>
  <r>
    <x v="1"/>
    <x v="2"/>
    <x v="4"/>
    <x v="7"/>
    <x v="48"/>
    <x v="0"/>
    <x v="5"/>
    <n v="0"/>
  </r>
  <r>
    <x v="1"/>
    <x v="2"/>
    <x v="4"/>
    <x v="7"/>
    <x v="48"/>
    <x v="0"/>
    <x v="6"/>
    <n v="0"/>
  </r>
  <r>
    <x v="1"/>
    <x v="2"/>
    <x v="4"/>
    <x v="7"/>
    <x v="49"/>
    <x v="0"/>
    <x v="0"/>
    <n v="0"/>
  </r>
  <r>
    <x v="1"/>
    <x v="2"/>
    <x v="4"/>
    <x v="7"/>
    <x v="49"/>
    <x v="0"/>
    <x v="1"/>
    <n v="0"/>
  </r>
  <r>
    <x v="1"/>
    <x v="2"/>
    <x v="4"/>
    <x v="7"/>
    <x v="49"/>
    <x v="0"/>
    <x v="2"/>
    <n v="0"/>
  </r>
  <r>
    <x v="1"/>
    <x v="2"/>
    <x v="4"/>
    <x v="7"/>
    <x v="49"/>
    <x v="0"/>
    <x v="3"/>
    <n v="0"/>
  </r>
  <r>
    <x v="1"/>
    <x v="2"/>
    <x v="4"/>
    <x v="7"/>
    <x v="49"/>
    <x v="0"/>
    <x v="4"/>
    <n v="0"/>
  </r>
  <r>
    <x v="1"/>
    <x v="2"/>
    <x v="4"/>
    <x v="7"/>
    <x v="49"/>
    <x v="0"/>
    <x v="5"/>
    <n v="0"/>
  </r>
  <r>
    <x v="1"/>
    <x v="2"/>
    <x v="4"/>
    <x v="7"/>
    <x v="49"/>
    <x v="0"/>
    <x v="6"/>
    <n v="0"/>
  </r>
  <r>
    <x v="1"/>
    <x v="2"/>
    <x v="4"/>
    <x v="7"/>
    <x v="50"/>
    <x v="0"/>
    <x v="0"/>
    <n v="0"/>
  </r>
  <r>
    <x v="1"/>
    <x v="2"/>
    <x v="4"/>
    <x v="7"/>
    <x v="50"/>
    <x v="0"/>
    <x v="1"/>
    <n v="0"/>
  </r>
  <r>
    <x v="1"/>
    <x v="2"/>
    <x v="4"/>
    <x v="7"/>
    <x v="50"/>
    <x v="0"/>
    <x v="2"/>
    <n v="0"/>
  </r>
  <r>
    <x v="1"/>
    <x v="2"/>
    <x v="4"/>
    <x v="7"/>
    <x v="50"/>
    <x v="0"/>
    <x v="3"/>
    <n v="0"/>
  </r>
  <r>
    <x v="1"/>
    <x v="2"/>
    <x v="4"/>
    <x v="7"/>
    <x v="50"/>
    <x v="0"/>
    <x v="4"/>
    <n v="0"/>
  </r>
  <r>
    <x v="1"/>
    <x v="2"/>
    <x v="4"/>
    <x v="7"/>
    <x v="50"/>
    <x v="0"/>
    <x v="5"/>
    <n v="0"/>
  </r>
  <r>
    <x v="1"/>
    <x v="2"/>
    <x v="4"/>
    <x v="7"/>
    <x v="50"/>
    <x v="0"/>
    <x v="6"/>
    <n v="0"/>
  </r>
  <r>
    <x v="1"/>
    <x v="2"/>
    <x v="5"/>
    <x v="8"/>
    <x v="51"/>
    <x v="0"/>
    <x v="0"/>
    <n v="0"/>
  </r>
  <r>
    <x v="1"/>
    <x v="2"/>
    <x v="5"/>
    <x v="8"/>
    <x v="51"/>
    <x v="0"/>
    <x v="1"/>
    <n v="0"/>
  </r>
  <r>
    <x v="1"/>
    <x v="2"/>
    <x v="5"/>
    <x v="8"/>
    <x v="51"/>
    <x v="0"/>
    <x v="2"/>
    <n v="0"/>
  </r>
  <r>
    <x v="1"/>
    <x v="2"/>
    <x v="5"/>
    <x v="8"/>
    <x v="51"/>
    <x v="0"/>
    <x v="3"/>
    <n v="0"/>
  </r>
  <r>
    <x v="1"/>
    <x v="2"/>
    <x v="5"/>
    <x v="8"/>
    <x v="51"/>
    <x v="0"/>
    <x v="4"/>
    <n v="0"/>
  </r>
  <r>
    <x v="1"/>
    <x v="2"/>
    <x v="5"/>
    <x v="8"/>
    <x v="51"/>
    <x v="0"/>
    <x v="5"/>
    <n v="0"/>
  </r>
  <r>
    <x v="1"/>
    <x v="2"/>
    <x v="5"/>
    <x v="8"/>
    <x v="51"/>
    <x v="0"/>
    <x v="6"/>
    <n v="0"/>
  </r>
  <r>
    <x v="1"/>
    <x v="2"/>
    <x v="3"/>
    <x v="5"/>
    <x v="52"/>
    <x v="0"/>
    <x v="0"/>
    <n v="0"/>
  </r>
  <r>
    <x v="1"/>
    <x v="2"/>
    <x v="3"/>
    <x v="5"/>
    <x v="52"/>
    <x v="0"/>
    <x v="1"/>
    <n v="0"/>
  </r>
  <r>
    <x v="1"/>
    <x v="2"/>
    <x v="3"/>
    <x v="5"/>
    <x v="52"/>
    <x v="0"/>
    <x v="2"/>
    <n v="0"/>
  </r>
  <r>
    <x v="1"/>
    <x v="2"/>
    <x v="3"/>
    <x v="5"/>
    <x v="52"/>
    <x v="0"/>
    <x v="3"/>
    <n v="0"/>
  </r>
  <r>
    <x v="1"/>
    <x v="2"/>
    <x v="3"/>
    <x v="5"/>
    <x v="52"/>
    <x v="0"/>
    <x v="4"/>
    <n v="0"/>
  </r>
  <r>
    <x v="1"/>
    <x v="2"/>
    <x v="3"/>
    <x v="5"/>
    <x v="52"/>
    <x v="0"/>
    <x v="5"/>
    <n v="0"/>
  </r>
  <r>
    <x v="1"/>
    <x v="2"/>
    <x v="3"/>
    <x v="5"/>
    <x v="52"/>
    <x v="0"/>
    <x v="6"/>
    <n v="0"/>
  </r>
  <r>
    <x v="1"/>
    <x v="2"/>
    <x v="5"/>
    <x v="8"/>
    <x v="53"/>
    <x v="0"/>
    <x v="0"/>
    <n v="0.3171261055964118"/>
  </r>
  <r>
    <x v="1"/>
    <x v="2"/>
    <x v="5"/>
    <x v="8"/>
    <x v="53"/>
    <x v="0"/>
    <x v="1"/>
    <n v="0.72070442874352025"/>
  </r>
  <r>
    <x v="1"/>
    <x v="2"/>
    <x v="5"/>
    <x v="8"/>
    <x v="53"/>
    <x v="0"/>
    <x v="2"/>
    <n v="1.2751987166834022"/>
  </r>
  <r>
    <x v="1"/>
    <x v="2"/>
    <x v="5"/>
    <x v="8"/>
    <x v="53"/>
    <x v="0"/>
    <x v="3"/>
    <n v="1.8945323150564759"/>
  </r>
  <r>
    <x v="1"/>
    <x v="2"/>
    <x v="5"/>
    <x v="8"/>
    <x v="53"/>
    <x v="0"/>
    <x v="4"/>
    <n v="2.9212251160655085"/>
  </r>
  <r>
    <x v="1"/>
    <x v="2"/>
    <x v="5"/>
    <x v="8"/>
    <x v="53"/>
    <x v="0"/>
    <x v="5"/>
    <n v="4.0495657416774407"/>
  </r>
  <r>
    <x v="1"/>
    <x v="2"/>
    <x v="5"/>
    <x v="8"/>
    <x v="53"/>
    <x v="0"/>
    <x v="6"/>
    <n v="5.3493497967328016"/>
  </r>
  <r>
    <x v="1"/>
    <x v="2"/>
    <x v="4"/>
    <x v="7"/>
    <x v="54"/>
    <x v="0"/>
    <x v="0"/>
    <n v="0"/>
  </r>
  <r>
    <x v="1"/>
    <x v="2"/>
    <x v="4"/>
    <x v="7"/>
    <x v="54"/>
    <x v="0"/>
    <x v="1"/>
    <n v="0"/>
  </r>
  <r>
    <x v="1"/>
    <x v="2"/>
    <x v="4"/>
    <x v="7"/>
    <x v="54"/>
    <x v="0"/>
    <x v="2"/>
    <n v="0"/>
  </r>
  <r>
    <x v="1"/>
    <x v="2"/>
    <x v="4"/>
    <x v="7"/>
    <x v="54"/>
    <x v="0"/>
    <x v="3"/>
    <n v="0"/>
  </r>
  <r>
    <x v="1"/>
    <x v="2"/>
    <x v="4"/>
    <x v="7"/>
    <x v="54"/>
    <x v="0"/>
    <x v="4"/>
    <n v="0"/>
  </r>
  <r>
    <x v="1"/>
    <x v="2"/>
    <x v="4"/>
    <x v="7"/>
    <x v="54"/>
    <x v="0"/>
    <x v="5"/>
    <n v="0"/>
  </r>
  <r>
    <x v="1"/>
    <x v="2"/>
    <x v="4"/>
    <x v="7"/>
    <x v="54"/>
    <x v="0"/>
    <x v="6"/>
    <n v="0"/>
  </r>
  <r>
    <x v="1"/>
    <x v="2"/>
    <x v="4"/>
    <x v="7"/>
    <x v="55"/>
    <x v="0"/>
    <x v="0"/>
    <n v="0"/>
  </r>
  <r>
    <x v="1"/>
    <x v="2"/>
    <x v="4"/>
    <x v="7"/>
    <x v="55"/>
    <x v="0"/>
    <x v="1"/>
    <n v="0"/>
  </r>
  <r>
    <x v="1"/>
    <x v="2"/>
    <x v="4"/>
    <x v="7"/>
    <x v="55"/>
    <x v="0"/>
    <x v="2"/>
    <n v="0"/>
  </r>
  <r>
    <x v="1"/>
    <x v="2"/>
    <x v="4"/>
    <x v="7"/>
    <x v="55"/>
    <x v="0"/>
    <x v="3"/>
    <n v="0"/>
  </r>
  <r>
    <x v="1"/>
    <x v="2"/>
    <x v="4"/>
    <x v="7"/>
    <x v="55"/>
    <x v="0"/>
    <x v="4"/>
    <n v="0"/>
  </r>
  <r>
    <x v="1"/>
    <x v="2"/>
    <x v="4"/>
    <x v="7"/>
    <x v="55"/>
    <x v="0"/>
    <x v="5"/>
    <n v="0"/>
  </r>
  <r>
    <x v="1"/>
    <x v="2"/>
    <x v="4"/>
    <x v="7"/>
    <x v="55"/>
    <x v="0"/>
    <x v="6"/>
    <n v="0"/>
  </r>
  <r>
    <x v="1"/>
    <x v="2"/>
    <x v="4"/>
    <x v="7"/>
    <x v="56"/>
    <x v="0"/>
    <x v="0"/>
    <n v="0"/>
  </r>
  <r>
    <x v="1"/>
    <x v="2"/>
    <x v="4"/>
    <x v="7"/>
    <x v="56"/>
    <x v="0"/>
    <x v="1"/>
    <n v="0"/>
  </r>
  <r>
    <x v="1"/>
    <x v="2"/>
    <x v="4"/>
    <x v="7"/>
    <x v="56"/>
    <x v="0"/>
    <x v="2"/>
    <n v="0"/>
  </r>
  <r>
    <x v="1"/>
    <x v="2"/>
    <x v="4"/>
    <x v="7"/>
    <x v="56"/>
    <x v="0"/>
    <x v="3"/>
    <n v="0"/>
  </r>
  <r>
    <x v="1"/>
    <x v="2"/>
    <x v="4"/>
    <x v="7"/>
    <x v="56"/>
    <x v="0"/>
    <x v="4"/>
    <n v="0"/>
  </r>
  <r>
    <x v="1"/>
    <x v="2"/>
    <x v="4"/>
    <x v="7"/>
    <x v="56"/>
    <x v="0"/>
    <x v="5"/>
    <n v="0"/>
  </r>
  <r>
    <x v="1"/>
    <x v="2"/>
    <x v="4"/>
    <x v="7"/>
    <x v="56"/>
    <x v="0"/>
    <x v="6"/>
    <n v="0"/>
  </r>
  <r>
    <x v="1"/>
    <x v="2"/>
    <x v="4"/>
    <x v="7"/>
    <x v="57"/>
    <x v="0"/>
    <x v="0"/>
    <n v="0"/>
  </r>
  <r>
    <x v="1"/>
    <x v="2"/>
    <x v="4"/>
    <x v="7"/>
    <x v="57"/>
    <x v="0"/>
    <x v="1"/>
    <n v="0"/>
  </r>
  <r>
    <x v="1"/>
    <x v="2"/>
    <x v="4"/>
    <x v="7"/>
    <x v="57"/>
    <x v="0"/>
    <x v="2"/>
    <n v="0"/>
  </r>
  <r>
    <x v="1"/>
    <x v="2"/>
    <x v="4"/>
    <x v="7"/>
    <x v="57"/>
    <x v="0"/>
    <x v="3"/>
    <n v="0"/>
  </r>
  <r>
    <x v="1"/>
    <x v="2"/>
    <x v="4"/>
    <x v="7"/>
    <x v="57"/>
    <x v="0"/>
    <x v="4"/>
    <n v="0"/>
  </r>
  <r>
    <x v="1"/>
    <x v="2"/>
    <x v="4"/>
    <x v="7"/>
    <x v="57"/>
    <x v="0"/>
    <x v="5"/>
    <n v="0"/>
  </r>
  <r>
    <x v="1"/>
    <x v="2"/>
    <x v="4"/>
    <x v="7"/>
    <x v="57"/>
    <x v="0"/>
    <x v="6"/>
    <n v="0"/>
  </r>
  <r>
    <x v="1"/>
    <x v="2"/>
    <x v="4"/>
    <x v="7"/>
    <x v="58"/>
    <x v="0"/>
    <x v="0"/>
    <n v="0"/>
  </r>
  <r>
    <x v="1"/>
    <x v="2"/>
    <x v="4"/>
    <x v="7"/>
    <x v="58"/>
    <x v="0"/>
    <x v="1"/>
    <n v="0"/>
  </r>
  <r>
    <x v="1"/>
    <x v="2"/>
    <x v="4"/>
    <x v="7"/>
    <x v="58"/>
    <x v="0"/>
    <x v="2"/>
    <n v="0"/>
  </r>
  <r>
    <x v="1"/>
    <x v="2"/>
    <x v="4"/>
    <x v="7"/>
    <x v="58"/>
    <x v="0"/>
    <x v="3"/>
    <n v="0"/>
  </r>
  <r>
    <x v="1"/>
    <x v="2"/>
    <x v="4"/>
    <x v="7"/>
    <x v="58"/>
    <x v="0"/>
    <x v="4"/>
    <n v="0"/>
  </r>
  <r>
    <x v="1"/>
    <x v="2"/>
    <x v="4"/>
    <x v="7"/>
    <x v="58"/>
    <x v="0"/>
    <x v="5"/>
    <n v="0"/>
  </r>
  <r>
    <x v="1"/>
    <x v="2"/>
    <x v="4"/>
    <x v="7"/>
    <x v="58"/>
    <x v="0"/>
    <x v="6"/>
    <n v="0"/>
  </r>
  <r>
    <x v="1"/>
    <x v="2"/>
    <x v="4"/>
    <x v="7"/>
    <x v="59"/>
    <x v="0"/>
    <x v="0"/>
    <n v="0"/>
  </r>
  <r>
    <x v="1"/>
    <x v="2"/>
    <x v="4"/>
    <x v="7"/>
    <x v="59"/>
    <x v="0"/>
    <x v="1"/>
    <n v="0"/>
  </r>
  <r>
    <x v="1"/>
    <x v="2"/>
    <x v="4"/>
    <x v="7"/>
    <x v="59"/>
    <x v="0"/>
    <x v="2"/>
    <n v="0"/>
  </r>
  <r>
    <x v="1"/>
    <x v="2"/>
    <x v="4"/>
    <x v="7"/>
    <x v="59"/>
    <x v="0"/>
    <x v="3"/>
    <n v="0"/>
  </r>
  <r>
    <x v="1"/>
    <x v="2"/>
    <x v="4"/>
    <x v="7"/>
    <x v="59"/>
    <x v="0"/>
    <x v="4"/>
    <n v="0"/>
  </r>
  <r>
    <x v="1"/>
    <x v="2"/>
    <x v="4"/>
    <x v="7"/>
    <x v="59"/>
    <x v="0"/>
    <x v="5"/>
    <n v="0"/>
  </r>
  <r>
    <x v="1"/>
    <x v="2"/>
    <x v="4"/>
    <x v="7"/>
    <x v="59"/>
    <x v="0"/>
    <x v="6"/>
    <n v="0"/>
  </r>
  <r>
    <x v="1"/>
    <x v="2"/>
    <x v="4"/>
    <x v="7"/>
    <x v="60"/>
    <x v="0"/>
    <x v="0"/>
    <n v="0"/>
  </r>
  <r>
    <x v="1"/>
    <x v="2"/>
    <x v="4"/>
    <x v="7"/>
    <x v="60"/>
    <x v="0"/>
    <x v="1"/>
    <n v="0"/>
  </r>
  <r>
    <x v="1"/>
    <x v="2"/>
    <x v="4"/>
    <x v="7"/>
    <x v="60"/>
    <x v="0"/>
    <x v="2"/>
    <n v="0"/>
  </r>
  <r>
    <x v="1"/>
    <x v="2"/>
    <x v="4"/>
    <x v="7"/>
    <x v="60"/>
    <x v="0"/>
    <x v="3"/>
    <n v="0"/>
  </r>
  <r>
    <x v="1"/>
    <x v="2"/>
    <x v="4"/>
    <x v="7"/>
    <x v="60"/>
    <x v="0"/>
    <x v="4"/>
    <n v="0"/>
  </r>
  <r>
    <x v="1"/>
    <x v="2"/>
    <x v="4"/>
    <x v="7"/>
    <x v="60"/>
    <x v="0"/>
    <x v="5"/>
    <n v="0"/>
  </r>
  <r>
    <x v="1"/>
    <x v="2"/>
    <x v="4"/>
    <x v="7"/>
    <x v="60"/>
    <x v="0"/>
    <x v="6"/>
    <n v="0"/>
  </r>
  <r>
    <x v="1"/>
    <x v="2"/>
    <x v="4"/>
    <x v="7"/>
    <x v="61"/>
    <x v="0"/>
    <x v="0"/>
    <n v="0"/>
  </r>
  <r>
    <x v="1"/>
    <x v="2"/>
    <x v="4"/>
    <x v="7"/>
    <x v="61"/>
    <x v="0"/>
    <x v="1"/>
    <n v="0"/>
  </r>
  <r>
    <x v="1"/>
    <x v="2"/>
    <x v="4"/>
    <x v="7"/>
    <x v="61"/>
    <x v="0"/>
    <x v="2"/>
    <n v="0"/>
  </r>
  <r>
    <x v="1"/>
    <x v="2"/>
    <x v="4"/>
    <x v="7"/>
    <x v="61"/>
    <x v="0"/>
    <x v="3"/>
    <n v="0"/>
  </r>
  <r>
    <x v="1"/>
    <x v="2"/>
    <x v="4"/>
    <x v="7"/>
    <x v="61"/>
    <x v="0"/>
    <x v="4"/>
    <n v="0"/>
  </r>
  <r>
    <x v="1"/>
    <x v="2"/>
    <x v="4"/>
    <x v="7"/>
    <x v="61"/>
    <x v="0"/>
    <x v="5"/>
    <n v="0"/>
  </r>
  <r>
    <x v="1"/>
    <x v="2"/>
    <x v="4"/>
    <x v="7"/>
    <x v="61"/>
    <x v="0"/>
    <x v="6"/>
    <n v="0"/>
  </r>
  <r>
    <x v="1"/>
    <x v="2"/>
    <x v="4"/>
    <x v="7"/>
    <x v="62"/>
    <x v="0"/>
    <x v="0"/>
    <n v="0"/>
  </r>
  <r>
    <x v="1"/>
    <x v="2"/>
    <x v="4"/>
    <x v="7"/>
    <x v="62"/>
    <x v="0"/>
    <x v="1"/>
    <n v="0"/>
  </r>
  <r>
    <x v="1"/>
    <x v="2"/>
    <x v="4"/>
    <x v="7"/>
    <x v="62"/>
    <x v="0"/>
    <x v="2"/>
    <n v="0"/>
  </r>
  <r>
    <x v="1"/>
    <x v="2"/>
    <x v="4"/>
    <x v="7"/>
    <x v="62"/>
    <x v="0"/>
    <x v="3"/>
    <n v="0"/>
  </r>
  <r>
    <x v="1"/>
    <x v="2"/>
    <x v="4"/>
    <x v="7"/>
    <x v="62"/>
    <x v="0"/>
    <x v="4"/>
    <n v="0"/>
  </r>
  <r>
    <x v="1"/>
    <x v="2"/>
    <x v="4"/>
    <x v="7"/>
    <x v="62"/>
    <x v="0"/>
    <x v="5"/>
    <n v="0"/>
  </r>
  <r>
    <x v="1"/>
    <x v="2"/>
    <x v="4"/>
    <x v="7"/>
    <x v="62"/>
    <x v="0"/>
    <x v="6"/>
    <n v="0"/>
  </r>
  <r>
    <x v="1"/>
    <x v="2"/>
    <x v="4"/>
    <x v="7"/>
    <x v="63"/>
    <x v="0"/>
    <x v="0"/>
    <n v="0"/>
  </r>
  <r>
    <x v="1"/>
    <x v="2"/>
    <x v="4"/>
    <x v="7"/>
    <x v="63"/>
    <x v="0"/>
    <x v="1"/>
    <n v="0"/>
  </r>
  <r>
    <x v="1"/>
    <x v="2"/>
    <x v="4"/>
    <x v="7"/>
    <x v="63"/>
    <x v="0"/>
    <x v="2"/>
    <n v="0"/>
  </r>
  <r>
    <x v="1"/>
    <x v="2"/>
    <x v="4"/>
    <x v="7"/>
    <x v="63"/>
    <x v="0"/>
    <x v="3"/>
    <n v="0"/>
  </r>
  <r>
    <x v="1"/>
    <x v="2"/>
    <x v="4"/>
    <x v="7"/>
    <x v="63"/>
    <x v="0"/>
    <x v="4"/>
    <n v="0"/>
  </r>
  <r>
    <x v="1"/>
    <x v="2"/>
    <x v="4"/>
    <x v="7"/>
    <x v="63"/>
    <x v="0"/>
    <x v="5"/>
    <n v="0"/>
  </r>
  <r>
    <x v="1"/>
    <x v="2"/>
    <x v="4"/>
    <x v="7"/>
    <x v="63"/>
    <x v="0"/>
    <x v="6"/>
    <n v="0"/>
  </r>
  <r>
    <x v="1"/>
    <x v="2"/>
    <x v="4"/>
    <x v="7"/>
    <x v="64"/>
    <x v="0"/>
    <x v="0"/>
    <n v="0"/>
  </r>
  <r>
    <x v="1"/>
    <x v="2"/>
    <x v="4"/>
    <x v="7"/>
    <x v="64"/>
    <x v="0"/>
    <x v="1"/>
    <n v="0"/>
  </r>
  <r>
    <x v="1"/>
    <x v="2"/>
    <x v="4"/>
    <x v="7"/>
    <x v="64"/>
    <x v="0"/>
    <x v="2"/>
    <n v="0"/>
  </r>
  <r>
    <x v="1"/>
    <x v="2"/>
    <x v="4"/>
    <x v="7"/>
    <x v="64"/>
    <x v="0"/>
    <x v="3"/>
    <n v="0"/>
  </r>
  <r>
    <x v="1"/>
    <x v="2"/>
    <x v="4"/>
    <x v="7"/>
    <x v="64"/>
    <x v="0"/>
    <x v="4"/>
    <n v="0"/>
  </r>
  <r>
    <x v="1"/>
    <x v="2"/>
    <x v="4"/>
    <x v="7"/>
    <x v="64"/>
    <x v="0"/>
    <x v="5"/>
    <n v="0"/>
  </r>
  <r>
    <x v="1"/>
    <x v="2"/>
    <x v="4"/>
    <x v="7"/>
    <x v="64"/>
    <x v="0"/>
    <x v="6"/>
    <n v="0"/>
  </r>
  <r>
    <x v="1"/>
    <x v="2"/>
    <x v="3"/>
    <x v="5"/>
    <x v="65"/>
    <x v="0"/>
    <x v="0"/>
    <n v="0"/>
  </r>
  <r>
    <x v="1"/>
    <x v="2"/>
    <x v="3"/>
    <x v="5"/>
    <x v="65"/>
    <x v="0"/>
    <x v="1"/>
    <n v="0"/>
  </r>
  <r>
    <x v="1"/>
    <x v="2"/>
    <x v="3"/>
    <x v="5"/>
    <x v="65"/>
    <x v="0"/>
    <x v="2"/>
    <n v="0"/>
  </r>
  <r>
    <x v="1"/>
    <x v="2"/>
    <x v="3"/>
    <x v="5"/>
    <x v="65"/>
    <x v="0"/>
    <x v="3"/>
    <n v="0"/>
  </r>
  <r>
    <x v="1"/>
    <x v="2"/>
    <x v="3"/>
    <x v="5"/>
    <x v="65"/>
    <x v="0"/>
    <x v="4"/>
    <n v="0"/>
  </r>
  <r>
    <x v="1"/>
    <x v="2"/>
    <x v="3"/>
    <x v="5"/>
    <x v="65"/>
    <x v="0"/>
    <x v="5"/>
    <n v="0"/>
  </r>
  <r>
    <x v="1"/>
    <x v="2"/>
    <x v="3"/>
    <x v="5"/>
    <x v="65"/>
    <x v="0"/>
    <x v="6"/>
    <n v="0"/>
  </r>
  <r>
    <x v="1"/>
    <x v="2"/>
    <x v="3"/>
    <x v="5"/>
    <x v="66"/>
    <x v="0"/>
    <x v="0"/>
    <n v="0"/>
  </r>
  <r>
    <x v="1"/>
    <x v="2"/>
    <x v="3"/>
    <x v="5"/>
    <x v="66"/>
    <x v="0"/>
    <x v="1"/>
    <n v="0"/>
  </r>
  <r>
    <x v="1"/>
    <x v="2"/>
    <x v="3"/>
    <x v="5"/>
    <x v="66"/>
    <x v="0"/>
    <x v="2"/>
    <n v="0"/>
  </r>
  <r>
    <x v="1"/>
    <x v="2"/>
    <x v="3"/>
    <x v="5"/>
    <x v="66"/>
    <x v="0"/>
    <x v="3"/>
    <n v="0"/>
  </r>
  <r>
    <x v="1"/>
    <x v="2"/>
    <x v="3"/>
    <x v="5"/>
    <x v="66"/>
    <x v="0"/>
    <x v="4"/>
    <n v="0"/>
  </r>
  <r>
    <x v="1"/>
    <x v="2"/>
    <x v="3"/>
    <x v="5"/>
    <x v="66"/>
    <x v="0"/>
    <x v="5"/>
    <n v="0"/>
  </r>
  <r>
    <x v="1"/>
    <x v="2"/>
    <x v="3"/>
    <x v="5"/>
    <x v="66"/>
    <x v="0"/>
    <x v="6"/>
    <n v="0"/>
  </r>
  <r>
    <x v="1"/>
    <x v="2"/>
    <x v="3"/>
    <x v="5"/>
    <x v="67"/>
    <x v="0"/>
    <x v="0"/>
    <n v="0"/>
  </r>
  <r>
    <x v="1"/>
    <x v="2"/>
    <x v="3"/>
    <x v="5"/>
    <x v="67"/>
    <x v="0"/>
    <x v="1"/>
    <n v="0"/>
  </r>
  <r>
    <x v="1"/>
    <x v="2"/>
    <x v="3"/>
    <x v="5"/>
    <x v="67"/>
    <x v="0"/>
    <x v="2"/>
    <n v="0"/>
  </r>
  <r>
    <x v="1"/>
    <x v="2"/>
    <x v="3"/>
    <x v="5"/>
    <x v="67"/>
    <x v="0"/>
    <x v="3"/>
    <n v="0"/>
  </r>
  <r>
    <x v="1"/>
    <x v="2"/>
    <x v="3"/>
    <x v="5"/>
    <x v="67"/>
    <x v="0"/>
    <x v="4"/>
    <n v="0"/>
  </r>
  <r>
    <x v="1"/>
    <x v="2"/>
    <x v="3"/>
    <x v="5"/>
    <x v="67"/>
    <x v="0"/>
    <x v="5"/>
    <n v="0"/>
  </r>
  <r>
    <x v="1"/>
    <x v="2"/>
    <x v="3"/>
    <x v="5"/>
    <x v="67"/>
    <x v="0"/>
    <x v="6"/>
    <n v="0"/>
  </r>
  <r>
    <x v="1"/>
    <x v="2"/>
    <x v="3"/>
    <x v="5"/>
    <x v="68"/>
    <x v="0"/>
    <x v="0"/>
    <n v="0"/>
  </r>
  <r>
    <x v="1"/>
    <x v="2"/>
    <x v="3"/>
    <x v="5"/>
    <x v="68"/>
    <x v="0"/>
    <x v="1"/>
    <n v="0"/>
  </r>
  <r>
    <x v="1"/>
    <x v="2"/>
    <x v="3"/>
    <x v="5"/>
    <x v="68"/>
    <x v="0"/>
    <x v="2"/>
    <n v="0"/>
  </r>
  <r>
    <x v="1"/>
    <x v="2"/>
    <x v="3"/>
    <x v="5"/>
    <x v="68"/>
    <x v="0"/>
    <x v="3"/>
    <n v="0"/>
  </r>
  <r>
    <x v="1"/>
    <x v="2"/>
    <x v="3"/>
    <x v="5"/>
    <x v="68"/>
    <x v="0"/>
    <x v="4"/>
    <n v="0"/>
  </r>
  <r>
    <x v="1"/>
    <x v="2"/>
    <x v="3"/>
    <x v="5"/>
    <x v="68"/>
    <x v="0"/>
    <x v="5"/>
    <n v="0"/>
  </r>
  <r>
    <x v="1"/>
    <x v="2"/>
    <x v="3"/>
    <x v="5"/>
    <x v="68"/>
    <x v="0"/>
    <x v="6"/>
    <n v="0"/>
  </r>
  <r>
    <x v="1"/>
    <x v="2"/>
    <x v="3"/>
    <x v="5"/>
    <x v="69"/>
    <x v="0"/>
    <x v="0"/>
    <n v="0"/>
  </r>
  <r>
    <x v="1"/>
    <x v="2"/>
    <x v="3"/>
    <x v="5"/>
    <x v="69"/>
    <x v="0"/>
    <x v="1"/>
    <n v="0"/>
  </r>
  <r>
    <x v="1"/>
    <x v="2"/>
    <x v="3"/>
    <x v="5"/>
    <x v="69"/>
    <x v="0"/>
    <x v="2"/>
    <n v="0"/>
  </r>
  <r>
    <x v="1"/>
    <x v="2"/>
    <x v="3"/>
    <x v="5"/>
    <x v="69"/>
    <x v="0"/>
    <x v="3"/>
    <n v="0"/>
  </r>
  <r>
    <x v="1"/>
    <x v="2"/>
    <x v="3"/>
    <x v="5"/>
    <x v="69"/>
    <x v="0"/>
    <x v="4"/>
    <n v="0"/>
  </r>
  <r>
    <x v="1"/>
    <x v="2"/>
    <x v="3"/>
    <x v="5"/>
    <x v="69"/>
    <x v="0"/>
    <x v="5"/>
    <n v="0"/>
  </r>
  <r>
    <x v="1"/>
    <x v="2"/>
    <x v="3"/>
    <x v="5"/>
    <x v="69"/>
    <x v="0"/>
    <x v="6"/>
    <n v="0"/>
  </r>
  <r>
    <x v="1"/>
    <x v="2"/>
    <x v="3"/>
    <x v="5"/>
    <x v="70"/>
    <x v="0"/>
    <x v="0"/>
    <n v="0"/>
  </r>
  <r>
    <x v="1"/>
    <x v="2"/>
    <x v="3"/>
    <x v="5"/>
    <x v="70"/>
    <x v="0"/>
    <x v="1"/>
    <n v="0"/>
  </r>
  <r>
    <x v="1"/>
    <x v="2"/>
    <x v="3"/>
    <x v="5"/>
    <x v="70"/>
    <x v="0"/>
    <x v="2"/>
    <n v="0"/>
  </r>
  <r>
    <x v="1"/>
    <x v="2"/>
    <x v="3"/>
    <x v="5"/>
    <x v="70"/>
    <x v="0"/>
    <x v="3"/>
    <n v="0"/>
  </r>
  <r>
    <x v="1"/>
    <x v="2"/>
    <x v="3"/>
    <x v="5"/>
    <x v="70"/>
    <x v="0"/>
    <x v="4"/>
    <n v="0"/>
  </r>
  <r>
    <x v="1"/>
    <x v="2"/>
    <x v="3"/>
    <x v="5"/>
    <x v="70"/>
    <x v="0"/>
    <x v="5"/>
    <n v="0"/>
  </r>
  <r>
    <x v="1"/>
    <x v="2"/>
    <x v="3"/>
    <x v="5"/>
    <x v="70"/>
    <x v="0"/>
    <x v="6"/>
    <n v="0"/>
  </r>
  <r>
    <x v="1"/>
    <x v="2"/>
    <x v="3"/>
    <x v="5"/>
    <x v="71"/>
    <x v="0"/>
    <x v="0"/>
    <n v="0"/>
  </r>
  <r>
    <x v="1"/>
    <x v="2"/>
    <x v="3"/>
    <x v="5"/>
    <x v="71"/>
    <x v="0"/>
    <x v="1"/>
    <n v="0"/>
  </r>
  <r>
    <x v="1"/>
    <x v="2"/>
    <x v="3"/>
    <x v="5"/>
    <x v="71"/>
    <x v="0"/>
    <x v="2"/>
    <n v="0"/>
  </r>
  <r>
    <x v="1"/>
    <x v="2"/>
    <x v="3"/>
    <x v="5"/>
    <x v="71"/>
    <x v="0"/>
    <x v="3"/>
    <n v="0"/>
  </r>
  <r>
    <x v="1"/>
    <x v="2"/>
    <x v="3"/>
    <x v="5"/>
    <x v="71"/>
    <x v="0"/>
    <x v="4"/>
    <n v="0"/>
  </r>
  <r>
    <x v="1"/>
    <x v="2"/>
    <x v="3"/>
    <x v="5"/>
    <x v="71"/>
    <x v="0"/>
    <x v="5"/>
    <n v="0"/>
  </r>
  <r>
    <x v="1"/>
    <x v="2"/>
    <x v="3"/>
    <x v="5"/>
    <x v="71"/>
    <x v="0"/>
    <x v="6"/>
    <n v="0"/>
  </r>
  <r>
    <x v="1"/>
    <x v="2"/>
    <x v="3"/>
    <x v="5"/>
    <x v="72"/>
    <x v="0"/>
    <x v="0"/>
    <n v="0"/>
  </r>
  <r>
    <x v="1"/>
    <x v="2"/>
    <x v="3"/>
    <x v="5"/>
    <x v="72"/>
    <x v="0"/>
    <x v="1"/>
    <n v="0"/>
  </r>
  <r>
    <x v="1"/>
    <x v="2"/>
    <x v="3"/>
    <x v="5"/>
    <x v="72"/>
    <x v="0"/>
    <x v="2"/>
    <n v="0"/>
  </r>
  <r>
    <x v="1"/>
    <x v="2"/>
    <x v="3"/>
    <x v="5"/>
    <x v="72"/>
    <x v="0"/>
    <x v="3"/>
    <n v="0"/>
  </r>
  <r>
    <x v="1"/>
    <x v="2"/>
    <x v="3"/>
    <x v="5"/>
    <x v="72"/>
    <x v="0"/>
    <x v="4"/>
    <n v="0"/>
  </r>
  <r>
    <x v="1"/>
    <x v="2"/>
    <x v="3"/>
    <x v="5"/>
    <x v="72"/>
    <x v="0"/>
    <x v="5"/>
    <n v="0"/>
  </r>
  <r>
    <x v="1"/>
    <x v="2"/>
    <x v="3"/>
    <x v="5"/>
    <x v="72"/>
    <x v="0"/>
    <x v="6"/>
    <n v="0"/>
  </r>
  <r>
    <x v="1"/>
    <x v="2"/>
    <x v="3"/>
    <x v="5"/>
    <x v="73"/>
    <x v="0"/>
    <x v="0"/>
    <n v="0"/>
  </r>
  <r>
    <x v="1"/>
    <x v="2"/>
    <x v="3"/>
    <x v="5"/>
    <x v="73"/>
    <x v="0"/>
    <x v="1"/>
    <n v="0"/>
  </r>
  <r>
    <x v="1"/>
    <x v="2"/>
    <x v="3"/>
    <x v="5"/>
    <x v="73"/>
    <x v="0"/>
    <x v="2"/>
    <n v="0"/>
  </r>
  <r>
    <x v="1"/>
    <x v="2"/>
    <x v="3"/>
    <x v="5"/>
    <x v="73"/>
    <x v="0"/>
    <x v="3"/>
    <n v="0"/>
  </r>
  <r>
    <x v="1"/>
    <x v="2"/>
    <x v="3"/>
    <x v="5"/>
    <x v="73"/>
    <x v="0"/>
    <x v="4"/>
    <n v="0"/>
  </r>
  <r>
    <x v="1"/>
    <x v="2"/>
    <x v="3"/>
    <x v="5"/>
    <x v="73"/>
    <x v="0"/>
    <x v="5"/>
    <n v="0"/>
  </r>
  <r>
    <x v="1"/>
    <x v="2"/>
    <x v="3"/>
    <x v="5"/>
    <x v="73"/>
    <x v="0"/>
    <x v="6"/>
    <n v="0"/>
  </r>
  <r>
    <x v="1"/>
    <x v="2"/>
    <x v="5"/>
    <x v="8"/>
    <x v="74"/>
    <x v="0"/>
    <x v="0"/>
    <n v="0"/>
  </r>
  <r>
    <x v="1"/>
    <x v="2"/>
    <x v="5"/>
    <x v="8"/>
    <x v="74"/>
    <x v="0"/>
    <x v="1"/>
    <n v="0"/>
  </r>
  <r>
    <x v="1"/>
    <x v="2"/>
    <x v="5"/>
    <x v="8"/>
    <x v="74"/>
    <x v="0"/>
    <x v="2"/>
    <n v="0"/>
  </r>
  <r>
    <x v="1"/>
    <x v="2"/>
    <x v="5"/>
    <x v="8"/>
    <x v="74"/>
    <x v="0"/>
    <x v="3"/>
    <n v="0"/>
  </r>
  <r>
    <x v="1"/>
    <x v="2"/>
    <x v="5"/>
    <x v="8"/>
    <x v="74"/>
    <x v="0"/>
    <x v="4"/>
    <n v="0"/>
  </r>
  <r>
    <x v="1"/>
    <x v="2"/>
    <x v="5"/>
    <x v="8"/>
    <x v="74"/>
    <x v="0"/>
    <x v="5"/>
    <n v="0"/>
  </r>
  <r>
    <x v="1"/>
    <x v="2"/>
    <x v="5"/>
    <x v="8"/>
    <x v="74"/>
    <x v="0"/>
    <x v="6"/>
    <n v="0"/>
  </r>
  <r>
    <x v="1"/>
    <x v="2"/>
    <x v="5"/>
    <x v="8"/>
    <x v="75"/>
    <x v="0"/>
    <x v="0"/>
    <n v="4.0288212412127296"/>
  </r>
  <r>
    <x v="1"/>
    <x v="2"/>
    <x v="5"/>
    <x v="8"/>
    <x v="75"/>
    <x v="0"/>
    <x v="1"/>
    <n v="4.9236671384286792"/>
  </r>
  <r>
    <x v="1"/>
    <x v="2"/>
    <x v="5"/>
    <x v="8"/>
    <x v="75"/>
    <x v="0"/>
    <x v="2"/>
    <n v="6.4350930836556888"/>
  </r>
  <r>
    <x v="1"/>
    <x v="2"/>
    <x v="5"/>
    <x v="8"/>
    <x v="75"/>
    <x v="0"/>
    <x v="3"/>
    <n v="7.9429092218506954"/>
  </r>
  <r>
    <x v="1"/>
    <x v="2"/>
    <x v="5"/>
    <x v="8"/>
    <x v="75"/>
    <x v="0"/>
    <x v="4"/>
    <n v="10.17675172525489"/>
  </r>
  <r>
    <x v="1"/>
    <x v="2"/>
    <x v="5"/>
    <x v="8"/>
    <x v="75"/>
    <x v="0"/>
    <x v="5"/>
    <n v="12.631620509565687"/>
  </r>
  <r>
    <x v="1"/>
    <x v="2"/>
    <x v="5"/>
    <x v="8"/>
    <x v="75"/>
    <x v="0"/>
    <x v="6"/>
    <n v="15.610211788666813"/>
  </r>
  <r>
    <x v="1"/>
    <x v="2"/>
    <x v="5"/>
    <x v="8"/>
    <x v="76"/>
    <x v="0"/>
    <x v="0"/>
    <n v="0"/>
  </r>
  <r>
    <x v="1"/>
    <x v="2"/>
    <x v="5"/>
    <x v="8"/>
    <x v="76"/>
    <x v="0"/>
    <x v="1"/>
    <n v="0"/>
  </r>
  <r>
    <x v="1"/>
    <x v="2"/>
    <x v="5"/>
    <x v="8"/>
    <x v="76"/>
    <x v="0"/>
    <x v="2"/>
    <n v="0"/>
  </r>
  <r>
    <x v="1"/>
    <x v="2"/>
    <x v="5"/>
    <x v="8"/>
    <x v="76"/>
    <x v="0"/>
    <x v="3"/>
    <n v="0"/>
  </r>
  <r>
    <x v="1"/>
    <x v="2"/>
    <x v="5"/>
    <x v="8"/>
    <x v="76"/>
    <x v="0"/>
    <x v="4"/>
    <n v="0"/>
  </r>
  <r>
    <x v="1"/>
    <x v="2"/>
    <x v="5"/>
    <x v="8"/>
    <x v="76"/>
    <x v="0"/>
    <x v="5"/>
    <n v="0"/>
  </r>
  <r>
    <x v="1"/>
    <x v="2"/>
    <x v="5"/>
    <x v="8"/>
    <x v="76"/>
    <x v="0"/>
    <x v="6"/>
    <n v="0"/>
  </r>
  <r>
    <x v="1"/>
    <x v="2"/>
    <x v="5"/>
    <x v="8"/>
    <x v="77"/>
    <x v="0"/>
    <x v="0"/>
    <n v="0"/>
  </r>
  <r>
    <x v="1"/>
    <x v="2"/>
    <x v="5"/>
    <x v="8"/>
    <x v="77"/>
    <x v="0"/>
    <x v="1"/>
    <n v="0"/>
  </r>
  <r>
    <x v="1"/>
    <x v="2"/>
    <x v="5"/>
    <x v="8"/>
    <x v="77"/>
    <x v="0"/>
    <x v="2"/>
    <n v="0"/>
  </r>
  <r>
    <x v="1"/>
    <x v="2"/>
    <x v="5"/>
    <x v="8"/>
    <x v="77"/>
    <x v="0"/>
    <x v="3"/>
    <n v="0"/>
  </r>
  <r>
    <x v="1"/>
    <x v="2"/>
    <x v="5"/>
    <x v="8"/>
    <x v="77"/>
    <x v="0"/>
    <x v="4"/>
    <n v="0"/>
  </r>
  <r>
    <x v="1"/>
    <x v="2"/>
    <x v="5"/>
    <x v="8"/>
    <x v="77"/>
    <x v="0"/>
    <x v="5"/>
    <n v="0"/>
  </r>
  <r>
    <x v="1"/>
    <x v="2"/>
    <x v="5"/>
    <x v="8"/>
    <x v="77"/>
    <x v="0"/>
    <x v="6"/>
    <n v="0"/>
  </r>
  <r>
    <x v="1"/>
    <x v="2"/>
    <x v="5"/>
    <x v="8"/>
    <x v="78"/>
    <x v="0"/>
    <x v="0"/>
    <n v="1.2239002214775925"/>
  </r>
  <r>
    <x v="1"/>
    <x v="2"/>
    <x v="5"/>
    <x v="8"/>
    <x v="78"/>
    <x v="0"/>
    <x v="1"/>
    <n v="1.9279782040701068"/>
  </r>
  <r>
    <x v="1"/>
    <x v="2"/>
    <x v="5"/>
    <x v="8"/>
    <x v="78"/>
    <x v="0"/>
    <x v="2"/>
    <n v="2.6625216631828819"/>
  </r>
  <r>
    <x v="1"/>
    <x v="2"/>
    <x v="5"/>
    <x v="8"/>
    <x v="78"/>
    <x v="0"/>
    <x v="3"/>
    <n v="3.4544938599840038"/>
  </r>
  <r>
    <x v="1"/>
    <x v="2"/>
    <x v="5"/>
    <x v="8"/>
    <x v="78"/>
    <x v="0"/>
    <x v="4"/>
    <n v="4.4399648330471289"/>
  </r>
  <r>
    <x v="1"/>
    <x v="2"/>
    <x v="5"/>
    <x v="8"/>
    <x v="78"/>
    <x v="0"/>
    <x v="5"/>
    <n v="5.6142908711041493"/>
  </r>
  <r>
    <x v="1"/>
    <x v="2"/>
    <x v="5"/>
    <x v="8"/>
    <x v="78"/>
    <x v="0"/>
    <x v="6"/>
    <n v="6.7572148918247139"/>
  </r>
  <r>
    <x v="1"/>
    <x v="2"/>
    <x v="5"/>
    <x v="8"/>
    <x v="79"/>
    <x v="0"/>
    <x v="0"/>
    <n v="0"/>
  </r>
  <r>
    <x v="1"/>
    <x v="2"/>
    <x v="5"/>
    <x v="8"/>
    <x v="79"/>
    <x v="0"/>
    <x v="1"/>
    <n v="0"/>
  </r>
  <r>
    <x v="1"/>
    <x v="2"/>
    <x v="5"/>
    <x v="8"/>
    <x v="79"/>
    <x v="0"/>
    <x v="2"/>
    <n v="0"/>
  </r>
  <r>
    <x v="1"/>
    <x v="2"/>
    <x v="5"/>
    <x v="8"/>
    <x v="79"/>
    <x v="0"/>
    <x v="3"/>
    <n v="0"/>
  </r>
  <r>
    <x v="1"/>
    <x v="2"/>
    <x v="5"/>
    <x v="8"/>
    <x v="79"/>
    <x v="0"/>
    <x v="4"/>
    <n v="0"/>
  </r>
  <r>
    <x v="1"/>
    <x v="2"/>
    <x v="5"/>
    <x v="8"/>
    <x v="79"/>
    <x v="0"/>
    <x v="5"/>
    <n v="0"/>
  </r>
  <r>
    <x v="1"/>
    <x v="2"/>
    <x v="5"/>
    <x v="8"/>
    <x v="79"/>
    <x v="0"/>
    <x v="6"/>
    <n v="0"/>
  </r>
  <r>
    <x v="1"/>
    <x v="2"/>
    <x v="5"/>
    <x v="8"/>
    <x v="80"/>
    <x v="0"/>
    <x v="0"/>
    <n v="0"/>
  </r>
  <r>
    <x v="1"/>
    <x v="2"/>
    <x v="5"/>
    <x v="8"/>
    <x v="80"/>
    <x v="0"/>
    <x v="1"/>
    <n v="0"/>
  </r>
  <r>
    <x v="1"/>
    <x v="2"/>
    <x v="5"/>
    <x v="8"/>
    <x v="80"/>
    <x v="0"/>
    <x v="2"/>
    <n v="0"/>
  </r>
  <r>
    <x v="1"/>
    <x v="2"/>
    <x v="5"/>
    <x v="8"/>
    <x v="80"/>
    <x v="0"/>
    <x v="3"/>
    <n v="0"/>
  </r>
  <r>
    <x v="1"/>
    <x v="2"/>
    <x v="5"/>
    <x v="8"/>
    <x v="80"/>
    <x v="0"/>
    <x v="4"/>
    <n v="0"/>
  </r>
  <r>
    <x v="1"/>
    <x v="2"/>
    <x v="5"/>
    <x v="8"/>
    <x v="80"/>
    <x v="0"/>
    <x v="5"/>
    <n v="0"/>
  </r>
  <r>
    <x v="1"/>
    <x v="2"/>
    <x v="5"/>
    <x v="8"/>
    <x v="80"/>
    <x v="0"/>
    <x v="6"/>
    <n v="0"/>
  </r>
  <r>
    <x v="1"/>
    <x v="2"/>
    <x v="5"/>
    <x v="8"/>
    <x v="81"/>
    <x v="0"/>
    <x v="0"/>
    <n v="0"/>
  </r>
  <r>
    <x v="1"/>
    <x v="2"/>
    <x v="5"/>
    <x v="8"/>
    <x v="81"/>
    <x v="0"/>
    <x v="1"/>
    <n v="0"/>
  </r>
  <r>
    <x v="1"/>
    <x v="2"/>
    <x v="5"/>
    <x v="8"/>
    <x v="81"/>
    <x v="0"/>
    <x v="2"/>
    <n v="0"/>
  </r>
  <r>
    <x v="1"/>
    <x v="2"/>
    <x v="5"/>
    <x v="8"/>
    <x v="81"/>
    <x v="0"/>
    <x v="3"/>
    <n v="0"/>
  </r>
  <r>
    <x v="1"/>
    <x v="2"/>
    <x v="5"/>
    <x v="8"/>
    <x v="81"/>
    <x v="0"/>
    <x v="4"/>
    <n v="0"/>
  </r>
  <r>
    <x v="1"/>
    <x v="2"/>
    <x v="5"/>
    <x v="8"/>
    <x v="81"/>
    <x v="0"/>
    <x v="5"/>
    <n v="0"/>
  </r>
  <r>
    <x v="1"/>
    <x v="2"/>
    <x v="5"/>
    <x v="8"/>
    <x v="81"/>
    <x v="0"/>
    <x v="6"/>
    <n v="0"/>
  </r>
  <r>
    <x v="1"/>
    <x v="2"/>
    <x v="5"/>
    <x v="8"/>
    <x v="82"/>
    <x v="0"/>
    <x v="0"/>
    <n v="0"/>
  </r>
  <r>
    <x v="1"/>
    <x v="2"/>
    <x v="5"/>
    <x v="8"/>
    <x v="82"/>
    <x v="0"/>
    <x v="1"/>
    <n v="0"/>
  </r>
  <r>
    <x v="1"/>
    <x v="2"/>
    <x v="5"/>
    <x v="8"/>
    <x v="82"/>
    <x v="0"/>
    <x v="2"/>
    <n v="0"/>
  </r>
  <r>
    <x v="1"/>
    <x v="2"/>
    <x v="5"/>
    <x v="8"/>
    <x v="82"/>
    <x v="0"/>
    <x v="3"/>
    <n v="0"/>
  </r>
  <r>
    <x v="1"/>
    <x v="2"/>
    <x v="5"/>
    <x v="8"/>
    <x v="82"/>
    <x v="0"/>
    <x v="4"/>
    <n v="0"/>
  </r>
  <r>
    <x v="1"/>
    <x v="2"/>
    <x v="5"/>
    <x v="8"/>
    <x v="82"/>
    <x v="0"/>
    <x v="5"/>
    <n v="0"/>
  </r>
  <r>
    <x v="1"/>
    <x v="2"/>
    <x v="5"/>
    <x v="8"/>
    <x v="82"/>
    <x v="0"/>
    <x v="6"/>
    <n v="0"/>
  </r>
  <r>
    <x v="1"/>
    <x v="2"/>
    <x v="5"/>
    <x v="8"/>
    <x v="83"/>
    <x v="0"/>
    <x v="0"/>
    <n v="1.7949523953686539"/>
  </r>
  <r>
    <x v="1"/>
    <x v="2"/>
    <x v="5"/>
    <x v="8"/>
    <x v="83"/>
    <x v="0"/>
    <x v="1"/>
    <n v="3.7855442551484968"/>
  </r>
  <r>
    <x v="1"/>
    <x v="2"/>
    <x v="5"/>
    <x v="8"/>
    <x v="83"/>
    <x v="0"/>
    <x v="2"/>
    <n v="6.5462765198626602"/>
  </r>
  <r>
    <x v="1"/>
    <x v="2"/>
    <x v="5"/>
    <x v="8"/>
    <x v="83"/>
    <x v="0"/>
    <x v="3"/>
    <n v="11.694667709047412"/>
  </r>
  <r>
    <x v="1"/>
    <x v="2"/>
    <x v="5"/>
    <x v="8"/>
    <x v="83"/>
    <x v="0"/>
    <x v="4"/>
    <n v="15.823962634488407"/>
  </r>
  <r>
    <x v="1"/>
    <x v="2"/>
    <x v="5"/>
    <x v="8"/>
    <x v="83"/>
    <x v="0"/>
    <x v="5"/>
    <n v="20.764991812031433"/>
  </r>
  <r>
    <x v="1"/>
    <x v="2"/>
    <x v="5"/>
    <x v="8"/>
    <x v="83"/>
    <x v="0"/>
    <x v="6"/>
    <n v="25.814531031311237"/>
  </r>
  <r>
    <x v="1"/>
    <x v="3"/>
    <x v="0"/>
    <x v="0"/>
    <x v="0"/>
    <x v="0"/>
    <x v="0"/>
    <n v="0"/>
  </r>
  <r>
    <x v="1"/>
    <x v="3"/>
    <x v="0"/>
    <x v="0"/>
    <x v="0"/>
    <x v="0"/>
    <x v="1"/>
    <n v="0"/>
  </r>
  <r>
    <x v="1"/>
    <x v="3"/>
    <x v="0"/>
    <x v="0"/>
    <x v="0"/>
    <x v="0"/>
    <x v="2"/>
    <n v="0"/>
  </r>
  <r>
    <x v="1"/>
    <x v="3"/>
    <x v="0"/>
    <x v="0"/>
    <x v="0"/>
    <x v="0"/>
    <x v="3"/>
    <n v="0"/>
  </r>
  <r>
    <x v="1"/>
    <x v="3"/>
    <x v="0"/>
    <x v="0"/>
    <x v="0"/>
    <x v="0"/>
    <x v="4"/>
    <n v="0"/>
  </r>
  <r>
    <x v="1"/>
    <x v="3"/>
    <x v="0"/>
    <x v="0"/>
    <x v="0"/>
    <x v="0"/>
    <x v="5"/>
    <n v="0"/>
  </r>
  <r>
    <x v="1"/>
    <x v="3"/>
    <x v="0"/>
    <x v="0"/>
    <x v="0"/>
    <x v="0"/>
    <x v="6"/>
    <n v="0"/>
  </r>
  <r>
    <x v="1"/>
    <x v="3"/>
    <x v="0"/>
    <x v="1"/>
    <x v="1"/>
    <x v="0"/>
    <x v="0"/>
    <n v="0"/>
  </r>
  <r>
    <x v="1"/>
    <x v="3"/>
    <x v="0"/>
    <x v="1"/>
    <x v="1"/>
    <x v="0"/>
    <x v="1"/>
    <n v="0"/>
  </r>
  <r>
    <x v="1"/>
    <x v="3"/>
    <x v="0"/>
    <x v="1"/>
    <x v="1"/>
    <x v="0"/>
    <x v="2"/>
    <n v="0"/>
  </r>
  <r>
    <x v="1"/>
    <x v="3"/>
    <x v="0"/>
    <x v="1"/>
    <x v="1"/>
    <x v="0"/>
    <x v="3"/>
    <n v="0"/>
  </r>
  <r>
    <x v="1"/>
    <x v="3"/>
    <x v="0"/>
    <x v="1"/>
    <x v="1"/>
    <x v="0"/>
    <x v="4"/>
    <n v="0"/>
  </r>
  <r>
    <x v="1"/>
    <x v="3"/>
    <x v="0"/>
    <x v="1"/>
    <x v="1"/>
    <x v="0"/>
    <x v="5"/>
    <n v="0"/>
  </r>
  <r>
    <x v="1"/>
    <x v="3"/>
    <x v="0"/>
    <x v="1"/>
    <x v="1"/>
    <x v="0"/>
    <x v="6"/>
    <n v="0"/>
  </r>
  <r>
    <x v="1"/>
    <x v="3"/>
    <x v="0"/>
    <x v="1"/>
    <x v="2"/>
    <x v="0"/>
    <x v="0"/>
    <n v="0"/>
  </r>
  <r>
    <x v="1"/>
    <x v="3"/>
    <x v="0"/>
    <x v="1"/>
    <x v="2"/>
    <x v="0"/>
    <x v="1"/>
    <n v="0"/>
  </r>
  <r>
    <x v="1"/>
    <x v="3"/>
    <x v="0"/>
    <x v="1"/>
    <x v="2"/>
    <x v="0"/>
    <x v="2"/>
    <n v="0"/>
  </r>
  <r>
    <x v="1"/>
    <x v="3"/>
    <x v="0"/>
    <x v="1"/>
    <x v="2"/>
    <x v="0"/>
    <x v="3"/>
    <n v="0"/>
  </r>
  <r>
    <x v="1"/>
    <x v="3"/>
    <x v="0"/>
    <x v="1"/>
    <x v="2"/>
    <x v="0"/>
    <x v="4"/>
    <n v="0"/>
  </r>
  <r>
    <x v="1"/>
    <x v="3"/>
    <x v="0"/>
    <x v="1"/>
    <x v="2"/>
    <x v="0"/>
    <x v="5"/>
    <n v="0"/>
  </r>
  <r>
    <x v="1"/>
    <x v="3"/>
    <x v="0"/>
    <x v="1"/>
    <x v="2"/>
    <x v="0"/>
    <x v="6"/>
    <n v="0"/>
  </r>
  <r>
    <x v="1"/>
    <x v="3"/>
    <x v="0"/>
    <x v="1"/>
    <x v="3"/>
    <x v="0"/>
    <x v="0"/>
    <n v="0"/>
  </r>
  <r>
    <x v="1"/>
    <x v="3"/>
    <x v="0"/>
    <x v="1"/>
    <x v="3"/>
    <x v="0"/>
    <x v="1"/>
    <n v="0"/>
  </r>
  <r>
    <x v="1"/>
    <x v="3"/>
    <x v="0"/>
    <x v="1"/>
    <x v="3"/>
    <x v="0"/>
    <x v="2"/>
    <n v="0"/>
  </r>
  <r>
    <x v="1"/>
    <x v="3"/>
    <x v="0"/>
    <x v="1"/>
    <x v="3"/>
    <x v="0"/>
    <x v="3"/>
    <n v="0"/>
  </r>
  <r>
    <x v="1"/>
    <x v="3"/>
    <x v="0"/>
    <x v="1"/>
    <x v="3"/>
    <x v="0"/>
    <x v="4"/>
    <n v="0"/>
  </r>
  <r>
    <x v="1"/>
    <x v="3"/>
    <x v="0"/>
    <x v="1"/>
    <x v="3"/>
    <x v="0"/>
    <x v="5"/>
    <n v="0"/>
  </r>
  <r>
    <x v="1"/>
    <x v="3"/>
    <x v="0"/>
    <x v="1"/>
    <x v="3"/>
    <x v="0"/>
    <x v="6"/>
    <n v="0"/>
  </r>
  <r>
    <x v="1"/>
    <x v="3"/>
    <x v="0"/>
    <x v="1"/>
    <x v="4"/>
    <x v="0"/>
    <x v="0"/>
    <n v="0"/>
  </r>
  <r>
    <x v="1"/>
    <x v="3"/>
    <x v="0"/>
    <x v="1"/>
    <x v="4"/>
    <x v="0"/>
    <x v="1"/>
    <n v="0"/>
  </r>
  <r>
    <x v="1"/>
    <x v="3"/>
    <x v="0"/>
    <x v="1"/>
    <x v="4"/>
    <x v="0"/>
    <x v="2"/>
    <n v="0"/>
  </r>
  <r>
    <x v="1"/>
    <x v="3"/>
    <x v="0"/>
    <x v="1"/>
    <x v="4"/>
    <x v="0"/>
    <x v="3"/>
    <n v="0"/>
  </r>
  <r>
    <x v="1"/>
    <x v="3"/>
    <x v="0"/>
    <x v="1"/>
    <x v="4"/>
    <x v="0"/>
    <x v="4"/>
    <n v="0"/>
  </r>
  <r>
    <x v="1"/>
    <x v="3"/>
    <x v="0"/>
    <x v="1"/>
    <x v="4"/>
    <x v="0"/>
    <x v="5"/>
    <n v="0"/>
  </r>
  <r>
    <x v="1"/>
    <x v="3"/>
    <x v="0"/>
    <x v="1"/>
    <x v="4"/>
    <x v="0"/>
    <x v="6"/>
    <n v="0"/>
  </r>
  <r>
    <x v="1"/>
    <x v="3"/>
    <x v="0"/>
    <x v="1"/>
    <x v="5"/>
    <x v="0"/>
    <x v="0"/>
    <n v="0"/>
  </r>
  <r>
    <x v="1"/>
    <x v="3"/>
    <x v="0"/>
    <x v="1"/>
    <x v="5"/>
    <x v="0"/>
    <x v="1"/>
    <n v="0"/>
  </r>
  <r>
    <x v="1"/>
    <x v="3"/>
    <x v="0"/>
    <x v="1"/>
    <x v="5"/>
    <x v="0"/>
    <x v="2"/>
    <n v="0"/>
  </r>
  <r>
    <x v="1"/>
    <x v="3"/>
    <x v="0"/>
    <x v="1"/>
    <x v="5"/>
    <x v="0"/>
    <x v="3"/>
    <n v="0"/>
  </r>
  <r>
    <x v="1"/>
    <x v="3"/>
    <x v="0"/>
    <x v="1"/>
    <x v="5"/>
    <x v="0"/>
    <x v="4"/>
    <n v="0"/>
  </r>
  <r>
    <x v="1"/>
    <x v="3"/>
    <x v="0"/>
    <x v="1"/>
    <x v="5"/>
    <x v="0"/>
    <x v="5"/>
    <n v="0"/>
  </r>
  <r>
    <x v="1"/>
    <x v="3"/>
    <x v="0"/>
    <x v="1"/>
    <x v="5"/>
    <x v="0"/>
    <x v="6"/>
    <n v="0"/>
  </r>
  <r>
    <x v="1"/>
    <x v="3"/>
    <x v="0"/>
    <x v="1"/>
    <x v="6"/>
    <x v="0"/>
    <x v="0"/>
    <n v="0"/>
  </r>
  <r>
    <x v="1"/>
    <x v="3"/>
    <x v="0"/>
    <x v="1"/>
    <x v="6"/>
    <x v="0"/>
    <x v="1"/>
    <n v="0"/>
  </r>
  <r>
    <x v="1"/>
    <x v="3"/>
    <x v="0"/>
    <x v="1"/>
    <x v="6"/>
    <x v="0"/>
    <x v="2"/>
    <n v="0"/>
  </r>
  <r>
    <x v="1"/>
    <x v="3"/>
    <x v="0"/>
    <x v="1"/>
    <x v="6"/>
    <x v="0"/>
    <x v="3"/>
    <n v="0"/>
  </r>
  <r>
    <x v="1"/>
    <x v="3"/>
    <x v="0"/>
    <x v="1"/>
    <x v="6"/>
    <x v="0"/>
    <x v="4"/>
    <n v="0"/>
  </r>
  <r>
    <x v="1"/>
    <x v="3"/>
    <x v="0"/>
    <x v="1"/>
    <x v="6"/>
    <x v="0"/>
    <x v="5"/>
    <n v="0"/>
  </r>
  <r>
    <x v="1"/>
    <x v="3"/>
    <x v="0"/>
    <x v="1"/>
    <x v="6"/>
    <x v="0"/>
    <x v="6"/>
    <n v="0"/>
  </r>
  <r>
    <x v="1"/>
    <x v="3"/>
    <x v="0"/>
    <x v="1"/>
    <x v="7"/>
    <x v="0"/>
    <x v="0"/>
    <n v="0"/>
  </r>
  <r>
    <x v="1"/>
    <x v="3"/>
    <x v="0"/>
    <x v="1"/>
    <x v="7"/>
    <x v="0"/>
    <x v="1"/>
    <n v="0"/>
  </r>
  <r>
    <x v="1"/>
    <x v="3"/>
    <x v="0"/>
    <x v="1"/>
    <x v="7"/>
    <x v="0"/>
    <x v="2"/>
    <n v="0"/>
  </r>
  <r>
    <x v="1"/>
    <x v="3"/>
    <x v="0"/>
    <x v="1"/>
    <x v="7"/>
    <x v="0"/>
    <x v="3"/>
    <n v="0"/>
  </r>
  <r>
    <x v="1"/>
    <x v="3"/>
    <x v="0"/>
    <x v="1"/>
    <x v="7"/>
    <x v="0"/>
    <x v="4"/>
    <n v="0"/>
  </r>
  <r>
    <x v="1"/>
    <x v="3"/>
    <x v="0"/>
    <x v="1"/>
    <x v="7"/>
    <x v="0"/>
    <x v="5"/>
    <n v="0"/>
  </r>
  <r>
    <x v="1"/>
    <x v="3"/>
    <x v="0"/>
    <x v="1"/>
    <x v="7"/>
    <x v="0"/>
    <x v="6"/>
    <n v="0"/>
  </r>
  <r>
    <x v="1"/>
    <x v="3"/>
    <x v="0"/>
    <x v="1"/>
    <x v="8"/>
    <x v="0"/>
    <x v="0"/>
    <n v="0"/>
  </r>
  <r>
    <x v="1"/>
    <x v="3"/>
    <x v="0"/>
    <x v="1"/>
    <x v="8"/>
    <x v="0"/>
    <x v="1"/>
    <n v="0"/>
  </r>
  <r>
    <x v="1"/>
    <x v="3"/>
    <x v="0"/>
    <x v="1"/>
    <x v="8"/>
    <x v="0"/>
    <x v="2"/>
    <n v="0"/>
  </r>
  <r>
    <x v="1"/>
    <x v="3"/>
    <x v="0"/>
    <x v="1"/>
    <x v="8"/>
    <x v="0"/>
    <x v="3"/>
    <n v="0"/>
  </r>
  <r>
    <x v="1"/>
    <x v="3"/>
    <x v="0"/>
    <x v="1"/>
    <x v="8"/>
    <x v="0"/>
    <x v="4"/>
    <n v="0"/>
  </r>
  <r>
    <x v="1"/>
    <x v="3"/>
    <x v="0"/>
    <x v="1"/>
    <x v="8"/>
    <x v="0"/>
    <x v="5"/>
    <n v="0"/>
  </r>
  <r>
    <x v="1"/>
    <x v="3"/>
    <x v="0"/>
    <x v="1"/>
    <x v="8"/>
    <x v="0"/>
    <x v="6"/>
    <n v="0"/>
  </r>
  <r>
    <x v="1"/>
    <x v="3"/>
    <x v="0"/>
    <x v="1"/>
    <x v="9"/>
    <x v="0"/>
    <x v="0"/>
    <n v="0"/>
  </r>
  <r>
    <x v="1"/>
    <x v="3"/>
    <x v="0"/>
    <x v="1"/>
    <x v="9"/>
    <x v="0"/>
    <x v="1"/>
    <n v="0"/>
  </r>
  <r>
    <x v="1"/>
    <x v="3"/>
    <x v="0"/>
    <x v="1"/>
    <x v="9"/>
    <x v="0"/>
    <x v="2"/>
    <n v="0"/>
  </r>
  <r>
    <x v="1"/>
    <x v="3"/>
    <x v="0"/>
    <x v="1"/>
    <x v="9"/>
    <x v="0"/>
    <x v="3"/>
    <n v="0"/>
  </r>
  <r>
    <x v="1"/>
    <x v="3"/>
    <x v="0"/>
    <x v="1"/>
    <x v="9"/>
    <x v="0"/>
    <x v="4"/>
    <n v="0"/>
  </r>
  <r>
    <x v="1"/>
    <x v="3"/>
    <x v="0"/>
    <x v="1"/>
    <x v="9"/>
    <x v="0"/>
    <x v="5"/>
    <n v="0"/>
  </r>
  <r>
    <x v="1"/>
    <x v="3"/>
    <x v="0"/>
    <x v="1"/>
    <x v="9"/>
    <x v="0"/>
    <x v="6"/>
    <n v="0"/>
  </r>
  <r>
    <x v="1"/>
    <x v="3"/>
    <x v="0"/>
    <x v="1"/>
    <x v="10"/>
    <x v="0"/>
    <x v="0"/>
    <n v="0"/>
  </r>
  <r>
    <x v="1"/>
    <x v="3"/>
    <x v="0"/>
    <x v="1"/>
    <x v="10"/>
    <x v="0"/>
    <x v="1"/>
    <n v="0"/>
  </r>
  <r>
    <x v="1"/>
    <x v="3"/>
    <x v="0"/>
    <x v="1"/>
    <x v="10"/>
    <x v="0"/>
    <x v="2"/>
    <n v="0"/>
  </r>
  <r>
    <x v="1"/>
    <x v="3"/>
    <x v="0"/>
    <x v="1"/>
    <x v="10"/>
    <x v="0"/>
    <x v="3"/>
    <n v="0"/>
  </r>
  <r>
    <x v="1"/>
    <x v="3"/>
    <x v="0"/>
    <x v="1"/>
    <x v="10"/>
    <x v="0"/>
    <x v="4"/>
    <n v="0"/>
  </r>
  <r>
    <x v="1"/>
    <x v="3"/>
    <x v="0"/>
    <x v="1"/>
    <x v="10"/>
    <x v="0"/>
    <x v="5"/>
    <n v="0"/>
  </r>
  <r>
    <x v="1"/>
    <x v="3"/>
    <x v="0"/>
    <x v="1"/>
    <x v="10"/>
    <x v="0"/>
    <x v="6"/>
    <n v="0"/>
  </r>
  <r>
    <x v="1"/>
    <x v="3"/>
    <x v="0"/>
    <x v="0"/>
    <x v="11"/>
    <x v="0"/>
    <x v="0"/>
    <n v="1.1267570655759639E-6"/>
  </r>
  <r>
    <x v="1"/>
    <x v="3"/>
    <x v="0"/>
    <x v="0"/>
    <x v="11"/>
    <x v="0"/>
    <x v="1"/>
    <n v="2.7483984420764878E-6"/>
  </r>
  <r>
    <x v="1"/>
    <x v="3"/>
    <x v="0"/>
    <x v="0"/>
    <x v="11"/>
    <x v="0"/>
    <x v="2"/>
    <n v="4.8363799290313643E-6"/>
  </r>
  <r>
    <x v="1"/>
    <x v="3"/>
    <x v="0"/>
    <x v="0"/>
    <x v="11"/>
    <x v="0"/>
    <x v="3"/>
    <n v="9.0583465167544725E-6"/>
  </r>
  <r>
    <x v="1"/>
    <x v="3"/>
    <x v="0"/>
    <x v="0"/>
    <x v="11"/>
    <x v="0"/>
    <x v="4"/>
    <n v="1.7660661637983022E-5"/>
  </r>
  <r>
    <x v="1"/>
    <x v="3"/>
    <x v="0"/>
    <x v="0"/>
    <x v="11"/>
    <x v="0"/>
    <x v="5"/>
    <n v="2.552580206450136E-5"/>
  </r>
  <r>
    <x v="1"/>
    <x v="3"/>
    <x v="0"/>
    <x v="0"/>
    <x v="11"/>
    <x v="0"/>
    <x v="6"/>
    <n v="-8.6022649997268829E-5"/>
  </r>
  <r>
    <x v="1"/>
    <x v="3"/>
    <x v="0"/>
    <x v="0"/>
    <x v="12"/>
    <x v="0"/>
    <x v="0"/>
    <n v="0"/>
  </r>
  <r>
    <x v="1"/>
    <x v="3"/>
    <x v="0"/>
    <x v="0"/>
    <x v="12"/>
    <x v="0"/>
    <x v="1"/>
    <n v="0"/>
  </r>
  <r>
    <x v="1"/>
    <x v="3"/>
    <x v="0"/>
    <x v="0"/>
    <x v="12"/>
    <x v="0"/>
    <x v="2"/>
    <n v="0"/>
  </r>
  <r>
    <x v="1"/>
    <x v="3"/>
    <x v="0"/>
    <x v="0"/>
    <x v="12"/>
    <x v="0"/>
    <x v="3"/>
    <n v="0"/>
  </r>
  <r>
    <x v="1"/>
    <x v="3"/>
    <x v="0"/>
    <x v="0"/>
    <x v="12"/>
    <x v="0"/>
    <x v="4"/>
    <n v="0"/>
  </r>
  <r>
    <x v="1"/>
    <x v="3"/>
    <x v="0"/>
    <x v="0"/>
    <x v="12"/>
    <x v="0"/>
    <x v="5"/>
    <n v="0"/>
  </r>
  <r>
    <x v="1"/>
    <x v="3"/>
    <x v="0"/>
    <x v="0"/>
    <x v="12"/>
    <x v="0"/>
    <x v="6"/>
    <n v="0"/>
  </r>
  <r>
    <x v="1"/>
    <x v="3"/>
    <x v="0"/>
    <x v="0"/>
    <x v="13"/>
    <x v="0"/>
    <x v="0"/>
    <n v="0"/>
  </r>
  <r>
    <x v="1"/>
    <x v="3"/>
    <x v="0"/>
    <x v="0"/>
    <x v="13"/>
    <x v="0"/>
    <x v="1"/>
    <n v="0"/>
  </r>
  <r>
    <x v="1"/>
    <x v="3"/>
    <x v="0"/>
    <x v="0"/>
    <x v="13"/>
    <x v="0"/>
    <x v="2"/>
    <n v="0"/>
  </r>
  <r>
    <x v="1"/>
    <x v="3"/>
    <x v="0"/>
    <x v="0"/>
    <x v="13"/>
    <x v="0"/>
    <x v="3"/>
    <n v="0"/>
  </r>
  <r>
    <x v="1"/>
    <x v="3"/>
    <x v="0"/>
    <x v="0"/>
    <x v="13"/>
    <x v="0"/>
    <x v="4"/>
    <n v="0"/>
  </r>
  <r>
    <x v="1"/>
    <x v="3"/>
    <x v="0"/>
    <x v="0"/>
    <x v="13"/>
    <x v="0"/>
    <x v="5"/>
    <n v="0"/>
  </r>
  <r>
    <x v="1"/>
    <x v="3"/>
    <x v="0"/>
    <x v="0"/>
    <x v="13"/>
    <x v="0"/>
    <x v="6"/>
    <n v="0"/>
  </r>
  <r>
    <x v="1"/>
    <x v="3"/>
    <x v="0"/>
    <x v="2"/>
    <x v="14"/>
    <x v="0"/>
    <x v="0"/>
    <n v="1.0523838052849564E-2"/>
  </r>
  <r>
    <x v="1"/>
    <x v="3"/>
    <x v="0"/>
    <x v="2"/>
    <x v="14"/>
    <x v="0"/>
    <x v="1"/>
    <n v="2.1280649626325018E-2"/>
  </r>
  <r>
    <x v="1"/>
    <x v="3"/>
    <x v="0"/>
    <x v="2"/>
    <x v="14"/>
    <x v="0"/>
    <x v="2"/>
    <n v="3.3992974833772442E-2"/>
  </r>
  <r>
    <x v="1"/>
    <x v="3"/>
    <x v="0"/>
    <x v="2"/>
    <x v="14"/>
    <x v="0"/>
    <x v="3"/>
    <n v="5.3227211012724505E-2"/>
  </r>
  <r>
    <x v="1"/>
    <x v="3"/>
    <x v="0"/>
    <x v="2"/>
    <x v="14"/>
    <x v="0"/>
    <x v="4"/>
    <n v="8.8835301764999458E-2"/>
  </r>
  <r>
    <x v="1"/>
    <x v="3"/>
    <x v="0"/>
    <x v="2"/>
    <x v="14"/>
    <x v="0"/>
    <x v="5"/>
    <n v="0.13166300997794164"/>
  </r>
  <r>
    <x v="1"/>
    <x v="3"/>
    <x v="0"/>
    <x v="2"/>
    <x v="14"/>
    <x v="0"/>
    <x v="6"/>
    <n v="0.17139503059761679"/>
  </r>
  <r>
    <x v="1"/>
    <x v="3"/>
    <x v="0"/>
    <x v="2"/>
    <x v="15"/>
    <x v="0"/>
    <x v="0"/>
    <n v="16.962615545938348"/>
  </r>
  <r>
    <x v="1"/>
    <x v="3"/>
    <x v="0"/>
    <x v="2"/>
    <x v="15"/>
    <x v="0"/>
    <x v="1"/>
    <n v="30.566008152533076"/>
  </r>
  <r>
    <x v="1"/>
    <x v="3"/>
    <x v="0"/>
    <x v="2"/>
    <x v="15"/>
    <x v="0"/>
    <x v="2"/>
    <n v="45.949584550212393"/>
  </r>
  <r>
    <x v="1"/>
    <x v="3"/>
    <x v="0"/>
    <x v="2"/>
    <x v="15"/>
    <x v="0"/>
    <x v="3"/>
    <n v="75.513627202156201"/>
  </r>
  <r>
    <x v="1"/>
    <x v="3"/>
    <x v="0"/>
    <x v="2"/>
    <x v="15"/>
    <x v="0"/>
    <x v="4"/>
    <n v="111.58423703364925"/>
  </r>
  <r>
    <x v="1"/>
    <x v="3"/>
    <x v="0"/>
    <x v="2"/>
    <x v="15"/>
    <x v="0"/>
    <x v="5"/>
    <n v="133.63269680401095"/>
  </r>
  <r>
    <x v="1"/>
    <x v="3"/>
    <x v="0"/>
    <x v="2"/>
    <x v="15"/>
    <x v="0"/>
    <x v="6"/>
    <n v="158.88040224785232"/>
  </r>
  <r>
    <x v="1"/>
    <x v="3"/>
    <x v="0"/>
    <x v="2"/>
    <x v="16"/>
    <x v="0"/>
    <x v="0"/>
    <n v="1.426047221654291"/>
  </r>
  <r>
    <x v="1"/>
    <x v="3"/>
    <x v="0"/>
    <x v="2"/>
    <x v="16"/>
    <x v="0"/>
    <x v="1"/>
    <n v="2.6970124536866078"/>
  </r>
  <r>
    <x v="1"/>
    <x v="3"/>
    <x v="0"/>
    <x v="2"/>
    <x v="16"/>
    <x v="0"/>
    <x v="2"/>
    <n v="3.9806163097201659"/>
  </r>
  <r>
    <x v="1"/>
    <x v="3"/>
    <x v="0"/>
    <x v="2"/>
    <x v="16"/>
    <x v="0"/>
    <x v="3"/>
    <n v="6.1330897641509639"/>
  </r>
  <r>
    <x v="1"/>
    <x v="3"/>
    <x v="0"/>
    <x v="2"/>
    <x v="16"/>
    <x v="0"/>
    <x v="4"/>
    <n v="10.177401384377118"/>
  </r>
  <r>
    <x v="1"/>
    <x v="3"/>
    <x v="0"/>
    <x v="2"/>
    <x v="16"/>
    <x v="0"/>
    <x v="5"/>
    <n v="13.925676269840602"/>
  </r>
  <r>
    <x v="1"/>
    <x v="3"/>
    <x v="0"/>
    <x v="2"/>
    <x v="16"/>
    <x v="0"/>
    <x v="6"/>
    <n v="18.380907605506135"/>
  </r>
  <r>
    <x v="1"/>
    <x v="3"/>
    <x v="0"/>
    <x v="0"/>
    <x v="17"/>
    <x v="0"/>
    <x v="0"/>
    <n v="0"/>
  </r>
  <r>
    <x v="1"/>
    <x v="3"/>
    <x v="0"/>
    <x v="0"/>
    <x v="17"/>
    <x v="0"/>
    <x v="1"/>
    <n v="0"/>
  </r>
  <r>
    <x v="1"/>
    <x v="3"/>
    <x v="0"/>
    <x v="0"/>
    <x v="17"/>
    <x v="0"/>
    <x v="2"/>
    <n v="0"/>
  </r>
  <r>
    <x v="1"/>
    <x v="3"/>
    <x v="0"/>
    <x v="0"/>
    <x v="17"/>
    <x v="0"/>
    <x v="3"/>
    <n v="0"/>
  </r>
  <r>
    <x v="1"/>
    <x v="3"/>
    <x v="0"/>
    <x v="0"/>
    <x v="17"/>
    <x v="0"/>
    <x v="4"/>
    <n v="0"/>
  </r>
  <r>
    <x v="1"/>
    <x v="3"/>
    <x v="0"/>
    <x v="0"/>
    <x v="17"/>
    <x v="0"/>
    <x v="5"/>
    <n v="0"/>
  </r>
  <r>
    <x v="1"/>
    <x v="3"/>
    <x v="0"/>
    <x v="0"/>
    <x v="17"/>
    <x v="0"/>
    <x v="6"/>
    <n v="0"/>
  </r>
  <r>
    <x v="1"/>
    <x v="3"/>
    <x v="0"/>
    <x v="2"/>
    <x v="18"/>
    <x v="0"/>
    <x v="0"/>
    <n v="50.467397131383862"/>
  </r>
  <r>
    <x v="1"/>
    <x v="3"/>
    <x v="0"/>
    <x v="2"/>
    <x v="18"/>
    <x v="0"/>
    <x v="1"/>
    <n v="92.464814818990462"/>
  </r>
  <r>
    <x v="1"/>
    <x v="3"/>
    <x v="0"/>
    <x v="2"/>
    <x v="18"/>
    <x v="0"/>
    <x v="2"/>
    <n v="126.32473263714853"/>
  </r>
  <r>
    <x v="1"/>
    <x v="3"/>
    <x v="0"/>
    <x v="2"/>
    <x v="18"/>
    <x v="0"/>
    <x v="3"/>
    <n v="231.45073986922927"/>
  </r>
  <r>
    <x v="1"/>
    <x v="3"/>
    <x v="0"/>
    <x v="2"/>
    <x v="18"/>
    <x v="0"/>
    <x v="4"/>
    <n v="305.27631255825372"/>
  </r>
  <r>
    <x v="1"/>
    <x v="3"/>
    <x v="0"/>
    <x v="2"/>
    <x v="18"/>
    <x v="0"/>
    <x v="5"/>
    <n v="316.00864351777716"/>
  </r>
  <r>
    <x v="1"/>
    <x v="3"/>
    <x v="0"/>
    <x v="2"/>
    <x v="18"/>
    <x v="0"/>
    <x v="6"/>
    <n v="394.8995802378314"/>
  </r>
  <r>
    <x v="1"/>
    <x v="3"/>
    <x v="1"/>
    <x v="3"/>
    <x v="19"/>
    <x v="0"/>
    <x v="0"/>
    <n v="1.0173249873552141E-3"/>
  </r>
  <r>
    <x v="1"/>
    <x v="3"/>
    <x v="1"/>
    <x v="3"/>
    <x v="19"/>
    <x v="0"/>
    <x v="1"/>
    <n v="2.1877610659367676E-3"/>
  </r>
  <r>
    <x v="1"/>
    <x v="3"/>
    <x v="1"/>
    <x v="3"/>
    <x v="19"/>
    <x v="0"/>
    <x v="2"/>
    <n v="4.2961365249056353E-3"/>
  </r>
  <r>
    <x v="1"/>
    <x v="3"/>
    <x v="1"/>
    <x v="3"/>
    <x v="19"/>
    <x v="0"/>
    <x v="3"/>
    <n v="8.2231504374937012E-3"/>
  </r>
  <r>
    <x v="1"/>
    <x v="3"/>
    <x v="1"/>
    <x v="3"/>
    <x v="19"/>
    <x v="0"/>
    <x v="4"/>
    <n v="1.4569147933241695E-2"/>
  </r>
  <r>
    <x v="1"/>
    <x v="3"/>
    <x v="1"/>
    <x v="3"/>
    <x v="19"/>
    <x v="0"/>
    <x v="5"/>
    <n v="1.588862346066347E-2"/>
  </r>
  <r>
    <x v="1"/>
    <x v="3"/>
    <x v="1"/>
    <x v="3"/>
    <x v="19"/>
    <x v="0"/>
    <x v="6"/>
    <n v="1.5122886580861554E-2"/>
  </r>
  <r>
    <x v="1"/>
    <x v="3"/>
    <x v="1"/>
    <x v="3"/>
    <x v="20"/>
    <x v="0"/>
    <x v="0"/>
    <n v="1.3847078013219027E-3"/>
  </r>
  <r>
    <x v="1"/>
    <x v="3"/>
    <x v="1"/>
    <x v="3"/>
    <x v="20"/>
    <x v="0"/>
    <x v="1"/>
    <n v="4.5014732128677709E-3"/>
  </r>
  <r>
    <x v="1"/>
    <x v="3"/>
    <x v="1"/>
    <x v="3"/>
    <x v="20"/>
    <x v="0"/>
    <x v="2"/>
    <n v="1.1375681541873602E-2"/>
  </r>
  <r>
    <x v="1"/>
    <x v="3"/>
    <x v="1"/>
    <x v="3"/>
    <x v="20"/>
    <x v="0"/>
    <x v="3"/>
    <n v="3.0093344658039652E-2"/>
  </r>
  <r>
    <x v="1"/>
    <x v="3"/>
    <x v="1"/>
    <x v="3"/>
    <x v="20"/>
    <x v="0"/>
    <x v="4"/>
    <n v="7.424132258512664E-2"/>
  </r>
  <r>
    <x v="1"/>
    <x v="3"/>
    <x v="1"/>
    <x v="3"/>
    <x v="20"/>
    <x v="0"/>
    <x v="5"/>
    <n v="8.0508741423058014E-2"/>
  </r>
  <r>
    <x v="1"/>
    <x v="3"/>
    <x v="1"/>
    <x v="3"/>
    <x v="20"/>
    <x v="0"/>
    <x v="6"/>
    <n v="7.4927473473159339E-2"/>
  </r>
  <r>
    <x v="1"/>
    <x v="3"/>
    <x v="1"/>
    <x v="3"/>
    <x v="21"/>
    <x v="0"/>
    <x v="0"/>
    <n v="4.4691447853145785E-2"/>
  </r>
  <r>
    <x v="1"/>
    <x v="3"/>
    <x v="1"/>
    <x v="3"/>
    <x v="21"/>
    <x v="0"/>
    <x v="1"/>
    <n v="0.10038069929410623"/>
  </r>
  <r>
    <x v="1"/>
    <x v="3"/>
    <x v="1"/>
    <x v="3"/>
    <x v="21"/>
    <x v="0"/>
    <x v="2"/>
    <n v="0.2021525781600306"/>
  </r>
  <r>
    <x v="1"/>
    <x v="3"/>
    <x v="1"/>
    <x v="3"/>
    <x v="21"/>
    <x v="0"/>
    <x v="3"/>
    <n v="0.39205892985539187"/>
  </r>
  <r>
    <x v="1"/>
    <x v="3"/>
    <x v="1"/>
    <x v="3"/>
    <x v="21"/>
    <x v="0"/>
    <x v="4"/>
    <n v="0.72196005868086088"/>
  </r>
  <r>
    <x v="1"/>
    <x v="3"/>
    <x v="1"/>
    <x v="3"/>
    <x v="21"/>
    <x v="0"/>
    <x v="5"/>
    <n v="0.80828027457000151"/>
  </r>
  <r>
    <x v="1"/>
    <x v="3"/>
    <x v="1"/>
    <x v="3"/>
    <x v="21"/>
    <x v="0"/>
    <x v="6"/>
    <n v="0.78781587205891557"/>
  </r>
  <r>
    <x v="1"/>
    <x v="3"/>
    <x v="1"/>
    <x v="3"/>
    <x v="22"/>
    <x v="0"/>
    <x v="0"/>
    <n v="0"/>
  </r>
  <r>
    <x v="1"/>
    <x v="3"/>
    <x v="1"/>
    <x v="3"/>
    <x v="22"/>
    <x v="0"/>
    <x v="1"/>
    <n v="0"/>
  </r>
  <r>
    <x v="1"/>
    <x v="3"/>
    <x v="1"/>
    <x v="3"/>
    <x v="22"/>
    <x v="0"/>
    <x v="2"/>
    <n v="0"/>
  </r>
  <r>
    <x v="1"/>
    <x v="3"/>
    <x v="1"/>
    <x v="3"/>
    <x v="22"/>
    <x v="0"/>
    <x v="3"/>
    <n v="0"/>
  </r>
  <r>
    <x v="1"/>
    <x v="3"/>
    <x v="1"/>
    <x v="3"/>
    <x v="22"/>
    <x v="0"/>
    <x v="4"/>
    <n v="0"/>
  </r>
  <r>
    <x v="1"/>
    <x v="3"/>
    <x v="1"/>
    <x v="3"/>
    <x v="22"/>
    <x v="0"/>
    <x v="5"/>
    <n v="0"/>
  </r>
  <r>
    <x v="1"/>
    <x v="3"/>
    <x v="1"/>
    <x v="3"/>
    <x v="22"/>
    <x v="0"/>
    <x v="6"/>
    <n v="0"/>
  </r>
  <r>
    <x v="1"/>
    <x v="3"/>
    <x v="1"/>
    <x v="3"/>
    <x v="23"/>
    <x v="0"/>
    <x v="0"/>
    <n v="0"/>
  </r>
  <r>
    <x v="1"/>
    <x v="3"/>
    <x v="1"/>
    <x v="3"/>
    <x v="23"/>
    <x v="0"/>
    <x v="1"/>
    <n v="0"/>
  </r>
  <r>
    <x v="1"/>
    <x v="3"/>
    <x v="1"/>
    <x v="3"/>
    <x v="23"/>
    <x v="0"/>
    <x v="2"/>
    <n v="0"/>
  </r>
  <r>
    <x v="1"/>
    <x v="3"/>
    <x v="1"/>
    <x v="3"/>
    <x v="23"/>
    <x v="0"/>
    <x v="3"/>
    <n v="0"/>
  </r>
  <r>
    <x v="1"/>
    <x v="3"/>
    <x v="1"/>
    <x v="3"/>
    <x v="23"/>
    <x v="0"/>
    <x v="4"/>
    <n v="0"/>
  </r>
  <r>
    <x v="1"/>
    <x v="3"/>
    <x v="1"/>
    <x v="3"/>
    <x v="23"/>
    <x v="0"/>
    <x v="5"/>
    <n v="0"/>
  </r>
  <r>
    <x v="1"/>
    <x v="3"/>
    <x v="1"/>
    <x v="3"/>
    <x v="23"/>
    <x v="0"/>
    <x v="6"/>
    <n v="0"/>
  </r>
  <r>
    <x v="1"/>
    <x v="3"/>
    <x v="1"/>
    <x v="3"/>
    <x v="24"/>
    <x v="0"/>
    <x v="0"/>
    <n v="0"/>
  </r>
  <r>
    <x v="1"/>
    <x v="3"/>
    <x v="1"/>
    <x v="3"/>
    <x v="24"/>
    <x v="0"/>
    <x v="1"/>
    <n v="0"/>
  </r>
  <r>
    <x v="1"/>
    <x v="3"/>
    <x v="1"/>
    <x v="3"/>
    <x v="24"/>
    <x v="0"/>
    <x v="2"/>
    <n v="0"/>
  </r>
  <r>
    <x v="1"/>
    <x v="3"/>
    <x v="1"/>
    <x v="3"/>
    <x v="24"/>
    <x v="0"/>
    <x v="3"/>
    <n v="0"/>
  </r>
  <r>
    <x v="1"/>
    <x v="3"/>
    <x v="1"/>
    <x v="3"/>
    <x v="24"/>
    <x v="0"/>
    <x v="4"/>
    <n v="0"/>
  </r>
  <r>
    <x v="1"/>
    <x v="3"/>
    <x v="1"/>
    <x v="3"/>
    <x v="24"/>
    <x v="0"/>
    <x v="5"/>
    <n v="0"/>
  </r>
  <r>
    <x v="1"/>
    <x v="3"/>
    <x v="1"/>
    <x v="3"/>
    <x v="24"/>
    <x v="0"/>
    <x v="6"/>
    <n v="0"/>
  </r>
  <r>
    <x v="1"/>
    <x v="3"/>
    <x v="1"/>
    <x v="3"/>
    <x v="25"/>
    <x v="0"/>
    <x v="0"/>
    <n v="4.1734856969343884E-2"/>
  </r>
  <r>
    <x v="1"/>
    <x v="3"/>
    <x v="1"/>
    <x v="3"/>
    <x v="25"/>
    <x v="0"/>
    <x v="1"/>
    <n v="0.10538238071683506"/>
  </r>
  <r>
    <x v="1"/>
    <x v="3"/>
    <x v="1"/>
    <x v="3"/>
    <x v="25"/>
    <x v="0"/>
    <x v="2"/>
    <n v="0.19405508568062865"/>
  </r>
  <r>
    <x v="1"/>
    <x v="3"/>
    <x v="1"/>
    <x v="3"/>
    <x v="25"/>
    <x v="0"/>
    <x v="3"/>
    <n v="0.36667619281653413"/>
  </r>
  <r>
    <x v="1"/>
    <x v="3"/>
    <x v="1"/>
    <x v="3"/>
    <x v="25"/>
    <x v="0"/>
    <x v="4"/>
    <n v="0.63144956799088137"/>
  </r>
  <r>
    <x v="1"/>
    <x v="3"/>
    <x v="1"/>
    <x v="3"/>
    <x v="25"/>
    <x v="0"/>
    <x v="5"/>
    <n v="0.66047030613553681"/>
  </r>
  <r>
    <x v="1"/>
    <x v="3"/>
    <x v="1"/>
    <x v="3"/>
    <x v="25"/>
    <x v="0"/>
    <x v="6"/>
    <n v="0.61398537556532107"/>
  </r>
  <r>
    <x v="1"/>
    <x v="3"/>
    <x v="2"/>
    <x v="4"/>
    <x v="26"/>
    <x v="0"/>
    <x v="0"/>
    <n v="0"/>
  </r>
  <r>
    <x v="1"/>
    <x v="3"/>
    <x v="2"/>
    <x v="4"/>
    <x v="26"/>
    <x v="0"/>
    <x v="1"/>
    <n v="0"/>
  </r>
  <r>
    <x v="1"/>
    <x v="3"/>
    <x v="2"/>
    <x v="4"/>
    <x v="26"/>
    <x v="0"/>
    <x v="2"/>
    <n v="0"/>
  </r>
  <r>
    <x v="1"/>
    <x v="3"/>
    <x v="2"/>
    <x v="4"/>
    <x v="26"/>
    <x v="0"/>
    <x v="3"/>
    <n v="0"/>
  </r>
  <r>
    <x v="1"/>
    <x v="3"/>
    <x v="2"/>
    <x v="4"/>
    <x v="26"/>
    <x v="0"/>
    <x v="4"/>
    <n v="0"/>
  </r>
  <r>
    <x v="1"/>
    <x v="3"/>
    <x v="2"/>
    <x v="4"/>
    <x v="26"/>
    <x v="0"/>
    <x v="5"/>
    <n v="0"/>
  </r>
  <r>
    <x v="1"/>
    <x v="3"/>
    <x v="2"/>
    <x v="4"/>
    <x v="26"/>
    <x v="0"/>
    <x v="6"/>
    <n v="0"/>
  </r>
  <r>
    <x v="1"/>
    <x v="3"/>
    <x v="2"/>
    <x v="4"/>
    <x v="27"/>
    <x v="0"/>
    <x v="0"/>
    <n v="0"/>
  </r>
  <r>
    <x v="1"/>
    <x v="3"/>
    <x v="2"/>
    <x v="4"/>
    <x v="27"/>
    <x v="0"/>
    <x v="1"/>
    <n v="0"/>
  </r>
  <r>
    <x v="1"/>
    <x v="3"/>
    <x v="2"/>
    <x v="4"/>
    <x v="27"/>
    <x v="0"/>
    <x v="2"/>
    <n v="0"/>
  </r>
  <r>
    <x v="1"/>
    <x v="3"/>
    <x v="2"/>
    <x v="4"/>
    <x v="27"/>
    <x v="0"/>
    <x v="3"/>
    <n v="0"/>
  </r>
  <r>
    <x v="1"/>
    <x v="3"/>
    <x v="2"/>
    <x v="4"/>
    <x v="27"/>
    <x v="0"/>
    <x v="4"/>
    <n v="0"/>
  </r>
  <r>
    <x v="1"/>
    <x v="3"/>
    <x v="2"/>
    <x v="4"/>
    <x v="27"/>
    <x v="0"/>
    <x v="5"/>
    <n v="0"/>
  </r>
  <r>
    <x v="1"/>
    <x v="3"/>
    <x v="2"/>
    <x v="4"/>
    <x v="27"/>
    <x v="0"/>
    <x v="6"/>
    <n v="0"/>
  </r>
  <r>
    <x v="1"/>
    <x v="3"/>
    <x v="2"/>
    <x v="4"/>
    <x v="28"/>
    <x v="0"/>
    <x v="0"/>
    <n v="0"/>
  </r>
  <r>
    <x v="1"/>
    <x v="3"/>
    <x v="2"/>
    <x v="4"/>
    <x v="28"/>
    <x v="0"/>
    <x v="1"/>
    <n v="0"/>
  </r>
  <r>
    <x v="1"/>
    <x v="3"/>
    <x v="2"/>
    <x v="4"/>
    <x v="28"/>
    <x v="0"/>
    <x v="2"/>
    <n v="0"/>
  </r>
  <r>
    <x v="1"/>
    <x v="3"/>
    <x v="2"/>
    <x v="4"/>
    <x v="28"/>
    <x v="0"/>
    <x v="3"/>
    <n v="0"/>
  </r>
  <r>
    <x v="1"/>
    <x v="3"/>
    <x v="2"/>
    <x v="4"/>
    <x v="28"/>
    <x v="0"/>
    <x v="4"/>
    <n v="0"/>
  </r>
  <r>
    <x v="1"/>
    <x v="3"/>
    <x v="2"/>
    <x v="4"/>
    <x v="28"/>
    <x v="0"/>
    <x v="5"/>
    <n v="0"/>
  </r>
  <r>
    <x v="1"/>
    <x v="3"/>
    <x v="2"/>
    <x v="4"/>
    <x v="28"/>
    <x v="0"/>
    <x v="6"/>
    <n v="0"/>
  </r>
  <r>
    <x v="1"/>
    <x v="3"/>
    <x v="2"/>
    <x v="4"/>
    <x v="29"/>
    <x v="0"/>
    <x v="0"/>
    <n v="0"/>
  </r>
  <r>
    <x v="1"/>
    <x v="3"/>
    <x v="2"/>
    <x v="4"/>
    <x v="29"/>
    <x v="0"/>
    <x v="1"/>
    <n v="0"/>
  </r>
  <r>
    <x v="1"/>
    <x v="3"/>
    <x v="2"/>
    <x v="4"/>
    <x v="29"/>
    <x v="0"/>
    <x v="2"/>
    <n v="0"/>
  </r>
  <r>
    <x v="1"/>
    <x v="3"/>
    <x v="2"/>
    <x v="4"/>
    <x v="29"/>
    <x v="0"/>
    <x v="3"/>
    <n v="0"/>
  </r>
  <r>
    <x v="1"/>
    <x v="3"/>
    <x v="2"/>
    <x v="4"/>
    <x v="29"/>
    <x v="0"/>
    <x v="4"/>
    <n v="0"/>
  </r>
  <r>
    <x v="1"/>
    <x v="3"/>
    <x v="2"/>
    <x v="4"/>
    <x v="29"/>
    <x v="0"/>
    <x v="5"/>
    <n v="0"/>
  </r>
  <r>
    <x v="1"/>
    <x v="3"/>
    <x v="2"/>
    <x v="4"/>
    <x v="29"/>
    <x v="0"/>
    <x v="6"/>
    <n v="0"/>
  </r>
  <r>
    <x v="1"/>
    <x v="3"/>
    <x v="3"/>
    <x v="5"/>
    <x v="30"/>
    <x v="0"/>
    <x v="0"/>
    <n v="2.8983799584330363"/>
  </r>
  <r>
    <x v="1"/>
    <x v="3"/>
    <x v="3"/>
    <x v="5"/>
    <x v="30"/>
    <x v="0"/>
    <x v="1"/>
    <n v="7.8809598355717236"/>
  </r>
  <r>
    <x v="1"/>
    <x v="3"/>
    <x v="3"/>
    <x v="5"/>
    <x v="30"/>
    <x v="0"/>
    <x v="2"/>
    <n v="28.155799015223618"/>
  </r>
  <r>
    <x v="1"/>
    <x v="3"/>
    <x v="3"/>
    <x v="5"/>
    <x v="30"/>
    <x v="0"/>
    <x v="3"/>
    <n v="52.415094654089835"/>
  </r>
  <r>
    <x v="1"/>
    <x v="3"/>
    <x v="3"/>
    <x v="5"/>
    <x v="30"/>
    <x v="0"/>
    <x v="4"/>
    <n v="64.651503324106741"/>
  </r>
  <r>
    <x v="1"/>
    <x v="3"/>
    <x v="3"/>
    <x v="5"/>
    <x v="30"/>
    <x v="0"/>
    <x v="5"/>
    <n v="68.555103853128671"/>
  </r>
  <r>
    <x v="1"/>
    <x v="3"/>
    <x v="3"/>
    <x v="5"/>
    <x v="30"/>
    <x v="0"/>
    <x v="6"/>
    <n v="75.59458413482642"/>
  </r>
  <r>
    <x v="1"/>
    <x v="3"/>
    <x v="2"/>
    <x v="4"/>
    <x v="31"/>
    <x v="0"/>
    <x v="0"/>
    <n v="15.122307214464673"/>
  </r>
  <r>
    <x v="1"/>
    <x v="3"/>
    <x v="2"/>
    <x v="4"/>
    <x v="31"/>
    <x v="0"/>
    <x v="1"/>
    <n v="35.735139186743282"/>
  </r>
  <r>
    <x v="1"/>
    <x v="3"/>
    <x v="2"/>
    <x v="4"/>
    <x v="31"/>
    <x v="0"/>
    <x v="2"/>
    <n v="63.098761395086754"/>
  </r>
  <r>
    <x v="1"/>
    <x v="3"/>
    <x v="2"/>
    <x v="4"/>
    <x v="31"/>
    <x v="0"/>
    <x v="3"/>
    <n v="110.71236683057222"/>
  </r>
  <r>
    <x v="1"/>
    <x v="3"/>
    <x v="2"/>
    <x v="4"/>
    <x v="31"/>
    <x v="0"/>
    <x v="4"/>
    <n v="125.72189734726886"/>
  </r>
  <r>
    <x v="1"/>
    <x v="3"/>
    <x v="2"/>
    <x v="4"/>
    <x v="31"/>
    <x v="0"/>
    <x v="5"/>
    <n v="110.84661352825553"/>
  </r>
  <r>
    <x v="1"/>
    <x v="3"/>
    <x v="2"/>
    <x v="4"/>
    <x v="31"/>
    <x v="0"/>
    <x v="6"/>
    <n v="36.799382320709363"/>
  </r>
  <r>
    <x v="1"/>
    <x v="3"/>
    <x v="2"/>
    <x v="4"/>
    <x v="32"/>
    <x v="0"/>
    <x v="0"/>
    <n v="2.0778293159706574E-2"/>
  </r>
  <r>
    <x v="1"/>
    <x v="3"/>
    <x v="2"/>
    <x v="4"/>
    <x v="32"/>
    <x v="0"/>
    <x v="1"/>
    <n v="3.0793788659987595E-2"/>
  </r>
  <r>
    <x v="1"/>
    <x v="3"/>
    <x v="2"/>
    <x v="4"/>
    <x v="32"/>
    <x v="0"/>
    <x v="2"/>
    <n v="4.4283962879929362E-2"/>
  </r>
  <r>
    <x v="1"/>
    <x v="3"/>
    <x v="2"/>
    <x v="4"/>
    <x v="32"/>
    <x v="0"/>
    <x v="3"/>
    <n v="5.4662297634058978E-2"/>
  </r>
  <r>
    <x v="1"/>
    <x v="3"/>
    <x v="2"/>
    <x v="4"/>
    <x v="32"/>
    <x v="0"/>
    <x v="4"/>
    <n v="5.8939556094340199E-2"/>
  </r>
  <r>
    <x v="1"/>
    <x v="3"/>
    <x v="2"/>
    <x v="4"/>
    <x v="32"/>
    <x v="0"/>
    <x v="5"/>
    <n v="6.1763591310365892E-2"/>
  </r>
  <r>
    <x v="1"/>
    <x v="3"/>
    <x v="2"/>
    <x v="4"/>
    <x v="32"/>
    <x v="0"/>
    <x v="6"/>
    <n v="2.3944869376520149E-2"/>
  </r>
  <r>
    <x v="1"/>
    <x v="3"/>
    <x v="2"/>
    <x v="4"/>
    <x v="33"/>
    <x v="0"/>
    <x v="0"/>
    <n v="0"/>
  </r>
  <r>
    <x v="1"/>
    <x v="3"/>
    <x v="2"/>
    <x v="4"/>
    <x v="33"/>
    <x v="0"/>
    <x v="1"/>
    <n v="0"/>
  </r>
  <r>
    <x v="1"/>
    <x v="3"/>
    <x v="2"/>
    <x v="4"/>
    <x v="33"/>
    <x v="0"/>
    <x v="2"/>
    <n v="0"/>
  </r>
  <r>
    <x v="1"/>
    <x v="3"/>
    <x v="2"/>
    <x v="4"/>
    <x v="33"/>
    <x v="0"/>
    <x v="3"/>
    <n v="0"/>
  </r>
  <r>
    <x v="1"/>
    <x v="3"/>
    <x v="2"/>
    <x v="4"/>
    <x v="33"/>
    <x v="0"/>
    <x v="4"/>
    <n v="0"/>
  </r>
  <r>
    <x v="1"/>
    <x v="3"/>
    <x v="2"/>
    <x v="4"/>
    <x v="33"/>
    <x v="0"/>
    <x v="5"/>
    <n v="0"/>
  </r>
  <r>
    <x v="1"/>
    <x v="3"/>
    <x v="2"/>
    <x v="4"/>
    <x v="33"/>
    <x v="0"/>
    <x v="6"/>
    <n v="0"/>
  </r>
  <r>
    <x v="1"/>
    <x v="3"/>
    <x v="2"/>
    <x v="4"/>
    <x v="34"/>
    <x v="0"/>
    <x v="0"/>
    <n v="2.2273967984843321"/>
  </r>
  <r>
    <x v="1"/>
    <x v="3"/>
    <x v="2"/>
    <x v="4"/>
    <x v="34"/>
    <x v="0"/>
    <x v="1"/>
    <n v="4.0278257001670177"/>
  </r>
  <r>
    <x v="1"/>
    <x v="3"/>
    <x v="2"/>
    <x v="4"/>
    <x v="34"/>
    <x v="0"/>
    <x v="2"/>
    <n v="6.2956296150144606"/>
  </r>
  <r>
    <x v="1"/>
    <x v="3"/>
    <x v="2"/>
    <x v="4"/>
    <x v="34"/>
    <x v="0"/>
    <x v="3"/>
    <n v="9.1218447125576034"/>
  </r>
  <r>
    <x v="1"/>
    <x v="3"/>
    <x v="2"/>
    <x v="4"/>
    <x v="34"/>
    <x v="0"/>
    <x v="4"/>
    <n v="9.2246443491246701"/>
  </r>
  <r>
    <x v="1"/>
    <x v="3"/>
    <x v="2"/>
    <x v="4"/>
    <x v="34"/>
    <x v="0"/>
    <x v="5"/>
    <n v="7.4420095405277245"/>
  </r>
  <r>
    <x v="1"/>
    <x v="3"/>
    <x v="2"/>
    <x v="4"/>
    <x v="34"/>
    <x v="0"/>
    <x v="6"/>
    <n v="2.2462890589145079"/>
  </r>
  <r>
    <x v="1"/>
    <x v="3"/>
    <x v="2"/>
    <x v="6"/>
    <x v="35"/>
    <x v="0"/>
    <x v="0"/>
    <n v="0"/>
  </r>
  <r>
    <x v="1"/>
    <x v="3"/>
    <x v="2"/>
    <x v="6"/>
    <x v="35"/>
    <x v="0"/>
    <x v="1"/>
    <n v="0"/>
  </r>
  <r>
    <x v="1"/>
    <x v="3"/>
    <x v="2"/>
    <x v="6"/>
    <x v="35"/>
    <x v="0"/>
    <x v="2"/>
    <n v="0"/>
  </r>
  <r>
    <x v="1"/>
    <x v="3"/>
    <x v="2"/>
    <x v="6"/>
    <x v="35"/>
    <x v="0"/>
    <x v="3"/>
    <n v="0"/>
  </r>
  <r>
    <x v="1"/>
    <x v="3"/>
    <x v="2"/>
    <x v="6"/>
    <x v="35"/>
    <x v="0"/>
    <x v="4"/>
    <n v="0"/>
  </r>
  <r>
    <x v="1"/>
    <x v="3"/>
    <x v="2"/>
    <x v="6"/>
    <x v="35"/>
    <x v="0"/>
    <x v="5"/>
    <n v="0"/>
  </r>
  <r>
    <x v="1"/>
    <x v="3"/>
    <x v="2"/>
    <x v="6"/>
    <x v="35"/>
    <x v="0"/>
    <x v="6"/>
    <n v="0"/>
  </r>
  <r>
    <x v="1"/>
    <x v="3"/>
    <x v="2"/>
    <x v="6"/>
    <x v="36"/>
    <x v="0"/>
    <x v="0"/>
    <n v="0"/>
  </r>
  <r>
    <x v="1"/>
    <x v="3"/>
    <x v="2"/>
    <x v="6"/>
    <x v="36"/>
    <x v="0"/>
    <x v="1"/>
    <n v="0"/>
  </r>
  <r>
    <x v="1"/>
    <x v="3"/>
    <x v="2"/>
    <x v="6"/>
    <x v="36"/>
    <x v="0"/>
    <x v="2"/>
    <n v="0"/>
  </r>
  <r>
    <x v="1"/>
    <x v="3"/>
    <x v="2"/>
    <x v="6"/>
    <x v="36"/>
    <x v="0"/>
    <x v="3"/>
    <n v="0"/>
  </r>
  <r>
    <x v="1"/>
    <x v="3"/>
    <x v="2"/>
    <x v="6"/>
    <x v="36"/>
    <x v="0"/>
    <x v="4"/>
    <n v="0"/>
  </r>
  <r>
    <x v="1"/>
    <x v="3"/>
    <x v="2"/>
    <x v="6"/>
    <x v="36"/>
    <x v="0"/>
    <x v="5"/>
    <n v="0"/>
  </r>
  <r>
    <x v="1"/>
    <x v="3"/>
    <x v="2"/>
    <x v="6"/>
    <x v="36"/>
    <x v="0"/>
    <x v="6"/>
    <n v="0"/>
  </r>
  <r>
    <x v="1"/>
    <x v="3"/>
    <x v="2"/>
    <x v="6"/>
    <x v="37"/>
    <x v="0"/>
    <x v="0"/>
    <n v="0"/>
  </r>
  <r>
    <x v="1"/>
    <x v="3"/>
    <x v="2"/>
    <x v="6"/>
    <x v="37"/>
    <x v="0"/>
    <x v="1"/>
    <n v="0"/>
  </r>
  <r>
    <x v="1"/>
    <x v="3"/>
    <x v="2"/>
    <x v="6"/>
    <x v="37"/>
    <x v="0"/>
    <x v="2"/>
    <n v="0"/>
  </r>
  <r>
    <x v="1"/>
    <x v="3"/>
    <x v="2"/>
    <x v="6"/>
    <x v="37"/>
    <x v="0"/>
    <x v="3"/>
    <n v="0"/>
  </r>
  <r>
    <x v="1"/>
    <x v="3"/>
    <x v="2"/>
    <x v="6"/>
    <x v="37"/>
    <x v="0"/>
    <x v="4"/>
    <n v="0"/>
  </r>
  <r>
    <x v="1"/>
    <x v="3"/>
    <x v="2"/>
    <x v="6"/>
    <x v="37"/>
    <x v="0"/>
    <x v="5"/>
    <n v="0"/>
  </r>
  <r>
    <x v="1"/>
    <x v="3"/>
    <x v="2"/>
    <x v="6"/>
    <x v="37"/>
    <x v="0"/>
    <x v="6"/>
    <n v="0"/>
  </r>
  <r>
    <x v="1"/>
    <x v="3"/>
    <x v="2"/>
    <x v="6"/>
    <x v="38"/>
    <x v="0"/>
    <x v="0"/>
    <n v="7.7784973416025749E-2"/>
  </r>
  <r>
    <x v="1"/>
    <x v="3"/>
    <x v="2"/>
    <x v="6"/>
    <x v="38"/>
    <x v="0"/>
    <x v="1"/>
    <n v="0.21162582918417072"/>
  </r>
  <r>
    <x v="1"/>
    <x v="3"/>
    <x v="2"/>
    <x v="6"/>
    <x v="38"/>
    <x v="0"/>
    <x v="2"/>
    <n v="0.96559315298235693"/>
  </r>
  <r>
    <x v="1"/>
    <x v="3"/>
    <x v="2"/>
    <x v="6"/>
    <x v="38"/>
    <x v="0"/>
    <x v="3"/>
    <n v="2.6371939567282796"/>
  </r>
  <r>
    <x v="1"/>
    <x v="3"/>
    <x v="2"/>
    <x v="6"/>
    <x v="38"/>
    <x v="0"/>
    <x v="4"/>
    <n v="5.3385480884416596"/>
  </r>
  <r>
    <x v="1"/>
    <x v="3"/>
    <x v="2"/>
    <x v="6"/>
    <x v="38"/>
    <x v="0"/>
    <x v="5"/>
    <n v="9.1276086798240836"/>
  </r>
  <r>
    <x v="1"/>
    <x v="3"/>
    <x v="2"/>
    <x v="6"/>
    <x v="38"/>
    <x v="0"/>
    <x v="6"/>
    <n v="9.0489617970281593"/>
  </r>
  <r>
    <x v="1"/>
    <x v="3"/>
    <x v="3"/>
    <x v="5"/>
    <x v="39"/>
    <x v="0"/>
    <x v="0"/>
    <n v="1.3647128116726672"/>
  </r>
  <r>
    <x v="1"/>
    <x v="3"/>
    <x v="3"/>
    <x v="5"/>
    <x v="39"/>
    <x v="0"/>
    <x v="1"/>
    <n v="2.6589267099143097"/>
  </r>
  <r>
    <x v="1"/>
    <x v="3"/>
    <x v="3"/>
    <x v="5"/>
    <x v="39"/>
    <x v="0"/>
    <x v="2"/>
    <n v="4.1657169917146168"/>
  </r>
  <r>
    <x v="1"/>
    <x v="3"/>
    <x v="3"/>
    <x v="5"/>
    <x v="39"/>
    <x v="0"/>
    <x v="3"/>
    <n v="5.7808357478175987"/>
  </r>
  <r>
    <x v="1"/>
    <x v="3"/>
    <x v="3"/>
    <x v="5"/>
    <x v="39"/>
    <x v="0"/>
    <x v="4"/>
    <n v="7.7829810717076686"/>
  </r>
  <r>
    <x v="1"/>
    <x v="3"/>
    <x v="3"/>
    <x v="5"/>
    <x v="39"/>
    <x v="0"/>
    <x v="5"/>
    <n v="9.8518987870235435"/>
  </r>
  <r>
    <x v="1"/>
    <x v="3"/>
    <x v="3"/>
    <x v="5"/>
    <x v="39"/>
    <x v="0"/>
    <x v="6"/>
    <n v="10.491853172920971"/>
  </r>
  <r>
    <x v="1"/>
    <x v="3"/>
    <x v="2"/>
    <x v="6"/>
    <x v="40"/>
    <x v="0"/>
    <x v="0"/>
    <n v="0.19450784305558405"/>
  </r>
  <r>
    <x v="1"/>
    <x v="3"/>
    <x v="2"/>
    <x v="6"/>
    <x v="40"/>
    <x v="0"/>
    <x v="1"/>
    <n v="0.54105987797728028"/>
  </r>
  <r>
    <x v="1"/>
    <x v="3"/>
    <x v="2"/>
    <x v="6"/>
    <x v="40"/>
    <x v="0"/>
    <x v="2"/>
    <n v="1.8379339281442766"/>
  </r>
  <r>
    <x v="1"/>
    <x v="3"/>
    <x v="2"/>
    <x v="6"/>
    <x v="40"/>
    <x v="0"/>
    <x v="3"/>
    <n v="5.1028528669581048"/>
  </r>
  <r>
    <x v="1"/>
    <x v="3"/>
    <x v="2"/>
    <x v="6"/>
    <x v="40"/>
    <x v="0"/>
    <x v="4"/>
    <n v="10.692112954571122"/>
  </r>
  <r>
    <x v="1"/>
    <x v="3"/>
    <x v="2"/>
    <x v="6"/>
    <x v="40"/>
    <x v="0"/>
    <x v="5"/>
    <n v="15.63597817280122"/>
  </r>
  <r>
    <x v="1"/>
    <x v="3"/>
    <x v="2"/>
    <x v="6"/>
    <x v="40"/>
    <x v="0"/>
    <x v="6"/>
    <n v="16.593319452625391"/>
  </r>
  <r>
    <x v="1"/>
    <x v="3"/>
    <x v="2"/>
    <x v="6"/>
    <x v="41"/>
    <x v="0"/>
    <x v="0"/>
    <n v="0.11796786723010803"/>
  </r>
  <r>
    <x v="1"/>
    <x v="3"/>
    <x v="2"/>
    <x v="6"/>
    <x v="41"/>
    <x v="0"/>
    <x v="1"/>
    <n v="0.32060642036127163"/>
  </r>
  <r>
    <x v="1"/>
    <x v="3"/>
    <x v="2"/>
    <x v="6"/>
    <x v="41"/>
    <x v="0"/>
    <x v="2"/>
    <n v="1.101278041914699"/>
  </r>
  <r>
    <x v="1"/>
    <x v="3"/>
    <x v="2"/>
    <x v="6"/>
    <x v="41"/>
    <x v="0"/>
    <x v="3"/>
    <n v="3.0681662391228195"/>
  </r>
  <r>
    <x v="1"/>
    <x v="3"/>
    <x v="2"/>
    <x v="6"/>
    <x v="41"/>
    <x v="0"/>
    <x v="4"/>
    <n v="6.2962444886611166"/>
  </r>
  <r>
    <x v="1"/>
    <x v="3"/>
    <x v="2"/>
    <x v="6"/>
    <x v="41"/>
    <x v="0"/>
    <x v="5"/>
    <n v="9.1420033563642704"/>
  </r>
  <r>
    <x v="1"/>
    <x v="3"/>
    <x v="2"/>
    <x v="6"/>
    <x v="41"/>
    <x v="0"/>
    <x v="6"/>
    <n v="9.6485441726892809"/>
  </r>
  <r>
    <x v="1"/>
    <x v="3"/>
    <x v="2"/>
    <x v="6"/>
    <x v="42"/>
    <x v="0"/>
    <x v="0"/>
    <n v="0"/>
  </r>
  <r>
    <x v="1"/>
    <x v="3"/>
    <x v="2"/>
    <x v="6"/>
    <x v="42"/>
    <x v="0"/>
    <x v="1"/>
    <n v="0"/>
  </r>
  <r>
    <x v="1"/>
    <x v="3"/>
    <x v="2"/>
    <x v="6"/>
    <x v="42"/>
    <x v="0"/>
    <x v="2"/>
    <n v="0"/>
  </r>
  <r>
    <x v="1"/>
    <x v="3"/>
    <x v="2"/>
    <x v="6"/>
    <x v="42"/>
    <x v="0"/>
    <x v="3"/>
    <n v="0"/>
  </r>
  <r>
    <x v="1"/>
    <x v="3"/>
    <x v="2"/>
    <x v="6"/>
    <x v="42"/>
    <x v="0"/>
    <x v="4"/>
    <n v="0"/>
  </r>
  <r>
    <x v="1"/>
    <x v="3"/>
    <x v="2"/>
    <x v="6"/>
    <x v="42"/>
    <x v="0"/>
    <x v="5"/>
    <n v="0"/>
  </r>
  <r>
    <x v="1"/>
    <x v="3"/>
    <x v="2"/>
    <x v="6"/>
    <x v="42"/>
    <x v="0"/>
    <x v="6"/>
    <n v="0"/>
  </r>
  <r>
    <x v="1"/>
    <x v="3"/>
    <x v="2"/>
    <x v="6"/>
    <x v="43"/>
    <x v="0"/>
    <x v="0"/>
    <n v="0"/>
  </r>
  <r>
    <x v="1"/>
    <x v="3"/>
    <x v="2"/>
    <x v="6"/>
    <x v="43"/>
    <x v="0"/>
    <x v="1"/>
    <n v="0"/>
  </r>
  <r>
    <x v="1"/>
    <x v="3"/>
    <x v="2"/>
    <x v="6"/>
    <x v="43"/>
    <x v="0"/>
    <x v="2"/>
    <n v="0"/>
  </r>
  <r>
    <x v="1"/>
    <x v="3"/>
    <x v="2"/>
    <x v="6"/>
    <x v="43"/>
    <x v="0"/>
    <x v="3"/>
    <n v="0"/>
  </r>
  <r>
    <x v="1"/>
    <x v="3"/>
    <x v="2"/>
    <x v="6"/>
    <x v="43"/>
    <x v="0"/>
    <x v="4"/>
    <n v="0"/>
  </r>
  <r>
    <x v="1"/>
    <x v="3"/>
    <x v="2"/>
    <x v="6"/>
    <x v="43"/>
    <x v="0"/>
    <x v="5"/>
    <n v="0"/>
  </r>
  <r>
    <x v="1"/>
    <x v="3"/>
    <x v="2"/>
    <x v="6"/>
    <x v="43"/>
    <x v="0"/>
    <x v="6"/>
    <n v="0"/>
  </r>
  <r>
    <x v="1"/>
    <x v="3"/>
    <x v="4"/>
    <x v="7"/>
    <x v="44"/>
    <x v="0"/>
    <x v="0"/>
    <n v="0"/>
  </r>
  <r>
    <x v="1"/>
    <x v="3"/>
    <x v="4"/>
    <x v="7"/>
    <x v="44"/>
    <x v="0"/>
    <x v="1"/>
    <n v="0"/>
  </r>
  <r>
    <x v="1"/>
    <x v="3"/>
    <x v="4"/>
    <x v="7"/>
    <x v="44"/>
    <x v="0"/>
    <x v="2"/>
    <n v="0"/>
  </r>
  <r>
    <x v="1"/>
    <x v="3"/>
    <x v="4"/>
    <x v="7"/>
    <x v="44"/>
    <x v="0"/>
    <x v="3"/>
    <n v="0"/>
  </r>
  <r>
    <x v="1"/>
    <x v="3"/>
    <x v="4"/>
    <x v="7"/>
    <x v="44"/>
    <x v="0"/>
    <x v="4"/>
    <n v="0"/>
  </r>
  <r>
    <x v="1"/>
    <x v="3"/>
    <x v="4"/>
    <x v="7"/>
    <x v="44"/>
    <x v="0"/>
    <x v="5"/>
    <n v="0"/>
  </r>
  <r>
    <x v="1"/>
    <x v="3"/>
    <x v="4"/>
    <x v="7"/>
    <x v="44"/>
    <x v="0"/>
    <x v="6"/>
    <n v="0"/>
  </r>
  <r>
    <x v="1"/>
    <x v="3"/>
    <x v="4"/>
    <x v="7"/>
    <x v="45"/>
    <x v="0"/>
    <x v="0"/>
    <n v="1.4438417322319459E-5"/>
  </r>
  <r>
    <x v="1"/>
    <x v="3"/>
    <x v="4"/>
    <x v="7"/>
    <x v="45"/>
    <x v="0"/>
    <x v="1"/>
    <n v="3.5833622835952884E-5"/>
  </r>
  <r>
    <x v="1"/>
    <x v="3"/>
    <x v="4"/>
    <x v="7"/>
    <x v="45"/>
    <x v="0"/>
    <x v="2"/>
    <n v="7.682472395802746E-5"/>
  </r>
  <r>
    <x v="1"/>
    <x v="3"/>
    <x v="4"/>
    <x v="7"/>
    <x v="45"/>
    <x v="0"/>
    <x v="3"/>
    <n v="1.6217939801599007E-4"/>
  </r>
  <r>
    <x v="1"/>
    <x v="3"/>
    <x v="4"/>
    <x v="7"/>
    <x v="45"/>
    <x v="0"/>
    <x v="4"/>
    <n v="3.4165589095662045E-4"/>
  </r>
  <r>
    <x v="1"/>
    <x v="3"/>
    <x v="4"/>
    <x v="7"/>
    <x v="45"/>
    <x v="0"/>
    <x v="5"/>
    <n v="6.5707664625464174E-4"/>
  </r>
  <r>
    <x v="1"/>
    <x v="3"/>
    <x v="4"/>
    <x v="7"/>
    <x v="45"/>
    <x v="0"/>
    <x v="6"/>
    <n v="1.2129058545395117E-3"/>
  </r>
  <r>
    <x v="1"/>
    <x v="3"/>
    <x v="4"/>
    <x v="7"/>
    <x v="46"/>
    <x v="0"/>
    <x v="0"/>
    <n v="0"/>
  </r>
  <r>
    <x v="1"/>
    <x v="3"/>
    <x v="4"/>
    <x v="7"/>
    <x v="46"/>
    <x v="0"/>
    <x v="1"/>
    <n v="0"/>
  </r>
  <r>
    <x v="1"/>
    <x v="3"/>
    <x v="4"/>
    <x v="7"/>
    <x v="46"/>
    <x v="0"/>
    <x v="2"/>
    <n v="0"/>
  </r>
  <r>
    <x v="1"/>
    <x v="3"/>
    <x v="4"/>
    <x v="7"/>
    <x v="46"/>
    <x v="0"/>
    <x v="3"/>
    <n v="0"/>
  </r>
  <r>
    <x v="1"/>
    <x v="3"/>
    <x v="4"/>
    <x v="7"/>
    <x v="46"/>
    <x v="0"/>
    <x v="4"/>
    <n v="0"/>
  </r>
  <r>
    <x v="1"/>
    <x v="3"/>
    <x v="4"/>
    <x v="7"/>
    <x v="46"/>
    <x v="0"/>
    <x v="5"/>
    <n v="0"/>
  </r>
  <r>
    <x v="1"/>
    <x v="3"/>
    <x v="4"/>
    <x v="7"/>
    <x v="46"/>
    <x v="0"/>
    <x v="6"/>
    <n v="0"/>
  </r>
  <r>
    <x v="1"/>
    <x v="3"/>
    <x v="4"/>
    <x v="7"/>
    <x v="47"/>
    <x v="0"/>
    <x v="0"/>
    <n v="0"/>
  </r>
  <r>
    <x v="1"/>
    <x v="3"/>
    <x v="4"/>
    <x v="7"/>
    <x v="47"/>
    <x v="0"/>
    <x v="1"/>
    <n v="0"/>
  </r>
  <r>
    <x v="1"/>
    <x v="3"/>
    <x v="4"/>
    <x v="7"/>
    <x v="47"/>
    <x v="0"/>
    <x v="2"/>
    <n v="0"/>
  </r>
  <r>
    <x v="1"/>
    <x v="3"/>
    <x v="4"/>
    <x v="7"/>
    <x v="47"/>
    <x v="0"/>
    <x v="3"/>
    <n v="0"/>
  </r>
  <r>
    <x v="1"/>
    <x v="3"/>
    <x v="4"/>
    <x v="7"/>
    <x v="47"/>
    <x v="0"/>
    <x v="4"/>
    <n v="0"/>
  </r>
  <r>
    <x v="1"/>
    <x v="3"/>
    <x v="4"/>
    <x v="7"/>
    <x v="47"/>
    <x v="0"/>
    <x v="5"/>
    <n v="0"/>
  </r>
  <r>
    <x v="1"/>
    <x v="3"/>
    <x v="4"/>
    <x v="7"/>
    <x v="47"/>
    <x v="0"/>
    <x v="6"/>
    <n v="0"/>
  </r>
  <r>
    <x v="1"/>
    <x v="3"/>
    <x v="4"/>
    <x v="7"/>
    <x v="48"/>
    <x v="0"/>
    <x v="0"/>
    <n v="0"/>
  </r>
  <r>
    <x v="1"/>
    <x v="3"/>
    <x v="4"/>
    <x v="7"/>
    <x v="48"/>
    <x v="0"/>
    <x v="1"/>
    <n v="0"/>
  </r>
  <r>
    <x v="1"/>
    <x v="3"/>
    <x v="4"/>
    <x v="7"/>
    <x v="48"/>
    <x v="0"/>
    <x v="2"/>
    <n v="0"/>
  </r>
  <r>
    <x v="1"/>
    <x v="3"/>
    <x v="4"/>
    <x v="7"/>
    <x v="48"/>
    <x v="0"/>
    <x v="3"/>
    <n v="0"/>
  </r>
  <r>
    <x v="1"/>
    <x v="3"/>
    <x v="4"/>
    <x v="7"/>
    <x v="48"/>
    <x v="0"/>
    <x v="4"/>
    <n v="0"/>
  </r>
  <r>
    <x v="1"/>
    <x v="3"/>
    <x v="4"/>
    <x v="7"/>
    <x v="48"/>
    <x v="0"/>
    <x v="5"/>
    <n v="0"/>
  </r>
  <r>
    <x v="1"/>
    <x v="3"/>
    <x v="4"/>
    <x v="7"/>
    <x v="48"/>
    <x v="0"/>
    <x v="6"/>
    <n v="0"/>
  </r>
  <r>
    <x v="1"/>
    <x v="3"/>
    <x v="4"/>
    <x v="7"/>
    <x v="49"/>
    <x v="0"/>
    <x v="0"/>
    <n v="0"/>
  </r>
  <r>
    <x v="1"/>
    <x v="3"/>
    <x v="4"/>
    <x v="7"/>
    <x v="49"/>
    <x v="0"/>
    <x v="1"/>
    <n v="0"/>
  </r>
  <r>
    <x v="1"/>
    <x v="3"/>
    <x v="4"/>
    <x v="7"/>
    <x v="49"/>
    <x v="0"/>
    <x v="2"/>
    <n v="0"/>
  </r>
  <r>
    <x v="1"/>
    <x v="3"/>
    <x v="4"/>
    <x v="7"/>
    <x v="49"/>
    <x v="0"/>
    <x v="3"/>
    <n v="0"/>
  </r>
  <r>
    <x v="1"/>
    <x v="3"/>
    <x v="4"/>
    <x v="7"/>
    <x v="49"/>
    <x v="0"/>
    <x v="4"/>
    <n v="0"/>
  </r>
  <r>
    <x v="1"/>
    <x v="3"/>
    <x v="4"/>
    <x v="7"/>
    <x v="49"/>
    <x v="0"/>
    <x v="5"/>
    <n v="0"/>
  </r>
  <r>
    <x v="1"/>
    <x v="3"/>
    <x v="4"/>
    <x v="7"/>
    <x v="49"/>
    <x v="0"/>
    <x v="6"/>
    <n v="0"/>
  </r>
  <r>
    <x v="1"/>
    <x v="3"/>
    <x v="4"/>
    <x v="7"/>
    <x v="50"/>
    <x v="0"/>
    <x v="0"/>
    <n v="0"/>
  </r>
  <r>
    <x v="1"/>
    <x v="3"/>
    <x v="4"/>
    <x v="7"/>
    <x v="50"/>
    <x v="0"/>
    <x v="1"/>
    <n v="0"/>
  </r>
  <r>
    <x v="1"/>
    <x v="3"/>
    <x v="4"/>
    <x v="7"/>
    <x v="50"/>
    <x v="0"/>
    <x v="2"/>
    <n v="0"/>
  </r>
  <r>
    <x v="1"/>
    <x v="3"/>
    <x v="4"/>
    <x v="7"/>
    <x v="50"/>
    <x v="0"/>
    <x v="3"/>
    <n v="0"/>
  </r>
  <r>
    <x v="1"/>
    <x v="3"/>
    <x v="4"/>
    <x v="7"/>
    <x v="50"/>
    <x v="0"/>
    <x v="4"/>
    <n v="0"/>
  </r>
  <r>
    <x v="1"/>
    <x v="3"/>
    <x v="4"/>
    <x v="7"/>
    <x v="50"/>
    <x v="0"/>
    <x v="5"/>
    <n v="0"/>
  </r>
  <r>
    <x v="1"/>
    <x v="3"/>
    <x v="4"/>
    <x v="7"/>
    <x v="50"/>
    <x v="0"/>
    <x v="6"/>
    <n v="0"/>
  </r>
  <r>
    <x v="1"/>
    <x v="3"/>
    <x v="5"/>
    <x v="8"/>
    <x v="51"/>
    <x v="0"/>
    <x v="0"/>
    <n v="6.3533457370191851E-3"/>
  </r>
  <r>
    <x v="1"/>
    <x v="3"/>
    <x v="5"/>
    <x v="8"/>
    <x v="51"/>
    <x v="0"/>
    <x v="1"/>
    <n v="1.2239504447591816E-2"/>
  </r>
  <r>
    <x v="1"/>
    <x v="3"/>
    <x v="5"/>
    <x v="8"/>
    <x v="51"/>
    <x v="0"/>
    <x v="2"/>
    <n v="2.3798504276744504E-2"/>
  </r>
  <r>
    <x v="1"/>
    <x v="3"/>
    <x v="5"/>
    <x v="8"/>
    <x v="51"/>
    <x v="0"/>
    <x v="3"/>
    <n v="5.4678755892917562E-2"/>
  </r>
  <r>
    <x v="1"/>
    <x v="3"/>
    <x v="5"/>
    <x v="8"/>
    <x v="51"/>
    <x v="0"/>
    <x v="4"/>
    <n v="9.0100922036304348E-2"/>
  </r>
  <r>
    <x v="1"/>
    <x v="3"/>
    <x v="5"/>
    <x v="8"/>
    <x v="51"/>
    <x v="0"/>
    <x v="5"/>
    <n v="8.5489845337168399E-2"/>
  </r>
  <r>
    <x v="1"/>
    <x v="3"/>
    <x v="5"/>
    <x v="8"/>
    <x v="51"/>
    <x v="0"/>
    <x v="6"/>
    <n v="6.4511070057115025E-2"/>
  </r>
  <r>
    <x v="1"/>
    <x v="3"/>
    <x v="3"/>
    <x v="5"/>
    <x v="52"/>
    <x v="0"/>
    <x v="0"/>
    <n v="0"/>
  </r>
  <r>
    <x v="1"/>
    <x v="3"/>
    <x v="3"/>
    <x v="5"/>
    <x v="52"/>
    <x v="0"/>
    <x v="1"/>
    <n v="0"/>
  </r>
  <r>
    <x v="1"/>
    <x v="3"/>
    <x v="3"/>
    <x v="5"/>
    <x v="52"/>
    <x v="0"/>
    <x v="2"/>
    <n v="0"/>
  </r>
  <r>
    <x v="1"/>
    <x v="3"/>
    <x v="3"/>
    <x v="5"/>
    <x v="52"/>
    <x v="0"/>
    <x v="3"/>
    <n v="5.0565702960646683E-3"/>
  </r>
  <r>
    <x v="1"/>
    <x v="3"/>
    <x v="3"/>
    <x v="5"/>
    <x v="52"/>
    <x v="0"/>
    <x v="4"/>
    <n v="2.3400757785473434E-2"/>
  </r>
  <r>
    <x v="1"/>
    <x v="3"/>
    <x v="3"/>
    <x v="5"/>
    <x v="52"/>
    <x v="0"/>
    <x v="5"/>
    <n v="5.8855795838103776E-2"/>
  </r>
  <r>
    <x v="1"/>
    <x v="3"/>
    <x v="3"/>
    <x v="5"/>
    <x v="52"/>
    <x v="0"/>
    <x v="6"/>
    <n v="0"/>
  </r>
  <r>
    <x v="1"/>
    <x v="3"/>
    <x v="5"/>
    <x v="8"/>
    <x v="53"/>
    <x v="0"/>
    <x v="0"/>
    <n v="8.2347493868232535E-2"/>
  </r>
  <r>
    <x v="1"/>
    <x v="3"/>
    <x v="5"/>
    <x v="8"/>
    <x v="53"/>
    <x v="0"/>
    <x v="1"/>
    <n v="0.19646268758571156"/>
  </r>
  <r>
    <x v="1"/>
    <x v="3"/>
    <x v="5"/>
    <x v="8"/>
    <x v="53"/>
    <x v="0"/>
    <x v="2"/>
    <n v="0.40768249832201869"/>
  </r>
  <r>
    <x v="1"/>
    <x v="3"/>
    <x v="5"/>
    <x v="8"/>
    <x v="53"/>
    <x v="0"/>
    <x v="3"/>
    <n v="0.8657335033668121"/>
  </r>
  <r>
    <x v="1"/>
    <x v="3"/>
    <x v="5"/>
    <x v="8"/>
    <x v="53"/>
    <x v="0"/>
    <x v="4"/>
    <n v="1.6903807124103007"/>
  </r>
  <r>
    <x v="1"/>
    <x v="3"/>
    <x v="5"/>
    <x v="8"/>
    <x v="53"/>
    <x v="0"/>
    <x v="5"/>
    <n v="1.8868979849010867"/>
  </r>
  <r>
    <x v="1"/>
    <x v="3"/>
    <x v="5"/>
    <x v="8"/>
    <x v="53"/>
    <x v="0"/>
    <x v="6"/>
    <n v="1.4756293404937613"/>
  </r>
  <r>
    <x v="1"/>
    <x v="3"/>
    <x v="4"/>
    <x v="7"/>
    <x v="54"/>
    <x v="0"/>
    <x v="0"/>
    <n v="0"/>
  </r>
  <r>
    <x v="1"/>
    <x v="3"/>
    <x v="4"/>
    <x v="7"/>
    <x v="54"/>
    <x v="0"/>
    <x v="1"/>
    <n v="0"/>
  </r>
  <r>
    <x v="1"/>
    <x v="3"/>
    <x v="4"/>
    <x v="7"/>
    <x v="54"/>
    <x v="0"/>
    <x v="2"/>
    <n v="0"/>
  </r>
  <r>
    <x v="1"/>
    <x v="3"/>
    <x v="4"/>
    <x v="7"/>
    <x v="54"/>
    <x v="0"/>
    <x v="3"/>
    <n v="0"/>
  </r>
  <r>
    <x v="1"/>
    <x v="3"/>
    <x v="4"/>
    <x v="7"/>
    <x v="54"/>
    <x v="0"/>
    <x v="4"/>
    <n v="0"/>
  </r>
  <r>
    <x v="1"/>
    <x v="3"/>
    <x v="4"/>
    <x v="7"/>
    <x v="54"/>
    <x v="0"/>
    <x v="5"/>
    <n v="0"/>
  </r>
  <r>
    <x v="1"/>
    <x v="3"/>
    <x v="4"/>
    <x v="7"/>
    <x v="54"/>
    <x v="0"/>
    <x v="6"/>
    <n v="0"/>
  </r>
  <r>
    <x v="1"/>
    <x v="3"/>
    <x v="4"/>
    <x v="7"/>
    <x v="55"/>
    <x v="0"/>
    <x v="0"/>
    <n v="2.4358090367229992E-5"/>
  </r>
  <r>
    <x v="1"/>
    <x v="3"/>
    <x v="4"/>
    <x v="7"/>
    <x v="55"/>
    <x v="0"/>
    <x v="1"/>
    <n v="8.2632843441740676E-5"/>
  </r>
  <r>
    <x v="1"/>
    <x v="3"/>
    <x v="4"/>
    <x v="7"/>
    <x v="55"/>
    <x v="0"/>
    <x v="2"/>
    <n v="2.3338905457503036E-4"/>
  </r>
  <r>
    <x v="1"/>
    <x v="3"/>
    <x v="4"/>
    <x v="7"/>
    <x v="55"/>
    <x v="0"/>
    <x v="3"/>
    <n v="6.8843322669751808E-4"/>
  </r>
  <r>
    <x v="1"/>
    <x v="3"/>
    <x v="4"/>
    <x v="7"/>
    <x v="55"/>
    <x v="0"/>
    <x v="4"/>
    <n v="2.0039038622276851E-3"/>
  </r>
  <r>
    <x v="1"/>
    <x v="3"/>
    <x v="4"/>
    <x v="7"/>
    <x v="55"/>
    <x v="0"/>
    <x v="5"/>
    <n v="4.7019816491514713E-3"/>
  </r>
  <r>
    <x v="1"/>
    <x v="3"/>
    <x v="4"/>
    <x v="7"/>
    <x v="55"/>
    <x v="0"/>
    <x v="6"/>
    <n v="1.0497741018563473E-2"/>
  </r>
  <r>
    <x v="1"/>
    <x v="3"/>
    <x v="4"/>
    <x v="7"/>
    <x v="56"/>
    <x v="0"/>
    <x v="0"/>
    <n v="0"/>
  </r>
  <r>
    <x v="1"/>
    <x v="3"/>
    <x v="4"/>
    <x v="7"/>
    <x v="56"/>
    <x v="0"/>
    <x v="1"/>
    <n v="0"/>
  </r>
  <r>
    <x v="1"/>
    <x v="3"/>
    <x v="4"/>
    <x v="7"/>
    <x v="56"/>
    <x v="0"/>
    <x v="2"/>
    <n v="0"/>
  </r>
  <r>
    <x v="1"/>
    <x v="3"/>
    <x v="4"/>
    <x v="7"/>
    <x v="56"/>
    <x v="0"/>
    <x v="3"/>
    <n v="0"/>
  </r>
  <r>
    <x v="1"/>
    <x v="3"/>
    <x v="4"/>
    <x v="7"/>
    <x v="56"/>
    <x v="0"/>
    <x v="4"/>
    <n v="0"/>
  </r>
  <r>
    <x v="1"/>
    <x v="3"/>
    <x v="4"/>
    <x v="7"/>
    <x v="56"/>
    <x v="0"/>
    <x v="5"/>
    <n v="0"/>
  </r>
  <r>
    <x v="1"/>
    <x v="3"/>
    <x v="4"/>
    <x v="7"/>
    <x v="56"/>
    <x v="0"/>
    <x v="6"/>
    <n v="0"/>
  </r>
  <r>
    <x v="1"/>
    <x v="3"/>
    <x v="4"/>
    <x v="7"/>
    <x v="57"/>
    <x v="0"/>
    <x v="0"/>
    <n v="0"/>
  </r>
  <r>
    <x v="1"/>
    <x v="3"/>
    <x v="4"/>
    <x v="7"/>
    <x v="57"/>
    <x v="0"/>
    <x v="1"/>
    <n v="0"/>
  </r>
  <r>
    <x v="1"/>
    <x v="3"/>
    <x v="4"/>
    <x v="7"/>
    <x v="57"/>
    <x v="0"/>
    <x v="2"/>
    <n v="0"/>
  </r>
  <r>
    <x v="1"/>
    <x v="3"/>
    <x v="4"/>
    <x v="7"/>
    <x v="57"/>
    <x v="0"/>
    <x v="3"/>
    <n v="0"/>
  </r>
  <r>
    <x v="1"/>
    <x v="3"/>
    <x v="4"/>
    <x v="7"/>
    <x v="57"/>
    <x v="0"/>
    <x v="4"/>
    <n v="0"/>
  </r>
  <r>
    <x v="1"/>
    <x v="3"/>
    <x v="4"/>
    <x v="7"/>
    <x v="57"/>
    <x v="0"/>
    <x v="5"/>
    <n v="0"/>
  </r>
  <r>
    <x v="1"/>
    <x v="3"/>
    <x v="4"/>
    <x v="7"/>
    <x v="57"/>
    <x v="0"/>
    <x v="6"/>
    <n v="0"/>
  </r>
  <r>
    <x v="1"/>
    <x v="3"/>
    <x v="4"/>
    <x v="7"/>
    <x v="58"/>
    <x v="0"/>
    <x v="0"/>
    <n v="0"/>
  </r>
  <r>
    <x v="1"/>
    <x v="3"/>
    <x v="4"/>
    <x v="7"/>
    <x v="58"/>
    <x v="0"/>
    <x v="1"/>
    <n v="0"/>
  </r>
  <r>
    <x v="1"/>
    <x v="3"/>
    <x v="4"/>
    <x v="7"/>
    <x v="58"/>
    <x v="0"/>
    <x v="2"/>
    <n v="0"/>
  </r>
  <r>
    <x v="1"/>
    <x v="3"/>
    <x v="4"/>
    <x v="7"/>
    <x v="58"/>
    <x v="0"/>
    <x v="3"/>
    <n v="0"/>
  </r>
  <r>
    <x v="1"/>
    <x v="3"/>
    <x v="4"/>
    <x v="7"/>
    <x v="58"/>
    <x v="0"/>
    <x v="4"/>
    <n v="0"/>
  </r>
  <r>
    <x v="1"/>
    <x v="3"/>
    <x v="4"/>
    <x v="7"/>
    <x v="58"/>
    <x v="0"/>
    <x v="5"/>
    <n v="0"/>
  </r>
  <r>
    <x v="1"/>
    <x v="3"/>
    <x v="4"/>
    <x v="7"/>
    <x v="58"/>
    <x v="0"/>
    <x v="6"/>
    <n v="0"/>
  </r>
  <r>
    <x v="1"/>
    <x v="3"/>
    <x v="4"/>
    <x v="7"/>
    <x v="59"/>
    <x v="0"/>
    <x v="0"/>
    <n v="0"/>
  </r>
  <r>
    <x v="1"/>
    <x v="3"/>
    <x v="4"/>
    <x v="7"/>
    <x v="59"/>
    <x v="0"/>
    <x v="1"/>
    <n v="0"/>
  </r>
  <r>
    <x v="1"/>
    <x v="3"/>
    <x v="4"/>
    <x v="7"/>
    <x v="59"/>
    <x v="0"/>
    <x v="2"/>
    <n v="0"/>
  </r>
  <r>
    <x v="1"/>
    <x v="3"/>
    <x v="4"/>
    <x v="7"/>
    <x v="59"/>
    <x v="0"/>
    <x v="3"/>
    <n v="0"/>
  </r>
  <r>
    <x v="1"/>
    <x v="3"/>
    <x v="4"/>
    <x v="7"/>
    <x v="59"/>
    <x v="0"/>
    <x v="4"/>
    <n v="0"/>
  </r>
  <r>
    <x v="1"/>
    <x v="3"/>
    <x v="4"/>
    <x v="7"/>
    <x v="59"/>
    <x v="0"/>
    <x v="5"/>
    <n v="0"/>
  </r>
  <r>
    <x v="1"/>
    <x v="3"/>
    <x v="4"/>
    <x v="7"/>
    <x v="59"/>
    <x v="0"/>
    <x v="6"/>
    <n v="0"/>
  </r>
  <r>
    <x v="1"/>
    <x v="3"/>
    <x v="4"/>
    <x v="7"/>
    <x v="60"/>
    <x v="0"/>
    <x v="0"/>
    <n v="0"/>
  </r>
  <r>
    <x v="1"/>
    <x v="3"/>
    <x v="4"/>
    <x v="7"/>
    <x v="60"/>
    <x v="0"/>
    <x v="1"/>
    <n v="0"/>
  </r>
  <r>
    <x v="1"/>
    <x v="3"/>
    <x v="4"/>
    <x v="7"/>
    <x v="60"/>
    <x v="0"/>
    <x v="2"/>
    <n v="0"/>
  </r>
  <r>
    <x v="1"/>
    <x v="3"/>
    <x v="4"/>
    <x v="7"/>
    <x v="60"/>
    <x v="0"/>
    <x v="3"/>
    <n v="0"/>
  </r>
  <r>
    <x v="1"/>
    <x v="3"/>
    <x v="4"/>
    <x v="7"/>
    <x v="60"/>
    <x v="0"/>
    <x v="4"/>
    <n v="0"/>
  </r>
  <r>
    <x v="1"/>
    <x v="3"/>
    <x v="4"/>
    <x v="7"/>
    <x v="60"/>
    <x v="0"/>
    <x v="5"/>
    <n v="0"/>
  </r>
  <r>
    <x v="1"/>
    <x v="3"/>
    <x v="4"/>
    <x v="7"/>
    <x v="60"/>
    <x v="0"/>
    <x v="6"/>
    <n v="0"/>
  </r>
  <r>
    <x v="1"/>
    <x v="3"/>
    <x v="4"/>
    <x v="7"/>
    <x v="61"/>
    <x v="0"/>
    <x v="0"/>
    <n v="0"/>
  </r>
  <r>
    <x v="1"/>
    <x v="3"/>
    <x v="4"/>
    <x v="7"/>
    <x v="61"/>
    <x v="0"/>
    <x v="1"/>
    <n v="0"/>
  </r>
  <r>
    <x v="1"/>
    <x v="3"/>
    <x v="4"/>
    <x v="7"/>
    <x v="61"/>
    <x v="0"/>
    <x v="2"/>
    <n v="0"/>
  </r>
  <r>
    <x v="1"/>
    <x v="3"/>
    <x v="4"/>
    <x v="7"/>
    <x v="61"/>
    <x v="0"/>
    <x v="3"/>
    <n v="0"/>
  </r>
  <r>
    <x v="1"/>
    <x v="3"/>
    <x v="4"/>
    <x v="7"/>
    <x v="61"/>
    <x v="0"/>
    <x v="4"/>
    <n v="0"/>
  </r>
  <r>
    <x v="1"/>
    <x v="3"/>
    <x v="4"/>
    <x v="7"/>
    <x v="61"/>
    <x v="0"/>
    <x v="5"/>
    <n v="0"/>
  </r>
  <r>
    <x v="1"/>
    <x v="3"/>
    <x v="4"/>
    <x v="7"/>
    <x v="61"/>
    <x v="0"/>
    <x v="6"/>
    <n v="0"/>
  </r>
  <r>
    <x v="1"/>
    <x v="3"/>
    <x v="4"/>
    <x v="7"/>
    <x v="62"/>
    <x v="0"/>
    <x v="0"/>
    <n v="0"/>
  </r>
  <r>
    <x v="1"/>
    <x v="3"/>
    <x v="4"/>
    <x v="7"/>
    <x v="62"/>
    <x v="0"/>
    <x v="1"/>
    <n v="0"/>
  </r>
  <r>
    <x v="1"/>
    <x v="3"/>
    <x v="4"/>
    <x v="7"/>
    <x v="62"/>
    <x v="0"/>
    <x v="2"/>
    <n v="0"/>
  </r>
  <r>
    <x v="1"/>
    <x v="3"/>
    <x v="4"/>
    <x v="7"/>
    <x v="62"/>
    <x v="0"/>
    <x v="3"/>
    <n v="0"/>
  </r>
  <r>
    <x v="1"/>
    <x v="3"/>
    <x v="4"/>
    <x v="7"/>
    <x v="62"/>
    <x v="0"/>
    <x v="4"/>
    <n v="0"/>
  </r>
  <r>
    <x v="1"/>
    <x v="3"/>
    <x v="4"/>
    <x v="7"/>
    <x v="62"/>
    <x v="0"/>
    <x v="5"/>
    <n v="0"/>
  </r>
  <r>
    <x v="1"/>
    <x v="3"/>
    <x v="4"/>
    <x v="7"/>
    <x v="62"/>
    <x v="0"/>
    <x v="6"/>
    <n v="0"/>
  </r>
  <r>
    <x v="1"/>
    <x v="3"/>
    <x v="4"/>
    <x v="7"/>
    <x v="63"/>
    <x v="0"/>
    <x v="0"/>
    <n v="0"/>
  </r>
  <r>
    <x v="1"/>
    <x v="3"/>
    <x v="4"/>
    <x v="7"/>
    <x v="63"/>
    <x v="0"/>
    <x v="1"/>
    <n v="0"/>
  </r>
  <r>
    <x v="1"/>
    <x v="3"/>
    <x v="4"/>
    <x v="7"/>
    <x v="63"/>
    <x v="0"/>
    <x v="2"/>
    <n v="0"/>
  </r>
  <r>
    <x v="1"/>
    <x v="3"/>
    <x v="4"/>
    <x v="7"/>
    <x v="63"/>
    <x v="0"/>
    <x v="3"/>
    <n v="0"/>
  </r>
  <r>
    <x v="1"/>
    <x v="3"/>
    <x v="4"/>
    <x v="7"/>
    <x v="63"/>
    <x v="0"/>
    <x v="4"/>
    <n v="0"/>
  </r>
  <r>
    <x v="1"/>
    <x v="3"/>
    <x v="4"/>
    <x v="7"/>
    <x v="63"/>
    <x v="0"/>
    <x v="5"/>
    <n v="0"/>
  </r>
  <r>
    <x v="1"/>
    <x v="3"/>
    <x v="4"/>
    <x v="7"/>
    <x v="63"/>
    <x v="0"/>
    <x v="6"/>
    <n v="0"/>
  </r>
  <r>
    <x v="1"/>
    <x v="3"/>
    <x v="4"/>
    <x v="7"/>
    <x v="64"/>
    <x v="0"/>
    <x v="0"/>
    <n v="1.6597348551725886E-4"/>
  </r>
  <r>
    <x v="1"/>
    <x v="3"/>
    <x v="4"/>
    <x v="7"/>
    <x v="64"/>
    <x v="0"/>
    <x v="1"/>
    <n v="6.3917233274659582E-4"/>
  </r>
  <r>
    <x v="1"/>
    <x v="3"/>
    <x v="4"/>
    <x v="7"/>
    <x v="64"/>
    <x v="0"/>
    <x v="2"/>
    <n v="1.8699532389997615E-3"/>
  </r>
  <r>
    <x v="1"/>
    <x v="3"/>
    <x v="4"/>
    <x v="7"/>
    <x v="64"/>
    <x v="0"/>
    <x v="3"/>
    <n v="5.570387745784661E-3"/>
  </r>
  <r>
    <x v="1"/>
    <x v="3"/>
    <x v="4"/>
    <x v="7"/>
    <x v="64"/>
    <x v="0"/>
    <x v="4"/>
    <n v="1.7066020379216323E-2"/>
  </r>
  <r>
    <x v="1"/>
    <x v="3"/>
    <x v="4"/>
    <x v="7"/>
    <x v="64"/>
    <x v="0"/>
    <x v="5"/>
    <n v="4.0591609474029226E-2"/>
  </r>
  <r>
    <x v="1"/>
    <x v="3"/>
    <x v="4"/>
    <x v="7"/>
    <x v="64"/>
    <x v="0"/>
    <x v="6"/>
    <n v="9.1813213088953349E-2"/>
  </r>
  <r>
    <x v="1"/>
    <x v="3"/>
    <x v="3"/>
    <x v="5"/>
    <x v="65"/>
    <x v="0"/>
    <x v="0"/>
    <n v="3.7821573417950431"/>
  </r>
  <r>
    <x v="1"/>
    <x v="3"/>
    <x v="3"/>
    <x v="5"/>
    <x v="65"/>
    <x v="0"/>
    <x v="1"/>
    <n v="8.7828770857399885"/>
  </r>
  <r>
    <x v="1"/>
    <x v="3"/>
    <x v="3"/>
    <x v="5"/>
    <x v="65"/>
    <x v="0"/>
    <x v="2"/>
    <n v="17.83572330098708"/>
  </r>
  <r>
    <x v="1"/>
    <x v="3"/>
    <x v="3"/>
    <x v="5"/>
    <x v="65"/>
    <x v="0"/>
    <x v="3"/>
    <n v="29.587018135167536"/>
  </r>
  <r>
    <x v="1"/>
    <x v="3"/>
    <x v="3"/>
    <x v="5"/>
    <x v="65"/>
    <x v="0"/>
    <x v="4"/>
    <n v="47.495257157776109"/>
  </r>
  <r>
    <x v="1"/>
    <x v="3"/>
    <x v="3"/>
    <x v="5"/>
    <x v="65"/>
    <x v="0"/>
    <x v="5"/>
    <n v="69.750848243438313"/>
  </r>
  <r>
    <x v="1"/>
    <x v="3"/>
    <x v="3"/>
    <x v="5"/>
    <x v="65"/>
    <x v="0"/>
    <x v="6"/>
    <n v="91.247763727181152"/>
  </r>
  <r>
    <x v="1"/>
    <x v="3"/>
    <x v="3"/>
    <x v="5"/>
    <x v="66"/>
    <x v="0"/>
    <x v="0"/>
    <n v="0"/>
  </r>
  <r>
    <x v="1"/>
    <x v="3"/>
    <x v="3"/>
    <x v="5"/>
    <x v="66"/>
    <x v="0"/>
    <x v="1"/>
    <n v="0"/>
  </r>
  <r>
    <x v="1"/>
    <x v="3"/>
    <x v="3"/>
    <x v="5"/>
    <x v="66"/>
    <x v="0"/>
    <x v="2"/>
    <n v="0"/>
  </r>
  <r>
    <x v="1"/>
    <x v="3"/>
    <x v="3"/>
    <x v="5"/>
    <x v="66"/>
    <x v="0"/>
    <x v="3"/>
    <n v="0"/>
  </r>
  <r>
    <x v="1"/>
    <x v="3"/>
    <x v="3"/>
    <x v="5"/>
    <x v="66"/>
    <x v="0"/>
    <x v="4"/>
    <n v="0"/>
  </r>
  <r>
    <x v="1"/>
    <x v="3"/>
    <x v="3"/>
    <x v="5"/>
    <x v="66"/>
    <x v="0"/>
    <x v="5"/>
    <n v="0"/>
  </r>
  <r>
    <x v="1"/>
    <x v="3"/>
    <x v="3"/>
    <x v="5"/>
    <x v="66"/>
    <x v="0"/>
    <x v="6"/>
    <n v="0"/>
  </r>
  <r>
    <x v="1"/>
    <x v="3"/>
    <x v="3"/>
    <x v="5"/>
    <x v="67"/>
    <x v="0"/>
    <x v="0"/>
    <n v="0"/>
  </r>
  <r>
    <x v="1"/>
    <x v="3"/>
    <x v="3"/>
    <x v="5"/>
    <x v="67"/>
    <x v="0"/>
    <x v="1"/>
    <n v="0"/>
  </r>
  <r>
    <x v="1"/>
    <x v="3"/>
    <x v="3"/>
    <x v="5"/>
    <x v="67"/>
    <x v="0"/>
    <x v="2"/>
    <n v="0"/>
  </r>
  <r>
    <x v="1"/>
    <x v="3"/>
    <x v="3"/>
    <x v="5"/>
    <x v="67"/>
    <x v="0"/>
    <x v="3"/>
    <n v="0"/>
  </r>
  <r>
    <x v="1"/>
    <x v="3"/>
    <x v="3"/>
    <x v="5"/>
    <x v="67"/>
    <x v="0"/>
    <x v="4"/>
    <n v="0"/>
  </r>
  <r>
    <x v="1"/>
    <x v="3"/>
    <x v="3"/>
    <x v="5"/>
    <x v="67"/>
    <x v="0"/>
    <x v="5"/>
    <n v="0"/>
  </r>
  <r>
    <x v="1"/>
    <x v="3"/>
    <x v="3"/>
    <x v="5"/>
    <x v="67"/>
    <x v="0"/>
    <x v="6"/>
    <n v="0"/>
  </r>
  <r>
    <x v="1"/>
    <x v="3"/>
    <x v="3"/>
    <x v="5"/>
    <x v="68"/>
    <x v="0"/>
    <x v="0"/>
    <n v="0"/>
  </r>
  <r>
    <x v="1"/>
    <x v="3"/>
    <x v="3"/>
    <x v="5"/>
    <x v="68"/>
    <x v="0"/>
    <x v="1"/>
    <n v="0"/>
  </r>
  <r>
    <x v="1"/>
    <x v="3"/>
    <x v="3"/>
    <x v="5"/>
    <x v="68"/>
    <x v="0"/>
    <x v="2"/>
    <n v="0"/>
  </r>
  <r>
    <x v="1"/>
    <x v="3"/>
    <x v="3"/>
    <x v="5"/>
    <x v="68"/>
    <x v="0"/>
    <x v="3"/>
    <n v="0"/>
  </r>
  <r>
    <x v="1"/>
    <x v="3"/>
    <x v="3"/>
    <x v="5"/>
    <x v="68"/>
    <x v="0"/>
    <x v="4"/>
    <n v="0"/>
  </r>
  <r>
    <x v="1"/>
    <x v="3"/>
    <x v="3"/>
    <x v="5"/>
    <x v="68"/>
    <x v="0"/>
    <x v="5"/>
    <n v="0"/>
  </r>
  <r>
    <x v="1"/>
    <x v="3"/>
    <x v="3"/>
    <x v="5"/>
    <x v="68"/>
    <x v="0"/>
    <x v="6"/>
    <n v="0"/>
  </r>
  <r>
    <x v="1"/>
    <x v="3"/>
    <x v="3"/>
    <x v="5"/>
    <x v="69"/>
    <x v="0"/>
    <x v="0"/>
    <n v="0.25854437805200342"/>
  </r>
  <r>
    <x v="1"/>
    <x v="3"/>
    <x v="3"/>
    <x v="5"/>
    <x v="69"/>
    <x v="0"/>
    <x v="1"/>
    <n v="0.58939048393100912"/>
  </r>
  <r>
    <x v="1"/>
    <x v="3"/>
    <x v="3"/>
    <x v="5"/>
    <x v="69"/>
    <x v="0"/>
    <x v="2"/>
    <n v="1.1406764667389993"/>
  </r>
  <r>
    <x v="1"/>
    <x v="3"/>
    <x v="3"/>
    <x v="5"/>
    <x v="69"/>
    <x v="0"/>
    <x v="3"/>
    <n v="1.9527753579041593"/>
  </r>
  <r>
    <x v="1"/>
    <x v="3"/>
    <x v="3"/>
    <x v="5"/>
    <x v="69"/>
    <x v="0"/>
    <x v="4"/>
    <n v="3.436110439643254"/>
  </r>
  <r>
    <x v="1"/>
    <x v="3"/>
    <x v="3"/>
    <x v="5"/>
    <x v="69"/>
    <x v="0"/>
    <x v="5"/>
    <n v="3.7163151936984367"/>
  </r>
  <r>
    <x v="1"/>
    <x v="3"/>
    <x v="3"/>
    <x v="5"/>
    <x v="69"/>
    <x v="0"/>
    <x v="6"/>
    <n v="3.2205374281152879"/>
  </r>
  <r>
    <x v="1"/>
    <x v="3"/>
    <x v="3"/>
    <x v="5"/>
    <x v="70"/>
    <x v="0"/>
    <x v="0"/>
    <n v="0"/>
  </r>
  <r>
    <x v="1"/>
    <x v="3"/>
    <x v="3"/>
    <x v="5"/>
    <x v="70"/>
    <x v="0"/>
    <x v="1"/>
    <n v="0"/>
  </r>
  <r>
    <x v="1"/>
    <x v="3"/>
    <x v="3"/>
    <x v="5"/>
    <x v="70"/>
    <x v="0"/>
    <x v="2"/>
    <n v="0"/>
  </r>
  <r>
    <x v="1"/>
    <x v="3"/>
    <x v="3"/>
    <x v="5"/>
    <x v="70"/>
    <x v="0"/>
    <x v="3"/>
    <n v="0"/>
  </r>
  <r>
    <x v="1"/>
    <x v="3"/>
    <x v="3"/>
    <x v="5"/>
    <x v="70"/>
    <x v="0"/>
    <x v="4"/>
    <n v="0"/>
  </r>
  <r>
    <x v="1"/>
    <x v="3"/>
    <x v="3"/>
    <x v="5"/>
    <x v="70"/>
    <x v="0"/>
    <x v="5"/>
    <n v="0"/>
  </r>
  <r>
    <x v="1"/>
    <x v="3"/>
    <x v="3"/>
    <x v="5"/>
    <x v="70"/>
    <x v="0"/>
    <x v="6"/>
    <n v="0"/>
  </r>
  <r>
    <x v="1"/>
    <x v="3"/>
    <x v="3"/>
    <x v="5"/>
    <x v="71"/>
    <x v="0"/>
    <x v="0"/>
    <n v="0"/>
  </r>
  <r>
    <x v="1"/>
    <x v="3"/>
    <x v="3"/>
    <x v="5"/>
    <x v="71"/>
    <x v="0"/>
    <x v="1"/>
    <n v="0"/>
  </r>
  <r>
    <x v="1"/>
    <x v="3"/>
    <x v="3"/>
    <x v="5"/>
    <x v="71"/>
    <x v="0"/>
    <x v="2"/>
    <n v="0"/>
  </r>
  <r>
    <x v="1"/>
    <x v="3"/>
    <x v="3"/>
    <x v="5"/>
    <x v="71"/>
    <x v="0"/>
    <x v="3"/>
    <n v="0"/>
  </r>
  <r>
    <x v="1"/>
    <x v="3"/>
    <x v="3"/>
    <x v="5"/>
    <x v="71"/>
    <x v="0"/>
    <x v="4"/>
    <n v="0"/>
  </r>
  <r>
    <x v="1"/>
    <x v="3"/>
    <x v="3"/>
    <x v="5"/>
    <x v="71"/>
    <x v="0"/>
    <x v="5"/>
    <n v="0"/>
  </r>
  <r>
    <x v="1"/>
    <x v="3"/>
    <x v="3"/>
    <x v="5"/>
    <x v="71"/>
    <x v="0"/>
    <x v="6"/>
    <n v="0"/>
  </r>
  <r>
    <x v="1"/>
    <x v="3"/>
    <x v="3"/>
    <x v="5"/>
    <x v="72"/>
    <x v="0"/>
    <x v="0"/>
    <n v="2.6420216412234153E-4"/>
  </r>
  <r>
    <x v="1"/>
    <x v="3"/>
    <x v="3"/>
    <x v="5"/>
    <x v="72"/>
    <x v="0"/>
    <x v="1"/>
    <n v="1.212736849816281E-3"/>
  </r>
  <r>
    <x v="1"/>
    <x v="3"/>
    <x v="3"/>
    <x v="5"/>
    <x v="72"/>
    <x v="0"/>
    <x v="2"/>
    <n v="4.0955931136931172E-3"/>
  </r>
  <r>
    <x v="1"/>
    <x v="3"/>
    <x v="3"/>
    <x v="5"/>
    <x v="72"/>
    <x v="0"/>
    <x v="3"/>
    <n v="1.1350555031553865E-2"/>
  </r>
  <r>
    <x v="1"/>
    <x v="3"/>
    <x v="3"/>
    <x v="5"/>
    <x v="72"/>
    <x v="0"/>
    <x v="4"/>
    <n v="3.0775404615114771E-2"/>
  </r>
  <r>
    <x v="1"/>
    <x v="3"/>
    <x v="3"/>
    <x v="5"/>
    <x v="72"/>
    <x v="0"/>
    <x v="5"/>
    <n v="3.5938124184532176E-2"/>
  </r>
  <r>
    <x v="1"/>
    <x v="3"/>
    <x v="3"/>
    <x v="5"/>
    <x v="72"/>
    <x v="0"/>
    <x v="6"/>
    <n v="6.2663118694269618E-2"/>
  </r>
  <r>
    <x v="1"/>
    <x v="3"/>
    <x v="3"/>
    <x v="5"/>
    <x v="73"/>
    <x v="0"/>
    <x v="0"/>
    <n v="6.9131054046312704E-4"/>
  </r>
  <r>
    <x v="1"/>
    <x v="3"/>
    <x v="3"/>
    <x v="5"/>
    <x v="73"/>
    <x v="0"/>
    <x v="1"/>
    <n v="3.2663850191511118E-3"/>
  </r>
  <r>
    <x v="1"/>
    <x v="3"/>
    <x v="3"/>
    <x v="5"/>
    <x v="73"/>
    <x v="0"/>
    <x v="2"/>
    <n v="1.150479432159956E-2"/>
  </r>
  <r>
    <x v="1"/>
    <x v="3"/>
    <x v="3"/>
    <x v="5"/>
    <x v="73"/>
    <x v="0"/>
    <x v="3"/>
    <n v="3.7684123932966974E-2"/>
  </r>
  <r>
    <x v="1"/>
    <x v="3"/>
    <x v="3"/>
    <x v="5"/>
    <x v="73"/>
    <x v="0"/>
    <x v="4"/>
    <n v="0.11657425547398272"/>
  </r>
  <r>
    <x v="1"/>
    <x v="3"/>
    <x v="3"/>
    <x v="5"/>
    <x v="73"/>
    <x v="0"/>
    <x v="5"/>
    <n v="0.17447560462820913"/>
  </r>
  <r>
    <x v="1"/>
    <x v="3"/>
    <x v="3"/>
    <x v="5"/>
    <x v="73"/>
    <x v="0"/>
    <x v="6"/>
    <n v="0.16158682123552354"/>
  </r>
  <r>
    <x v="1"/>
    <x v="3"/>
    <x v="5"/>
    <x v="8"/>
    <x v="74"/>
    <x v="0"/>
    <x v="0"/>
    <n v="2.2136093705714625E-2"/>
  </r>
  <r>
    <x v="1"/>
    <x v="3"/>
    <x v="5"/>
    <x v="8"/>
    <x v="74"/>
    <x v="0"/>
    <x v="1"/>
    <n v="4.3567434830458912E-2"/>
  </r>
  <r>
    <x v="1"/>
    <x v="3"/>
    <x v="5"/>
    <x v="8"/>
    <x v="74"/>
    <x v="0"/>
    <x v="2"/>
    <n v="9.4562812369127308E-2"/>
  </r>
  <r>
    <x v="1"/>
    <x v="3"/>
    <x v="5"/>
    <x v="8"/>
    <x v="74"/>
    <x v="0"/>
    <x v="3"/>
    <n v="0.18023863044422939"/>
  </r>
  <r>
    <x v="1"/>
    <x v="3"/>
    <x v="5"/>
    <x v="8"/>
    <x v="74"/>
    <x v="0"/>
    <x v="4"/>
    <n v="0.35133859489194652"/>
  </r>
  <r>
    <x v="1"/>
    <x v="3"/>
    <x v="5"/>
    <x v="8"/>
    <x v="74"/>
    <x v="0"/>
    <x v="5"/>
    <n v="0.39831130216650323"/>
  </r>
  <r>
    <x v="1"/>
    <x v="3"/>
    <x v="5"/>
    <x v="8"/>
    <x v="74"/>
    <x v="0"/>
    <x v="6"/>
    <n v="0.34503613176744091"/>
  </r>
  <r>
    <x v="1"/>
    <x v="3"/>
    <x v="5"/>
    <x v="8"/>
    <x v="75"/>
    <x v="0"/>
    <x v="0"/>
    <n v="0.44719450941628219"/>
  </r>
  <r>
    <x v="1"/>
    <x v="3"/>
    <x v="5"/>
    <x v="8"/>
    <x v="75"/>
    <x v="0"/>
    <x v="1"/>
    <n v="1.0042251752612816"/>
  </r>
  <r>
    <x v="1"/>
    <x v="3"/>
    <x v="5"/>
    <x v="8"/>
    <x v="75"/>
    <x v="0"/>
    <x v="2"/>
    <n v="2.2041707887049484"/>
  </r>
  <r>
    <x v="1"/>
    <x v="3"/>
    <x v="5"/>
    <x v="8"/>
    <x v="75"/>
    <x v="0"/>
    <x v="3"/>
    <n v="4.4998625896434543"/>
  </r>
  <r>
    <x v="1"/>
    <x v="3"/>
    <x v="5"/>
    <x v="8"/>
    <x v="75"/>
    <x v="0"/>
    <x v="4"/>
    <n v="8.8617473141224767"/>
  </r>
  <r>
    <x v="1"/>
    <x v="3"/>
    <x v="5"/>
    <x v="8"/>
    <x v="75"/>
    <x v="0"/>
    <x v="5"/>
    <n v="10.35406890562502"/>
  </r>
  <r>
    <x v="1"/>
    <x v="3"/>
    <x v="5"/>
    <x v="8"/>
    <x v="75"/>
    <x v="0"/>
    <x v="6"/>
    <n v="9.0743535851420081"/>
  </r>
  <r>
    <x v="1"/>
    <x v="3"/>
    <x v="5"/>
    <x v="8"/>
    <x v="76"/>
    <x v="0"/>
    <x v="0"/>
    <n v="0.23902993729915004"/>
  </r>
  <r>
    <x v="1"/>
    <x v="3"/>
    <x v="5"/>
    <x v="8"/>
    <x v="76"/>
    <x v="0"/>
    <x v="1"/>
    <n v="0.48421484310506896"/>
  </r>
  <r>
    <x v="1"/>
    <x v="3"/>
    <x v="5"/>
    <x v="8"/>
    <x v="76"/>
    <x v="0"/>
    <x v="2"/>
    <n v="1.0421331049895288"/>
  </r>
  <r>
    <x v="1"/>
    <x v="3"/>
    <x v="5"/>
    <x v="8"/>
    <x v="76"/>
    <x v="0"/>
    <x v="3"/>
    <n v="2.0342670448892641"/>
  </r>
  <r>
    <x v="1"/>
    <x v="3"/>
    <x v="5"/>
    <x v="8"/>
    <x v="76"/>
    <x v="0"/>
    <x v="4"/>
    <n v="3.8577976449818654"/>
  </r>
  <r>
    <x v="1"/>
    <x v="3"/>
    <x v="5"/>
    <x v="8"/>
    <x v="76"/>
    <x v="0"/>
    <x v="5"/>
    <n v="4.2664981001521953"/>
  </r>
  <r>
    <x v="1"/>
    <x v="3"/>
    <x v="5"/>
    <x v="8"/>
    <x v="76"/>
    <x v="0"/>
    <x v="6"/>
    <n v="3.5603158677148516"/>
  </r>
  <r>
    <x v="1"/>
    <x v="3"/>
    <x v="5"/>
    <x v="8"/>
    <x v="77"/>
    <x v="0"/>
    <x v="0"/>
    <n v="0"/>
  </r>
  <r>
    <x v="1"/>
    <x v="3"/>
    <x v="5"/>
    <x v="8"/>
    <x v="77"/>
    <x v="0"/>
    <x v="1"/>
    <n v="0"/>
  </r>
  <r>
    <x v="1"/>
    <x v="3"/>
    <x v="5"/>
    <x v="8"/>
    <x v="77"/>
    <x v="0"/>
    <x v="2"/>
    <n v="0"/>
  </r>
  <r>
    <x v="1"/>
    <x v="3"/>
    <x v="5"/>
    <x v="8"/>
    <x v="77"/>
    <x v="0"/>
    <x v="3"/>
    <n v="0"/>
  </r>
  <r>
    <x v="1"/>
    <x v="3"/>
    <x v="5"/>
    <x v="8"/>
    <x v="77"/>
    <x v="0"/>
    <x v="4"/>
    <n v="0"/>
  </r>
  <r>
    <x v="1"/>
    <x v="3"/>
    <x v="5"/>
    <x v="8"/>
    <x v="77"/>
    <x v="0"/>
    <x v="5"/>
    <n v="0"/>
  </r>
  <r>
    <x v="1"/>
    <x v="3"/>
    <x v="5"/>
    <x v="8"/>
    <x v="77"/>
    <x v="0"/>
    <x v="6"/>
    <n v="0"/>
  </r>
  <r>
    <x v="1"/>
    <x v="3"/>
    <x v="5"/>
    <x v="8"/>
    <x v="78"/>
    <x v="0"/>
    <x v="0"/>
    <n v="0.88516295097910513"/>
  </r>
  <r>
    <x v="1"/>
    <x v="3"/>
    <x v="5"/>
    <x v="8"/>
    <x v="78"/>
    <x v="0"/>
    <x v="1"/>
    <n v="1.6510531073403687"/>
  </r>
  <r>
    <x v="1"/>
    <x v="3"/>
    <x v="5"/>
    <x v="8"/>
    <x v="78"/>
    <x v="0"/>
    <x v="2"/>
    <n v="3.0590807963025006"/>
  </r>
  <r>
    <x v="1"/>
    <x v="3"/>
    <x v="5"/>
    <x v="8"/>
    <x v="78"/>
    <x v="0"/>
    <x v="3"/>
    <n v="5.5638060530662239"/>
  </r>
  <r>
    <x v="1"/>
    <x v="3"/>
    <x v="5"/>
    <x v="8"/>
    <x v="78"/>
    <x v="0"/>
    <x v="4"/>
    <n v="9.2167968397901507"/>
  </r>
  <r>
    <x v="1"/>
    <x v="3"/>
    <x v="5"/>
    <x v="8"/>
    <x v="78"/>
    <x v="0"/>
    <x v="5"/>
    <n v="9.9876284586313115"/>
  </r>
  <r>
    <x v="1"/>
    <x v="3"/>
    <x v="5"/>
    <x v="8"/>
    <x v="78"/>
    <x v="0"/>
    <x v="6"/>
    <n v="7.4938512018294974"/>
  </r>
  <r>
    <x v="1"/>
    <x v="3"/>
    <x v="5"/>
    <x v="8"/>
    <x v="79"/>
    <x v="0"/>
    <x v="0"/>
    <n v="0.93270848950049223"/>
  </r>
  <r>
    <x v="1"/>
    <x v="3"/>
    <x v="5"/>
    <x v="8"/>
    <x v="79"/>
    <x v="0"/>
    <x v="1"/>
    <n v="1.9560054670483666"/>
  </r>
  <r>
    <x v="1"/>
    <x v="3"/>
    <x v="5"/>
    <x v="8"/>
    <x v="79"/>
    <x v="0"/>
    <x v="2"/>
    <n v="3.7748360964164833"/>
  </r>
  <r>
    <x v="1"/>
    <x v="3"/>
    <x v="5"/>
    <x v="8"/>
    <x v="79"/>
    <x v="0"/>
    <x v="3"/>
    <n v="6.4850297709692057"/>
  </r>
  <r>
    <x v="1"/>
    <x v="3"/>
    <x v="5"/>
    <x v="8"/>
    <x v="79"/>
    <x v="0"/>
    <x v="4"/>
    <n v="11.967823984034343"/>
  </r>
  <r>
    <x v="1"/>
    <x v="3"/>
    <x v="5"/>
    <x v="8"/>
    <x v="79"/>
    <x v="0"/>
    <x v="5"/>
    <n v="12.756271162020598"/>
  </r>
  <r>
    <x v="1"/>
    <x v="3"/>
    <x v="5"/>
    <x v="8"/>
    <x v="79"/>
    <x v="0"/>
    <x v="6"/>
    <n v="10.566730447196639"/>
  </r>
  <r>
    <x v="1"/>
    <x v="3"/>
    <x v="5"/>
    <x v="8"/>
    <x v="80"/>
    <x v="0"/>
    <x v="0"/>
    <n v="0.40721046970518465"/>
  </r>
  <r>
    <x v="1"/>
    <x v="3"/>
    <x v="5"/>
    <x v="8"/>
    <x v="80"/>
    <x v="0"/>
    <x v="1"/>
    <n v="0.79713522687754601"/>
  </r>
  <r>
    <x v="1"/>
    <x v="3"/>
    <x v="5"/>
    <x v="8"/>
    <x v="80"/>
    <x v="0"/>
    <x v="2"/>
    <n v="1.4527729026053211"/>
  </r>
  <r>
    <x v="1"/>
    <x v="3"/>
    <x v="5"/>
    <x v="8"/>
    <x v="80"/>
    <x v="0"/>
    <x v="3"/>
    <n v="2.3918498033754902"/>
  </r>
  <r>
    <x v="1"/>
    <x v="3"/>
    <x v="5"/>
    <x v="8"/>
    <x v="80"/>
    <x v="0"/>
    <x v="4"/>
    <n v="4.140083119087083"/>
  </r>
  <r>
    <x v="1"/>
    <x v="3"/>
    <x v="5"/>
    <x v="8"/>
    <x v="80"/>
    <x v="0"/>
    <x v="5"/>
    <n v="4.2656464103641039"/>
  </r>
  <r>
    <x v="1"/>
    <x v="3"/>
    <x v="5"/>
    <x v="8"/>
    <x v="80"/>
    <x v="0"/>
    <x v="6"/>
    <n v="3.3418521064366447"/>
  </r>
  <r>
    <x v="1"/>
    <x v="3"/>
    <x v="5"/>
    <x v="8"/>
    <x v="81"/>
    <x v="0"/>
    <x v="0"/>
    <n v="0.18673455839811237"/>
  </r>
  <r>
    <x v="1"/>
    <x v="3"/>
    <x v="5"/>
    <x v="8"/>
    <x v="81"/>
    <x v="0"/>
    <x v="1"/>
    <n v="0.40728297433717214"/>
  </r>
  <r>
    <x v="1"/>
    <x v="3"/>
    <x v="5"/>
    <x v="8"/>
    <x v="81"/>
    <x v="0"/>
    <x v="2"/>
    <n v="0.8631139647598659"/>
  </r>
  <r>
    <x v="1"/>
    <x v="3"/>
    <x v="5"/>
    <x v="8"/>
    <x v="81"/>
    <x v="0"/>
    <x v="3"/>
    <n v="1.612669701327611"/>
  </r>
  <r>
    <x v="1"/>
    <x v="3"/>
    <x v="5"/>
    <x v="8"/>
    <x v="81"/>
    <x v="0"/>
    <x v="4"/>
    <n v="3.0304466534113605"/>
  </r>
  <r>
    <x v="1"/>
    <x v="3"/>
    <x v="5"/>
    <x v="8"/>
    <x v="81"/>
    <x v="0"/>
    <x v="5"/>
    <n v="3.4160936594420956"/>
  </r>
  <r>
    <x v="1"/>
    <x v="3"/>
    <x v="5"/>
    <x v="8"/>
    <x v="81"/>
    <x v="0"/>
    <x v="6"/>
    <n v="2.8869804218139032"/>
  </r>
  <r>
    <x v="1"/>
    <x v="3"/>
    <x v="5"/>
    <x v="8"/>
    <x v="82"/>
    <x v="0"/>
    <x v="0"/>
    <n v="1.9200733006315462"/>
  </r>
  <r>
    <x v="1"/>
    <x v="3"/>
    <x v="5"/>
    <x v="8"/>
    <x v="82"/>
    <x v="0"/>
    <x v="1"/>
    <n v="3.7132863815412529"/>
  </r>
  <r>
    <x v="1"/>
    <x v="3"/>
    <x v="5"/>
    <x v="8"/>
    <x v="82"/>
    <x v="0"/>
    <x v="2"/>
    <n v="7.0978295929359625"/>
  </r>
  <r>
    <x v="1"/>
    <x v="3"/>
    <x v="5"/>
    <x v="8"/>
    <x v="82"/>
    <x v="0"/>
    <x v="3"/>
    <n v="18.394924079680873"/>
  </r>
  <r>
    <x v="1"/>
    <x v="3"/>
    <x v="5"/>
    <x v="8"/>
    <x v="82"/>
    <x v="0"/>
    <x v="4"/>
    <n v="26.115851310927916"/>
  </r>
  <r>
    <x v="1"/>
    <x v="3"/>
    <x v="5"/>
    <x v="8"/>
    <x v="82"/>
    <x v="0"/>
    <x v="5"/>
    <n v="29.675459010752355"/>
  </r>
  <r>
    <x v="1"/>
    <x v="3"/>
    <x v="5"/>
    <x v="8"/>
    <x v="82"/>
    <x v="0"/>
    <x v="6"/>
    <n v="23.353534693988589"/>
  </r>
  <r>
    <x v="1"/>
    <x v="3"/>
    <x v="5"/>
    <x v="8"/>
    <x v="83"/>
    <x v="0"/>
    <x v="0"/>
    <n v="2.7861119503347318"/>
  </r>
  <r>
    <x v="1"/>
    <x v="3"/>
    <x v="5"/>
    <x v="8"/>
    <x v="83"/>
    <x v="0"/>
    <x v="1"/>
    <n v="6.4978114091782952"/>
  </r>
  <r>
    <x v="1"/>
    <x v="3"/>
    <x v="5"/>
    <x v="8"/>
    <x v="83"/>
    <x v="0"/>
    <x v="2"/>
    <n v="12.717640754764215"/>
  </r>
  <r>
    <x v="1"/>
    <x v="3"/>
    <x v="5"/>
    <x v="8"/>
    <x v="83"/>
    <x v="0"/>
    <x v="3"/>
    <n v="33.416431263361837"/>
  </r>
  <r>
    <x v="1"/>
    <x v="3"/>
    <x v="5"/>
    <x v="8"/>
    <x v="83"/>
    <x v="0"/>
    <x v="4"/>
    <n v="49.965685004456425"/>
  </r>
  <r>
    <x v="1"/>
    <x v="3"/>
    <x v="5"/>
    <x v="8"/>
    <x v="83"/>
    <x v="0"/>
    <x v="5"/>
    <n v="58.851388661097772"/>
  </r>
  <r>
    <x v="1"/>
    <x v="3"/>
    <x v="5"/>
    <x v="8"/>
    <x v="83"/>
    <x v="0"/>
    <x v="6"/>
    <n v="48.08506411938729"/>
  </r>
  <r>
    <x v="1"/>
    <x v="4"/>
    <x v="0"/>
    <x v="0"/>
    <x v="0"/>
    <x v="0"/>
    <x v="0"/>
    <n v="0"/>
  </r>
  <r>
    <x v="1"/>
    <x v="4"/>
    <x v="0"/>
    <x v="0"/>
    <x v="0"/>
    <x v="0"/>
    <x v="1"/>
    <n v="0"/>
  </r>
  <r>
    <x v="1"/>
    <x v="4"/>
    <x v="0"/>
    <x v="0"/>
    <x v="0"/>
    <x v="0"/>
    <x v="2"/>
    <n v="0"/>
  </r>
  <r>
    <x v="1"/>
    <x v="4"/>
    <x v="0"/>
    <x v="0"/>
    <x v="0"/>
    <x v="0"/>
    <x v="3"/>
    <n v="0"/>
  </r>
  <r>
    <x v="1"/>
    <x v="4"/>
    <x v="0"/>
    <x v="0"/>
    <x v="0"/>
    <x v="0"/>
    <x v="4"/>
    <n v="0"/>
  </r>
  <r>
    <x v="1"/>
    <x v="4"/>
    <x v="0"/>
    <x v="0"/>
    <x v="0"/>
    <x v="0"/>
    <x v="5"/>
    <n v="0"/>
  </r>
  <r>
    <x v="1"/>
    <x v="4"/>
    <x v="0"/>
    <x v="0"/>
    <x v="0"/>
    <x v="0"/>
    <x v="6"/>
    <n v="0"/>
  </r>
  <r>
    <x v="1"/>
    <x v="4"/>
    <x v="0"/>
    <x v="1"/>
    <x v="1"/>
    <x v="0"/>
    <x v="0"/>
    <n v="0"/>
  </r>
  <r>
    <x v="1"/>
    <x v="4"/>
    <x v="0"/>
    <x v="1"/>
    <x v="1"/>
    <x v="0"/>
    <x v="1"/>
    <n v="0"/>
  </r>
  <r>
    <x v="1"/>
    <x v="4"/>
    <x v="0"/>
    <x v="1"/>
    <x v="1"/>
    <x v="0"/>
    <x v="2"/>
    <n v="0"/>
  </r>
  <r>
    <x v="1"/>
    <x v="4"/>
    <x v="0"/>
    <x v="1"/>
    <x v="1"/>
    <x v="0"/>
    <x v="3"/>
    <n v="0"/>
  </r>
  <r>
    <x v="1"/>
    <x v="4"/>
    <x v="0"/>
    <x v="1"/>
    <x v="1"/>
    <x v="0"/>
    <x v="4"/>
    <n v="0"/>
  </r>
  <r>
    <x v="1"/>
    <x v="4"/>
    <x v="0"/>
    <x v="1"/>
    <x v="1"/>
    <x v="0"/>
    <x v="5"/>
    <n v="0"/>
  </r>
  <r>
    <x v="1"/>
    <x v="4"/>
    <x v="0"/>
    <x v="1"/>
    <x v="1"/>
    <x v="0"/>
    <x v="6"/>
    <n v="0"/>
  </r>
  <r>
    <x v="1"/>
    <x v="4"/>
    <x v="0"/>
    <x v="1"/>
    <x v="2"/>
    <x v="0"/>
    <x v="0"/>
    <n v="0"/>
  </r>
  <r>
    <x v="1"/>
    <x v="4"/>
    <x v="0"/>
    <x v="1"/>
    <x v="2"/>
    <x v="0"/>
    <x v="1"/>
    <n v="0"/>
  </r>
  <r>
    <x v="1"/>
    <x v="4"/>
    <x v="0"/>
    <x v="1"/>
    <x v="2"/>
    <x v="0"/>
    <x v="2"/>
    <n v="0"/>
  </r>
  <r>
    <x v="1"/>
    <x v="4"/>
    <x v="0"/>
    <x v="1"/>
    <x v="2"/>
    <x v="0"/>
    <x v="3"/>
    <n v="0"/>
  </r>
  <r>
    <x v="1"/>
    <x v="4"/>
    <x v="0"/>
    <x v="1"/>
    <x v="2"/>
    <x v="0"/>
    <x v="4"/>
    <n v="0"/>
  </r>
  <r>
    <x v="1"/>
    <x v="4"/>
    <x v="0"/>
    <x v="1"/>
    <x v="2"/>
    <x v="0"/>
    <x v="5"/>
    <n v="0"/>
  </r>
  <r>
    <x v="1"/>
    <x v="4"/>
    <x v="0"/>
    <x v="1"/>
    <x v="2"/>
    <x v="0"/>
    <x v="6"/>
    <n v="0"/>
  </r>
  <r>
    <x v="1"/>
    <x v="4"/>
    <x v="0"/>
    <x v="1"/>
    <x v="3"/>
    <x v="0"/>
    <x v="0"/>
    <n v="0"/>
  </r>
  <r>
    <x v="1"/>
    <x v="4"/>
    <x v="0"/>
    <x v="1"/>
    <x v="3"/>
    <x v="0"/>
    <x v="1"/>
    <n v="0"/>
  </r>
  <r>
    <x v="1"/>
    <x v="4"/>
    <x v="0"/>
    <x v="1"/>
    <x v="3"/>
    <x v="0"/>
    <x v="2"/>
    <n v="0"/>
  </r>
  <r>
    <x v="1"/>
    <x v="4"/>
    <x v="0"/>
    <x v="1"/>
    <x v="3"/>
    <x v="0"/>
    <x v="3"/>
    <n v="0"/>
  </r>
  <r>
    <x v="1"/>
    <x v="4"/>
    <x v="0"/>
    <x v="1"/>
    <x v="3"/>
    <x v="0"/>
    <x v="4"/>
    <n v="0"/>
  </r>
  <r>
    <x v="1"/>
    <x v="4"/>
    <x v="0"/>
    <x v="1"/>
    <x v="3"/>
    <x v="0"/>
    <x v="5"/>
    <n v="0"/>
  </r>
  <r>
    <x v="1"/>
    <x v="4"/>
    <x v="0"/>
    <x v="1"/>
    <x v="3"/>
    <x v="0"/>
    <x v="6"/>
    <n v="0"/>
  </r>
  <r>
    <x v="1"/>
    <x v="4"/>
    <x v="0"/>
    <x v="1"/>
    <x v="4"/>
    <x v="0"/>
    <x v="0"/>
    <n v="0"/>
  </r>
  <r>
    <x v="1"/>
    <x v="4"/>
    <x v="0"/>
    <x v="1"/>
    <x v="4"/>
    <x v="0"/>
    <x v="1"/>
    <n v="0"/>
  </r>
  <r>
    <x v="1"/>
    <x v="4"/>
    <x v="0"/>
    <x v="1"/>
    <x v="4"/>
    <x v="0"/>
    <x v="2"/>
    <n v="0"/>
  </r>
  <r>
    <x v="1"/>
    <x v="4"/>
    <x v="0"/>
    <x v="1"/>
    <x v="4"/>
    <x v="0"/>
    <x v="3"/>
    <n v="0"/>
  </r>
  <r>
    <x v="1"/>
    <x v="4"/>
    <x v="0"/>
    <x v="1"/>
    <x v="4"/>
    <x v="0"/>
    <x v="4"/>
    <n v="0"/>
  </r>
  <r>
    <x v="1"/>
    <x v="4"/>
    <x v="0"/>
    <x v="1"/>
    <x v="4"/>
    <x v="0"/>
    <x v="5"/>
    <n v="0"/>
  </r>
  <r>
    <x v="1"/>
    <x v="4"/>
    <x v="0"/>
    <x v="1"/>
    <x v="4"/>
    <x v="0"/>
    <x v="6"/>
    <n v="0"/>
  </r>
  <r>
    <x v="1"/>
    <x v="4"/>
    <x v="0"/>
    <x v="1"/>
    <x v="5"/>
    <x v="0"/>
    <x v="0"/>
    <n v="0"/>
  </r>
  <r>
    <x v="1"/>
    <x v="4"/>
    <x v="0"/>
    <x v="1"/>
    <x v="5"/>
    <x v="0"/>
    <x v="1"/>
    <n v="0"/>
  </r>
  <r>
    <x v="1"/>
    <x v="4"/>
    <x v="0"/>
    <x v="1"/>
    <x v="5"/>
    <x v="0"/>
    <x v="2"/>
    <n v="0"/>
  </r>
  <r>
    <x v="1"/>
    <x v="4"/>
    <x v="0"/>
    <x v="1"/>
    <x v="5"/>
    <x v="0"/>
    <x v="3"/>
    <n v="0"/>
  </r>
  <r>
    <x v="1"/>
    <x v="4"/>
    <x v="0"/>
    <x v="1"/>
    <x v="5"/>
    <x v="0"/>
    <x v="4"/>
    <n v="0"/>
  </r>
  <r>
    <x v="1"/>
    <x v="4"/>
    <x v="0"/>
    <x v="1"/>
    <x v="5"/>
    <x v="0"/>
    <x v="5"/>
    <n v="0"/>
  </r>
  <r>
    <x v="1"/>
    <x v="4"/>
    <x v="0"/>
    <x v="1"/>
    <x v="5"/>
    <x v="0"/>
    <x v="6"/>
    <n v="0"/>
  </r>
  <r>
    <x v="1"/>
    <x v="4"/>
    <x v="0"/>
    <x v="1"/>
    <x v="6"/>
    <x v="0"/>
    <x v="0"/>
    <n v="0"/>
  </r>
  <r>
    <x v="1"/>
    <x v="4"/>
    <x v="0"/>
    <x v="1"/>
    <x v="6"/>
    <x v="0"/>
    <x v="1"/>
    <n v="0"/>
  </r>
  <r>
    <x v="1"/>
    <x v="4"/>
    <x v="0"/>
    <x v="1"/>
    <x v="6"/>
    <x v="0"/>
    <x v="2"/>
    <n v="0"/>
  </r>
  <r>
    <x v="1"/>
    <x v="4"/>
    <x v="0"/>
    <x v="1"/>
    <x v="6"/>
    <x v="0"/>
    <x v="3"/>
    <n v="0"/>
  </r>
  <r>
    <x v="1"/>
    <x v="4"/>
    <x v="0"/>
    <x v="1"/>
    <x v="6"/>
    <x v="0"/>
    <x v="4"/>
    <n v="0"/>
  </r>
  <r>
    <x v="1"/>
    <x v="4"/>
    <x v="0"/>
    <x v="1"/>
    <x v="6"/>
    <x v="0"/>
    <x v="5"/>
    <n v="0"/>
  </r>
  <r>
    <x v="1"/>
    <x v="4"/>
    <x v="0"/>
    <x v="1"/>
    <x v="6"/>
    <x v="0"/>
    <x v="6"/>
    <n v="0"/>
  </r>
  <r>
    <x v="1"/>
    <x v="4"/>
    <x v="0"/>
    <x v="1"/>
    <x v="7"/>
    <x v="0"/>
    <x v="0"/>
    <n v="0"/>
  </r>
  <r>
    <x v="1"/>
    <x v="4"/>
    <x v="0"/>
    <x v="1"/>
    <x v="7"/>
    <x v="0"/>
    <x v="1"/>
    <n v="0"/>
  </r>
  <r>
    <x v="1"/>
    <x v="4"/>
    <x v="0"/>
    <x v="1"/>
    <x v="7"/>
    <x v="0"/>
    <x v="2"/>
    <n v="0"/>
  </r>
  <r>
    <x v="1"/>
    <x v="4"/>
    <x v="0"/>
    <x v="1"/>
    <x v="7"/>
    <x v="0"/>
    <x v="3"/>
    <n v="0"/>
  </r>
  <r>
    <x v="1"/>
    <x v="4"/>
    <x v="0"/>
    <x v="1"/>
    <x v="7"/>
    <x v="0"/>
    <x v="4"/>
    <n v="0"/>
  </r>
  <r>
    <x v="1"/>
    <x v="4"/>
    <x v="0"/>
    <x v="1"/>
    <x v="7"/>
    <x v="0"/>
    <x v="5"/>
    <n v="0"/>
  </r>
  <r>
    <x v="1"/>
    <x v="4"/>
    <x v="0"/>
    <x v="1"/>
    <x v="7"/>
    <x v="0"/>
    <x v="6"/>
    <n v="0"/>
  </r>
  <r>
    <x v="1"/>
    <x v="4"/>
    <x v="0"/>
    <x v="1"/>
    <x v="8"/>
    <x v="0"/>
    <x v="0"/>
    <n v="0"/>
  </r>
  <r>
    <x v="1"/>
    <x v="4"/>
    <x v="0"/>
    <x v="1"/>
    <x v="8"/>
    <x v="0"/>
    <x v="1"/>
    <n v="0"/>
  </r>
  <r>
    <x v="1"/>
    <x v="4"/>
    <x v="0"/>
    <x v="1"/>
    <x v="8"/>
    <x v="0"/>
    <x v="2"/>
    <n v="0"/>
  </r>
  <r>
    <x v="1"/>
    <x v="4"/>
    <x v="0"/>
    <x v="1"/>
    <x v="8"/>
    <x v="0"/>
    <x v="3"/>
    <n v="0"/>
  </r>
  <r>
    <x v="1"/>
    <x v="4"/>
    <x v="0"/>
    <x v="1"/>
    <x v="8"/>
    <x v="0"/>
    <x v="4"/>
    <n v="0"/>
  </r>
  <r>
    <x v="1"/>
    <x v="4"/>
    <x v="0"/>
    <x v="1"/>
    <x v="8"/>
    <x v="0"/>
    <x v="5"/>
    <n v="0"/>
  </r>
  <r>
    <x v="1"/>
    <x v="4"/>
    <x v="0"/>
    <x v="1"/>
    <x v="8"/>
    <x v="0"/>
    <x v="6"/>
    <n v="0"/>
  </r>
  <r>
    <x v="1"/>
    <x v="4"/>
    <x v="0"/>
    <x v="1"/>
    <x v="9"/>
    <x v="0"/>
    <x v="0"/>
    <n v="0"/>
  </r>
  <r>
    <x v="1"/>
    <x v="4"/>
    <x v="0"/>
    <x v="1"/>
    <x v="9"/>
    <x v="0"/>
    <x v="1"/>
    <n v="0"/>
  </r>
  <r>
    <x v="1"/>
    <x v="4"/>
    <x v="0"/>
    <x v="1"/>
    <x v="9"/>
    <x v="0"/>
    <x v="2"/>
    <n v="0"/>
  </r>
  <r>
    <x v="1"/>
    <x v="4"/>
    <x v="0"/>
    <x v="1"/>
    <x v="9"/>
    <x v="0"/>
    <x v="3"/>
    <n v="0"/>
  </r>
  <r>
    <x v="1"/>
    <x v="4"/>
    <x v="0"/>
    <x v="1"/>
    <x v="9"/>
    <x v="0"/>
    <x v="4"/>
    <n v="0"/>
  </r>
  <r>
    <x v="1"/>
    <x v="4"/>
    <x v="0"/>
    <x v="1"/>
    <x v="9"/>
    <x v="0"/>
    <x v="5"/>
    <n v="0"/>
  </r>
  <r>
    <x v="1"/>
    <x v="4"/>
    <x v="0"/>
    <x v="1"/>
    <x v="9"/>
    <x v="0"/>
    <x v="6"/>
    <n v="0"/>
  </r>
  <r>
    <x v="1"/>
    <x v="4"/>
    <x v="0"/>
    <x v="1"/>
    <x v="10"/>
    <x v="0"/>
    <x v="0"/>
    <n v="0"/>
  </r>
  <r>
    <x v="1"/>
    <x v="4"/>
    <x v="0"/>
    <x v="1"/>
    <x v="10"/>
    <x v="0"/>
    <x v="1"/>
    <n v="0"/>
  </r>
  <r>
    <x v="1"/>
    <x v="4"/>
    <x v="0"/>
    <x v="1"/>
    <x v="10"/>
    <x v="0"/>
    <x v="2"/>
    <n v="0"/>
  </r>
  <r>
    <x v="1"/>
    <x v="4"/>
    <x v="0"/>
    <x v="1"/>
    <x v="10"/>
    <x v="0"/>
    <x v="3"/>
    <n v="0"/>
  </r>
  <r>
    <x v="1"/>
    <x v="4"/>
    <x v="0"/>
    <x v="1"/>
    <x v="10"/>
    <x v="0"/>
    <x v="4"/>
    <n v="0"/>
  </r>
  <r>
    <x v="1"/>
    <x v="4"/>
    <x v="0"/>
    <x v="1"/>
    <x v="10"/>
    <x v="0"/>
    <x v="5"/>
    <n v="0"/>
  </r>
  <r>
    <x v="1"/>
    <x v="4"/>
    <x v="0"/>
    <x v="1"/>
    <x v="10"/>
    <x v="0"/>
    <x v="6"/>
    <n v="0"/>
  </r>
  <r>
    <x v="1"/>
    <x v="4"/>
    <x v="0"/>
    <x v="0"/>
    <x v="11"/>
    <x v="0"/>
    <x v="0"/>
    <n v="0"/>
  </r>
  <r>
    <x v="1"/>
    <x v="4"/>
    <x v="0"/>
    <x v="0"/>
    <x v="11"/>
    <x v="0"/>
    <x v="1"/>
    <n v="0"/>
  </r>
  <r>
    <x v="1"/>
    <x v="4"/>
    <x v="0"/>
    <x v="0"/>
    <x v="11"/>
    <x v="0"/>
    <x v="2"/>
    <n v="0"/>
  </r>
  <r>
    <x v="1"/>
    <x v="4"/>
    <x v="0"/>
    <x v="0"/>
    <x v="11"/>
    <x v="0"/>
    <x v="3"/>
    <n v="0"/>
  </r>
  <r>
    <x v="1"/>
    <x v="4"/>
    <x v="0"/>
    <x v="0"/>
    <x v="11"/>
    <x v="0"/>
    <x v="4"/>
    <n v="0"/>
  </r>
  <r>
    <x v="1"/>
    <x v="4"/>
    <x v="0"/>
    <x v="0"/>
    <x v="11"/>
    <x v="0"/>
    <x v="5"/>
    <n v="0"/>
  </r>
  <r>
    <x v="1"/>
    <x v="4"/>
    <x v="0"/>
    <x v="0"/>
    <x v="11"/>
    <x v="0"/>
    <x v="6"/>
    <n v="0"/>
  </r>
  <r>
    <x v="1"/>
    <x v="4"/>
    <x v="0"/>
    <x v="0"/>
    <x v="12"/>
    <x v="0"/>
    <x v="0"/>
    <n v="0"/>
  </r>
  <r>
    <x v="1"/>
    <x v="4"/>
    <x v="0"/>
    <x v="0"/>
    <x v="12"/>
    <x v="0"/>
    <x v="1"/>
    <n v="0"/>
  </r>
  <r>
    <x v="1"/>
    <x v="4"/>
    <x v="0"/>
    <x v="0"/>
    <x v="12"/>
    <x v="0"/>
    <x v="2"/>
    <n v="0"/>
  </r>
  <r>
    <x v="1"/>
    <x v="4"/>
    <x v="0"/>
    <x v="0"/>
    <x v="12"/>
    <x v="0"/>
    <x v="3"/>
    <n v="0"/>
  </r>
  <r>
    <x v="1"/>
    <x v="4"/>
    <x v="0"/>
    <x v="0"/>
    <x v="12"/>
    <x v="0"/>
    <x v="4"/>
    <n v="0"/>
  </r>
  <r>
    <x v="1"/>
    <x v="4"/>
    <x v="0"/>
    <x v="0"/>
    <x v="12"/>
    <x v="0"/>
    <x v="5"/>
    <n v="0"/>
  </r>
  <r>
    <x v="1"/>
    <x v="4"/>
    <x v="0"/>
    <x v="0"/>
    <x v="12"/>
    <x v="0"/>
    <x v="6"/>
    <n v="0"/>
  </r>
  <r>
    <x v="1"/>
    <x v="4"/>
    <x v="0"/>
    <x v="0"/>
    <x v="13"/>
    <x v="0"/>
    <x v="0"/>
    <n v="0"/>
  </r>
  <r>
    <x v="1"/>
    <x v="4"/>
    <x v="0"/>
    <x v="0"/>
    <x v="13"/>
    <x v="0"/>
    <x v="1"/>
    <n v="0"/>
  </r>
  <r>
    <x v="1"/>
    <x v="4"/>
    <x v="0"/>
    <x v="0"/>
    <x v="13"/>
    <x v="0"/>
    <x v="2"/>
    <n v="0"/>
  </r>
  <r>
    <x v="1"/>
    <x v="4"/>
    <x v="0"/>
    <x v="0"/>
    <x v="13"/>
    <x v="0"/>
    <x v="3"/>
    <n v="0"/>
  </r>
  <r>
    <x v="1"/>
    <x v="4"/>
    <x v="0"/>
    <x v="0"/>
    <x v="13"/>
    <x v="0"/>
    <x v="4"/>
    <n v="0"/>
  </r>
  <r>
    <x v="1"/>
    <x v="4"/>
    <x v="0"/>
    <x v="0"/>
    <x v="13"/>
    <x v="0"/>
    <x v="5"/>
    <n v="0"/>
  </r>
  <r>
    <x v="1"/>
    <x v="4"/>
    <x v="0"/>
    <x v="0"/>
    <x v="13"/>
    <x v="0"/>
    <x v="6"/>
    <n v="0"/>
  </r>
  <r>
    <x v="1"/>
    <x v="4"/>
    <x v="0"/>
    <x v="2"/>
    <x v="14"/>
    <x v="0"/>
    <x v="0"/>
    <n v="0"/>
  </r>
  <r>
    <x v="1"/>
    <x v="4"/>
    <x v="0"/>
    <x v="2"/>
    <x v="14"/>
    <x v="0"/>
    <x v="1"/>
    <n v="0"/>
  </r>
  <r>
    <x v="1"/>
    <x v="4"/>
    <x v="0"/>
    <x v="2"/>
    <x v="14"/>
    <x v="0"/>
    <x v="2"/>
    <n v="0"/>
  </r>
  <r>
    <x v="1"/>
    <x v="4"/>
    <x v="0"/>
    <x v="2"/>
    <x v="14"/>
    <x v="0"/>
    <x v="3"/>
    <n v="0"/>
  </r>
  <r>
    <x v="1"/>
    <x v="4"/>
    <x v="0"/>
    <x v="2"/>
    <x v="14"/>
    <x v="0"/>
    <x v="4"/>
    <n v="0"/>
  </r>
  <r>
    <x v="1"/>
    <x v="4"/>
    <x v="0"/>
    <x v="2"/>
    <x v="14"/>
    <x v="0"/>
    <x v="5"/>
    <n v="0"/>
  </r>
  <r>
    <x v="1"/>
    <x v="4"/>
    <x v="0"/>
    <x v="2"/>
    <x v="14"/>
    <x v="0"/>
    <x v="6"/>
    <n v="0"/>
  </r>
  <r>
    <x v="1"/>
    <x v="4"/>
    <x v="0"/>
    <x v="2"/>
    <x v="15"/>
    <x v="0"/>
    <x v="0"/>
    <n v="0"/>
  </r>
  <r>
    <x v="1"/>
    <x v="4"/>
    <x v="0"/>
    <x v="2"/>
    <x v="15"/>
    <x v="0"/>
    <x v="1"/>
    <n v="0"/>
  </r>
  <r>
    <x v="1"/>
    <x v="4"/>
    <x v="0"/>
    <x v="2"/>
    <x v="15"/>
    <x v="0"/>
    <x v="2"/>
    <n v="0"/>
  </r>
  <r>
    <x v="1"/>
    <x v="4"/>
    <x v="0"/>
    <x v="2"/>
    <x v="15"/>
    <x v="0"/>
    <x v="3"/>
    <n v="0"/>
  </r>
  <r>
    <x v="1"/>
    <x v="4"/>
    <x v="0"/>
    <x v="2"/>
    <x v="15"/>
    <x v="0"/>
    <x v="4"/>
    <n v="0"/>
  </r>
  <r>
    <x v="1"/>
    <x v="4"/>
    <x v="0"/>
    <x v="2"/>
    <x v="15"/>
    <x v="0"/>
    <x v="5"/>
    <n v="0"/>
  </r>
  <r>
    <x v="1"/>
    <x v="4"/>
    <x v="0"/>
    <x v="2"/>
    <x v="15"/>
    <x v="0"/>
    <x v="6"/>
    <n v="0"/>
  </r>
  <r>
    <x v="1"/>
    <x v="4"/>
    <x v="0"/>
    <x v="2"/>
    <x v="16"/>
    <x v="0"/>
    <x v="0"/>
    <n v="0"/>
  </r>
  <r>
    <x v="1"/>
    <x v="4"/>
    <x v="0"/>
    <x v="2"/>
    <x v="16"/>
    <x v="0"/>
    <x v="1"/>
    <n v="0"/>
  </r>
  <r>
    <x v="1"/>
    <x v="4"/>
    <x v="0"/>
    <x v="2"/>
    <x v="16"/>
    <x v="0"/>
    <x v="2"/>
    <n v="0"/>
  </r>
  <r>
    <x v="1"/>
    <x v="4"/>
    <x v="0"/>
    <x v="2"/>
    <x v="16"/>
    <x v="0"/>
    <x v="3"/>
    <n v="0"/>
  </r>
  <r>
    <x v="1"/>
    <x v="4"/>
    <x v="0"/>
    <x v="2"/>
    <x v="16"/>
    <x v="0"/>
    <x v="4"/>
    <n v="0"/>
  </r>
  <r>
    <x v="1"/>
    <x v="4"/>
    <x v="0"/>
    <x v="2"/>
    <x v="16"/>
    <x v="0"/>
    <x v="5"/>
    <n v="0"/>
  </r>
  <r>
    <x v="1"/>
    <x v="4"/>
    <x v="0"/>
    <x v="2"/>
    <x v="16"/>
    <x v="0"/>
    <x v="6"/>
    <n v="0"/>
  </r>
  <r>
    <x v="1"/>
    <x v="4"/>
    <x v="0"/>
    <x v="0"/>
    <x v="17"/>
    <x v="0"/>
    <x v="0"/>
    <n v="0"/>
  </r>
  <r>
    <x v="1"/>
    <x v="4"/>
    <x v="0"/>
    <x v="0"/>
    <x v="17"/>
    <x v="0"/>
    <x v="1"/>
    <n v="0"/>
  </r>
  <r>
    <x v="1"/>
    <x v="4"/>
    <x v="0"/>
    <x v="0"/>
    <x v="17"/>
    <x v="0"/>
    <x v="2"/>
    <n v="0"/>
  </r>
  <r>
    <x v="1"/>
    <x v="4"/>
    <x v="0"/>
    <x v="0"/>
    <x v="17"/>
    <x v="0"/>
    <x v="3"/>
    <n v="0"/>
  </r>
  <r>
    <x v="1"/>
    <x v="4"/>
    <x v="0"/>
    <x v="0"/>
    <x v="17"/>
    <x v="0"/>
    <x v="4"/>
    <n v="0"/>
  </r>
  <r>
    <x v="1"/>
    <x v="4"/>
    <x v="0"/>
    <x v="0"/>
    <x v="17"/>
    <x v="0"/>
    <x v="5"/>
    <n v="0"/>
  </r>
  <r>
    <x v="1"/>
    <x v="4"/>
    <x v="0"/>
    <x v="0"/>
    <x v="17"/>
    <x v="0"/>
    <x v="6"/>
    <n v="0"/>
  </r>
  <r>
    <x v="1"/>
    <x v="4"/>
    <x v="0"/>
    <x v="2"/>
    <x v="18"/>
    <x v="0"/>
    <x v="0"/>
    <n v="0"/>
  </r>
  <r>
    <x v="1"/>
    <x v="4"/>
    <x v="0"/>
    <x v="2"/>
    <x v="18"/>
    <x v="0"/>
    <x v="1"/>
    <n v="0"/>
  </r>
  <r>
    <x v="1"/>
    <x v="4"/>
    <x v="0"/>
    <x v="2"/>
    <x v="18"/>
    <x v="0"/>
    <x v="2"/>
    <n v="0"/>
  </r>
  <r>
    <x v="1"/>
    <x v="4"/>
    <x v="0"/>
    <x v="2"/>
    <x v="18"/>
    <x v="0"/>
    <x v="3"/>
    <n v="0"/>
  </r>
  <r>
    <x v="1"/>
    <x v="4"/>
    <x v="0"/>
    <x v="2"/>
    <x v="18"/>
    <x v="0"/>
    <x v="4"/>
    <n v="0"/>
  </r>
  <r>
    <x v="1"/>
    <x v="4"/>
    <x v="0"/>
    <x v="2"/>
    <x v="18"/>
    <x v="0"/>
    <x v="5"/>
    <n v="0"/>
  </r>
  <r>
    <x v="1"/>
    <x v="4"/>
    <x v="0"/>
    <x v="2"/>
    <x v="18"/>
    <x v="0"/>
    <x v="6"/>
    <n v="0"/>
  </r>
  <r>
    <x v="1"/>
    <x v="4"/>
    <x v="1"/>
    <x v="3"/>
    <x v="19"/>
    <x v="0"/>
    <x v="0"/>
    <n v="0"/>
  </r>
  <r>
    <x v="1"/>
    <x v="4"/>
    <x v="1"/>
    <x v="3"/>
    <x v="19"/>
    <x v="0"/>
    <x v="1"/>
    <n v="0"/>
  </r>
  <r>
    <x v="1"/>
    <x v="4"/>
    <x v="1"/>
    <x v="3"/>
    <x v="19"/>
    <x v="0"/>
    <x v="2"/>
    <n v="0"/>
  </r>
  <r>
    <x v="1"/>
    <x v="4"/>
    <x v="1"/>
    <x v="3"/>
    <x v="19"/>
    <x v="0"/>
    <x v="3"/>
    <n v="0"/>
  </r>
  <r>
    <x v="1"/>
    <x v="4"/>
    <x v="1"/>
    <x v="3"/>
    <x v="19"/>
    <x v="0"/>
    <x v="4"/>
    <n v="0"/>
  </r>
  <r>
    <x v="1"/>
    <x v="4"/>
    <x v="1"/>
    <x v="3"/>
    <x v="19"/>
    <x v="0"/>
    <x v="5"/>
    <n v="0"/>
  </r>
  <r>
    <x v="1"/>
    <x v="4"/>
    <x v="1"/>
    <x v="3"/>
    <x v="19"/>
    <x v="0"/>
    <x v="6"/>
    <n v="0"/>
  </r>
  <r>
    <x v="1"/>
    <x v="4"/>
    <x v="1"/>
    <x v="3"/>
    <x v="20"/>
    <x v="0"/>
    <x v="0"/>
    <n v="0"/>
  </r>
  <r>
    <x v="1"/>
    <x v="4"/>
    <x v="1"/>
    <x v="3"/>
    <x v="20"/>
    <x v="0"/>
    <x v="1"/>
    <n v="0"/>
  </r>
  <r>
    <x v="1"/>
    <x v="4"/>
    <x v="1"/>
    <x v="3"/>
    <x v="20"/>
    <x v="0"/>
    <x v="2"/>
    <n v="0"/>
  </r>
  <r>
    <x v="1"/>
    <x v="4"/>
    <x v="1"/>
    <x v="3"/>
    <x v="20"/>
    <x v="0"/>
    <x v="3"/>
    <n v="0"/>
  </r>
  <r>
    <x v="1"/>
    <x v="4"/>
    <x v="1"/>
    <x v="3"/>
    <x v="20"/>
    <x v="0"/>
    <x v="4"/>
    <n v="0"/>
  </r>
  <r>
    <x v="1"/>
    <x v="4"/>
    <x v="1"/>
    <x v="3"/>
    <x v="20"/>
    <x v="0"/>
    <x v="5"/>
    <n v="0"/>
  </r>
  <r>
    <x v="1"/>
    <x v="4"/>
    <x v="1"/>
    <x v="3"/>
    <x v="20"/>
    <x v="0"/>
    <x v="6"/>
    <n v="0"/>
  </r>
  <r>
    <x v="1"/>
    <x v="4"/>
    <x v="1"/>
    <x v="3"/>
    <x v="21"/>
    <x v="0"/>
    <x v="0"/>
    <n v="0"/>
  </r>
  <r>
    <x v="1"/>
    <x v="4"/>
    <x v="1"/>
    <x v="3"/>
    <x v="21"/>
    <x v="0"/>
    <x v="1"/>
    <n v="0"/>
  </r>
  <r>
    <x v="1"/>
    <x v="4"/>
    <x v="1"/>
    <x v="3"/>
    <x v="21"/>
    <x v="0"/>
    <x v="2"/>
    <n v="0"/>
  </r>
  <r>
    <x v="1"/>
    <x v="4"/>
    <x v="1"/>
    <x v="3"/>
    <x v="21"/>
    <x v="0"/>
    <x v="3"/>
    <n v="0"/>
  </r>
  <r>
    <x v="1"/>
    <x v="4"/>
    <x v="1"/>
    <x v="3"/>
    <x v="21"/>
    <x v="0"/>
    <x v="4"/>
    <n v="0"/>
  </r>
  <r>
    <x v="1"/>
    <x v="4"/>
    <x v="1"/>
    <x v="3"/>
    <x v="21"/>
    <x v="0"/>
    <x v="5"/>
    <n v="0"/>
  </r>
  <r>
    <x v="1"/>
    <x v="4"/>
    <x v="1"/>
    <x v="3"/>
    <x v="21"/>
    <x v="0"/>
    <x v="6"/>
    <n v="0"/>
  </r>
  <r>
    <x v="1"/>
    <x v="4"/>
    <x v="1"/>
    <x v="3"/>
    <x v="22"/>
    <x v="0"/>
    <x v="0"/>
    <n v="0"/>
  </r>
  <r>
    <x v="1"/>
    <x v="4"/>
    <x v="1"/>
    <x v="3"/>
    <x v="22"/>
    <x v="0"/>
    <x v="1"/>
    <n v="0"/>
  </r>
  <r>
    <x v="1"/>
    <x v="4"/>
    <x v="1"/>
    <x v="3"/>
    <x v="22"/>
    <x v="0"/>
    <x v="2"/>
    <n v="0"/>
  </r>
  <r>
    <x v="1"/>
    <x v="4"/>
    <x v="1"/>
    <x v="3"/>
    <x v="22"/>
    <x v="0"/>
    <x v="3"/>
    <n v="0"/>
  </r>
  <r>
    <x v="1"/>
    <x v="4"/>
    <x v="1"/>
    <x v="3"/>
    <x v="22"/>
    <x v="0"/>
    <x v="4"/>
    <n v="0"/>
  </r>
  <r>
    <x v="1"/>
    <x v="4"/>
    <x v="1"/>
    <x v="3"/>
    <x v="22"/>
    <x v="0"/>
    <x v="5"/>
    <n v="0"/>
  </r>
  <r>
    <x v="1"/>
    <x v="4"/>
    <x v="1"/>
    <x v="3"/>
    <x v="22"/>
    <x v="0"/>
    <x v="6"/>
    <n v="0"/>
  </r>
  <r>
    <x v="1"/>
    <x v="4"/>
    <x v="1"/>
    <x v="3"/>
    <x v="23"/>
    <x v="0"/>
    <x v="0"/>
    <n v="0"/>
  </r>
  <r>
    <x v="1"/>
    <x v="4"/>
    <x v="1"/>
    <x v="3"/>
    <x v="23"/>
    <x v="0"/>
    <x v="1"/>
    <n v="0"/>
  </r>
  <r>
    <x v="1"/>
    <x v="4"/>
    <x v="1"/>
    <x v="3"/>
    <x v="23"/>
    <x v="0"/>
    <x v="2"/>
    <n v="0"/>
  </r>
  <r>
    <x v="1"/>
    <x v="4"/>
    <x v="1"/>
    <x v="3"/>
    <x v="23"/>
    <x v="0"/>
    <x v="3"/>
    <n v="0"/>
  </r>
  <r>
    <x v="1"/>
    <x v="4"/>
    <x v="1"/>
    <x v="3"/>
    <x v="23"/>
    <x v="0"/>
    <x v="4"/>
    <n v="0"/>
  </r>
  <r>
    <x v="1"/>
    <x v="4"/>
    <x v="1"/>
    <x v="3"/>
    <x v="23"/>
    <x v="0"/>
    <x v="5"/>
    <n v="0"/>
  </r>
  <r>
    <x v="1"/>
    <x v="4"/>
    <x v="1"/>
    <x v="3"/>
    <x v="23"/>
    <x v="0"/>
    <x v="6"/>
    <n v="0"/>
  </r>
  <r>
    <x v="1"/>
    <x v="4"/>
    <x v="1"/>
    <x v="3"/>
    <x v="24"/>
    <x v="0"/>
    <x v="0"/>
    <n v="0"/>
  </r>
  <r>
    <x v="1"/>
    <x v="4"/>
    <x v="1"/>
    <x v="3"/>
    <x v="24"/>
    <x v="0"/>
    <x v="1"/>
    <n v="0"/>
  </r>
  <r>
    <x v="1"/>
    <x v="4"/>
    <x v="1"/>
    <x v="3"/>
    <x v="24"/>
    <x v="0"/>
    <x v="2"/>
    <n v="0"/>
  </r>
  <r>
    <x v="1"/>
    <x v="4"/>
    <x v="1"/>
    <x v="3"/>
    <x v="24"/>
    <x v="0"/>
    <x v="3"/>
    <n v="0"/>
  </r>
  <r>
    <x v="1"/>
    <x v="4"/>
    <x v="1"/>
    <x v="3"/>
    <x v="24"/>
    <x v="0"/>
    <x v="4"/>
    <n v="0"/>
  </r>
  <r>
    <x v="1"/>
    <x v="4"/>
    <x v="1"/>
    <x v="3"/>
    <x v="24"/>
    <x v="0"/>
    <x v="5"/>
    <n v="0"/>
  </r>
  <r>
    <x v="1"/>
    <x v="4"/>
    <x v="1"/>
    <x v="3"/>
    <x v="24"/>
    <x v="0"/>
    <x v="6"/>
    <n v="0"/>
  </r>
  <r>
    <x v="1"/>
    <x v="4"/>
    <x v="1"/>
    <x v="3"/>
    <x v="25"/>
    <x v="0"/>
    <x v="0"/>
    <n v="0"/>
  </r>
  <r>
    <x v="1"/>
    <x v="4"/>
    <x v="1"/>
    <x v="3"/>
    <x v="25"/>
    <x v="0"/>
    <x v="1"/>
    <n v="0"/>
  </r>
  <r>
    <x v="1"/>
    <x v="4"/>
    <x v="1"/>
    <x v="3"/>
    <x v="25"/>
    <x v="0"/>
    <x v="2"/>
    <n v="0"/>
  </r>
  <r>
    <x v="1"/>
    <x v="4"/>
    <x v="1"/>
    <x v="3"/>
    <x v="25"/>
    <x v="0"/>
    <x v="3"/>
    <n v="0"/>
  </r>
  <r>
    <x v="1"/>
    <x v="4"/>
    <x v="1"/>
    <x v="3"/>
    <x v="25"/>
    <x v="0"/>
    <x v="4"/>
    <n v="0"/>
  </r>
  <r>
    <x v="1"/>
    <x v="4"/>
    <x v="1"/>
    <x v="3"/>
    <x v="25"/>
    <x v="0"/>
    <x v="5"/>
    <n v="0"/>
  </r>
  <r>
    <x v="1"/>
    <x v="4"/>
    <x v="1"/>
    <x v="3"/>
    <x v="25"/>
    <x v="0"/>
    <x v="6"/>
    <n v="0"/>
  </r>
  <r>
    <x v="1"/>
    <x v="4"/>
    <x v="2"/>
    <x v="4"/>
    <x v="26"/>
    <x v="0"/>
    <x v="0"/>
    <n v="0"/>
  </r>
  <r>
    <x v="1"/>
    <x v="4"/>
    <x v="2"/>
    <x v="4"/>
    <x v="26"/>
    <x v="0"/>
    <x v="1"/>
    <n v="0"/>
  </r>
  <r>
    <x v="1"/>
    <x v="4"/>
    <x v="2"/>
    <x v="4"/>
    <x v="26"/>
    <x v="0"/>
    <x v="2"/>
    <n v="0"/>
  </r>
  <r>
    <x v="1"/>
    <x v="4"/>
    <x v="2"/>
    <x v="4"/>
    <x v="26"/>
    <x v="0"/>
    <x v="3"/>
    <n v="0"/>
  </r>
  <r>
    <x v="1"/>
    <x v="4"/>
    <x v="2"/>
    <x v="4"/>
    <x v="26"/>
    <x v="0"/>
    <x v="4"/>
    <n v="0"/>
  </r>
  <r>
    <x v="1"/>
    <x v="4"/>
    <x v="2"/>
    <x v="4"/>
    <x v="26"/>
    <x v="0"/>
    <x v="5"/>
    <n v="0"/>
  </r>
  <r>
    <x v="1"/>
    <x v="4"/>
    <x v="2"/>
    <x v="4"/>
    <x v="26"/>
    <x v="0"/>
    <x v="6"/>
    <n v="0"/>
  </r>
  <r>
    <x v="1"/>
    <x v="4"/>
    <x v="2"/>
    <x v="4"/>
    <x v="27"/>
    <x v="0"/>
    <x v="0"/>
    <n v="0"/>
  </r>
  <r>
    <x v="1"/>
    <x v="4"/>
    <x v="2"/>
    <x v="4"/>
    <x v="27"/>
    <x v="0"/>
    <x v="1"/>
    <n v="0"/>
  </r>
  <r>
    <x v="1"/>
    <x v="4"/>
    <x v="2"/>
    <x v="4"/>
    <x v="27"/>
    <x v="0"/>
    <x v="2"/>
    <n v="0"/>
  </r>
  <r>
    <x v="1"/>
    <x v="4"/>
    <x v="2"/>
    <x v="4"/>
    <x v="27"/>
    <x v="0"/>
    <x v="3"/>
    <n v="0"/>
  </r>
  <r>
    <x v="1"/>
    <x v="4"/>
    <x v="2"/>
    <x v="4"/>
    <x v="27"/>
    <x v="0"/>
    <x v="4"/>
    <n v="0"/>
  </r>
  <r>
    <x v="1"/>
    <x v="4"/>
    <x v="2"/>
    <x v="4"/>
    <x v="27"/>
    <x v="0"/>
    <x v="5"/>
    <n v="0"/>
  </r>
  <r>
    <x v="1"/>
    <x v="4"/>
    <x v="2"/>
    <x v="4"/>
    <x v="27"/>
    <x v="0"/>
    <x v="6"/>
    <n v="0"/>
  </r>
  <r>
    <x v="1"/>
    <x v="4"/>
    <x v="2"/>
    <x v="4"/>
    <x v="28"/>
    <x v="0"/>
    <x v="0"/>
    <n v="0"/>
  </r>
  <r>
    <x v="1"/>
    <x v="4"/>
    <x v="2"/>
    <x v="4"/>
    <x v="28"/>
    <x v="0"/>
    <x v="1"/>
    <n v="0"/>
  </r>
  <r>
    <x v="1"/>
    <x v="4"/>
    <x v="2"/>
    <x v="4"/>
    <x v="28"/>
    <x v="0"/>
    <x v="2"/>
    <n v="0"/>
  </r>
  <r>
    <x v="1"/>
    <x v="4"/>
    <x v="2"/>
    <x v="4"/>
    <x v="28"/>
    <x v="0"/>
    <x v="3"/>
    <n v="0"/>
  </r>
  <r>
    <x v="1"/>
    <x v="4"/>
    <x v="2"/>
    <x v="4"/>
    <x v="28"/>
    <x v="0"/>
    <x v="4"/>
    <n v="0"/>
  </r>
  <r>
    <x v="1"/>
    <x v="4"/>
    <x v="2"/>
    <x v="4"/>
    <x v="28"/>
    <x v="0"/>
    <x v="5"/>
    <n v="0"/>
  </r>
  <r>
    <x v="1"/>
    <x v="4"/>
    <x v="2"/>
    <x v="4"/>
    <x v="28"/>
    <x v="0"/>
    <x v="6"/>
    <n v="0"/>
  </r>
  <r>
    <x v="1"/>
    <x v="4"/>
    <x v="2"/>
    <x v="4"/>
    <x v="29"/>
    <x v="0"/>
    <x v="0"/>
    <n v="0"/>
  </r>
  <r>
    <x v="1"/>
    <x v="4"/>
    <x v="2"/>
    <x v="4"/>
    <x v="29"/>
    <x v="0"/>
    <x v="1"/>
    <n v="0"/>
  </r>
  <r>
    <x v="1"/>
    <x v="4"/>
    <x v="2"/>
    <x v="4"/>
    <x v="29"/>
    <x v="0"/>
    <x v="2"/>
    <n v="0"/>
  </r>
  <r>
    <x v="1"/>
    <x v="4"/>
    <x v="2"/>
    <x v="4"/>
    <x v="29"/>
    <x v="0"/>
    <x v="3"/>
    <n v="0"/>
  </r>
  <r>
    <x v="1"/>
    <x v="4"/>
    <x v="2"/>
    <x v="4"/>
    <x v="29"/>
    <x v="0"/>
    <x v="4"/>
    <n v="0"/>
  </r>
  <r>
    <x v="1"/>
    <x v="4"/>
    <x v="2"/>
    <x v="4"/>
    <x v="29"/>
    <x v="0"/>
    <x v="5"/>
    <n v="0"/>
  </r>
  <r>
    <x v="1"/>
    <x v="4"/>
    <x v="2"/>
    <x v="4"/>
    <x v="29"/>
    <x v="0"/>
    <x v="6"/>
    <n v="0"/>
  </r>
  <r>
    <x v="1"/>
    <x v="4"/>
    <x v="3"/>
    <x v="5"/>
    <x v="30"/>
    <x v="0"/>
    <x v="0"/>
    <n v="0.17708318807053411"/>
  </r>
  <r>
    <x v="1"/>
    <x v="4"/>
    <x v="3"/>
    <x v="5"/>
    <x v="30"/>
    <x v="0"/>
    <x v="1"/>
    <n v="0.87863313079792182"/>
  </r>
  <r>
    <x v="1"/>
    <x v="4"/>
    <x v="3"/>
    <x v="5"/>
    <x v="30"/>
    <x v="0"/>
    <x v="2"/>
    <n v="3.3566025255037957"/>
  </r>
  <r>
    <x v="1"/>
    <x v="4"/>
    <x v="3"/>
    <x v="5"/>
    <x v="30"/>
    <x v="0"/>
    <x v="3"/>
    <n v="7.6792282932697722"/>
  </r>
  <r>
    <x v="1"/>
    <x v="4"/>
    <x v="3"/>
    <x v="5"/>
    <x v="30"/>
    <x v="0"/>
    <x v="4"/>
    <n v="10.902508582309286"/>
  </r>
  <r>
    <x v="1"/>
    <x v="4"/>
    <x v="3"/>
    <x v="5"/>
    <x v="30"/>
    <x v="0"/>
    <x v="5"/>
    <n v="18.232290866141359"/>
  </r>
  <r>
    <x v="1"/>
    <x v="4"/>
    <x v="3"/>
    <x v="5"/>
    <x v="30"/>
    <x v="0"/>
    <x v="6"/>
    <n v="29.018736060644368"/>
  </r>
  <r>
    <x v="1"/>
    <x v="4"/>
    <x v="2"/>
    <x v="4"/>
    <x v="31"/>
    <x v="0"/>
    <x v="0"/>
    <n v="0.5075786690688362"/>
  </r>
  <r>
    <x v="1"/>
    <x v="4"/>
    <x v="2"/>
    <x v="4"/>
    <x v="31"/>
    <x v="0"/>
    <x v="1"/>
    <n v="1.1096125983627747"/>
  </r>
  <r>
    <x v="1"/>
    <x v="4"/>
    <x v="2"/>
    <x v="4"/>
    <x v="31"/>
    <x v="0"/>
    <x v="2"/>
    <n v="2.1495994861809375"/>
  </r>
  <r>
    <x v="1"/>
    <x v="4"/>
    <x v="2"/>
    <x v="4"/>
    <x v="31"/>
    <x v="0"/>
    <x v="3"/>
    <n v="4.5319021745165307"/>
  </r>
  <r>
    <x v="1"/>
    <x v="4"/>
    <x v="2"/>
    <x v="4"/>
    <x v="31"/>
    <x v="0"/>
    <x v="4"/>
    <n v="7.7853949929391106"/>
  </r>
  <r>
    <x v="1"/>
    <x v="4"/>
    <x v="2"/>
    <x v="4"/>
    <x v="31"/>
    <x v="0"/>
    <x v="5"/>
    <n v="11.248606537430968"/>
  </r>
  <r>
    <x v="1"/>
    <x v="4"/>
    <x v="2"/>
    <x v="4"/>
    <x v="31"/>
    <x v="0"/>
    <x v="6"/>
    <n v="17.207534733717356"/>
  </r>
  <r>
    <x v="1"/>
    <x v="4"/>
    <x v="2"/>
    <x v="4"/>
    <x v="32"/>
    <x v="0"/>
    <x v="0"/>
    <n v="0"/>
  </r>
  <r>
    <x v="1"/>
    <x v="4"/>
    <x v="2"/>
    <x v="4"/>
    <x v="32"/>
    <x v="0"/>
    <x v="1"/>
    <n v="0"/>
  </r>
  <r>
    <x v="1"/>
    <x v="4"/>
    <x v="2"/>
    <x v="4"/>
    <x v="32"/>
    <x v="0"/>
    <x v="2"/>
    <n v="0"/>
  </r>
  <r>
    <x v="1"/>
    <x v="4"/>
    <x v="2"/>
    <x v="4"/>
    <x v="32"/>
    <x v="0"/>
    <x v="3"/>
    <n v="0"/>
  </r>
  <r>
    <x v="1"/>
    <x v="4"/>
    <x v="2"/>
    <x v="4"/>
    <x v="32"/>
    <x v="0"/>
    <x v="4"/>
    <n v="0"/>
  </r>
  <r>
    <x v="1"/>
    <x v="4"/>
    <x v="2"/>
    <x v="4"/>
    <x v="32"/>
    <x v="0"/>
    <x v="5"/>
    <n v="0"/>
  </r>
  <r>
    <x v="1"/>
    <x v="4"/>
    <x v="2"/>
    <x v="4"/>
    <x v="32"/>
    <x v="0"/>
    <x v="6"/>
    <n v="0"/>
  </r>
  <r>
    <x v="1"/>
    <x v="4"/>
    <x v="2"/>
    <x v="4"/>
    <x v="33"/>
    <x v="0"/>
    <x v="0"/>
    <n v="0"/>
  </r>
  <r>
    <x v="1"/>
    <x v="4"/>
    <x v="2"/>
    <x v="4"/>
    <x v="33"/>
    <x v="0"/>
    <x v="1"/>
    <n v="0"/>
  </r>
  <r>
    <x v="1"/>
    <x v="4"/>
    <x v="2"/>
    <x v="4"/>
    <x v="33"/>
    <x v="0"/>
    <x v="2"/>
    <n v="0"/>
  </r>
  <r>
    <x v="1"/>
    <x v="4"/>
    <x v="2"/>
    <x v="4"/>
    <x v="33"/>
    <x v="0"/>
    <x v="3"/>
    <n v="0"/>
  </r>
  <r>
    <x v="1"/>
    <x v="4"/>
    <x v="2"/>
    <x v="4"/>
    <x v="33"/>
    <x v="0"/>
    <x v="4"/>
    <n v="0"/>
  </r>
  <r>
    <x v="1"/>
    <x v="4"/>
    <x v="2"/>
    <x v="4"/>
    <x v="33"/>
    <x v="0"/>
    <x v="5"/>
    <n v="0"/>
  </r>
  <r>
    <x v="1"/>
    <x v="4"/>
    <x v="2"/>
    <x v="4"/>
    <x v="33"/>
    <x v="0"/>
    <x v="6"/>
    <n v="0"/>
  </r>
  <r>
    <x v="1"/>
    <x v="4"/>
    <x v="2"/>
    <x v="4"/>
    <x v="34"/>
    <x v="0"/>
    <x v="0"/>
    <n v="6.6839295097792267E-2"/>
  </r>
  <r>
    <x v="1"/>
    <x v="4"/>
    <x v="2"/>
    <x v="4"/>
    <x v="34"/>
    <x v="0"/>
    <x v="1"/>
    <n v="0.11542235983200946"/>
  </r>
  <r>
    <x v="1"/>
    <x v="4"/>
    <x v="2"/>
    <x v="4"/>
    <x v="34"/>
    <x v="0"/>
    <x v="2"/>
    <n v="0.21132685267926701"/>
  </r>
  <r>
    <x v="1"/>
    <x v="4"/>
    <x v="2"/>
    <x v="4"/>
    <x v="34"/>
    <x v="0"/>
    <x v="3"/>
    <n v="0.38046278991621346"/>
  </r>
  <r>
    <x v="1"/>
    <x v="4"/>
    <x v="2"/>
    <x v="4"/>
    <x v="34"/>
    <x v="0"/>
    <x v="4"/>
    <n v="0.56549663458097921"/>
  </r>
  <r>
    <x v="1"/>
    <x v="4"/>
    <x v="2"/>
    <x v="4"/>
    <x v="34"/>
    <x v="0"/>
    <x v="5"/>
    <n v="0.76412155819454119"/>
  </r>
  <r>
    <x v="1"/>
    <x v="4"/>
    <x v="2"/>
    <x v="4"/>
    <x v="34"/>
    <x v="0"/>
    <x v="6"/>
    <n v="1.082505750630008"/>
  </r>
  <r>
    <x v="1"/>
    <x v="4"/>
    <x v="2"/>
    <x v="6"/>
    <x v="35"/>
    <x v="0"/>
    <x v="0"/>
    <n v="0"/>
  </r>
  <r>
    <x v="1"/>
    <x v="4"/>
    <x v="2"/>
    <x v="6"/>
    <x v="35"/>
    <x v="0"/>
    <x v="1"/>
    <n v="0"/>
  </r>
  <r>
    <x v="1"/>
    <x v="4"/>
    <x v="2"/>
    <x v="6"/>
    <x v="35"/>
    <x v="0"/>
    <x v="2"/>
    <n v="0"/>
  </r>
  <r>
    <x v="1"/>
    <x v="4"/>
    <x v="2"/>
    <x v="6"/>
    <x v="35"/>
    <x v="0"/>
    <x v="3"/>
    <n v="0"/>
  </r>
  <r>
    <x v="1"/>
    <x v="4"/>
    <x v="2"/>
    <x v="6"/>
    <x v="35"/>
    <x v="0"/>
    <x v="4"/>
    <n v="0"/>
  </r>
  <r>
    <x v="1"/>
    <x v="4"/>
    <x v="2"/>
    <x v="6"/>
    <x v="35"/>
    <x v="0"/>
    <x v="5"/>
    <n v="0"/>
  </r>
  <r>
    <x v="1"/>
    <x v="4"/>
    <x v="2"/>
    <x v="6"/>
    <x v="35"/>
    <x v="0"/>
    <x v="6"/>
    <n v="0"/>
  </r>
  <r>
    <x v="1"/>
    <x v="4"/>
    <x v="2"/>
    <x v="6"/>
    <x v="36"/>
    <x v="0"/>
    <x v="0"/>
    <n v="0.10626557284344111"/>
  </r>
  <r>
    <x v="1"/>
    <x v="4"/>
    <x v="2"/>
    <x v="6"/>
    <x v="36"/>
    <x v="0"/>
    <x v="1"/>
    <n v="0.24018288787901906"/>
  </r>
  <r>
    <x v="1"/>
    <x v="4"/>
    <x v="2"/>
    <x v="6"/>
    <x v="36"/>
    <x v="0"/>
    <x v="2"/>
    <n v="0.51939276457659067"/>
  </r>
  <r>
    <x v="1"/>
    <x v="4"/>
    <x v="2"/>
    <x v="6"/>
    <x v="36"/>
    <x v="0"/>
    <x v="3"/>
    <n v="1.1137377050052268"/>
  </r>
  <r>
    <x v="1"/>
    <x v="4"/>
    <x v="2"/>
    <x v="6"/>
    <x v="36"/>
    <x v="0"/>
    <x v="4"/>
    <n v="1.8660658906933372"/>
  </r>
  <r>
    <x v="1"/>
    <x v="4"/>
    <x v="2"/>
    <x v="6"/>
    <x v="36"/>
    <x v="0"/>
    <x v="5"/>
    <n v="2.9846978233477088"/>
  </r>
  <r>
    <x v="1"/>
    <x v="4"/>
    <x v="2"/>
    <x v="6"/>
    <x v="36"/>
    <x v="0"/>
    <x v="6"/>
    <n v="4.6302515750050208"/>
  </r>
  <r>
    <x v="1"/>
    <x v="4"/>
    <x v="2"/>
    <x v="6"/>
    <x v="37"/>
    <x v="0"/>
    <x v="0"/>
    <n v="3.0406041917151454E-2"/>
  </r>
  <r>
    <x v="1"/>
    <x v="4"/>
    <x v="2"/>
    <x v="6"/>
    <x v="37"/>
    <x v="0"/>
    <x v="1"/>
    <n v="6.5005423025942477E-2"/>
  </r>
  <r>
    <x v="1"/>
    <x v="4"/>
    <x v="2"/>
    <x v="6"/>
    <x v="37"/>
    <x v="0"/>
    <x v="2"/>
    <n v="0.12187672291500617"/>
  </r>
  <r>
    <x v="1"/>
    <x v="4"/>
    <x v="2"/>
    <x v="6"/>
    <x v="37"/>
    <x v="0"/>
    <x v="3"/>
    <n v="0.23827767569117747"/>
  </r>
  <r>
    <x v="1"/>
    <x v="4"/>
    <x v="2"/>
    <x v="6"/>
    <x v="37"/>
    <x v="0"/>
    <x v="4"/>
    <n v="0.37829880756535766"/>
  </r>
  <r>
    <x v="1"/>
    <x v="4"/>
    <x v="2"/>
    <x v="6"/>
    <x v="37"/>
    <x v="0"/>
    <x v="5"/>
    <n v="0.55672103063307365"/>
  </r>
  <r>
    <x v="1"/>
    <x v="4"/>
    <x v="2"/>
    <x v="6"/>
    <x v="37"/>
    <x v="0"/>
    <x v="6"/>
    <n v="0.82317251834738858"/>
  </r>
  <r>
    <x v="1"/>
    <x v="4"/>
    <x v="2"/>
    <x v="6"/>
    <x v="38"/>
    <x v="0"/>
    <x v="0"/>
    <n v="0"/>
  </r>
  <r>
    <x v="1"/>
    <x v="4"/>
    <x v="2"/>
    <x v="6"/>
    <x v="38"/>
    <x v="0"/>
    <x v="1"/>
    <n v="0"/>
  </r>
  <r>
    <x v="1"/>
    <x v="4"/>
    <x v="2"/>
    <x v="6"/>
    <x v="38"/>
    <x v="0"/>
    <x v="2"/>
    <n v="0"/>
  </r>
  <r>
    <x v="1"/>
    <x v="4"/>
    <x v="2"/>
    <x v="6"/>
    <x v="38"/>
    <x v="0"/>
    <x v="3"/>
    <n v="0"/>
  </r>
  <r>
    <x v="1"/>
    <x v="4"/>
    <x v="2"/>
    <x v="6"/>
    <x v="38"/>
    <x v="0"/>
    <x v="4"/>
    <n v="0"/>
  </r>
  <r>
    <x v="1"/>
    <x v="4"/>
    <x v="2"/>
    <x v="6"/>
    <x v="38"/>
    <x v="0"/>
    <x v="5"/>
    <n v="0"/>
  </r>
  <r>
    <x v="1"/>
    <x v="4"/>
    <x v="2"/>
    <x v="6"/>
    <x v="38"/>
    <x v="0"/>
    <x v="6"/>
    <n v="0"/>
  </r>
  <r>
    <x v="1"/>
    <x v="4"/>
    <x v="3"/>
    <x v="5"/>
    <x v="39"/>
    <x v="0"/>
    <x v="0"/>
    <n v="1.2660759376396276"/>
  </r>
  <r>
    <x v="1"/>
    <x v="4"/>
    <x v="3"/>
    <x v="5"/>
    <x v="39"/>
    <x v="0"/>
    <x v="1"/>
    <n v="2.9639808786804442"/>
  </r>
  <r>
    <x v="1"/>
    <x v="4"/>
    <x v="3"/>
    <x v="5"/>
    <x v="39"/>
    <x v="0"/>
    <x v="2"/>
    <n v="6.7963419619571201"/>
  </r>
  <r>
    <x v="1"/>
    <x v="4"/>
    <x v="3"/>
    <x v="5"/>
    <x v="39"/>
    <x v="0"/>
    <x v="3"/>
    <n v="13.495204220237513"/>
  </r>
  <r>
    <x v="1"/>
    <x v="4"/>
    <x v="3"/>
    <x v="5"/>
    <x v="39"/>
    <x v="0"/>
    <x v="4"/>
    <n v="17.578751707723114"/>
  </r>
  <r>
    <x v="1"/>
    <x v="4"/>
    <x v="3"/>
    <x v="5"/>
    <x v="39"/>
    <x v="0"/>
    <x v="5"/>
    <n v="28.051897789881604"/>
  </r>
  <r>
    <x v="1"/>
    <x v="4"/>
    <x v="3"/>
    <x v="5"/>
    <x v="39"/>
    <x v="0"/>
    <x v="6"/>
    <n v="44.765448456796776"/>
  </r>
  <r>
    <x v="1"/>
    <x v="4"/>
    <x v="2"/>
    <x v="6"/>
    <x v="40"/>
    <x v="0"/>
    <x v="0"/>
    <n v="0.14192233904215823"/>
  </r>
  <r>
    <x v="1"/>
    <x v="4"/>
    <x v="2"/>
    <x v="6"/>
    <x v="40"/>
    <x v="0"/>
    <x v="1"/>
    <n v="0.30874737036795041"/>
  </r>
  <r>
    <x v="1"/>
    <x v="4"/>
    <x v="2"/>
    <x v="6"/>
    <x v="40"/>
    <x v="0"/>
    <x v="2"/>
    <n v="0.70644837237589009"/>
  </r>
  <r>
    <x v="1"/>
    <x v="4"/>
    <x v="2"/>
    <x v="6"/>
    <x v="40"/>
    <x v="0"/>
    <x v="3"/>
    <n v="1.5294562355671311"/>
  </r>
  <r>
    <x v="1"/>
    <x v="4"/>
    <x v="2"/>
    <x v="6"/>
    <x v="40"/>
    <x v="0"/>
    <x v="4"/>
    <n v="2.6667152962859193"/>
  </r>
  <r>
    <x v="1"/>
    <x v="4"/>
    <x v="2"/>
    <x v="6"/>
    <x v="40"/>
    <x v="0"/>
    <x v="5"/>
    <n v="4.15693901256041"/>
  </r>
  <r>
    <x v="1"/>
    <x v="4"/>
    <x v="2"/>
    <x v="6"/>
    <x v="40"/>
    <x v="0"/>
    <x v="6"/>
    <n v="6.6059847226271877"/>
  </r>
  <r>
    <x v="1"/>
    <x v="4"/>
    <x v="2"/>
    <x v="6"/>
    <x v="41"/>
    <x v="0"/>
    <x v="0"/>
    <n v="7.1385149190201875E-3"/>
  </r>
  <r>
    <x v="1"/>
    <x v="4"/>
    <x v="2"/>
    <x v="6"/>
    <x v="41"/>
    <x v="0"/>
    <x v="1"/>
    <n v="1.5799400132457155E-2"/>
  </r>
  <r>
    <x v="1"/>
    <x v="4"/>
    <x v="2"/>
    <x v="6"/>
    <x v="41"/>
    <x v="0"/>
    <x v="2"/>
    <n v="3.2935949842483908E-2"/>
  </r>
  <r>
    <x v="1"/>
    <x v="4"/>
    <x v="2"/>
    <x v="6"/>
    <x v="41"/>
    <x v="0"/>
    <x v="3"/>
    <n v="6.7081154501147766E-2"/>
  </r>
  <r>
    <x v="1"/>
    <x v="4"/>
    <x v="2"/>
    <x v="6"/>
    <x v="41"/>
    <x v="0"/>
    <x v="4"/>
    <n v="0.11019104079670794"/>
  </r>
  <r>
    <x v="1"/>
    <x v="4"/>
    <x v="2"/>
    <x v="6"/>
    <x v="41"/>
    <x v="0"/>
    <x v="5"/>
    <n v="0.16520235518201878"/>
  </r>
  <r>
    <x v="1"/>
    <x v="4"/>
    <x v="2"/>
    <x v="6"/>
    <x v="41"/>
    <x v="0"/>
    <x v="6"/>
    <n v="0.24888315517261994"/>
  </r>
  <r>
    <x v="1"/>
    <x v="4"/>
    <x v="2"/>
    <x v="6"/>
    <x v="42"/>
    <x v="0"/>
    <x v="0"/>
    <n v="0"/>
  </r>
  <r>
    <x v="1"/>
    <x v="4"/>
    <x v="2"/>
    <x v="6"/>
    <x v="42"/>
    <x v="0"/>
    <x v="1"/>
    <n v="0"/>
  </r>
  <r>
    <x v="1"/>
    <x v="4"/>
    <x v="2"/>
    <x v="6"/>
    <x v="42"/>
    <x v="0"/>
    <x v="2"/>
    <n v="0"/>
  </r>
  <r>
    <x v="1"/>
    <x v="4"/>
    <x v="2"/>
    <x v="6"/>
    <x v="42"/>
    <x v="0"/>
    <x v="3"/>
    <n v="0"/>
  </r>
  <r>
    <x v="1"/>
    <x v="4"/>
    <x v="2"/>
    <x v="6"/>
    <x v="42"/>
    <x v="0"/>
    <x v="4"/>
    <n v="0"/>
  </r>
  <r>
    <x v="1"/>
    <x v="4"/>
    <x v="2"/>
    <x v="6"/>
    <x v="42"/>
    <x v="0"/>
    <x v="5"/>
    <n v="0"/>
  </r>
  <r>
    <x v="1"/>
    <x v="4"/>
    <x v="2"/>
    <x v="6"/>
    <x v="42"/>
    <x v="0"/>
    <x v="6"/>
    <n v="0"/>
  </r>
  <r>
    <x v="1"/>
    <x v="4"/>
    <x v="2"/>
    <x v="6"/>
    <x v="43"/>
    <x v="0"/>
    <x v="0"/>
    <n v="7.3862516976037115E-2"/>
  </r>
  <r>
    <x v="1"/>
    <x v="4"/>
    <x v="2"/>
    <x v="6"/>
    <x v="43"/>
    <x v="0"/>
    <x v="1"/>
    <n v="0.14491937745309719"/>
  </r>
  <r>
    <x v="1"/>
    <x v="4"/>
    <x v="2"/>
    <x v="6"/>
    <x v="43"/>
    <x v="0"/>
    <x v="2"/>
    <n v="0.2563632117657218"/>
  </r>
  <r>
    <x v="1"/>
    <x v="4"/>
    <x v="2"/>
    <x v="6"/>
    <x v="43"/>
    <x v="0"/>
    <x v="3"/>
    <n v="0.46050297557159398"/>
  </r>
  <r>
    <x v="1"/>
    <x v="4"/>
    <x v="2"/>
    <x v="6"/>
    <x v="43"/>
    <x v="0"/>
    <x v="4"/>
    <n v="0.68780409606958992"/>
  </r>
  <r>
    <x v="1"/>
    <x v="4"/>
    <x v="2"/>
    <x v="6"/>
    <x v="43"/>
    <x v="0"/>
    <x v="5"/>
    <n v="0.96257292834894237"/>
  </r>
  <r>
    <x v="1"/>
    <x v="4"/>
    <x v="2"/>
    <x v="6"/>
    <x v="43"/>
    <x v="0"/>
    <x v="6"/>
    <n v="1.3645464970284213"/>
  </r>
  <r>
    <x v="1"/>
    <x v="4"/>
    <x v="4"/>
    <x v="7"/>
    <x v="44"/>
    <x v="0"/>
    <x v="0"/>
    <n v="3.5009896529804947E-3"/>
  </r>
  <r>
    <x v="1"/>
    <x v="4"/>
    <x v="4"/>
    <x v="7"/>
    <x v="44"/>
    <x v="0"/>
    <x v="1"/>
    <n v="1.9164886655335174E-2"/>
  </r>
  <r>
    <x v="1"/>
    <x v="4"/>
    <x v="4"/>
    <x v="7"/>
    <x v="44"/>
    <x v="0"/>
    <x v="2"/>
    <n v="7.662896582808322E-2"/>
  </r>
  <r>
    <x v="1"/>
    <x v="4"/>
    <x v="4"/>
    <x v="7"/>
    <x v="44"/>
    <x v="0"/>
    <x v="3"/>
    <n v="0.3192512666295938"/>
  </r>
  <r>
    <x v="1"/>
    <x v="4"/>
    <x v="4"/>
    <x v="7"/>
    <x v="44"/>
    <x v="0"/>
    <x v="4"/>
    <n v="0.54559219999999209"/>
  </r>
  <r>
    <x v="1"/>
    <x v="4"/>
    <x v="4"/>
    <x v="7"/>
    <x v="44"/>
    <x v="0"/>
    <x v="5"/>
    <n v="0.90121584000005173"/>
  </r>
  <r>
    <x v="1"/>
    <x v="4"/>
    <x v="4"/>
    <x v="7"/>
    <x v="44"/>
    <x v="0"/>
    <x v="6"/>
    <n v="1.3947819830750396"/>
  </r>
  <r>
    <x v="1"/>
    <x v="4"/>
    <x v="4"/>
    <x v="7"/>
    <x v="45"/>
    <x v="0"/>
    <x v="0"/>
    <n v="1.2845975708417045E-2"/>
  </r>
  <r>
    <x v="1"/>
    <x v="4"/>
    <x v="4"/>
    <x v="7"/>
    <x v="45"/>
    <x v="0"/>
    <x v="1"/>
    <n v="2.5616435642185246E-2"/>
  </r>
  <r>
    <x v="1"/>
    <x v="4"/>
    <x v="4"/>
    <x v="7"/>
    <x v="45"/>
    <x v="0"/>
    <x v="2"/>
    <n v="4.6148106757343252E-2"/>
  </r>
  <r>
    <x v="1"/>
    <x v="4"/>
    <x v="4"/>
    <x v="7"/>
    <x v="45"/>
    <x v="0"/>
    <x v="3"/>
    <n v="8.765566377460482E-2"/>
  </r>
  <r>
    <x v="1"/>
    <x v="4"/>
    <x v="4"/>
    <x v="7"/>
    <x v="45"/>
    <x v="0"/>
    <x v="4"/>
    <n v="0.13579539239270225"/>
  </r>
  <r>
    <x v="1"/>
    <x v="4"/>
    <x v="4"/>
    <x v="7"/>
    <x v="45"/>
    <x v="0"/>
    <x v="5"/>
    <n v="0.22809995144170475"/>
  </r>
  <r>
    <x v="1"/>
    <x v="4"/>
    <x v="4"/>
    <x v="7"/>
    <x v="45"/>
    <x v="0"/>
    <x v="6"/>
    <n v="0.37362961644208231"/>
  </r>
  <r>
    <x v="1"/>
    <x v="4"/>
    <x v="4"/>
    <x v="7"/>
    <x v="46"/>
    <x v="0"/>
    <x v="0"/>
    <n v="0"/>
  </r>
  <r>
    <x v="1"/>
    <x v="4"/>
    <x v="4"/>
    <x v="7"/>
    <x v="46"/>
    <x v="0"/>
    <x v="1"/>
    <n v="0"/>
  </r>
  <r>
    <x v="1"/>
    <x v="4"/>
    <x v="4"/>
    <x v="7"/>
    <x v="46"/>
    <x v="0"/>
    <x v="2"/>
    <n v="0"/>
  </r>
  <r>
    <x v="1"/>
    <x v="4"/>
    <x v="4"/>
    <x v="7"/>
    <x v="46"/>
    <x v="0"/>
    <x v="3"/>
    <n v="0"/>
  </r>
  <r>
    <x v="1"/>
    <x v="4"/>
    <x v="4"/>
    <x v="7"/>
    <x v="46"/>
    <x v="0"/>
    <x v="4"/>
    <n v="0"/>
  </r>
  <r>
    <x v="1"/>
    <x v="4"/>
    <x v="4"/>
    <x v="7"/>
    <x v="46"/>
    <x v="0"/>
    <x v="5"/>
    <n v="0"/>
  </r>
  <r>
    <x v="1"/>
    <x v="4"/>
    <x v="4"/>
    <x v="7"/>
    <x v="46"/>
    <x v="0"/>
    <x v="6"/>
    <n v="0"/>
  </r>
  <r>
    <x v="1"/>
    <x v="4"/>
    <x v="4"/>
    <x v="7"/>
    <x v="47"/>
    <x v="0"/>
    <x v="0"/>
    <n v="0"/>
  </r>
  <r>
    <x v="1"/>
    <x v="4"/>
    <x v="4"/>
    <x v="7"/>
    <x v="47"/>
    <x v="0"/>
    <x v="1"/>
    <n v="0"/>
  </r>
  <r>
    <x v="1"/>
    <x v="4"/>
    <x v="4"/>
    <x v="7"/>
    <x v="47"/>
    <x v="0"/>
    <x v="2"/>
    <n v="0"/>
  </r>
  <r>
    <x v="1"/>
    <x v="4"/>
    <x v="4"/>
    <x v="7"/>
    <x v="47"/>
    <x v="0"/>
    <x v="3"/>
    <n v="0"/>
  </r>
  <r>
    <x v="1"/>
    <x v="4"/>
    <x v="4"/>
    <x v="7"/>
    <x v="47"/>
    <x v="0"/>
    <x v="4"/>
    <n v="0"/>
  </r>
  <r>
    <x v="1"/>
    <x v="4"/>
    <x v="4"/>
    <x v="7"/>
    <x v="47"/>
    <x v="0"/>
    <x v="5"/>
    <n v="0"/>
  </r>
  <r>
    <x v="1"/>
    <x v="4"/>
    <x v="4"/>
    <x v="7"/>
    <x v="47"/>
    <x v="0"/>
    <x v="6"/>
    <n v="0"/>
  </r>
  <r>
    <x v="1"/>
    <x v="4"/>
    <x v="4"/>
    <x v="7"/>
    <x v="48"/>
    <x v="0"/>
    <x v="0"/>
    <n v="0"/>
  </r>
  <r>
    <x v="1"/>
    <x v="4"/>
    <x v="4"/>
    <x v="7"/>
    <x v="48"/>
    <x v="0"/>
    <x v="1"/>
    <n v="0"/>
  </r>
  <r>
    <x v="1"/>
    <x v="4"/>
    <x v="4"/>
    <x v="7"/>
    <x v="48"/>
    <x v="0"/>
    <x v="2"/>
    <n v="0"/>
  </r>
  <r>
    <x v="1"/>
    <x v="4"/>
    <x v="4"/>
    <x v="7"/>
    <x v="48"/>
    <x v="0"/>
    <x v="3"/>
    <n v="0"/>
  </r>
  <r>
    <x v="1"/>
    <x v="4"/>
    <x v="4"/>
    <x v="7"/>
    <x v="48"/>
    <x v="0"/>
    <x v="4"/>
    <n v="0"/>
  </r>
  <r>
    <x v="1"/>
    <x v="4"/>
    <x v="4"/>
    <x v="7"/>
    <x v="48"/>
    <x v="0"/>
    <x v="5"/>
    <n v="0"/>
  </r>
  <r>
    <x v="1"/>
    <x v="4"/>
    <x v="4"/>
    <x v="7"/>
    <x v="48"/>
    <x v="0"/>
    <x v="6"/>
    <n v="0"/>
  </r>
  <r>
    <x v="1"/>
    <x v="4"/>
    <x v="4"/>
    <x v="7"/>
    <x v="49"/>
    <x v="0"/>
    <x v="0"/>
    <n v="0"/>
  </r>
  <r>
    <x v="1"/>
    <x v="4"/>
    <x v="4"/>
    <x v="7"/>
    <x v="49"/>
    <x v="0"/>
    <x v="1"/>
    <n v="0"/>
  </r>
  <r>
    <x v="1"/>
    <x v="4"/>
    <x v="4"/>
    <x v="7"/>
    <x v="49"/>
    <x v="0"/>
    <x v="2"/>
    <n v="0"/>
  </r>
  <r>
    <x v="1"/>
    <x v="4"/>
    <x v="4"/>
    <x v="7"/>
    <x v="49"/>
    <x v="0"/>
    <x v="3"/>
    <n v="0"/>
  </r>
  <r>
    <x v="1"/>
    <x v="4"/>
    <x v="4"/>
    <x v="7"/>
    <x v="49"/>
    <x v="0"/>
    <x v="4"/>
    <n v="0"/>
  </r>
  <r>
    <x v="1"/>
    <x v="4"/>
    <x v="4"/>
    <x v="7"/>
    <x v="49"/>
    <x v="0"/>
    <x v="5"/>
    <n v="0"/>
  </r>
  <r>
    <x v="1"/>
    <x v="4"/>
    <x v="4"/>
    <x v="7"/>
    <x v="49"/>
    <x v="0"/>
    <x v="6"/>
    <n v="0"/>
  </r>
  <r>
    <x v="1"/>
    <x v="4"/>
    <x v="4"/>
    <x v="7"/>
    <x v="50"/>
    <x v="0"/>
    <x v="0"/>
    <n v="0"/>
  </r>
  <r>
    <x v="1"/>
    <x v="4"/>
    <x v="4"/>
    <x v="7"/>
    <x v="50"/>
    <x v="0"/>
    <x v="1"/>
    <n v="0"/>
  </r>
  <r>
    <x v="1"/>
    <x v="4"/>
    <x v="4"/>
    <x v="7"/>
    <x v="50"/>
    <x v="0"/>
    <x v="2"/>
    <n v="0"/>
  </r>
  <r>
    <x v="1"/>
    <x v="4"/>
    <x v="4"/>
    <x v="7"/>
    <x v="50"/>
    <x v="0"/>
    <x v="3"/>
    <n v="0"/>
  </r>
  <r>
    <x v="1"/>
    <x v="4"/>
    <x v="4"/>
    <x v="7"/>
    <x v="50"/>
    <x v="0"/>
    <x v="4"/>
    <n v="0"/>
  </r>
  <r>
    <x v="1"/>
    <x v="4"/>
    <x v="4"/>
    <x v="7"/>
    <x v="50"/>
    <x v="0"/>
    <x v="5"/>
    <n v="0"/>
  </r>
  <r>
    <x v="1"/>
    <x v="4"/>
    <x v="4"/>
    <x v="7"/>
    <x v="50"/>
    <x v="0"/>
    <x v="6"/>
    <n v="0"/>
  </r>
  <r>
    <x v="1"/>
    <x v="4"/>
    <x v="5"/>
    <x v="8"/>
    <x v="51"/>
    <x v="0"/>
    <x v="0"/>
    <n v="4.0260582725166048E-2"/>
  </r>
  <r>
    <x v="1"/>
    <x v="4"/>
    <x v="5"/>
    <x v="8"/>
    <x v="51"/>
    <x v="0"/>
    <x v="1"/>
    <n v="0.11366523704068046"/>
  </r>
  <r>
    <x v="1"/>
    <x v="4"/>
    <x v="5"/>
    <x v="8"/>
    <x v="51"/>
    <x v="0"/>
    <x v="2"/>
    <n v="0.24111772308046603"/>
  </r>
  <r>
    <x v="1"/>
    <x v="4"/>
    <x v="5"/>
    <x v="8"/>
    <x v="51"/>
    <x v="0"/>
    <x v="3"/>
    <n v="0.44613107174146843"/>
  </r>
  <r>
    <x v="1"/>
    <x v="4"/>
    <x v="5"/>
    <x v="8"/>
    <x v="51"/>
    <x v="0"/>
    <x v="4"/>
    <n v="0.63914062537539496"/>
  </r>
  <r>
    <x v="1"/>
    <x v="4"/>
    <x v="5"/>
    <x v="8"/>
    <x v="51"/>
    <x v="0"/>
    <x v="5"/>
    <n v="0.75672331733163667"/>
  </r>
  <r>
    <x v="1"/>
    <x v="4"/>
    <x v="5"/>
    <x v="8"/>
    <x v="51"/>
    <x v="0"/>
    <x v="6"/>
    <n v="0.91464133092185951"/>
  </r>
  <r>
    <x v="1"/>
    <x v="4"/>
    <x v="3"/>
    <x v="5"/>
    <x v="52"/>
    <x v="0"/>
    <x v="0"/>
    <n v="0"/>
  </r>
  <r>
    <x v="1"/>
    <x v="4"/>
    <x v="3"/>
    <x v="5"/>
    <x v="52"/>
    <x v="0"/>
    <x v="1"/>
    <n v="0"/>
  </r>
  <r>
    <x v="1"/>
    <x v="4"/>
    <x v="3"/>
    <x v="5"/>
    <x v="52"/>
    <x v="0"/>
    <x v="2"/>
    <n v="0"/>
  </r>
  <r>
    <x v="1"/>
    <x v="4"/>
    <x v="3"/>
    <x v="5"/>
    <x v="52"/>
    <x v="0"/>
    <x v="3"/>
    <n v="0"/>
  </r>
  <r>
    <x v="1"/>
    <x v="4"/>
    <x v="3"/>
    <x v="5"/>
    <x v="52"/>
    <x v="0"/>
    <x v="4"/>
    <n v="0"/>
  </r>
  <r>
    <x v="1"/>
    <x v="4"/>
    <x v="3"/>
    <x v="5"/>
    <x v="52"/>
    <x v="0"/>
    <x v="5"/>
    <n v="0"/>
  </r>
  <r>
    <x v="1"/>
    <x v="4"/>
    <x v="3"/>
    <x v="5"/>
    <x v="52"/>
    <x v="0"/>
    <x v="6"/>
    <n v="0"/>
  </r>
  <r>
    <x v="1"/>
    <x v="4"/>
    <x v="5"/>
    <x v="8"/>
    <x v="53"/>
    <x v="0"/>
    <x v="0"/>
    <n v="7.1247175984960956E-2"/>
  </r>
  <r>
    <x v="1"/>
    <x v="4"/>
    <x v="5"/>
    <x v="8"/>
    <x v="53"/>
    <x v="0"/>
    <x v="1"/>
    <n v="0.19017204191763423"/>
  </r>
  <r>
    <x v="1"/>
    <x v="4"/>
    <x v="5"/>
    <x v="8"/>
    <x v="53"/>
    <x v="0"/>
    <x v="2"/>
    <n v="0.42716625227590749"/>
  </r>
  <r>
    <x v="1"/>
    <x v="4"/>
    <x v="5"/>
    <x v="8"/>
    <x v="53"/>
    <x v="0"/>
    <x v="3"/>
    <n v="0.99083915467504857"/>
  </r>
  <r>
    <x v="1"/>
    <x v="4"/>
    <x v="5"/>
    <x v="8"/>
    <x v="53"/>
    <x v="0"/>
    <x v="4"/>
    <n v="1.3720244240540982"/>
  </r>
  <r>
    <x v="1"/>
    <x v="4"/>
    <x v="5"/>
    <x v="8"/>
    <x v="53"/>
    <x v="0"/>
    <x v="5"/>
    <n v="2.1657568860757999"/>
  </r>
  <r>
    <x v="1"/>
    <x v="4"/>
    <x v="5"/>
    <x v="8"/>
    <x v="53"/>
    <x v="0"/>
    <x v="6"/>
    <n v="2.8153188303529024"/>
  </r>
  <r>
    <x v="1"/>
    <x v="4"/>
    <x v="4"/>
    <x v="7"/>
    <x v="54"/>
    <x v="0"/>
    <x v="0"/>
    <n v="0"/>
  </r>
  <r>
    <x v="1"/>
    <x v="4"/>
    <x v="4"/>
    <x v="7"/>
    <x v="54"/>
    <x v="0"/>
    <x v="1"/>
    <n v="0"/>
  </r>
  <r>
    <x v="1"/>
    <x v="4"/>
    <x v="4"/>
    <x v="7"/>
    <x v="54"/>
    <x v="0"/>
    <x v="2"/>
    <n v="0"/>
  </r>
  <r>
    <x v="1"/>
    <x v="4"/>
    <x v="4"/>
    <x v="7"/>
    <x v="54"/>
    <x v="0"/>
    <x v="3"/>
    <n v="0"/>
  </r>
  <r>
    <x v="1"/>
    <x v="4"/>
    <x v="4"/>
    <x v="7"/>
    <x v="54"/>
    <x v="0"/>
    <x v="4"/>
    <n v="0"/>
  </r>
  <r>
    <x v="1"/>
    <x v="4"/>
    <x v="4"/>
    <x v="7"/>
    <x v="54"/>
    <x v="0"/>
    <x v="5"/>
    <n v="0"/>
  </r>
  <r>
    <x v="1"/>
    <x v="4"/>
    <x v="4"/>
    <x v="7"/>
    <x v="54"/>
    <x v="0"/>
    <x v="6"/>
    <n v="0"/>
  </r>
  <r>
    <x v="1"/>
    <x v="4"/>
    <x v="4"/>
    <x v="7"/>
    <x v="55"/>
    <x v="0"/>
    <x v="0"/>
    <n v="0"/>
  </r>
  <r>
    <x v="1"/>
    <x v="4"/>
    <x v="4"/>
    <x v="7"/>
    <x v="55"/>
    <x v="0"/>
    <x v="1"/>
    <n v="0"/>
  </r>
  <r>
    <x v="1"/>
    <x v="4"/>
    <x v="4"/>
    <x v="7"/>
    <x v="55"/>
    <x v="0"/>
    <x v="2"/>
    <n v="0"/>
  </r>
  <r>
    <x v="1"/>
    <x v="4"/>
    <x v="4"/>
    <x v="7"/>
    <x v="55"/>
    <x v="0"/>
    <x v="3"/>
    <n v="0"/>
  </r>
  <r>
    <x v="1"/>
    <x v="4"/>
    <x v="4"/>
    <x v="7"/>
    <x v="55"/>
    <x v="0"/>
    <x v="4"/>
    <n v="0"/>
  </r>
  <r>
    <x v="1"/>
    <x v="4"/>
    <x v="4"/>
    <x v="7"/>
    <x v="55"/>
    <x v="0"/>
    <x v="5"/>
    <n v="0"/>
  </r>
  <r>
    <x v="1"/>
    <x v="4"/>
    <x v="4"/>
    <x v="7"/>
    <x v="55"/>
    <x v="0"/>
    <x v="6"/>
    <n v="0"/>
  </r>
  <r>
    <x v="1"/>
    <x v="4"/>
    <x v="4"/>
    <x v="7"/>
    <x v="56"/>
    <x v="0"/>
    <x v="0"/>
    <n v="0"/>
  </r>
  <r>
    <x v="1"/>
    <x v="4"/>
    <x v="4"/>
    <x v="7"/>
    <x v="56"/>
    <x v="0"/>
    <x v="1"/>
    <n v="0"/>
  </r>
  <r>
    <x v="1"/>
    <x v="4"/>
    <x v="4"/>
    <x v="7"/>
    <x v="56"/>
    <x v="0"/>
    <x v="2"/>
    <n v="0"/>
  </r>
  <r>
    <x v="1"/>
    <x v="4"/>
    <x v="4"/>
    <x v="7"/>
    <x v="56"/>
    <x v="0"/>
    <x v="3"/>
    <n v="0"/>
  </r>
  <r>
    <x v="1"/>
    <x v="4"/>
    <x v="4"/>
    <x v="7"/>
    <x v="56"/>
    <x v="0"/>
    <x v="4"/>
    <n v="0"/>
  </r>
  <r>
    <x v="1"/>
    <x v="4"/>
    <x v="4"/>
    <x v="7"/>
    <x v="56"/>
    <x v="0"/>
    <x v="5"/>
    <n v="0"/>
  </r>
  <r>
    <x v="1"/>
    <x v="4"/>
    <x v="4"/>
    <x v="7"/>
    <x v="56"/>
    <x v="0"/>
    <x v="6"/>
    <n v="0"/>
  </r>
  <r>
    <x v="1"/>
    <x v="4"/>
    <x v="4"/>
    <x v="7"/>
    <x v="57"/>
    <x v="0"/>
    <x v="0"/>
    <n v="0"/>
  </r>
  <r>
    <x v="1"/>
    <x v="4"/>
    <x v="4"/>
    <x v="7"/>
    <x v="57"/>
    <x v="0"/>
    <x v="1"/>
    <n v="0"/>
  </r>
  <r>
    <x v="1"/>
    <x v="4"/>
    <x v="4"/>
    <x v="7"/>
    <x v="57"/>
    <x v="0"/>
    <x v="2"/>
    <n v="0"/>
  </r>
  <r>
    <x v="1"/>
    <x v="4"/>
    <x v="4"/>
    <x v="7"/>
    <x v="57"/>
    <x v="0"/>
    <x v="3"/>
    <n v="0"/>
  </r>
  <r>
    <x v="1"/>
    <x v="4"/>
    <x v="4"/>
    <x v="7"/>
    <x v="57"/>
    <x v="0"/>
    <x v="4"/>
    <n v="0"/>
  </r>
  <r>
    <x v="1"/>
    <x v="4"/>
    <x v="4"/>
    <x v="7"/>
    <x v="57"/>
    <x v="0"/>
    <x v="5"/>
    <n v="0"/>
  </r>
  <r>
    <x v="1"/>
    <x v="4"/>
    <x v="4"/>
    <x v="7"/>
    <x v="57"/>
    <x v="0"/>
    <x v="6"/>
    <n v="0"/>
  </r>
  <r>
    <x v="1"/>
    <x v="4"/>
    <x v="4"/>
    <x v="7"/>
    <x v="58"/>
    <x v="0"/>
    <x v="0"/>
    <n v="0"/>
  </r>
  <r>
    <x v="1"/>
    <x v="4"/>
    <x v="4"/>
    <x v="7"/>
    <x v="58"/>
    <x v="0"/>
    <x v="1"/>
    <n v="0"/>
  </r>
  <r>
    <x v="1"/>
    <x v="4"/>
    <x v="4"/>
    <x v="7"/>
    <x v="58"/>
    <x v="0"/>
    <x v="2"/>
    <n v="0"/>
  </r>
  <r>
    <x v="1"/>
    <x v="4"/>
    <x v="4"/>
    <x v="7"/>
    <x v="58"/>
    <x v="0"/>
    <x v="3"/>
    <n v="0"/>
  </r>
  <r>
    <x v="1"/>
    <x v="4"/>
    <x v="4"/>
    <x v="7"/>
    <x v="58"/>
    <x v="0"/>
    <x v="4"/>
    <n v="0"/>
  </r>
  <r>
    <x v="1"/>
    <x v="4"/>
    <x v="4"/>
    <x v="7"/>
    <x v="58"/>
    <x v="0"/>
    <x v="5"/>
    <n v="0"/>
  </r>
  <r>
    <x v="1"/>
    <x v="4"/>
    <x v="4"/>
    <x v="7"/>
    <x v="58"/>
    <x v="0"/>
    <x v="6"/>
    <n v="0"/>
  </r>
  <r>
    <x v="1"/>
    <x v="4"/>
    <x v="4"/>
    <x v="7"/>
    <x v="59"/>
    <x v="0"/>
    <x v="0"/>
    <n v="0"/>
  </r>
  <r>
    <x v="1"/>
    <x v="4"/>
    <x v="4"/>
    <x v="7"/>
    <x v="59"/>
    <x v="0"/>
    <x v="1"/>
    <n v="0"/>
  </r>
  <r>
    <x v="1"/>
    <x v="4"/>
    <x v="4"/>
    <x v="7"/>
    <x v="59"/>
    <x v="0"/>
    <x v="2"/>
    <n v="0"/>
  </r>
  <r>
    <x v="1"/>
    <x v="4"/>
    <x v="4"/>
    <x v="7"/>
    <x v="59"/>
    <x v="0"/>
    <x v="3"/>
    <n v="0"/>
  </r>
  <r>
    <x v="1"/>
    <x v="4"/>
    <x v="4"/>
    <x v="7"/>
    <x v="59"/>
    <x v="0"/>
    <x v="4"/>
    <n v="0"/>
  </r>
  <r>
    <x v="1"/>
    <x v="4"/>
    <x v="4"/>
    <x v="7"/>
    <x v="59"/>
    <x v="0"/>
    <x v="5"/>
    <n v="0"/>
  </r>
  <r>
    <x v="1"/>
    <x v="4"/>
    <x v="4"/>
    <x v="7"/>
    <x v="59"/>
    <x v="0"/>
    <x v="6"/>
    <n v="0"/>
  </r>
  <r>
    <x v="1"/>
    <x v="4"/>
    <x v="4"/>
    <x v="7"/>
    <x v="60"/>
    <x v="0"/>
    <x v="0"/>
    <n v="0"/>
  </r>
  <r>
    <x v="1"/>
    <x v="4"/>
    <x v="4"/>
    <x v="7"/>
    <x v="60"/>
    <x v="0"/>
    <x v="1"/>
    <n v="0"/>
  </r>
  <r>
    <x v="1"/>
    <x v="4"/>
    <x v="4"/>
    <x v="7"/>
    <x v="60"/>
    <x v="0"/>
    <x v="2"/>
    <n v="0"/>
  </r>
  <r>
    <x v="1"/>
    <x v="4"/>
    <x v="4"/>
    <x v="7"/>
    <x v="60"/>
    <x v="0"/>
    <x v="3"/>
    <n v="0"/>
  </r>
  <r>
    <x v="1"/>
    <x v="4"/>
    <x v="4"/>
    <x v="7"/>
    <x v="60"/>
    <x v="0"/>
    <x v="4"/>
    <n v="0"/>
  </r>
  <r>
    <x v="1"/>
    <x v="4"/>
    <x v="4"/>
    <x v="7"/>
    <x v="60"/>
    <x v="0"/>
    <x v="5"/>
    <n v="0"/>
  </r>
  <r>
    <x v="1"/>
    <x v="4"/>
    <x v="4"/>
    <x v="7"/>
    <x v="60"/>
    <x v="0"/>
    <x v="6"/>
    <n v="0"/>
  </r>
  <r>
    <x v="1"/>
    <x v="4"/>
    <x v="4"/>
    <x v="7"/>
    <x v="61"/>
    <x v="0"/>
    <x v="0"/>
    <n v="0"/>
  </r>
  <r>
    <x v="1"/>
    <x v="4"/>
    <x v="4"/>
    <x v="7"/>
    <x v="61"/>
    <x v="0"/>
    <x v="1"/>
    <n v="0"/>
  </r>
  <r>
    <x v="1"/>
    <x v="4"/>
    <x v="4"/>
    <x v="7"/>
    <x v="61"/>
    <x v="0"/>
    <x v="2"/>
    <n v="0"/>
  </r>
  <r>
    <x v="1"/>
    <x v="4"/>
    <x v="4"/>
    <x v="7"/>
    <x v="61"/>
    <x v="0"/>
    <x v="3"/>
    <n v="0"/>
  </r>
  <r>
    <x v="1"/>
    <x v="4"/>
    <x v="4"/>
    <x v="7"/>
    <x v="61"/>
    <x v="0"/>
    <x v="4"/>
    <n v="0"/>
  </r>
  <r>
    <x v="1"/>
    <x v="4"/>
    <x v="4"/>
    <x v="7"/>
    <x v="61"/>
    <x v="0"/>
    <x v="5"/>
    <n v="0"/>
  </r>
  <r>
    <x v="1"/>
    <x v="4"/>
    <x v="4"/>
    <x v="7"/>
    <x v="61"/>
    <x v="0"/>
    <x v="6"/>
    <n v="0"/>
  </r>
  <r>
    <x v="1"/>
    <x v="4"/>
    <x v="4"/>
    <x v="7"/>
    <x v="62"/>
    <x v="0"/>
    <x v="0"/>
    <n v="0"/>
  </r>
  <r>
    <x v="1"/>
    <x v="4"/>
    <x v="4"/>
    <x v="7"/>
    <x v="62"/>
    <x v="0"/>
    <x v="1"/>
    <n v="0"/>
  </r>
  <r>
    <x v="1"/>
    <x v="4"/>
    <x v="4"/>
    <x v="7"/>
    <x v="62"/>
    <x v="0"/>
    <x v="2"/>
    <n v="0"/>
  </r>
  <r>
    <x v="1"/>
    <x v="4"/>
    <x v="4"/>
    <x v="7"/>
    <x v="62"/>
    <x v="0"/>
    <x v="3"/>
    <n v="0"/>
  </r>
  <r>
    <x v="1"/>
    <x v="4"/>
    <x v="4"/>
    <x v="7"/>
    <x v="62"/>
    <x v="0"/>
    <x v="4"/>
    <n v="0"/>
  </r>
  <r>
    <x v="1"/>
    <x v="4"/>
    <x v="4"/>
    <x v="7"/>
    <x v="62"/>
    <x v="0"/>
    <x v="5"/>
    <n v="0"/>
  </r>
  <r>
    <x v="1"/>
    <x v="4"/>
    <x v="4"/>
    <x v="7"/>
    <x v="62"/>
    <x v="0"/>
    <x v="6"/>
    <n v="0"/>
  </r>
  <r>
    <x v="1"/>
    <x v="4"/>
    <x v="4"/>
    <x v="7"/>
    <x v="63"/>
    <x v="0"/>
    <x v="0"/>
    <n v="0"/>
  </r>
  <r>
    <x v="1"/>
    <x v="4"/>
    <x v="4"/>
    <x v="7"/>
    <x v="63"/>
    <x v="0"/>
    <x v="1"/>
    <n v="0"/>
  </r>
  <r>
    <x v="1"/>
    <x v="4"/>
    <x v="4"/>
    <x v="7"/>
    <x v="63"/>
    <x v="0"/>
    <x v="2"/>
    <n v="0"/>
  </r>
  <r>
    <x v="1"/>
    <x v="4"/>
    <x v="4"/>
    <x v="7"/>
    <x v="63"/>
    <x v="0"/>
    <x v="3"/>
    <n v="0"/>
  </r>
  <r>
    <x v="1"/>
    <x v="4"/>
    <x v="4"/>
    <x v="7"/>
    <x v="63"/>
    <x v="0"/>
    <x v="4"/>
    <n v="0"/>
  </r>
  <r>
    <x v="1"/>
    <x v="4"/>
    <x v="4"/>
    <x v="7"/>
    <x v="63"/>
    <x v="0"/>
    <x v="5"/>
    <n v="0"/>
  </r>
  <r>
    <x v="1"/>
    <x v="4"/>
    <x v="4"/>
    <x v="7"/>
    <x v="63"/>
    <x v="0"/>
    <x v="6"/>
    <n v="0"/>
  </r>
  <r>
    <x v="1"/>
    <x v="4"/>
    <x v="4"/>
    <x v="7"/>
    <x v="64"/>
    <x v="0"/>
    <x v="0"/>
    <n v="0.47001747115901971"/>
  </r>
  <r>
    <x v="1"/>
    <x v="4"/>
    <x v="4"/>
    <x v="7"/>
    <x v="64"/>
    <x v="0"/>
    <x v="1"/>
    <n v="0.93327722767448718"/>
  </r>
  <r>
    <x v="1"/>
    <x v="4"/>
    <x v="4"/>
    <x v="7"/>
    <x v="64"/>
    <x v="0"/>
    <x v="2"/>
    <n v="1.5455963879200814"/>
  </r>
  <r>
    <x v="1"/>
    <x v="4"/>
    <x v="4"/>
    <x v="7"/>
    <x v="64"/>
    <x v="0"/>
    <x v="3"/>
    <n v="2.8158912915081333"/>
  </r>
  <r>
    <x v="1"/>
    <x v="4"/>
    <x v="4"/>
    <x v="7"/>
    <x v="64"/>
    <x v="0"/>
    <x v="4"/>
    <n v="4.2666921579733232"/>
  </r>
  <r>
    <x v="1"/>
    <x v="4"/>
    <x v="4"/>
    <x v="7"/>
    <x v="64"/>
    <x v="0"/>
    <x v="5"/>
    <n v="6.2626865166855739"/>
  </r>
  <r>
    <x v="1"/>
    <x v="4"/>
    <x v="4"/>
    <x v="7"/>
    <x v="64"/>
    <x v="0"/>
    <x v="6"/>
    <n v="7.73157067324445"/>
  </r>
  <r>
    <x v="1"/>
    <x v="4"/>
    <x v="3"/>
    <x v="5"/>
    <x v="65"/>
    <x v="0"/>
    <x v="0"/>
    <n v="0.13751291014940631"/>
  </r>
  <r>
    <x v="1"/>
    <x v="4"/>
    <x v="3"/>
    <x v="5"/>
    <x v="65"/>
    <x v="0"/>
    <x v="1"/>
    <n v="0.33614493068100471"/>
  </r>
  <r>
    <x v="1"/>
    <x v="4"/>
    <x v="3"/>
    <x v="5"/>
    <x v="65"/>
    <x v="0"/>
    <x v="2"/>
    <n v="0.83756660365866353"/>
  </r>
  <r>
    <x v="1"/>
    <x v="4"/>
    <x v="3"/>
    <x v="5"/>
    <x v="65"/>
    <x v="0"/>
    <x v="3"/>
    <n v="1.7763289883481497"/>
  </r>
  <r>
    <x v="1"/>
    <x v="4"/>
    <x v="3"/>
    <x v="5"/>
    <x v="65"/>
    <x v="0"/>
    <x v="4"/>
    <n v="2.5101205819157069"/>
  </r>
  <r>
    <x v="1"/>
    <x v="4"/>
    <x v="3"/>
    <x v="5"/>
    <x v="65"/>
    <x v="0"/>
    <x v="5"/>
    <n v="4.1883212112996517"/>
  </r>
  <r>
    <x v="1"/>
    <x v="4"/>
    <x v="3"/>
    <x v="5"/>
    <x v="65"/>
    <x v="0"/>
    <x v="6"/>
    <n v="6.6484141725314068"/>
  </r>
  <r>
    <x v="1"/>
    <x v="4"/>
    <x v="3"/>
    <x v="5"/>
    <x v="66"/>
    <x v="0"/>
    <x v="0"/>
    <n v="0"/>
  </r>
  <r>
    <x v="1"/>
    <x v="4"/>
    <x v="3"/>
    <x v="5"/>
    <x v="66"/>
    <x v="0"/>
    <x v="1"/>
    <n v="0"/>
  </r>
  <r>
    <x v="1"/>
    <x v="4"/>
    <x v="3"/>
    <x v="5"/>
    <x v="66"/>
    <x v="0"/>
    <x v="2"/>
    <n v="0"/>
  </r>
  <r>
    <x v="1"/>
    <x v="4"/>
    <x v="3"/>
    <x v="5"/>
    <x v="66"/>
    <x v="0"/>
    <x v="3"/>
    <n v="0"/>
  </r>
  <r>
    <x v="1"/>
    <x v="4"/>
    <x v="3"/>
    <x v="5"/>
    <x v="66"/>
    <x v="0"/>
    <x v="4"/>
    <n v="0"/>
  </r>
  <r>
    <x v="1"/>
    <x v="4"/>
    <x v="3"/>
    <x v="5"/>
    <x v="66"/>
    <x v="0"/>
    <x v="5"/>
    <n v="0"/>
  </r>
  <r>
    <x v="1"/>
    <x v="4"/>
    <x v="3"/>
    <x v="5"/>
    <x v="66"/>
    <x v="0"/>
    <x v="6"/>
    <n v="0"/>
  </r>
  <r>
    <x v="1"/>
    <x v="4"/>
    <x v="3"/>
    <x v="5"/>
    <x v="67"/>
    <x v="0"/>
    <x v="0"/>
    <n v="0"/>
  </r>
  <r>
    <x v="1"/>
    <x v="4"/>
    <x v="3"/>
    <x v="5"/>
    <x v="67"/>
    <x v="0"/>
    <x v="1"/>
    <n v="0"/>
  </r>
  <r>
    <x v="1"/>
    <x v="4"/>
    <x v="3"/>
    <x v="5"/>
    <x v="67"/>
    <x v="0"/>
    <x v="2"/>
    <n v="0"/>
  </r>
  <r>
    <x v="1"/>
    <x v="4"/>
    <x v="3"/>
    <x v="5"/>
    <x v="67"/>
    <x v="0"/>
    <x v="3"/>
    <n v="0"/>
  </r>
  <r>
    <x v="1"/>
    <x v="4"/>
    <x v="3"/>
    <x v="5"/>
    <x v="67"/>
    <x v="0"/>
    <x v="4"/>
    <n v="0"/>
  </r>
  <r>
    <x v="1"/>
    <x v="4"/>
    <x v="3"/>
    <x v="5"/>
    <x v="67"/>
    <x v="0"/>
    <x v="5"/>
    <n v="0"/>
  </r>
  <r>
    <x v="1"/>
    <x v="4"/>
    <x v="3"/>
    <x v="5"/>
    <x v="67"/>
    <x v="0"/>
    <x v="6"/>
    <n v="0"/>
  </r>
  <r>
    <x v="1"/>
    <x v="4"/>
    <x v="3"/>
    <x v="5"/>
    <x v="68"/>
    <x v="0"/>
    <x v="0"/>
    <n v="0"/>
  </r>
  <r>
    <x v="1"/>
    <x v="4"/>
    <x v="3"/>
    <x v="5"/>
    <x v="68"/>
    <x v="0"/>
    <x v="1"/>
    <n v="0"/>
  </r>
  <r>
    <x v="1"/>
    <x v="4"/>
    <x v="3"/>
    <x v="5"/>
    <x v="68"/>
    <x v="0"/>
    <x v="2"/>
    <n v="0"/>
  </r>
  <r>
    <x v="1"/>
    <x v="4"/>
    <x v="3"/>
    <x v="5"/>
    <x v="68"/>
    <x v="0"/>
    <x v="3"/>
    <n v="0"/>
  </r>
  <r>
    <x v="1"/>
    <x v="4"/>
    <x v="3"/>
    <x v="5"/>
    <x v="68"/>
    <x v="0"/>
    <x v="4"/>
    <n v="0"/>
  </r>
  <r>
    <x v="1"/>
    <x v="4"/>
    <x v="3"/>
    <x v="5"/>
    <x v="68"/>
    <x v="0"/>
    <x v="5"/>
    <n v="0"/>
  </r>
  <r>
    <x v="1"/>
    <x v="4"/>
    <x v="3"/>
    <x v="5"/>
    <x v="68"/>
    <x v="0"/>
    <x v="6"/>
    <n v="0"/>
  </r>
  <r>
    <x v="1"/>
    <x v="4"/>
    <x v="3"/>
    <x v="5"/>
    <x v="69"/>
    <x v="0"/>
    <x v="0"/>
    <n v="2.2605033783057878E-3"/>
  </r>
  <r>
    <x v="1"/>
    <x v="4"/>
    <x v="3"/>
    <x v="5"/>
    <x v="69"/>
    <x v="0"/>
    <x v="1"/>
    <n v="1.1568758094349332E-2"/>
  </r>
  <r>
    <x v="1"/>
    <x v="4"/>
    <x v="3"/>
    <x v="5"/>
    <x v="69"/>
    <x v="0"/>
    <x v="2"/>
    <n v="4.7755266185310646E-2"/>
  </r>
  <r>
    <x v="1"/>
    <x v="4"/>
    <x v="3"/>
    <x v="5"/>
    <x v="69"/>
    <x v="0"/>
    <x v="3"/>
    <n v="0.20558329524727781"/>
  </r>
  <r>
    <x v="1"/>
    <x v="4"/>
    <x v="3"/>
    <x v="5"/>
    <x v="69"/>
    <x v="0"/>
    <x v="4"/>
    <n v="0.85819850964379274"/>
  </r>
  <r>
    <x v="1"/>
    <x v="4"/>
    <x v="3"/>
    <x v="5"/>
    <x v="69"/>
    <x v="0"/>
    <x v="5"/>
    <n v="1.3993725075727672"/>
  </r>
  <r>
    <x v="1"/>
    <x v="4"/>
    <x v="3"/>
    <x v="5"/>
    <x v="69"/>
    <x v="0"/>
    <x v="6"/>
    <n v="2.0267635484561608"/>
  </r>
  <r>
    <x v="1"/>
    <x v="4"/>
    <x v="3"/>
    <x v="5"/>
    <x v="70"/>
    <x v="0"/>
    <x v="0"/>
    <n v="0"/>
  </r>
  <r>
    <x v="1"/>
    <x v="4"/>
    <x v="3"/>
    <x v="5"/>
    <x v="70"/>
    <x v="0"/>
    <x v="1"/>
    <n v="0"/>
  </r>
  <r>
    <x v="1"/>
    <x v="4"/>
    <x v="3"/>
    <x v="5"/>
    <x v="70"/>
    <x v="0"/>
    <x v="2"/>
    <n v="0"/>
  </r>
  <r>
    <x v="1"/>
    <x v="4"/>
    <x v="3"/>
    <x v="5"/>
    <x v="70"/>
    <x v="0"/>
    <x v="3"/>
    <n v="0"/>
  </r>
  <r>
    <x v="1"/>
    <x v="4"/>
    <x v="3"/>
    <x v="5"/>
    <x v="70"/>
    <x v="0"/>
    <x v="4"/>
    <n v="0"/>
  </r>
  <r>
    <x v="1"/>
    <x v="4"/>
    <x v="3"/>
    <x v="5"/>
    <x v="70"/>
    <x v="0"/>
    <x v="5"/>
    <n v="0"/>
  </r>
  <r>
    <x v="1"/>
    <x v="4"/>
    <x v="3"/>
    <x v="5"/>
    <x v="70"/>
    <x v="0"/>
    <x v="6"/>
    <n v="0"/>
  </r>
  <r>
    <x v="1"/>
    <x v="4"/>
    <x v="3"/>
    <x v="5"/>
    <x v="71"/>
    <x v="0"/>
    <x v="0"/>
    <n v="0"/>
  </r>
  <r>
    <x v="1"/>
    <x v="4"/>
    <x v="3"/>
    <x v="5"/>
    <x v="71"/>
    <x v="0"/>
    <x v="1"/>
    <n v="0"/>
  </r>
  <r>
    <x v="1"/>
    <x v="4"/>
    <x v="3"/>
    <x v="5"/>
    <x v="71"/>
    <x v="0"/>
    <x v="2"/>
    <n v="0"/>
  </r>
  <r>
    <x v="1"/>
    <x v="4"/>
    <x v="3"/>
    <x v="5"/>
    <x v="71"/>
    <x v="0"/>
    <x v="3"/>
    <n v="0"/>
  </r>
  <r>
    <x v="1"/>
    <x v="4"/>
    <x v="3"/>
    <x v="5"/>
    <x v="71"/>
    <x v="0"/>
    <x v="4"/>
    <n v="0"/>
  </r>
  <r>
    <x v="1"/>
    <x v="4"/>
    <x v="3"/>
    <x v="5"/>
    <x v="71"/>
    <x v="0"/>
    <x v="5"/>
    <n v="0"/>
  </r>
  <r>
    <x v="1"/>
    <x v="4"/>
    <x v="3"/>
    <x v="5"/>
    <x v="71"/>
    <x v="0"/>
    <x v="6"/>
    <n v="0"/>
  </r>
  <r>
    <x v="1"/>
    <x v="4"/>
    <x v="3"/>
    <x v="5"/>
    <x v="72"/>
    <x v="0"/>
    <x v="0"/>
    <n v="6.4722392539841803E-3"/>
  </r>
  <r>
    <x v="1"/>
    <x v="4"/>
    <x v="3"/>
    <x v="5"/>
    <x v="72"/>
    <x v="0"/>
    <x v="1"/>
    <n v="3.0519139459625703E-2"/>
  </r>
  <r>
    <x v="1"/>
    <x v="4"/>
    <x v="3"/>
    <x v="5"/>
    <x v="72"/>
    <x v="0"/>
    <x v="2"/>
    <n v="0.12666311994910631"/>
  </r>
  <r>
    <x v="1"/>
    <x v="4"/>
    <x v="3"/>
    <x v="5"/>
    <x v="72"/>
    <x v="0"/>
    <x v="3"/>
    <n v="0.46253396891663362"/>
  </r>
  <r>
    <x v="1"/>
    <x v="4"/>
    <x v="3"/>
    <x v="5"/>
    <x v="72"/>
    <x v="0"/>
    <x v="4"/>
    <n v="1.6928950574653507"/>
  </r>
  <r>
    <x v="1"/>
    <x v="4"/>
    <x v="3"/>
    <x v="5"/>
    <x v="72"/>
    <x v="0"/>
    <x v="5"/>
    <n v="2.2675815447833747"/>
  </r>
  <r>
    <x v="1"/>
    <x v="4"/>
    <x v="3"/>
    <x v="5"/>
    <x v="72"/>
    <x v="0"/>
    <x v="6"/>
    <n v="5.0197358318207979"/>
  </r>
  <r>
    <x v="1"/>
    <x v="4"/>
    <x v="3"/>
    <x v="5"/>
    <x v="73"/>
    <x v="0"/>
    <x v="0"/>
    <n v="3.3355547586278481E-4"/>
  </r>
  <r>
    <x v="1"/>
    <x v="4"/>
    <x v="3"/>
    <x v="5"/>
    <x v="73"/>
    <x v="0"/>
    <x v="1"/>
    <n v="1.5281580601622837E-3"/>
  </r>
  <r>
    <x v="1"/>
    <x v="4"/>
    <x v="3"/>
    <x v="5"/>
    <x v="73"/>
    <x v="0"/>
    <x v="2"/>
    <n v="6.6226321122673879E-3"/>
  </r>
  <r>
    <x v="1"/>
    <x v="4"/>
    <x v="3"/>
    <x v="5"/>
    <x v="73"/>
    <x v="0"/>
    <x v="3"/>
    <n v="2.9041159174576846E-2"/>
  </r>
  <r>
    <x v="1"/>
    <x v="4"/>
    <x v="3"/>
    <x v="5"/>
    <x v="73"/>
    <x v="0"/>
    <x v="4"/>
    <n v="0.12058297354165277"/>
  </r>
  <r>
    <x v="1"/>
    <x v="4"/>
    <x v="3"/>
    <x v="5"/>
    <x v="73"/>
    <x v="0"/>
    <x v="5"/>
    <n v="0.20197482845789158"/>
  </r>
  <r>
    <x v="1"/>
    <x v="4"/>
    <x v="3"/>
    <x v="5"/>
    <x v="73"/>
    <x v="0"/>
    <x v="6"/>
    <n v="0.31117766724603652"/>
  </r>
  <r>
    <x v="1"/>
    <x v="4"/>
    <x v="5"/>
    <x v="8"/>
    <x v="74"/>
    <x v="0"/>
    <x v="0"/>
    <n v="2.8282829950825525E-3"/>
  </r>
  <r>
    <x v="1"/>
    <x v="4"/>
    <x v="5"/>
    <x v="8"/>
    <x v="74"/>
    <x v="0"/>
    <x v="1"/>
    <n v="6.3746047334801601E-3"/>
  </r>
  <r>
    <x v="1"/>
    <x v="4"/>
    <x v="5"/>
    <x v="8"/>
    <x v="74"/>
    <x v="0"/>
    <x v="2"/>
    <n v="1.5377138202917478E-2"/>
  </r>
  <r>
    <x v="1"/>
    <x v="4"/>
    <x v="5"/>
    <x v="8"/>
    <x v="74"/>
    <x v="0"/>
    <x v="3"/>
    <n v="3.3835416342425657E-2"/>
  </r>
  <r>
    <x v="1"/>
    <x v="4"/>
    <x v="5"/>
    <x v="8"/>
    <x v="74"/>
    <x v="0"/>
    <x v="4"/>
    <n v="5.404608499838142E-2"/>
  </r>
  <r>
    <x v="1"/>
    <x v="4"/>
    <x v="5"/>
    <x v="8"/>
    <x v="74"/>
    <x v="0"/>
    <x v="5"/>
    <n v="7.5766715890438194E-2"/>
  </r>
  <r>
    <x v="1"/>
    <x v="4"/>
    <x v="5"/>
    <x v="8"/>
    <x v="74"/>
    <x v="0"/>
    <x v="6"/>
    <n v="9.731210415846922E-2"/>
  </r>
  <r>
    <x v="1"/>
    <x v="4"/>
    <x v="5"/>
    <x v="8"/>
    <x v="75"/>
    <x v="0"/>
    <x v="0"/>
    <n v="5.8335564350485453E-2"/>
  </r>
  <r>
    <x v="1"/>
    <x v="4"/>
    <x v="5"/>
    <x v="8"/>
    <x v="75"/>
    <x v="0"/>
    <x v="1"/>
    <n v="0.14862089089458344"/>
  </r>
  <r>
    <x v="1"/>
    <x v="4"/>
    <x v="5"/>
    <x v="8"/>
    <x v="75"/>
    <x v="0"/>
    <x v="2"/>
    <n v="0.31381423520148266"/>
  </r>
  <r>
    <x v="1"/>
    <x v="4"/>
    <x v="5"/>
    <x v="8"/>
    <x v="75"/>
    <x v="0"/>
    <x v="3"/>
    <n v="0.68898616700354021"/>
  </r>
  <r>
    <x v="1"/>
    <x v="4"/>
    <x v="5"/>
    <x v="8"/>
    <x v="75"/>
    <x v="0"/>
    <x v="4"/>
    <n v="1.02649620111123"/>
  </r>
  <r>
    <x v="1"/>
    <x v="4"/>
    <x v="5"/>
    <x v="8"/>
    <x v="75"/>
    <x v="0"/>
    <x v="5"/>
    <n v="1.7330656292978484"/>
  </r>
  <r>
    <x v="1"/>
    <x v="4"/>
    <x v="5"/>
    <x v="8"/>
    <x v="75"/>
    <x v="0"/>
    <x v="6"/>
    <n v="2.4924407929073951"/>
  </r>
  <r>
    <x v="1"/>
    <x v="4"/>
    <x v="5"/>
    <x v="8"/>
    <x v="76"/>
    <x v="0"/>
    <x v="0"/>
    <n v="4.3125662139802921E-2"/>
  </r>
  <r>
    <x v="1"/>
    <x v="4"/>
    <x v="5"/>
    <x v="8"/>
    <x v="76"/>
    <x v="0"/>
    <x v="1"/>
    <n v="9.3984316000775725E-2"/>
  </r>
  <r>
    <x v="1"/>
    <x v="4"/>
    <x v="5"/>
    <x v="8"/>
    <x v="76"/>
    <x v="0"/>
    <x v="2"/>
    <n v="0.19040244692676916"/>
  </r>
  <r>
    <x v="1"/>
    <x v="4"/>
    <x v="5"/>
    <x v="8"/>
    <x v="76"/>
    <x v="0"/>
    <x v="3"/>
    <n v="0.37934674131482199"/>
  </r>
  <r>
    <x v="1"/>
    <x v="4"/>
    <x v="5"/>
    <x v="8"/>
    <x v="76"/>
    <x v="0"/>
    <x v="4"/>
    <n v="0.51475067629805005"/>
  </r>
  <r>
    <x v="1"/>
    <x v="4"/>
    <x v="5"/>
    <x v="8"/>
    <x v="76"/>
    <x v="0"/>
    <x v="5"/>
    <n v="0.81723342625905404"/>
  </r>
  <r>
    <x v="1"/>
    <x v="4"/>
    <x v="5"/>
    <x v="8"/>
    <x v="76"/>
    <x v="0"/>
    <x v="6"/>
    <n v="1.091636265865201"/>
  </r>
  <r>
    <x v="1"/>
    <x v="4"/>
    <x v="5"/>
    <x v="8"/>
    <x v="77"/>
    <x v="0"/>
    <x v="0"/>
    <n v="0"/>
  </r>
  <r>
    <x v="1"/>
    <x v="4"/>
    <x v="5"/>
    <x v="8"/>
    <x v="77"/>
    <x v="0"/>
    <x v="1"/>
    <n v="0"/>
  </r>
  <r>
    <x v="1"/>
    <x v="4"/>
    <x v="5"/>
    <x v="8"/>
    <x v="77"/>
    <x v="0"/>
    <x v="2"/>
    <n v="0"/>
  </r>
  <r>
    <x v="1"/>
    <x v="4"/>
    <x v="5"/>
    <x v="8"/>
    <x v="77"/>
    <x v="0"/>
    <x v="3"/>
    <n v="0"/>
  </r>
  <r>
    <x v="1"/>
    <x v="4"/>
    <x v="5"/>
    <x v="8"/>
    <x v="77"/>
    <x v="0"/>
    <x v="4"/>
    <n v="0"/>
  </r>
  <r>
    <x v="1"/>
    <x v="4"/>
    <x v="5"/>
    <x v="8"/>
    <x v="77"/>
    <x v="0"/>
    <x v="5"/>
    <n v="0"/>
  </r>
  <r>
    <x v="1"/>
    <x v="4"/>
    <x v="5"/>
    <x v="8"/>
    <x v="77"/>
    <x v="0"/>
    <x v="6"/>
    <n v="0"/>
  </r>
  <r>
    <x v="1"/>
    <x v="4"/>
    <x v="5"/>
    <x v="8"/>
    <x v="78"/>
    <x v="0"/>
    <x v="0"/>
    <n v="0.25397334798881011"/>
  </r>
  <r>
    <x v="1"/>
    <x v="4"/>
    <x v="5"/>
    <x v="8"/>
    <x v="78"/>
    <x v="0"/>
    <x v="1"/>
    <n v="0.60380013416555767"/>
  </r>
  <r>
    <x v="1"/>
    <x v="4"/>
    <x v="5"/>
    <x v="8"/>
    <x v="78"/>
    <x v="0"/>
    <x v="2"/>
    <n v="1.1062516368066586"/>
  </r>
  <r>
    <x v="1"/>
    <x v="4"/>
    <x v="5"/>
    <x v="8"/>
    <x v="78"/>
    <x v="0"/>
    <x v="3"/>
    <n v="2.2271044561318099"/>
  </r>
  <r>
    <x v="1"/>
    <x v="4"/>
    <x v="5"/>
    <x v="8"/>
    <x v="78"/>
    <x v="0"/>
    <x v="4"/>
    <n v="2.8521446450832286"/>
  </r>
  <r>
    <x v="1"/>
    <x v="4"/>
    <x v="5"/>
    <x v="8"/>
    <x v="78"/>
    <x v="0"/>
    <x v="5"/>
    <n v="4.5602476573908701"/>
  </r>
  <r>
    <x v="1"/>
    <x v="4"/>
    <x v="5"/>
    <x v="8"/>
    <x v="78"/>
    <x v="0"/>
    <x v="6"/>
    <n v="6.0132317032186107"/>
  </r>
  <r>
    <x v="1"/>
    <x v="4"/>
    <x v="5"/>
    <x v="8"/>
    <x v="79"/>
    <x v="0"/>
    <x v="0"/>
    <n v="1.964868358731995E-2"/>
  </r>
  <r>
    <x v="1"/>
    <x v="4"/>
    <x v="5"/>
    <x v="8"/>
    <x v="79"/>
    <x v="0"/>
    <x v="1"/>
    <n v="4.4984721699901607E-2"/>
  </r>
  <r>
    <x v="1"/>
    <x v="4"/>
    <x v="5"/>
    <x v="8"/>
    <x v="79"/>
    <x v="0"/>
    <x v="2"/>
    <n v="9.0097177053301405E-2"/>
  </r>
  <r>
    <x v="1"/>
    <x v="4"/>
    <x v="5"/>
    <x v="8"/>
    <x v="79"/>
    <x v="0"/>
    <x v="3"/>
    <n v="0.16839268705970134"/>
  </r>
  <r>
    <x v="1"/>
    <x v="4"/>
    <x v="5"/>
    <x v="8"/>
    <x v="79"/>
    <x v="0"/>
    <x v="4"/>
    <n v="0.21702336123255195"/>
  </r>
  <r>
    <x v="1"/>
    <x v="4"/>
    <x v="5"/>
    <x v="8"/>
    <x v="79"/>
    <x v="0"/>
    <x v="5"/>
    <n v="0.33400342390019139"/>
  </r>
  <r>
    <x v="1"/>
    <x v="4"/>
    <x v="5"/>
    <x v="8"/>
    <x v="79"/>
    <x v="0"/>
    <x v="6"/>
    <n v="0.43528500921669844"/>
  </r>
  <r>
    <x v="1"/>
    <x v="4"/>
    <x v="5"/>
    <x v="8"/>
    <x v="80"/>
    <x v="0"/>
    <x v="0"/>
    <n v="0.29639777679728319"/>
  </r>
  <r>
    <x v="1"/>
    <x v="4"/>
    <x v="5"/>
    <x v="8"/>
    <x v="80"/>
    <x v="0"/>
    <x v="1"/>
    <n v="0.66969951182787935"/>
  </r>
  <r>
    <x v="1"/>
    <x v="4"/>
    <x v="5"/>
    <x v="8"/>
    <x v="80"/>
    <x v="0"/>
    <x v="2"/>
    <n v="1.2151713064289287"/>
  </r>
  <r>
    <x v="1"/>
    <x v="4"/>
    <x v="5"/>
    <x v="8"/>
    <x v="80"/>
    <x v="0"/>
    <x v="3"/>
    <n v="2.0974585866632309"/>
  </r>
  <r>
    <x v="1"/>
    <x v="4"/>
    <x v="5"/>
    <x v="8"/>
    <x v="80"/>
    <x v="0"/>
    <x v="4"/>
    <n v="2.7217823399379029"/>
  </r>
  <r>
    <x v="1"/>
    <x v="4"/>
    <x v="5"/>
    <x v="8"/>
    <x v="80"/>
    <x v="0"/>
    <x v="5"/>
    <n v="4.1861042158093706"/>
  </r>
  <r>
    <x v="1"/>
    <x v="4"/>
    <x v="5"/>
    <x v="8"/>
    <x v="80"/>
    <x v="0"/>
    <x v="6"/>
    <n v="5.4596524513054225"/>
  </r>
  <r>
    <x v="1"/>
    <x v="4"/>
    <x v="5"/>
    <x v="8"/>
    <x v="81"/>
    <x v="0"/>
    <x v="0"/>
    <n v="7.1509861782597287E-2"/>
  </r>
  <r>
    <x v="1"/>
    <x v="4"/>
    <x v="5"/>
    <x v="8"/>
    <x v="81"/>
    <x v="0"/>
    <x v="1"/>
    <n v="0.16090685481524469"/>
  </r>
  <r>
    <x v="1"/>
    <x v="4"/>
    <x v="5"/>
    <x v="8"/>
    <x v="81"/>
    <x v="0"/>
    <x v="2"/>
    <n v="0.32915792711516134"/>
  </r>
  <r>
    <x v="1"/>
    <x v="4"/>
    <x v="5"/>
    <x v="8"/>
    <x v="81"/>
    <x v="0"/>
    <x v="3"/>
    <n v="0.58918572372361699"/>
  </r>
  <r>
    <x v="1"/>
    <x v="4"/>
    <x v="5"/>
    <x v="8"/>
    <x v="81"/>
    <x v="0"/>
    <x v="4"/>
    <n v="0.78137286628075753"/>
  </r>
  <r>
    <x v="1"/>
    <x v="4"/>
    <x v="5"/>
    <x v="8"/>
    <x v="81"/>
    <x v="0"/>
    <x v="5"/>
    <n v="1.2131498964835734"/>
  </r>
  <r>
    <x v="1"/>
    <x v="4"/>
    <x v="5"/>
    <x v="8"/>
    <x v="81"/>
    <x v="0"/>
    <x v="6"/>
    <n v="1.5459124377976856"/>
  </r>
  <r>
    <x v="1"/>
    <x v="4"/>
    <x v="5"/>
    <x v="8"/>
    <x v="82"/>
    <x v="0"/>
    <x v="0"/>
    <n v="1.2442125691578134"/>
  </r>
  <r>
    <x v="1"/>
    <x v="4"/>
    <x v="5"/>
    <x v="8"/>
    <x v="82"/>
    <x v="0"/>
    <x v="1"/>
    <n v="3.2228722184208145"/>
  </r>
  <r>
    <x v="1"/>
    <x v="4"/>
    <x v="5"/>
    <x v="8"/>
    <x v="82"/>
    <x v="0"/>
    <x v="2"/>
    <n v="7.3816405245919361"/>
  </r>
  <r>
    <x v="1"/>
    <x v="4"/>
    <x v="5"/>
    <x v="8"/>
    <x v="82"/>
    <x v="0"/>
    <x v="3"/>
    <n v="16.963020710542512"/>
  </r>
  <r>
    <x v="1"/>
    <x v="4"/>
    <x v="5"/>
    <x v="8"/>
    <x v="82"/>
    <x v="0"/>
    <x v="4"/>
    <n v="25.721798994087699"/>
  </r>
  <r>
    <x v="1"/>
    <x v="4"/>
    <x v="5"/>
    <x v="8"/>
    <x v="82"/>
    <x v="0"/>
    <x v="5"/>
    <n v="36.225153352534527"/>
  </r>
  <r>
    <x v="1"/>
    <x v="4"/>
    <x v="5"/>
    <x v="8"/>
    <x v="82"/>
    <x v="0"/>
    <x v="6"/>
    <n v="45.340489413779302"/>
  </r>
  <r>
    <x v="1"/>
    <x v="4"/>
    <x v="5"/>
    <x v="8"/>
    <x v="83"/>
    <x v="0"/>
    <x v="0"/>
    <n v="0.69268531298440583"/>
  </r>
  <r>
    <x v="1"/>
    <x v="4"/>
    <x v="5"/>
    <x v="8"/>
    <x v="83"/>
    <x v="0"/>
    <x v="1"/>
    <n v="1.9027650562529852"/>
  </r>
  <r>
    <x v="1"/>
    <x v="4"/>
    <x v="5"/>
    <x v="8"/>
    <x v="83"/>
    <x v="0"/>
    <x v="2"/>
    <n v="4.0454581291059304"/>
  </r>
  <r>
    <x v="1"/>
    <x v="4"/>
    <x v="5"/>
    <x v="8"/>
    <x v="83"/>
    <x v="0"/>
    <x v="3"/>
    <n v="8.7017358675880949"/>
  </r>
  <r>
    <x v="1"/>
    <x v="4"/>
    <x v="5"/>
    <x v="8"/>
    <x v="83"/>
    <x v="0"/>
    <x v="4"/>
    <n v="12.259147162899291"/>
  </r>
  <r>
    <x v="1"/>
    <x v="4"/>
    <x v="5"/>
    <x v="8"/>
    <x v="83"/>
    <x v="0"/>
    <x v="5"/>
    <n v="16.42966894058257"/>
  </r>
  <r>
    <x v="1"/>
    <x v="4"/>
    <x v="5"/>
    <x v="8"/>
    <x v="83"/>
    <x v="0"/>
    <x v="6"/>
    <n v="18.932317821686354"/>
  </r>
  <r>
    <x v="1"/>
    <x v="5"/>
    <x v="0"/>
    <x v="0"/>
    <x v="0"/>
    <x v="0"/>
    <x v="0"/>
    <n v="0"/>
  </r>
  <r>
    <x v="1"/>
    <x v="5"/>
    <x v="0"/>
    <x v="0"/>
    <x v="0"/>
    <x v="0"/>
    <x v="1"/>
    <n v="0"/>
  </r>
  <r>
    <x v="1"/>
    <x v="5"/>
    <x v="0"/>
    <x v="0"/>
    <x v="0"/>
    <x v="0"/>
    <x v="2"/>
    <n v="0"/>
  </r>
  <r>
    <x v="1"/>
    <x v="5"/>
    <x v="0"/>
    <x v="0"/>
    <x v="0"/>
    <x v="0"/>
    <x v="3"/>
    <n v="0"/>
  </r>
  <r>
    <x v="1"/>
    <x v="5"/>
    <x v="0"/>
    <x v="0"/>
    <x v="0"/>
    <x v="0"/>
    <x v="4"/>
    <n v="0"/>
  </r>
  <r>
    <x v="1"/>
    <x v="5"/>
    <x v="0"/>
    <x v="0"/>
    <x v="0"/>
    <x v="0"/>
    <x v="5"/>
    <n v="0"/>
  </r>
  <r>
    <x v="1"/>
    <x v="5"/>
    <x v="0"/>
    <x v="0"/>
    <x v="0"/>
    <x v="0"/>
    <x v="6"/>
    <n v="0"/>
  </r>
  <r>
    <x v="1"/>
    <x v="5"/>
    <x v="0"/>
    <x v="1"/>
    <x v="1"/>
    <x v="0"/>
    <x v="0"/>
    <n v="0"/>
  </r>
  <r>
    <x v="1"/>
    <x v="5"/>
    <x v="0"/>
    <x v="1"/>
    <x v="1"/>
    <x v="0"/>
    <x v="1"/>
    <n v="0"/>
  </r>
  <r>
    <x v="1"/>
    <x v="5"/>
    <x v="0"/>
    <x v="1"/>
    <x v="1"/>
    <x v="0"/>
    <x v="2"/>
    <n v="0"/>
  </r>
  <r>
    <x v="1"/>
    <x v="5"/>
    <x v="0"/>
    <x v="1"/>
    <x v="1"/>
    <x v="0"/>
    <x v="3"/>
    <n v="0"/>
  </r>
  <r>
    <x v="1"/>
    <x v="5"/>
    <x v="0"/>
    <x v="1"/>
    <x v="1"/>
    <x v="0"/>
    <x v="4"/>
    <n v="0"/>
  </r>
  <r>
    <x v="1"/>
    <x v="5"/>
    <x v="0"/>
    <x v="1"/>
    <x v="1"/>
    <x v="0"/>
    <x v="5"/>
    <n v="0"/>
  </r>
  <r>
    <x v="1"/>
    <x v="5"/>
    <x v="0"/>
    <x v="1"/>
    <x v="1"/>
    <x v="0"/>
    <x v="6"/>
    <n v="0"/>
  </r>
  <r>
    <x v="1"/>
    <x v="5"/>
    <x v="0"/>
    <x v="1"/>
    <x v="2"/>
    <x v="0"/>
    <x v="0"/>
    <n v="0"/>
  </r>
  <r>
    <x v="1"/>
    <x v="5"/>
    <x v="0"/>
    <x v="1"/>
    <x v="2"/>
    <x v="0"/>
    <x v="1"/>
    <n v="0"/>
  </r>
  <r>
    <x v="1"/>
    <x v="5"/>
    <x v="0"/>
    <x v="1"/>
    <x v="2"/>
    <x v="0"/>
    <x v="2"/>
    <n v="0"/>
  </r>
  <r>
    <x v="1"/>
    <x v="5"/>
    <x v="0"/>
    <x v="1"/>
    <x v="2"/>
    <x v="0"/>
    <x v="3"/>
    <n v="0"/>
  </r>
  <r>
    <x v="1"/>
    <x v="5"/>
    <x v="0"/>
    <x v="1"/>
    <x v="2"/>
    <x v="0"/>
    <x v="4"/>
    <n v="0"/>
  </r>
  <r>
    <x v="1"/>
    <x v="5"/>
    <x v="0"/>
    <x v="1"/>
    <x v="2"/>
    <x v="0"/>
    <x v="5"/>
    <n v="0"/>
  </r>
  <r>
    <x v="1"/>
    <x v="5"/>
    <x v="0"/>
    <x v="1"/>
    <x v="2"/>
    <x v="0"/>
    <x v="6"/>
    <n v="0"/>
  </r>
  <r>
    <x v="1"/>
    <x v="5"/>
    <x v="0"/>
    <x v="1"/>
    <x v="3"/>
    <x v="0"/>
    <x v="0"/>
    <n v="0"/>
  </r>
  <r>
    <x v="1"/>
    <x v="5"/>
    <x v="0"/>
    <x v="1"/>
    <x v="3"/>
    <x v="0"/>
    <x v="1"/>
    <n v="0"/>
  </r>
  <r>
    <x v="1"/>
    <x v="5"/>
    <x v="0"/>
    <x v="1"/>
    <x v="3"/>
    <x v="0"/>
    <x v="2"/>
    <n v="0"/>
  </r>
  <r>
    <x v="1"/>
    <x v="5"/>
    <x v="0"/>
    <x v="1"/>
    <x v="3"/>
    <x v="0"/>
    <x v="3"/>
    <n v="0"/>
  </r>
  <r>
    <x v="1"/>
    <x v="5"/>
    <x v="0"/>
    <x v="1"/>
    <x v="3"/>
    <x v="0"/>
    <x v="4"/>
    <n v="0"/>
  </r>
  <r>
    <x v="1"/>
    <x v="5"/>
    <x v="0"/>
    <x v="1"/>
    <x v="3"/>
    <x v="0"/>
    <x v="5"/>
    <n v="0"/>
  </r>
  <r>
    <x v="1"/>
    <x v="5"/>
    <x v="0"/>
    <x v="1"/>
    <x v="3"/>
    <x v="0"/>
    <x v="6"/>
    <n v="0"/>
  </r>
  <r>
    <x v="1"/>
    <x v="5"/>
    <x v="0"/>
    <x v="1"/>
    <x v="4"/>
    <x v="0"/>
    <x v="0"/>
    <n v="0"/>
  </r>
  <r>
    <x v="1"/>
    <x v="5"/>
    <x v="0"/>
    <x v="1"/>
    <x v="4"/>
    <x v="0"/>
    <x v="1"/>
    <n v="0"/>
  </r>
  <r>
    <x v="1"/>
    <x v="5"/>
    <x v="0"/>
    <x v="1"/>
    <x v="4"/>
    <x v="0"/>
    <x v="2"/>
    <n v="0"/>
  </r>
  <r>
    <x v="1"/>
    <x v="5"/>
    <x v="0"/>
    <x v="1"/>
    <x v="4"/>
    <x v="0"/>
    <x v="3"/>
    <n v="0"/>
  </r>
  <r>
    <x v="1"/>
    <x v="5"/>
    <x v="0"/>
    <x v="1"/>
    <x v="4"/>
    <x v="0"/>
    <x v="4"/>
    <n v="0"/>
  </r>
  <r>
    <x v="1"/>
    <x v="5"/>
    <x v="0"/>
    <x v="1"/>
    <x v="4"/>
    <x v="0"/>
    <x v="5"/>
    <n v="0"/>
  </r>
  <r>
    <x v="1"/>
    <x v="5"/>
    <x v="0"/>
    <x v="1"/>
    <x v="4"/>
    <x v="0"/>
    <x v="6"/>
    <n v="0"/>
  </r>
  <r>
    <x v="1"/>
    <x v="5"/>
    <x v="0"/>
    <x v="1"/>
    <x v="5"/>
    <x v="0"/>
    <x v="0"/>
    <n v="0"/>
  </r>
  <r>
    <x v="1"/>
    <x v="5"/>
    <x v="0"/>
    <x v="1"/>
    <x v="5"/>
    <x v="0"/>
    <x v="1"/>
    <n v="0"/>
  </r>
  <r>
    <x v="1"/>
    <x v="5"/>
    <x v="0"/>
    <x v="1"/>
    <x v="5"/>
    <x v="0"/>
    <x v="2"/>
    <n v="0"/>
  </r>
  <r>
    <x v="1"/>
    <x v="5"/>
    <x v="0"/>
    <x v="1"/>
    <x v="5"/>
    <x v="0"/>
    <x v="3"/>
    <n v="0"/>
  </r>
  <r>
    <x v="1"/>
    <x v="5"/>
    <x v="0"/>
    <x v="1"/>
    <x v="5"/>
    <x v="0"/>
    <x v="4"/>
    <n v="0"/>
  </r>
  <r>
    <x v="1"/>
    <x v="5"/>
    <x v="0"/>
    <x v="1"/>
    <x v="5"/>
    <x v="0"/>
    <x v="5"/>
    <n v="0"/>
  </r>
  <r>
    <x v="1"/>
    <x v="5"/>
    <x v="0"/>
    <x v="1"/>
    <x v="5"/>
    <x v="0"/>
    <x v="6"/>
    <n v="0"/>
  </r>
  <r>
    <x v="1"/>
    <x v="5"/>
    <x v="0"/>
    <x v="1"/>
    <x v="6"/>
    <x v="0"/>
    <x v="0"/>
    <n v="0"/>
  </r>
  <r>
    <x v="1"/>
    <x v="5"/>
    <x v="0"/>
    <x v="1"/>
    <x v="6"/>
    <x v="0"/>
    <x v="1"/>
    <n v="0"/>
  </r>
  <r>
    <x v="1"/>
    <x v="5"/>
    <x v="0"/>
    <x v="1"/>
    <x v="6"/>
    <x v="0"/>
    <x v="2"/>
    <n v="0"/>
  </r>
  <r>
    <x v="1"/>
    <x v="5"/>
    <x v="0"/>
    <x v="1"/>
    <x v="6"/>
    <x v="0"/>
    <x v="3"/>
    <n v="0"/>
  </r>
  <r>
    <x v="1"/>
    <x v="5"/>
    <x v="0"/>
    <x v="1"/>
    <x v="6"/>
    <x v="0"/>
    <x v="4"/>
    <n v="0"/>
  </r>
  <r>
    <x v="1"/>
    <x v="5"/>
    <x v="0"/>
    <x v="1"/>
    <x v="6"/>
    <x v="0"/>
    <x v="5"/>
    <n v="0"/>
  </r>
  <r>
    <x v="1"/>
    <x v="5"/>
    <x v="0"/>
    <x v="1"/>
    <x v="6"/>
    <x v="0"/>
    <x v="6"/>
    <n v="0"/>
  </r>
  <r>
    <x v="1"/>
    <x v="5"/>
    <x v="0"/>
    <x v="1"/>
    <x v="7"/>
    <x v="0"/>
    <x v="0"/>
    <n v="0"/>
  </r>
  <r>
    <x v="1"/>
    <x v="5"/>
    <x v="0"/>
    <x v="1"/>
    <x v="7"/>
    <x v="0"/>
    <x v="1"/>
    <n v="0"/>
  </r>
  <r>
    <x v="1"/>
    <x v="5"/>
    <x v="0"/>
    <x v="1"/>
    <x v="7"/>
    <x v="0"/>
    <x v="2"/>
    <n v="0"/>
  </r>
  <r>
    <x v="1"/>
    <x v="5"/>
    <x v="0"/>
    <x v="1"/>
    <x v="7"/>
    <x v="0"/>
    <x v="3"/>
    <n v="0"/>
  </r>
  <r>
    <x v="1"/>
    <x v="5"/>
    <x v="0"/>
    <x v="1"/>
    <x v="7"/>
    <x v="0"/>
    <x v="4"/>
    <n v="0"/>
  </r>
  <r>
    <x v="1"/>
    <x v="5"/>
    <x v="0"/>
    <x v="1"/>
    <x v="7"/>
    <x v="0"/>
    <x v="5"/>
    <n v="0"/>
  </r>
  <r>
    <x v="1"/>
    <x v="5"/>
    <x v="0"/>
    <x v="1"/>
    <x v="7"/>
    <x v="0"/>
    <x v="6"/>
    <n v="0"/>
  </r>
  <r>
    <x v="1"/>
    <x v="5"/>
    <x v="0"/>
    <x v="1"/>
    <x v="8"/>
    <x v="0"/>
    <x v="0"/>
    <n v="0"/>
  </r>
  <r>
    <x v="1"/>
    <x v="5"/>
    <x v="0"/>
    <x v="1"/>
    <x v="8"/>
    <x v="0"/>
    <x v="1"/>
    <n v="0"/>
  </r>
  <r>
    <x v="1"/>
    <x v="5"/>
    <x v="0"/>
    <x v="1"/>
    <x v="8"/>
    <x v="0"/>
    <x v="2"/>
    <n v="0"/>
  </r>
  <r>
    <x v="1"/>
    <x v="5"/>
    <x v="0"/>
    <x v="1"/>
    <x v="8"/>
    <x v="0"/>
    <x v="3"/>
    <n v="0"/>
  </r>
  <r>
    <x v="1"/>
    <x v="5"/>
    <x v="0"/>
    <x v="1"/>
    <x v="8"/>
    <x v="0"/>
    <x v="4"/>
    <n v="0"/>
  </r>
  <r>
    <x v="1"/>
    <x v="5"/>
    <x v="0"/>
    <x v="1"/>
    <x v="8"/>
    <x v="0"/>
    <x v="5"/>
    <n v="0"/>
  </r>
  <r>
    <x v="1"/>
    <x v="5"/>
    <x v="0"/>
    <x v="1"/>
    <x v="8"/>
    <x v="0"/>
    <x v="6"/>
    <n v="0"/>
  </r>
  <r>
    <x v="1"/>
    <x v="5"/>
    <x v="0"/>
    <x v="1"/>
    <x v="9"/>
    <x v="0"/>
    <x v="0"/>
    <n v="0"/>
  </r>
  <r>
    <x v="1"/>
    <x v="5"/>
    <x v="0"/>
    <x v="1"/>
    <x v="9"/>
    <x v="0"/>
    <x v="1"/>
    <n v="0"/>
  </r>
  <r>
    <x v="1"/>
    <x v="5"/>
    <x v="0"/>
    <x v="1"/>
    <x v="9"/>
    <x v="0"/>
    <x v="2"/>
    <n v="0"/>
  </r>
  <r>
    <x v="1"/>
    <x v="5"/>
    <x v="0"/>
    <x v="1"/>
    <x v="9"/>
    <x v="0"/>
    <x v="3"/>
    <n v="0"/>
  </r>
  <r>
    <x v="1"/>
    <x v="5"/>
    <x v="0"/>
    <x v="1"/>
    <x v="9"/>
    <x v="0"/>
    <x v="4"/>
    <n v="0"/>
  </r>
  <r>
    <x v="1"/>
    <x v="5"/>
    <x v="0"/>
    <x v="1"/>
    <x v="9"/>
    <x v="0"/>
    <x v="5"/>
    <n v="0"/>
  </r>
  <r>
    <x v="1"/>
    <x v="5"/>
    <x v="0"/>
    <x v="1"/>
    <x v="9"/>
    <x v="0"/>
    <x v="6"/>
    <n v="0"/>
  </r>
  <r>
    <x v="1"/>
    <x v="5"/>
    <x v="0"/>
    <x v="1"/>
    <x v="10"/>
    <x v="0"/>
    <x v="0"/>
    <n v="0"/>
  </r>
  <r>
    <x v="1"/>
    <x v="5"/>
    <x v="0"/>
    <x v="1"/>
    <x v="10"/>
    <x v="0"/>
    <x v="1"/>
    <n v="0"/>
  </r>
  <r>
    <x v="1"/>
    <x v="5"/>
    <x v="0"/>
    <x v="1"/>
    <x v="10"/>
    <x v="0"/>
    <x v="2"/>
    <n v="0"/>
  </r>
  <r>
    <x v="1"/>
    <x v="5"/>
    <x v="0"/>
    <x v="1"/>
    <x v="10"/>
    <x v="0"/>
    <x v="3"/>
    <n v="0"/>
  </r>
  <r>
    <x v="1"/>
    <x v="5"/>
    <x v="0"/>
    <x v="1"/>
    <x v="10"/>
    <x v="0"/>
    <x v="4"/>
    <n v="0"/>
  </r>
  <r>
    <x v="1"/>
    <x v="5"/>
    <x v="0"/>
    <x v="1"/>
    <x v="10"/>
    <x v="0"/>
    <x v="5"/>
    <n v="0"/>
  </r>
  <r>
    <x v="1"/>
    <x v="5"/>
    <x v="0"/>
    <x v="1"/>
    <x v="10"/>
    <x v="0"/>
    <x v="6"/>
    <n v="0"/>
  </r>
  <r>
    <x v="1"/>
    <x v="5"/>
    <x v="0"/>
    <x v="0"/>
    <x v="11"/>
    <x v="0"/>
    <x v="0"/>
    <n v="0"/>
  </r>
  <r>
    <x v="1"/>
    <x v="5"/>
    <x v="0"/>
    <x v="0"/>
    <x v="11"/>
    <x v="0"/>
    <x v="1"/>
    <n v="0"/>
  </r>
  <r>
    <x v="1"/>
    <x v="5"/>
    <x v="0"/>
    <x v="0"/>
    <x v="11"/>
    <x v="0"/>
    <x v="2"/>
    <n v="0"/>
  </r>
  <r>
    <x v="1"/>
    <x v="5"/>
    <x v="0"/>
    <x v="0"/>
    <x v="11"/>
    <x v="0"/>
    <x v="3"/>
    <n v="0"/>
  </r>
  <r>
    <x v="1"/>
    <x v="5"/>
    <x v="0"/>
    <x v="0"/>
    <x v="11"/>
    <x v="0"/>
    <x v="4"/>
    <n v="0"/>
  </r>
  <r>
    <x v="1"/>
    <x v="5"/>
    <x v="0"/>
    <x v="0"/>
    <x v="11"/>
    <x v="0"/>
    <x v="5"/>
    <n v="0"/>
  </r>
  <r>
    <x v="1"/>
    <x v="5"/>
    <x v="0"/>
    <x v="0"/>
    <x v="11"/>
    <x v="0"/>
    <x v="6"/>
    <n v="0"/>
  </r>
  <r>
    <x v="1"/>
    <x v="5"/>
    <x v="0"/>
    <x v="0"/>
    <x v="12"/>
    <x v="0"/>
    <x v="0"/>
    <n v="0"/>
  </r>
  <r>
    <x v="1"/>
    <x v="5"/>
    <x v="0"/>
    <x v="0"/>
    <x v="12"/>
    <x v="0"/>
    <x v="1"/>
    <n v="0"/>
  </r>
  <r>
    <x v="1"/>
    <x v="5"/>
    <x v="0"/>
    <x v="0"/>
    <x v="12"/>
    <x v="0"/>
    <x v="2"/>
    <n v="0"/>
  </r>
  <r>
    <x v="1"/>
    <x v="5"/>
    <x v="0"/>
    <x v="0"/>
    <x v="12"/>
    <x v="0"/>
    <x v="3"/>
    <n v="0"/>
  </r>
  <r>
    <x v="1"/>
    <x v="5"/>
    <x v="0"/>
    <x v="0"/>
    <x v="12"/>
    <x v="0"/>
    <x v="4"/>
    <n v="0"/>
  </r>
  <r>
    <x v="1"/>
    <x v="5"/>
    <x v="0"/>
    <x v="0"/>
    <x v="12"/>
    <x v="0"/>
    <x v="5"/>
    <n v="0"/>
  </r>
  <r>
    <x v="1"/>
    <x v="5"/>
    <x v="0"/>
    <x v="0"/>
    <x v="12"/>
    <x v="0"/>
    <x v="6"/>
    <n v="0"/>
  </r>
  <r>
    <x v="1"/>
    <x v="5"/>
    <x v="0"/>
    <x v="0"/>
    <x v="13"/>
    <x v="0"/>
    <x v="0"/>
    <n v="0"/>
  </r>
  <r>
    <x v="1"/>
    <x v="5"/>
    <x v="0"/>
    <x v="0"/>
    <x v="13"/>
    <x v="0"/>
    <x v="1"/>
    <n v="0"/>
  </r>
  <r>
    <x v="1"/>
    <x v="5"/>
    <x v="0"/>
    <x v="0"/>
    <x v="13"/>
    <x v="0"/>
    <x v="2"/>
    <n v="0"/>
  </r>
  <r>
    <x v="1"/>
    <x v="5"/>
    <x v="0"/>
    <x v="0"/>
    <x v="13"/>
    <x v="0"/>
    <x v="3"/>
    <n v="0"/>
  </r>
  <r>
    <x v="1"/>
    <x v="5"/>
    <x v="0"/>
    <x v="0"/>
    <x v="13"/>
    <x v="0"/>
    <x v="4"/>
    <n v="0"/>
  </r>
  <r>
    <x v="1"/>
    <x v="5"/>
    <x v="0"/>
    <x v="0"/>
    <x v="13"/>
    <x v="0"/>
    <x v="5"/>
    <n v="0"/>
  </r>
  <r>
    <x v="1"/>
    <x v="5"/>
    <x v="0"/>
    <x v="0"/>
    <x v="13"/>
    <x v="0"/>
    <x v="6"/>
    <n v="0"/>
  </r>
  <r>
    <x v="1"/>
    <x v="5"/>
    <x v="0"/>
    <x v="2"/>
    <x v="14"/>
    <x v="0"/>
    <x v="0"/>
    <n v="0"/>
  </r>
  <r>
    <x v="1"/>
    <x v="5"/>
    <x v="0"/>
    <x v="2"/>
    <x v="14"/>
    <x v="0"/>
    <x v="1"/>
    <n v="0"/>
  </r>
  <r>
    <x v="1"/>
    <x v="5"/>
    <x v="0"/>
    <x v="2"/>
    <x v="14"/>
    <x v="0"/>
    <x v="2"/>
    <n v="0"/>
  </r>
  <r>
    <x v="1"/>
    <x v="5"/>
    <x v="0"/>
    <x v="2"/>
    <x v="14"/>
    <x v="0"/>
    <x v="3"/>
    <n v="0"/>
  </r>
  <r>
    <x v="1"/>
    <x v="5"/>
    <x v="0"/>
    <x v="2"/>
    <x v="14"/>
    <x v="0"/>
    <x v="4"/>
    <n v="0"/>
  </r>
  <r>
    <x v="1"/>
    <x v="5"/>
    <x v="0"/>
    <x v="2"/>
    <x v="14"/>
    <x v="0"/>
    <x v="5"/>
    <n v="0"/>
  </r>
  <r>
    <x v="1"/>
    <x v="5"/>
    <x v="0"/>
    <x v="2"/>
    <x v="14"/>
    <x v="0"/>
    <x v="6"/>
    <n v="0"/>
  </r>
  <r>
    <x v="1"/>
    <x v="5"/>
    <x v="0"/>
    <x v="2"/>
    <x v="15"/>
    <x v="0"/>
    <x v="0"/>
    <n v="0"/>
  </r>
  <r>
    <x v="1"/>
    <x v="5"/>
    <x v="0"/>
    <x v="2"/>
    <x v="15"/>
    <x v="0"/>
    <x v="1"/>
    <n v="0"/>
  </r>
  <r>
    <x v="1"/>
    <x v="5"/>
    <x v="0"/>
    <x v="2"/>
    <x v="15"/>
    <x v="0"/>
    <x v="2"/>
    <n v="0"/>
  </r>
  <r>
    <x v="1"/>
    <x v="5"/>
    <x v="0"/>
    <x v="2"/>
    <x v="15"/>
    <x v="0"/>
    <x v="3"/>
    <n v="0"/>
  </r>
  <r>
    <x v="1"/>
    <x v="5"/>
    <x v="0"/>
    <x v="2"/>
    <x v="15"/>
    <x v="0"/>
    <x v="4"/>
    <n v="0"/>
  </r>
  <r>
    <x v="1"/>
    <x v="5"/>
    <x v="0"/>
    <x v="2"/>
    <x v="15"/>
    <x v="0"/>
    <x v="5"/>
    <n v="0"/>
  </r>
  <r>
    <x v="1"/>
    <x v="5"/>
    <x v="0"/>
    <x v="2"/>
    <x v="15"/>
    <x v="0"/>
    <x v="6"/>
    <n v="0"/>
  </r>
  <r>
    <x v="1"/>
    <x v="5"/>
    <x v="0"/>
    <x v="2"/>
    <x v="16"/>
    <x v="0"/>
    <x v="0"/>
    <n v="0"/>
  </r>
  <r>
    <x v="1"/>
    <x v="5"/>
    <x v="0"/>
    <x v="2"/>
    <x v="16"/>
    <x v="0"/>
    <x v="1"/>
    <n v="0"/>
  </r>
  <r>
    <x v="1"/>
    <x v="5"/>
    <x v="0"/>
    <x v="2"/>
    <x v="16"/>
    <x v="0"/>
    <x v="2"/>
    <n v="0"/>
  </r>
  <r>
    <x v="1"/>
    <x v="5"/>
    <x v="0"/>
    <x v="2"/>
    <x v="16"/>
    <x v="0"/>
    <x v="3"/>
    <n v="0"/>
  </r>
  <r>
    <x v="1"/>
    <x v="5"/>
    <x v="0"/>
    <x v="2"/>
    <x v="16"/>
    <x v="0"/>
    <x v="4"/>
    <n v="0"/>
  </r>
  <r>
    <x v="1"/>
    <x v="5"/>
    <x v="0"/>
    <x v="2"/>
    <x v="16"/>
    <x v="0"/>
    <x v="5"/>
    <n v="0"/>
  </r>
  <r>
    <x v="1"/>
    <x v="5"/>
    <x v="0"/>
    <x v="2"/>
    <x v="16"/>
    <x v="0"/>
    <x v="6"/>
    <n v="0"/>
  </r>
  <r>
    <x v="1"/>
    <x v="5"/>
    <x v="0"/>
    <x v="0"/>
    <x v="17"/>
    <x v="0"/>
    <x v="0"/>
    <n v="0"/>
  </r>
  <r>
    <x v="1"/>
    <x v="5"/>
    <x v="0"/>
    <x v="0"/>
    <x v="17"/>
    <x v="0"/>
    <x v="1"/>
    <n v="0"/>
  </r>
  <r>
    <x v="1"/>
    <x v="5"/>
    <x v="0"/>
    <x v="0"/>
    <x v="17"/>
    <x v="0"/>
    <x v="2"/>
    <n v="0"/>
  </r>
  <r>
    <x v="1"/>
    <x v="5"/>
    <x v="0"/>
    <x v="0"/>
    <x v="17"/>
    <x v="0"/>
    <x v="3"/>
    <n v="0"/>
  </r>
  <r>
    <x v="1"/>
    <x v="5"/>
    <x v="0"/>
    <x v="0"/>
    <x v="17"/>
    <x v="0"/>
    <x v="4"/>
    <n v="0"/>
  </r>
  <r>
    <x v="1"/>
    <x v="5"/>
    <x v="0"/>
    <x v="0"/>
    <x v="17"/>
    <x v="0"/>
    <x v="5"/>
    <n v="0"/>
  </r>
  <r>
    <x v="1"/>
    <x v="5"/>
    <x v="0"/>
    <x v="0"/>
    <x v="17"/>
    <x v="0"/>
    <x v="6"/>
    <n v="0"/>
  </r>
  <r>
    <x v="1"/>
    <x v="5"/>
    <x v="0"/>
    <x v="2"/>
    <x v="18"/>
    <x v="0"/>
    <x v="0"/>
    <n v="0"/>
  </r>
  <r>
    <x v="1"/>
    <x v="5"/>
    <x v="0"/>
    <x v="2"/>
    <x v="18"/>
    <x v="0"/>
    <x v="1"/>
    <n v="0"/>
  </r>
  <r>
    <x v="1"/>
    <x v="5"/>
    <x v="0"/>
    <x v="2"/>
    <x v="18"/>
    <x v="0"/>
    <x v="2"/>
    <n v="0"/>
  </r>
  <r>
    <x v="1"/>
    <x v="5"/>
    <x v="0"/>
    <x v="2"/>
    <x v="18"/>
    <x v="0"/>
    <x v="3"/>
    <n v="0"/>
  </r>
  <r>
    <x v="1"/>
    <x v="5"/>
    <x v="0"/>
    <x v="2"/>
    <x v="18"/>
    <x v="0"/>
    <x v="4"/>
    <n v="0"/>
  </r>
  <r>
    <x v="1"/>
    <x v="5"/>
    <x v="0"/>
    <x v="2"/>
    <x v="18"/>
    <x v="0"/>
    <x v="5"/>
    <n v="0"/>
  </r>
  <r>
    <x v="1"/>
    <x v="5"/>
    <x v="0"/>
    <x v="2"/>
    <x v="18"/>
    <x v="0"/>
    <x v="6"/>
    <n v="0"/>
  </r>
  <r>
    <x v="1"/>
    <x v="5"/>
    <x v="1"/>
    <x v="3"/>
    <x v="19"/>
    <x v="0"/>
    <x v="0"/>
    <n v="0"/>
  </r>
  <r>
    <x v="1"/>
    <x v="5"/>
    <x v="1"/>
    <x v="3"/>
    <x v="19"/>
    <x v="0"/>
    <x v="1"/>
    <n v="0"/>
  </r>
  <r>
    <x v="1"/>
    <x v="5"/>
    <x v="1"/>
    <x v="3"/>
    <x v="19"/>
    <x v="0"/>
    <x v="2"/>
    <n v="0"/>
  </r>
  <r>
    <x v="1"/>
    <x v="5"/>
    <x v="1"/>
    <x v="3"/>
    <x v="19"/>
    <x v="0"/>
    <x v="3"/>
    <n v="0"/>
  </r>
  <r>
    <x v="1"/>
    <x v="5"/>
    <x v="1"/>
    <x v="3"/>
    <x v="19"/>
    <x v="0"/>
    <x v="4"/>
    <n v="0"/>
  </r>
  <r>
    <x v="1"/>
    <x v="5"/>
    <x v="1"/>
    <x v="3"/>
    <x v="19"/>
    <x v="0"/>
    <x v="5"/>
    <n v="0"/>
  </r>
  <r>
    <x v="1"/>
    <x v="5"/>
    <x v="1"/>
    <x v="3"/>
    <x v="19"/>
    <x v="0"/>
    <x v="6"/>
    <n v="0"/>
  </r>
  <r>
    <x v="1"/>
    <x v="5"/>
    <x v="1"/>
    <x v="3"/>
    <x v="20"/>
    <x v="0"/>
    <x v="0"/>
    <n v="0"/>
  </r>
  <r>
    <x v="1"/>
    <x v="5"/>
    <x v="1"/>
    <x v="3"/>
    <x v="20"/>
    <x v="0"/>
    <x v="1"/>
    <n v="0"/>
  </r>
  <r>
    <x v="1"/>
    <x v="5"/>
    <x v="1"/>
    <x v="3"/>
    <x v="20"/>
    <x v="0"/>
    <x v="2"/>
    <n v="0"/>
  </r>
  <r>
    <x v="1"/>
    <x v="5"/>
    <x v="1"/>
    <x v="3"/>
    <x v="20"/>
    <x v="0"/>
    <x v="3"/>
    <n v="0"/>
  </r>
  <r>
    <x v="1"/>
    <x v="5"/>
    <x v="1"/>
    <x v="3"/>
    <x v="20"/>
    <x v="0"/>
    <x v="4"/>
    <n v="0"/>
  </r>
  <r>
    <x v="1"/>
    <x v="5"/>
    <x v="1"/>
    <x v="3"/>
    <x v="20"/>
    <x v="0"/>
    <x v="5"/>
    <n v="0"/>
  </r>
  <r>
    <x v="1"/>
    <x v="5"/>
    <x v="1"/>
    <x v="3"/>
    <x v="20"/>
    <x v="0"/>
    <x v="6"/>
    <n v="0"/>
  </r>
  <r>
    <x v="1"/>
    <x v="5"/>
    <x v="1"/>
    <x v="3"/>
    <x v="21"/>
    <x v="0"/>
    <x v="0"/>
    <n v="0"/>
  </r>
  <r>
    <x v="1"/>
    <x v="5"/>
    <x v="1"/>
    <x v="3"/>
    <x v="21"/>
    <x v="0"/>
    <x v="1"/>
    <n v="0"/>
  </r>
  <r>
    <x v="1"/>
    <x v="5"/>
    <x v="1"/>
    <x v="3"/>
    <x v="21"/>
    <x v="0"/>
    <x v="2"/>
    <n v="0"/>
  </r>
  <r>
    <x v="1"/>
    <x v="5"/>
    <x v="1"/>
    <x v="3"/>
    <x v="21"/>
    <x v="0"/>
    <x v="3"/>
    <n v="0"/>
  </r>
  <r>
    <x v="1"/>
    <x v="5"/>
    <x v="1"/>
    <x v="3"/>
    <x v="21"/>
    <x v="0"/>
    <x v="4"/>
    <n v="0"/>
  </r>
  <r>
    <x v="1"/>
    <x v="5"/>
    <x v="1"/>
    <x v="3"/>
    <x v="21"/>
    <x v="0"/>
    <x v="5"/>
    <n v="0"/>
  </r>
  <r>
    <x v="1"/>
    <x v="5"/>
    <x v="1"/>
    <x v="3"/>
    <x v="21"/>
    <x v="0"/>
    <x v="6"/>
    <n v="0"/>
  </r>
  <r>
    <x v="1"/>
    <x v="5"/>
    <x v="1"/>
    <x v="3"/>
    <x v="22"/>
    <x v="0"/>
    <x v="0"/>
    <n v="0"/>
  </r>
  <r>
    <x v="1"/>
    <x v="5"/>
    <x v="1"/>
    <x v="3"/>
    <x v="22"/>
    <x v="0"/>
    <x v="1"/>
    <n v="0"/>
  </r>
  <r>
    <x v="1"/>
    <x v="5"/>
    <x v="1"/>
    <x v="3"/>
    <x v="22"/>
    <x v="0"/>
    <x v="2"/>
    <n v="0"/>
  </r>
  <r>
    <x v="1"/>
    <x v="5"/>
    <x v="1"/>
    <x v="3"/>
    <x v="22"/>
    <x v="0"/>
    <x v="3"/>
    <n v="0"/>
  </r>
  <r>
    <x v="1"/>
    <x v="5"/>
    <x v="1"/>
    <x v="3"/>
    <x v="22"/>
    <x v="0"/>
    <x v="4"/>
    <n v="0"/>
  </r>
  <r>
    <x v="1"/>
    <x v="5"/>
    <x v="1"/>
    <x v="3"/>
    <x v="22"/>
    <x v="0"/>
    <x v="5"/>
    <n v="0"/>
  </r>
  <r>
    <x v="1"/>
    <x v="5"/>
    <x v="1"/>
    <x v="3"/>
    <x v="22"/>
    <x v="0"/>
    <x v="6"/>
    <n v="0"/>
  </r>
  <r>
    <x v="1"/>
    <x v="5"/>
    <x v="1"/>
    <x v="3"/>
    <x v="23"/>
    <x v="0"/>
    <x v="0"/>
    <n v="0"/>
  </r>
  <r>
    <x v="1"/>
    <x v="5"/>
    <x v="1"/>
    <x v="3"/>
    <x v="23"/>
    <x v="0"/>
    <x v="1"/>
    <n v="0"/>
  </r>
  <r>
    <x v="1"/>
    <x v="5"/>
    <x v="1"/>
    <x v="3"/>
    <x v="23"/>
    <x v="0"/>
    <x v="2"/>
    <n v="0"/>
  </r>
  <r>
    <x v="1"/>
    <x v="5"/>
    <x v="1"/>
    <x v="3"/>
    <x v="23"/>
    <x v="0"/>
    <x v="3"/>
    <n v="0"/>
  </r>
  <r>
    <x v="1"/>
    <x v="5"/>
    <x v="1"/>
    <x v="3"/>
    <x v="23"/>
    <x v="0"/>
    <x v="4"/>
    <n v="0"/>
  </r>
  <r>
    <x v="1"/>
    <x v="5"/>
    <x v="1"/>
    <x v="3"/>
    <x v="23"/>
    <x v="0"/>
    <x v="5"/>
    <n v="0"/>
  </r>
  <r>
    <x v="1"/>
    <x v="5"/>
    <x v="1"/>
    <x v="3"/>
    <x v="23"/>
    <x v="0"/>
    <x v="6"/>
    <n v="0"/>
  </r>
  <r>
    <x v="1"/>
    <x v="5"/>
    <x v="1"/>
    <x v="3"/>
    <x v="24"/>
    <x v="0"/>
    <x v="0"/>
    <n v="0"/>
  </r>
  <r>
    <x v="1"/>
    <x v="5"/>
    <x v="1"/>
    <x v="3"/>
    <x v="24"/>
    <x v="0"/>
    <x v="1"/>
    <n v="0"/>
  </r>
  <r>
    <x v="1"/>
    <x v="5"/>
    <x v="1"/>
    <x v="3"/>
    <x v="24"/>
    <x v="0"/>
    <x v="2"/>
    <n v="0"/>
  </r>
  <r>
    <x v="1"/>
    <x v="5"/>
    <x v="1"/>
    <x v="3"/>
    <x v="24"/>
    <x v="0"/>
    <x v="3"/>
    <n v="0"/>
  </r>
  <r>
    <x v="1"/>
    <x v="5"/>
    <x v="1"/>
    <x v="3"/>
    <x v="24"/>
    <x v="0"/>
    <x v="4"/>
    <n v="0"/>
  </r>
  <r>
    <x v="1"/>
    <x v="5"/>
    <x v="1"/>
    <x v="3"/>
    <x v="24"/>
    <x v="0"/>
    <x v="5"/>
    <n v="0"/>
  </r>
  <r>
    <x v="1"/>
    <x v="5"/>
    <x v="1"/>
    <x v="3"/>
    <x v="24"/>
    <x v="0"/>
    <x v="6"/>
    <n v="0"/>
  </r>
  <r>
    <x v="1"/>
    <x v="5"/>
    <x v="1"/>
    <x v="3"/>
    <x v="25"/>
    <x v="0"/>
    <x v="0"/>
    <n v="0"/>
  </r>
  <r>
    <x v="1"/>
    <x v="5"/>
    <x v="1"/>
    <x v="3"/>
    <x v="25"/>
    <x v="0"/>
    <x v="1"/>
    <n v="0"/>
  </r>
  <r>
    <x v="1"/>
    <x v="5"/>
    <x v="1"/>
    <x v="3"/>
    <x v="25"/>
    <x v="0"/>
    <x v="2"/>
    <n v="0"/>
  </r>
  <r>
    <x v="1"/>
    <x v="5"/>
    <x v="1"/>
    <x v="3"/>
    <x v="25"/>
    <x v="0"/>
    <x v="3"/>
    <n v="0"/>
  </r>
  <r>
    <x v="1"/>
    <x v="5"/>
    <x v="1"/>
    <x v="3"/>
    <x v="25"/>
    <x v="0"/>
    <x v="4"/>
    <n v="0"/>
  </r>
  <r>
    <x v="1"/>
    <x v="5"/>
    <x v="1"/>
    <x v="3"/>
    <x v="25"/>
    <x v="0"/>
    <x v="5"/>
    <n v="0"/>
  </r>
  <r>
    <x v="1"/>
    <x v="5"/>
    <x v="1"/>
    <x v="3"/>
    <x v="25"/>
    <x v="0"/>
    <x v="6"/>
    <n v="0"/>
  </r>
  <r>
    <x v="1"/>
    <x v="5"/>
    <x v="2"/>
    <x v="4"/>
    <x v="26"/>
    <x v="0"/>
    <x v="0"/>
    <n v="0"/>
  </r>
  <r>
    <x v="1"/>
    <x v="5"/>
    <x v="2"/>
    <x v="4"/>
    <x v="26"/>
    <x v="0"/>
    <x v="1"/>
    <n v="0"/>
  </r>
  <r>
    <x v="1"/>
    <x v="5"/>
    <x v="2"/>
    <x v="4"/>
    <x v="26"/>
    <x v="0"/>
    <x v="2"/>
    <n v="0"/>
  </r>
  <r>
    <x v="1"/>
    <x v="5"/>
    <x v="2"/>
    <x v="4"/>
    <x v="26"/>
    <x v="0"/>
    <x v="3"/>
    <n v="0"/>
  </r>
  <r>
    <x v="1"/>
    <x v="5"/>
    <x v="2"/>
    <x v="4"/>
    <x v="26"/>
    <x v="0"/>
    <x v="4"/>
    <n v="0"/>
  </r>
  <r>
    <x v="1"/>
    <x v="5"/>
    <x v="2"/>
    <x v="4"/>
    <x v="26"/>
    <x v="0"/>
    <x v="5"/>
    <n v="0"/>
  </r>
  <r>
    <x v="1"/>
    <x v="5"/>
    <x v="2"/>
    <x v="4"/>
    <x v="26"/>
    <x v="0"/>
    <x v="6"/>
    <n v="0"/>
  </r>
  <r>
    <x v="1"/>
    <x v="5"/>
    <x v="2"/>
    <x v="4"/>
    <x v="27"/>
    <x v="0"/>
    <x v="0"/>
    <n v="0"/>
  </r>
  <r>
    <x v="1"/>
    <x v="5"/>
    <x v="2"/>
    <x v="4"/>
    <x v="27"/>
    <x v="0"/>
    <x v="1"/>
    <n v="0"/>
  </r>
  <r>
    <x v="1"/>
    <x v="5"/>
    <x v="2"/>
    <x v="4"/>
    <x v="27"/>
    <x v="0"/>
    <x v="2"/>
    <n v="0"/>
  </r>
  <r>
    <x v="1"/>
    <x v="5"/>
    <x v="2"/>
    <x v="4"/>
    <x v="27"/>
    <x v="0"/>
    <x v="3"/>
    <n v="0"/>
  </r>
  <r>
    <x v="1"/>
    <x v="5"/>
    <x v="2"/>
    <x v="4"/>
    <x v="27"/>
    <x v="0"/>
    <x v="4"/>
    <n v="0"/>
  </r>
  <r>
    <x v="1"/>
    <x v="5"/>
    <x v="2"/>
    <x v="4"/>
    <x v="27"/>
    <x v="0"/>
    <x v="5"/>
    <n v="0"/>
  </r>
  <r>
    <x v="1"/>
    <x v="5"/>
    <x v="2"/>
    <x v="4"/>
    <x v="27"/>
    <x v="0"/>
    <x v="6"/>
    <n v="0"/>
  </r>
  <r>
    <x v="1"/>
    <x v="5"/>
    <x v="2"/>
    <x v="4"/>
    <x v="28"/>
    <x v="0"/>
    <x v="0"/>
    <n v="0"/>
  </r>
  <r>
    <x v="1"/>
    <x v="5"/>
    <x v="2"/>
    <x v="4"/>
    <x v="28"/>
    <x v="0"/>
    <x v="1"/>
    <n v="0"/>
  </r>
  <r>
    <x v="1"/>
    <x v="5"/>
    <x v="2"/>
    <x v="4"/>
    <x v="28"/>
    <x v="0"/>
    <x v="2"/>
    <n v="0"/>
  </r>
  <r>
    <x v="1"/>
    <x v="5"/>
    <x v="2"/>
    <x v="4"/>
    <x v="28"/>
    <x v="0"/>
    <x v="3"/>
    <n v="0"/>
  </r>
  <r>
    <x v="1"/>
    <x v="5"/>
    <x v="2"/>
    <x v="4"/>
    <x v="28"/>
    <x v="0"/>
    <x v="4"/>
    <n v="0"/>
  </r>
  <r>
    <x v="1"/>
    <x v="5"/>
    <x v="2"/>
    <x v="4"/>
    <x v="28"/>
    <x v="0"/>
    <x v="5"/>
    <n v="0"/>
  </r>
  <r>
    <x v="1"/>
    <x v="5"/>
    <x v="2"/>
    <x v="4"/>
    <x v="28"/>
    <x v="0"/>
    <x v="6"/>
    <n v="0"/>
  </r>
  <r>
    <x v="1"/>
    <x v="5"/>
    <x v="2"/>
    <x v="4"/>
    <x v="29"/>
    <x v="0"/>
    <x v="0"/>
    <n v="0"/>
  </r>
  <r>
    <x v="1"/>
    <x v="5"/>
    <x v="2"/>
    <x v="4"/>
    <x v="29"/>
    <x v="0"/>
    <x v="1"/>
    <n v="0"/>
  </r>
  <r>
    <x v="1"/>
    <x v="5"/>
    <x v="2"/>
    <x v="4"/>
    <x v="29"/>
    <x v="0"/>
    <x v="2"/>
    <n v="0"/>
  </r>
  <r>
    <x v="1"/>
    <x v="5"/>
    <x v="2"/>
    <x v="4"/>
    <x v="29"/>
    <x v="0"/>
    <x v="3"/>
    <n v="0"/>
  </r>
  <r>
    <x v="1"/>
    <x v="5"/>
    <x v="2"/>
    <x v="4"/>
    <x v="29"/>
    <x v="0"/>
    <x v="4"/>
    <n v="0"/>
  </r>
  <r>
    <x v="1"/>
    <x v="5"/>
    <x v="2"/>
    <x v="4"/>
    <x v="29"/>
    <x v="0"/>
    <x v="5"/>
    <n v="0"/>
  </r>
  <r>
    <x v="1"/>
    <x v="5"/>
    <x v="2"/>
    <x v="4"/>
    <x v="29"/>
    <x v="0"/>
    <x v="6"/>
    <n v="0"/>
  </r>
  <r>
    <x v="1"/>
    <x v="5"/>
    <x v="3"/>
    <x v="5"/>
    <x v="30"/>
    <x v="0"/>
    <x v="0"/>
    <n v="0"/>
  </r>
  <r>
    <x v="1"/>
    <x v="5"/>
    <x v="3"/>
    <x v="5"/>
    <x v="30"/>
    <x v="0"/>
    <x v="1"/>
    <n v="0"/>
  </r>
  <r>
    <x v="1"/>
    <x v="5"/>
    <x v="3"/>
    <x v="5"/>
    <x v="30"/>
    <x v="0"/>
    <x v="2"/>
    <n v="0"/>
  </r>
  <r>
    <x v="1"/>
    <x v="5"/>
    <x v="3"/>
    <x v="5"/>
    <x v="30"/>
    <x v="0"/>
    <x v="3"/>
    <n v="0"/>
  </r>
  <r>
    <x v="1"/>
    <x v="5"/>
    <x v="3"/>
    <x v="5"/>
    <x v="30"/>
    <x v="0"/>
    <x v="4"/>
    <n v="0"/>
  </r>
  <r>
    <x v="1"/>
    <x v="5"/>
    <x v="3"/>
    <x v="5"/>
    <x v="30"/>
    <x v="0"/>
    <x v="5"/>
    <n v="0"/>
  </r>
  <r>
    <x v="1"/>
    <x v="5"/>
    <x v="3"/>
    <x v="5"/>
    <x v="30"/>
    <x v="0"/>
    <x v="6"/>
    <n v="0"/>
  </r>
  <r>
    <x v="1"/>
    <x v="5"/>
    <x v="2"/>
    <x v="4"/>
    <x v="31"/>
    <x v="0"/>
    <x v="0"/>
    <n v="0"/>
  </r>
  <r>
    <x v="1"/>
    <x v="5"/>
    <x v="2"/>
    <x v="4"/>
    <x v="31"/>
    <x v="0"/>
    <x v="1"/>
    <n v="0"/>
  </r>
  <r>
    <x v="1"/>
    <x v="5"/>
    <x v="2"/>
    <x v="4"/>
    <x v="31"/>
    <x v="0"/>
    <x v="2"/>
    <n v="0"/>
  </r>
  <r>
    <x v="1"/>
    <x v="5"/>
    <x v="2"/>
    <x v="4"/>
    <x v="31"/>
    <x v="0"/>
    <x v="3"/>
    <n v="0"/>
  </r>
  <r>
    <x v="1"/>
    <x v="5"/>
    <x v="2"/>
    <x v="4"/>
    <x v="31"/>
    <x v="0"/>
    <x v="4"/>
    <n v="0"/>
  </r>
  <r>
    <x v="1"/>
    <x v="5"/>
    <x v="2"/>
    <x v="4"/>
    <x v="31"/>
    <x v="0"/>
    <x v="5"/>
    <n v="0"/>
  </r>
  <r>
    <x v="1"/>
    <x v="5"/>
    <x v="2"/>
    <x v="4"/>
    <x v="31"/>
    <x v="0"/>
    <x v="6"/>
    <n v="0"/>
  </r>
  <r>
    <x v="1"/>
    <x v="5"/>
    <x v="2"/>
    <x v="4"/>
    <x v="32"/>
    <x v="0"/>
    <x v="0"/>
    <n v="0"/>
  </r>
  <r>
    <x v="1"/>
    <x v="5"/>
    <x v="2"/>
    <x v="4"/>
    <x v="32"/>
    <x v="0"/>
    <x v="1"/>
    <n v="0"/>
  </r>
  <r>
    <x v="1"/>
    <x v="5"/>
    <x v="2"/>
    <x v="4"/>
    <x v="32"/>
    <x v="0"/>
    <x v="2"/>
    <n v="0"/>
  </r>
  <r>
    <x v="1"/>
    <x v="5"/>
    <x v="2"/>
    <x v="4"/>
    <x v="32"/>
    <x v="0"/>
    <x v="3"/>
    <n v="0"/>
  </r>
  <r>
    <x v="1"/>
    <x v="5"/>
    <x v="2"/>
    <x v="4"/>
    <x v="32"/>
    <x v="0"/>
    <x v="4"/>
    <n v="0"/>
  </r>
  <r>
    <x v="1"/>
    <x v="5"/>
    <x v="2"/>
    <x v="4"/>
    <x v="32"/>
    <x v="0"/>
    <x v="5"/>
    <n v="0"/>
  </r>
  <r>
    <x v="1"/>
    <x v="5"/>
    <x v="2"/>
    <x v="4"/>
    <x v="32"/>
    <x v="0"/>
    <x v="6"/>
    <n v="0"/>
  </r>
  <r>
    <x v="1"/>
    <x v="5"/>
    <x v="2"/>
    <x v="4"/>
    <x v="33"/>
    <x v="0"/>
    <x v="0"/>
    <n v="0"/>
  </r>
  <r>
    <x v="1"/>
    <x v="5"/>
    <x v="2"/>
    <x v="4"/>
    <x v="33"/>
    <x v="0"/>
    <x v="1"/>
    <n v="0"/>
  </r>
  <r>
    <x v="1"/>
    <x v="5"/>
    <x v="2"/>
    <x v="4"/>
    <x v="33"/>
    <x v="0"/>
    <x v="2"/>
    <n v="0"/>
  </r>
  <r>
    <x v="1"/>
    <x v="5"/>
    <x v="2"/>
    <x v="4"/>
    <x v="33"/>
    <x v="0"/>
    <x v="3"/>
    <n v="0"/>
  </r>
  <r>
    <x v="1"/>
    <x v="5"/>
    <x v="2"/>
    <x v="4"/>
    <x v="33"/>
    <x v="0"/>
    <x v="4"/>
    <n v="0"/>
  </r>
  <r>
    <x v="1"/>
    <x v="5"/>
    <x v="2"/>
    <x v="4"/>
    <x v="33"/>
    <x v="0"/>
    <x v="5"/>
    <n v="0"/>
  </r>
  <r>
    <x v="1"/>
    <x v="5"/>
    <x v="2"/>
    <x v="4"/>
    <x v="33"/>
    <x v="0"/>
    <x v="6"/>
    <n v="0"/>
  </r>
  <r>
    <x v="1"/>
    <x v="5"/>
    <x v="2"/>
    <x v="4"/>
    <x v="34"/>
    <x v="0"/>
    <x v="0"/>
    <n v="0"/>
  </r>
  <r>
    <x v="1"/>
    <x v="5"/>
    <x v="2"/>
    <x v="4"/>
    <x v="34"/>
    <x v="0"/>
    <x v="1"/>
    <n v="0"/>
  </r>
  <r>
    <x v="1"/>
    <x v="5"/>
    <x v="2"/>
    <x v="4"/>
    <x v="34"/>
    <x v="0"/>
    <x v="2"/>
    <n v="0"/>
  </r>
  <r>
    <x v="1"/>
    <x v="5"/>
    <x v="2"/>
    <x v="4"/>
    <x v="34"/>
    <x v="0"/>
    <x v="3"/>
    <n v="0"/>
  </r>
  <r>
    <x v="1"/>
    <x v="5"/>
    <x v="2"/>
    <x v="4"/>
    <x v="34"/>
    <x v="0"/>
    <x v="4"/>
    <n v="0"/>
  </r>
  <r>
    <x v="1"/>
    <x v="5"/>
    <x v="2"/>
    <x v="4"/>
    <x v="34"/>
    <x v="0"/>
    <x v="5"/>
    <n v="0"/>
  </r>
  <r>
    <x v="1"/>
    <x v="5"/>
    <x v="2"/>
    <x v="4"/>
    <x v="34"/>
    <x v="0"/>
    <x v="6"/>
    <n v="0"/>
  </r>
  <r>
    <x v="1"/>
    <x v="5"/>
    <x v="2"/>
    <x v="6"/>
    <x v="35"/>
    <x v="0"/>
    <x v="0"/>
    <n v="0"/>
  </r>
  <r>
    <x v="1"/>
    <x v="5"/>
    <x v="2"/>
    <x v="6"/>
    <x v="35"/>
    <x v="0"/>
    <x v="1"/>
    <n v="0"/>
  </r>
  <r>
    <x v="1"/>
    <x v="5"/>
    <x v="2"/>
    <x v="6"/>
    <x v="35"/>
    <x v="0"/>
    <x v="2"/>
    <n v="0"/>
  </r>
  <r>
    <x v="1"/>
    <x v="5"/>
    <x v="2"/>
    <x v="6"/>
    <x v="35"/>
    <x v="0"/>
    <x v="3"/>
    <n v="0"/>
  </r>
  <r>
    <x v="1"/>
    <x v="5"/>
    <x v="2"/>
    <x v="6"/>
    <x v="35"/>
    <x v="0"/>
    <x v="4"/>
    <n v="0"/>
  </r>
  <r>
    <x v="1"/>
    <x v="5"/>
    <x v="2"/>
    <x v="6"/>
    <x v="35"/>
    <x v="0"/>
    <x v="5"/>
    <n v="0"/>
  </r>
  <r>
    <x v="1"/>
    <x v="5"/>
    <x v="2"/>
    <x v="6"/>
    <x v="35"/>
    <x v="0"/>
    <x v="6"/>
    <n v="0"/>
  </r>
  <r>
    <x v="1"/>
    <x v="5"/>
    <x v="2"/>
    <x v="6"/>
    <x v="36"/>
    <x v="0"/>
    <x v="0"/>
    <n v="0"/>
  </r>
  <r>
    <x v="1"/>
    <x v="5"/>
    <x v="2"/>
    <x v="6"/>
    <x v="36"/>
    <x v="0"/>
    <x v="1"/>
    <n v="0"/>
  </r>
  <r>
    <x v="1"/>
    <x v="5"/>
    <x v="2"/>
    <x v="6"/>
    <x v="36"/>
    <x v="0"/>
    <x v="2"/>
    <n v="0"/>
  </r>
  <r>
    <x v="1"/>
    <x v="5"/>
    <x v="2"/>
    <x v="6"/>
    <x v="36"/>
    <x v="0"/>
    <x v="3"/>
    <n v="0"/>
  </r>
  <r>
    <x v="1"/>
    <x v="5"/>
    <x v="2"/>
    <x v="6"/>
    <x v="36"/>
    <x v="0"/>
    <x v="4"/>
    <n v="0"/>
  </r>
  <r>
    <x v="1"/>
    <x v="5"/>
    <x v="2"/>
    <x v="6"/>
    <x v="36"/>
    <x v="0"/>
    <x v="5"/>
    <n v="0"/>
  </r>
  <r>
    <x v="1"/>
    <x v="5"/>
    <x v="2"/>
    <x v="6"/>
    <x v="36"/>
    <x v="0"/>
    <x v="6"/>
    <n v="0"/>
  </r>
  <r>
    <x v="1"/>
    <x v="5"/>
    <x v="2"/>
    <x v="6"/>
    <x v="37"/>
    <x v="0"/>
    <x v="0"/>
    <n v="0"/>
  </r>
  <r>
    <x v="1"/>
    <x v="5"/>
    <x v="2"/>
    <x v="6"/>
    <x v="37"/>
    <x v="0"/>
    <x v="1"/>
    <n v="0"/>
  </r>
  <r>
    <x v="1"/>
    <x v="5"/>
    <x v="2"/>
    <x v="6"/>
    <x v="37"/>
    <x v="0"/>
    <x v="2"/>
    <n v="0"/>
  </r>
  <r>
    <x v="1"/>
    <x v="5"/>
    <x v="2"/>
    <x v="6"/>
    <x v="37"/>
    <x v="0"/>
    <x v="3"/>
    <n v="0"/>
  </r>
  <r>
    <x v="1"/>
    <x v="5"/>
    <x v="2"/>
    <x v="6"/>
    <x v="37"/>
    <x v="0"/>
    <x v="4"/>
    <n v="0"/>
  </r>
  <r>
    <x v="1"/>
    <x v="5"/>
    <x v="2"/>
    <x v="6"/>
    <x v="37"/>
    <x v="0"/>
    <x v="5"/>
    <n v="0"/>
  </r>
  <r>
    <x v="1"/>
    <x v="5"/>
    <x v="2"/>
    <x v="6"/>
    <x v="37"/>
    <x v="0"/>
    <x v="6"/>
    <n v="0"/>
  </r>
  <r>
    <x v="1"/>
    <x v="5"/>
    <x v="2"/>
    <x v="6"/>
    <x v="38"/>
    <x v="0"/>
    <x v="0"/>
    <n v="0"/>
  </r>
  <r>
    <x v="1"/>
    <x v="5"/>
    <x v="2"/>
    <x v="6"/>
    <x v="38"/>
    <x v="0"/>
    <x v="1"/>
    <n v="0"/>
  </r>
  <r>
    <x v="1"/>
    <x v="5"/>
    <x v="2"/>
    <x v="6"/>
    <x v="38"/>
    <x v="0"/>
    <x v="2"/>
    <n v="0"/>
  </r>
  <r>
    <x v="1"/>
    <x v="5"/>
    <x v="2"/>
    <x v="6"/>
    <x v="38"/>
    <x v="0"/>
    <x v="3"/>
    <n v="0"/>
  </r>
  <r>
    <x v="1"/>
    <x v="5"/>
    <x v="2"/>
    <x v="6"/>
    <x v="38"/>
    <x v="0"/>
    <x v="4"/>
    <n v="0"/>
  </r>
  <r>
    <x v="1"/>
    <x v="5"/>
    <x v="2"/>
    <x v="6"/>
    <x v="38"/>
    <x v="0"/>
    <x v="5"/>
    <n v="0"/>
  </r>
  <r>
    <x v="1"/>
    <x v="5"/>
    <x v="2"/>
    <x v="6"/>
    <x v="38"/>
    <x v="0"/>
    <x v="6"/>
    <n v="0"/>
  </r>
  <r>
    <x v="1"/>
    <x v="5"/>
    <x v="3"/>
    <x v="5"/>
    <x v="39"/>
    <x v="0"/>
    <x v="0"/>
    <n v="0"/>
  </r>
  <r>
    <x v="1"/>
    <x v="5"/>
    <x v="3"/>
    <x v="5"/>
    <x v="39"/>
    <x v="0"/>
    <x v="1"/>
    <n v="0"/>
  </r>
  <r>
    <x v="1"/>
    <x v="5"/>
    <x v="3"/>
    <x v="5"/>
    <x v="39"/>
    <x v="0"/>
    <x v="2"/>
    <n v="0"/>
  </r>
  <r>
    <x v="1"/>
    <x v="5"/>
    <x v="3"/>
    <x v="5"/>
    <x v="39"/>
    <x v="0"/>
    <x v="3"/>
    <n v="0"/>
  </r>
  <r>
    <x v="1"/>
    <x v="5"/>
    <x v="3"/>
    <x v="5"/>
    <x v="39"/>
    <x v="0"/>
    <x v="4"/>
    <n v="0"/>
  </r>
  <r>
    <x v="1"/>
    <x v="5"/>
    <x v="3"/>
    <x v="5"/>
    <x v="39"/>
    <x v="0"/>
    <x v="5"/>
    <n v="0"/>
  </r>
  <r>
    <x v="1"/>
    <x v="5"/>
    <x v="3"/>
    <x v="5"/>
    <x v="39"/>
    <x v="0"/>
    <x v="6"/>
    <n v="0"/>
  </r>
  <r>
    <x v="1"/>
    <x v="5"/>
    <x v="2"/>
    <x v="6"/>
    <x v="40"/>
    <x v="0"/>
    <x v="0"/>
    <n v="0"/>
  </r>
  <r>
    <x v="1"/>
    <x v="5"/>
    <x v="2"/>
    <x v="6"/>
    <x v="40"/>
    <x v="0"/>
    <x v="1"/>
    <n v="0"/>
  </r>
  <r>
    <x v="1"/>
    <x v="5"/>
    <x v="2"/>
    <x v="6"/>
    <x v="40"/>
    <x v="0"/>
    <x v="2"/>
    <n v="0"/>
  </r>
  <r>
    <x v="1"/>
    <x v="5"/>
    <x v="2"/>
    <x v="6"/>
    <x v="40"/>
    <x v="0"/>
    <x v="3"/>
    <n v="0"/>
  </r>
  <r>
    <x v="1"/>
    <x v="5"/>
    <x v="2"/>
    <x v="6"/>
    <x v="40"/>
    <x v="0"/>
    <x v="4"/>
    <n v="0"/>
  </r>
  <r>
    <x v="1"/>
    <x v="5"/>
    <x v="2"/>
    <x v="6"/>
    <x v="40"/>
    <x v="0"/>
    <x v="5"/>
    <n v="0"/>
  </r>
  <r>
    <x v="1"/>
    <x v="5"/>
    <x v="2"/>
    <x v="6"/>
    <x v="40"/>
    <x v="0"/>
    <x v="6"/>
    <n v="0"/>
  </r>
  <r>
    <x v="1"/>
    <x v="5"/>
    <x v="2"/>
    <x v="6"/>
    <x v="41"/>
    <x v="0"/>
    <x v="0"/>
    <n v="0"/>
  </r>
  <r>
    <x v="1"/>
    <x v="5"/>
    <x v="2"/>
    <x v="6"/>
    <x v="41"/>
    <x v="0"/>
    <x v="1"/>
    <n v="0"/>
  </r>
  <r>
    <x v="1"/>
    <x v="5"/>
    <x v="2"/>
    <x v="6"/>
    <x v="41"/>
    <x v="0"/>
    <x v="2"/>
    <n v="0"/>
  </r>
  <r>
    <x v="1"/>
    <x v="5"/>
    <x v="2"/>
    <x v="6"/>
    <x v="41"/>
    <x v="0"/>
    <x v="3"/>
    <n v="0"/>
  </r>
  <r>
    <x v="1"/>
    <x v="5"/>
    <x v="2"/>
    <x v="6"/>
    <x v="41"/>
    <x v="0"/>
    <x v="4"/>
    <n v="0"/>
  </r>
  <r>
    <x v="1"/>
    <x v="5"/>
    <x v="2"/>
    <x v="6"/>
    <x v="41"/>
    <x v="0"/>
    <x v="5"/>
    <n v="0"/>
  </r>
  <r>
    <x v="1"/>
    <x v="5"/>
    <x v="2"/>
    <x v="6"/>
    <x v="41"/>
    <x v="0"/>
    <x v="6"/>
    <n v="0"/>
  </r>
  <r>
    <x v="1"/>
    <x v="5"/>
    <x v="2"/>
    <x v="6"/>
    <x v="42"/>
    <x v="0"/>
    <x v="0"/>
    <n v="0"/>
  </r>
  <r>
    <x v="1"/>
    <x v="5"/>
    <x v="2"/>
    <x v="6"/>
    <x v="42"/>
    <x v="0"/>
    <x v="1"/>
    <n v="0"/>
  </r>
  <r>
    <x v="1"/>
    <x v="5"/>
    <x v="2"/>
    <x v="6"/>
    <x v="42"/>
    <x v="0"/>
    <x v="2"/>
    <n v="0"/>
  </r>
  <r>
    <x v="1"/>
    <x v="5"/>
    <x v="2"/>
    <x v="6"/>
    <x v="42"/>
    <x v="0"/>
    <x v="3"/>
    <n v="0"/>
  </r>
  <r>
    <x v="1"/>
    <x v="5"/>
    <x v="2"/>
    <x v="6"/>
    <x v="42"/>
    <x v="0"/>
    <x v="4"/>
    <n v="0"/>
  </r>
  <r>
    <x v="1"/>
    <x v="5"/>
    <x v="2"/>
    <x v="6"/>
    <x v="42"/>
    <x v="0"/>
    <x v="5"/>
    <n v="0"/>
  </r>
  <r>
    <x v="1"/>
    <x v="5"/>
    <x v="2"/>
    <x v="6"/>
    <x v="42"/>
    <x v="0"/>
    <x v="6"/>
    <n v="0"/>
  </r>
  <r>
    <x v="1"/>
    <x v="5"/>
    <x v="2"/>
    <x v="6"/>
    <x v="43"/>
    <x v="0"/>
    <x v="0"/>
    <n v="0"/>
  </r>
  <r>
    <x v="1"/>
    <x v="5"/>
    <x v="2"/>
    <x v="6"/>
    <x v="43"/>
    <x v="0"/>
    <x v="1"/>
    <n v="0"/>
  </r>
  <r>
    <x v="1"/>
    <x v="5"/>
    <x v="2"/>
    <x v="6"/>
    <x v="43"/>
    <x v="0"/>
    <x v="2"/>
    <n v="0"/>
  </r>
  <r>
    <x v="1"/>
    <x v="5"/>
    <x v="2"/>
    <x v="6"/>
    <x v="43"/>
    <x v="0"/>
    <x v="3"/>
    <n v="0"/>
  </r>
  <r>
    <x v="1"/>
    <x v="5"/>
    <x v="2"/>
    <x v="6"/>
    <x v="43"/>
    <x v="0"/>
    <x v="4"/>
    <n v="0"/>
  </r>
  <r>
    <x v="1"/>
    <x v="5"/>
    <x v="2"/>
    <x v="6"/>
    <x v="43"/>
    <x v="0"/>
    <x v="5"/>
    <n v="0"/>
  </r>
  <r>
    <x v="1"/>
    <x v="5"/>
    <x v="2"/>
    <x v="6"/>
    <x v="43"/>
    <x v="0"/>
    <x v="6"/>
    <n v="0"/>
  </r>
  <r>
    <x v="1"/>
    <x v="5"/>
    <x v="4"/>
    <x v="7"/>
    <x v="44"/>
    <x v="0"/>
    <x v="0"/>
    <n v="0"/>
  </r>
  <r>
    <x v="1"/>
    <x v="5"/>
    <x v="4"/>
    <x v="7"/>
    <x v="44"/>
    <x v="0"/>
    <x v="1"/>
    <n v="0"/>
  </r>
  <r>
    <x v="1"/>
    <x v="5"/>
    <x v="4"/>
    <x v="7"/>
    <x v="44"/>
    <x v="0"/>
    <x v="2"/>
    <n v="0"/>
  </r>
  <r>
    <x v="1"/>
    <x v="5"/>
    <x v="4"/>
    <x v="7"/>
    <x v="44"/>
    <x v="0"/>
    <x v="3"/>
    <n v="0"/>
  </r>
  <r>
    <x v="1"/>
    <x v="5"/>
    <x v="4"/>
    <x v="7"/>
    <x v="44"/>
    <x v="0"/>
    <x v="4"/>
    <n v="0"/>
  </r>
  <r>
    <x v="1"/>
    <x v="5"/>
    <x v="4"/>
    <x v="7"/>
    <x v="44"/>
    <x v="0"/>
    <x v="5"/>
    <n v="0"/>
  </r>
  <r>
    <x v="1"/>
    <x v="5"/>
    <x v="4"/>
    <x v="7"/>
    <x v="44"/>
    <x v="0"/>
    <x v="6"/>
    <n v="0"/>
  </r>
  <r>
    <x v="1"/>
    <x v="5"/>
    <x v="4"/>
    <x v="7"/>
    <x v="45"/>
    <x v="0"/>
    <x v="0"/>
    <n v="0"/>
  </r>
  <r>
    <x v="1"/>
    <x v="5"/>
    <x v="4"/>
    <x v="7"/>
    <x v="45"/>
    <x v="0"/>
    <x v="1"/>
    <n v="0"/>
  </r>
  <r>
    <x v="1"/>
    <x v="5"/>
    <x v="4"/>
    <x v="7"/>
    <x v="45"/>
    <x v="0"/>
    <x v="2"/>
    <n v="0"/>
  </r>
  <r>
    <x v="1"/>
    <x v="5"/>
    <x v="4"/>
    <x v="7"/>
    <x v="45"/>
    <x v="0"/>
    <x v="3"/>
    <n v="0"/>
  </r>
  <r>
    <x v="1"/>
    <x v="5"/>
    <x v="4"/>
    <x v="7"/>
    <x v="45"/>
    <x v="0"/>
    <x v="4"/>
    <n v="0"/>
  </r>
  <r>
    <x v="1"/>
    <x v="5"/>
    <x v="4"/>
    <x v="7"/>
    <x v="45"/>
    <x v="0"/>
    <x v="5"/>
    <n v="0"/>
  </r>
  <r>
    <x v="1"/>
    <x v="5"/>
    <x v="4"/>
    <x v="7"/>
    <x v="45"/>
    <x v="0"/>
    <x v="6"/>
    <n v="0"/>
  </r>
  <r>
    <x v="1"/>
    <x v="5"/>
    <x v="4"/>
    <x v="7"/>
    <x v="46"/>
    <x v="0"/>
    <x v="0"/>
    <n v="0"/>
  </r>
  <r>
    <x v="1"/>
    <x v="5"/>
    <x v="4"/>
    <x v="7"/>
    <x v="46"/>
    <x v="0"/>
    <x v="1"/>
    <n v="0"/>
  </r>
  <r>
    <x v="1"/>
    <x v="5"/>
    <x v="4"/>
    <x v="7"/>
    <x v="46"/>
    <x v="0"/>
    <x v="2"/>
    <n v="0"/>
  </r>
  <r>
    <x v="1"/>
    <x v="5"/>
    <x v="4"/>
    <x v="7"/>
    <x v="46"/>
    <x v="0"/>
    <x v="3"/>
    <n v="0"/>
  </r>
  <r>
    <x v="1"/>
    <x v="5"/>
    <x v="4"/>
    <x v="7"/>
    <x v="46"/>
    <x v="0"/>
    <x v="4"/>
    <n v="0"/>
  </r>
  <r>
    <x v="1"/>
    <x v="5"/>
    <x v="4"/>
    <x v="7"/>
    <x v="46"/>
    <x v="0"/>
    <x v="5"/>
    <n v="0"/>
  </r>
  <r>
    <x v="1"/>
    <x v="5"/>
    <x v="4"/>
    <x v="7"/>
    <x v="46"/>
    <x v="0"/>
    <x v="6"/>
    <n v="0"/>
  </r>
  <r>
    <x v="1"/>
    <x v="5"/>
    <x v="4"/>
    <x v="7"/>
    <x v="47"/>
    <x v="0"/>
    <x v="0"/>
    <n v="0"/>
  </r>
  <r>
    <x v="1"/>
    <x v="5"/>
    <x v="4"/>
    <x v="7"/>
    <x v="47"/>
    <x v="0"/>
    <x v="1"/>
    <n v="0"/>
  </r>
  <r>
    <x v="1"/>
    <x v="5"/>
    <x v="4"/>
    <x v="7"/>
    <x v="47"/>
    <x v="0"/>
    <x v="2"/>
    <n v="0"/>
  </r>
  <r>
    <x v="1"/>
    <x v="5"/>
    <x v="4"/>
    <x v="7"/>
    <x v="47"/>
    <x v="0"/>
    <x v="3"/>
    <n v="0"/>
  </r>
  <r>
    <x v="1"/>
    <x v="5"/>
    <x v="4"/>
    <x v="7"/>
    <x v="47"/>
    <x v="0"/>
    <x v="4"/>
    <n v="0"/>
  </r>
  <r>
    <x v="1"/>
    <x v="5"/>
    <x v="4"/>
    <x v="7"/>
    <x v="47"/>
    <x v="0"/>
    <x v="5"/>
    <n v="0"/>
  </r>
  <r>
    <x v="1"/>
    <x v="5"/>
    <x v="4"/>
    <x v="7"/>
    <x v="47"/>
    <x v="0"/>
    <x v="6"/>
    <n v="0"/>
  </r>
  <r>
    <x v="1"/>
    <x v="5"/>
    <x v="4"/>
    <x v="7"/>
    <x v="48"/>
    <x v="0"/>
    <x v="0"/>
    <n v="0"/>
  </r>
  <r>
    <x v="1"/>
    <x v="5"/>
    <x v="4"/>
    <x v="7"/>
    <x v="48"/>
    <x v="0"/>
    <x v="1"/>
    <n v="0"/>
  </r>
  <r>
    <x v="1"/>
    <x v="5"/>
    <x v="4"/>
    <x v="7"/>
    <x v="48"/>
    <x v="0"/>
    <x v="2"/>
    <n v="0"/>
  </r>
  <r>
    <x v="1"/>
    <x v="5"/>
    <x v="4"/>
    <x v="7"/>
    <x v="48"/>
    <x v="0"/>
    <x v="3"/>
    <n v="0"/>
  </r>
  <r>
    <x v="1"/>
    <x v="5"/>
    <x v="4"/>
    <x v="7"/>
    <x v="48"/>
    <x v="0"/>
    <x v="4"/>
    <n v="0"/>
  </r>
  <r>
    <x v="1"/>
    <x v="5"/>
    <x v="4"/>
    <x v="7"/>
    <x v="48"/>
    <x v="0"/>
    <x v="5"/>
    <n v="0"/>
  </r>
  <r>
    <x v="1"/>
    <x v="5"/>
    <x v="4"/>
    <x v="7"/>
    <x v="48"/>
    <x v="0"/>
    <x v="6"/>
    <n v="0"/>
  </r>
  <r>
    <x v="1"/>
    <x v="5"/>
    <x v="4"/>
    <x v="7"/>
    <x v="49"/>
    <x v="0"/>
    <x v="0"/>
    <n v="0"/>
  </r>
  <r>
    <x v="1"/>
    <x v="5"/>
    <x v="4"/>
    <x v="7"/>
    <x v="49"/>
    <x v="0"/>
    <x v="1"/>
    <n v="0"/>
  </r>
  <r>
    <x v="1"/>
    <x v="5"/>
    <x v="4"/>
    <x v="7"/>
    <x v="49"/>
    <x v="0"/>
    <x v="2"/>
    <n v="0"/>
  </r>
  <r>
    <x v="1"/>
    <x v="5"/>
    <x v="4"/>
    <x v="7"/>
    <x v="49"/>
    <x v="0"/>
    <x v="3"/>
    <n v="0"/>
  </r>
  <r>
    <x v="1"/>
    <x v="5"/>
    <x v="4"/>
    <x v="7"/>
    <x v="49"/>
    <x v="0"/>
    <x v="4"/>
    <n v="0"/>
  </r>
  <r>
    <x v="1"/>
    <x v="5"/>
    <x v="4"/>
    <x v="7"/>
    <x v="49"/>
    <x v="0"/>
    <x v="5"/>
    <n v="0"/>
  </r>
  <r>
    <x v="1"/>
    <x v="5"/>
    <x v="4"/>
    <x v="7"/>
    <x v="49"/>
    <x v="0"/>
    <x v="6"/>
    <n v="0"/>
  </r>
  <r>
    <x v="1"/>
    <x v="5"/>
    <x v="4"/>
    <x v="7"/>
    <x v="50"/>
    <x v="0"/>
    <x v="0"/>
    <n v="0"/>
  </r>
  <r>
    <x v="1"/>
    <x v="5"/>
    <x v="4"/>
    <x v="7"/>
    <x v="50"/>
    <x v="0"/>
    <x v="1"/>
    <n v="0"/>
  </r>
  <r>
    <x v="1"/>
    <x v="5"/>
    <x v="4"/>
    <x v="7"/>
    <x v="50"/>
    <x v="0"/>
    <x v="2"/>
    <n v="0"/>
  </r>
  <r>
    <x v="1"/>
    <x v="5"/>
    <x v="4"/>
    <x v="7"/>
    <x v="50"/>
    <x v="0"/>
    <x v="3"/>
    <n v="0"/>
  </r>
  <r>
    <x v="1"/>
    <x v="5"/>
    <x v="4"/>
    <x v="7"/>
    <x v="50"/>
    <x v="0"/>
    <x v="4"/>
    <n v="0"/>
  </r>
  <r>
    <x v="1"/>
    <x v="5"/>
    <x v="4"/>
    <x v="7"/>
    <x v="50"/>
    <x v="0"/>
    <x v="5"/>
    <n v="0"/>
  </r>
  <r>
    <x v="1"/>
    <x v="5"/>
    <x v="4"/>
    <x v="7"/>
    <x v="50"/>
    <x v="0"/>
    <x v="6"/>
    <n v="0"/>
  </r>
  <r>
    <x v="1"/>
    <x v="5"/>
    <x v="5"/>
    <x v="8"/>
    <x v="51"/>
    <x v="0"/>
    <x v="0"/>
    <n v="0"/>
  </r>
  <r>
    <x v="1"/>
    <x v="5"/>
    <x v="5"/>
    <x v="8"/>
    <x v="51"/>
    <x v="0"/>
    <x v="1"/>
    <n v="0"/>
  </r>
  <r>
    <x v="1"/>
    <x v="5"/>
    <x v="5"/>
    <x v="8"/>
    <x v="51"/>
    <x v="0"/>
    <x v="2"/>
    <n v="0"/>
  </r>
  <r>
    <x v="1"/>
    <x v="5"/>
    <x v="5"/>
    <x v="8"/>
    <x v="51"/>
    <x v="0"/>
    <x v="3"/>
    <n v="0"/>
  </r>
  <r>
    <x v="1"/>
    <x v="5"/>
    <x v="5"/>
    <x v="8"/>
    <x v="51"/>
    <x v="0"/>
    <x v="4"/>
    <n v="0"/>
  </r>
  <r>
    <x v="1"/>
    <x v="5"/>
    <x v="5"/>
    <x v="8"/>
    <x v="51"/>
    <x v="0"/>
    <x v="5"/>
    <n v="0"/>
  </r>
  <r>
    <x v="1"/>
    <x v="5"/>
    <x v="5"/>
    <x v="8"/>
    <x v="51"/>
    <x v="0"/>
    <x v="6"/>
    <n v="0"/>
  </r>
  <r>
    <x v="1"/>
    <x v="5"/>
    <x v="3"/>
    <x v="5"/>
    <x v="52"/>
    <x v="0"/>
    <x v="0"/>
    <n v="0"/>
  </r>
  <r>
    <x v="1"/>
    <x v="5"/>
    <x v="3"/>
    <x v="5"/>
    <x v="52"/>
    <x v="0"/>
    <x v="1"/>
    <n v="0"/>
  </r>
  <r>
    <x v="1"/>
    <x v="5"/>
    <x v="3"/>
    <x v="5"/>
    <x v="52"/>
    <x v="0"/>
    <x v="2"/>
    <n v="0"/>
  </r>
  <r>
    <x v="1"/>
    <x v="5"/>
    <x v="3"/>
    <x v="5"/>
    <x v="52"/>
    <x v="0"/>
    <x v="3"/>
    <n v="0"/>
  </r>
  <r>
    <x v="1"/>
    <x v="5"/>
    <x v="3"/>
    <x v="5"/>
    <x v="52"/>
    <x v="0"/>
    <x v="4"/>
    <n v="0"/>
  </r>
  <r>
    <x v="1"/>
    <x v="5"/>
    <x v="3"/>
    <x v="5"/>
    <x v="52"/>
    <x v="0"/>
    <x v="5"/>
    <n v="0"/>
  </r>
  <r>
    <x v="1"/>
    <x v="5"/>
    <x v="3"/>
    <x v="5"/>
    <x v="52"/>
    <x v="0"/>
    <x v="6"/>
    <n v="0"/>
  </r>
  <r>
    <x v="1"/>
    <x v="5"/>
    <x v="5"/>
    <x v="8"/>
    <x v="53"/>
    <x v="0"/>
    <x v="0"/>
    <n v="0"/>
  </r>
  <r>
    <x v="1"/>
    <x v="5"/>
    <x v="5"/>
    <x v="8"/>
    <x v="53"/>
    <x v="0"/>
    <x v="1"/>
    <n v="0"/>
  </r>
  <r>
    <x v="1"/>
    <x v="5"/>
    <x v="5"/>
    <x v="8"/>
    <x v="53"/>
    <x v="0"/>
    <x v="2"/>
    <n v="0"/>
  </r>
  <r>
    <x v="1"/>
    <x v="5"/>
    <x v="5"/>
    <x v="8"/>
    <x v="53"/>
    <x v="0"/>
    <x v="3"/>
    <n v="0"/>
  </r>
  <r>
    <x v="1"/>
    <x v="5"/>
    <x v="5"/>
    <x v="8"/>
    <x v="53"/>
    <x v="0"/>
    <x v="4"/>
    <n v="0"/>
  </r>
  <r>
    <x v="1"/>
    <x v="5"/>
    <x v="5"/>
    <x v="8"/>
    <x v="53"/>
    <x v="0"/>
    <x v="5"/>
    <n v="0"/>
  </r>
  <r>
    <x v="1"/>
    <x v="5"/>
    <x v="5"/>
    <x v="8"/>
    <x v="53"/>
    <x v="0"/>
    <x v="6"/>
    <n v="0"/>
  </r>
  <r>
    <x v="1"/>
    <x v="5"/>
    <x v="4"/>
    <x v="7"/>
    <x v="54"/>
    <x v="0"/>
    <x v="0"/>
    <n v="0"/>
  </r>
  <r>
    <x v="1"/>
    <x v="5"/>
    <x v="4"/>
    <x v="7"/>
    <x v="54"/>
    <x v="0"/>
    <x v="1"/>
    <n v="0"/>
  </r>
  <r>
    <x v="1"/>
    <x v="5"/>
    <x v="4"/>
    <x v="7"/>
    <x v="54"/>
    <x v="0"/>
    <x v="2"/>
    <n v="0"/>
  </r>
  <r>
    <x v="1"/>
    <x v="5"/>
    <x v="4"/>
    <x v="7"/>
    <x v="54"/>
    <x v="0"/>
    <x v="3"/>
    <n v="0"/>
  </r>
  <r>
    <x v="1"/>
    <x v="5"/>
    <x v="4"/>
    <x v="7"/>
    <x v="54"/>
    <x v="0"/>
    <x v="4"/>
    <n v="0"/>
  </r>
  <r>
    <x v="1"/>
    <x v="5"/>
    <x v="4"/>
    <x v="7"/>
    <x v="54"/>
    <x v="0"/>
    <x v="5"/>
    <n v="0"/>
  </r>
  <r>
    <x v="1"/>
    <x v="5"/>
    <x v="4"/>
    <x v="7"/>
    <x v="54"/>
    <x v="0"/>
    <x v="6"/>
    <n v="0"/>
  </r>
  <r>
    <x v="1"/>
    <x v="5"/>
    <x v="4"/>
    <x v="7"/>
    <x v="55"/>
    <x v="0"/>
    <x v="0"/>
    <n v="0"/>
  </r>
  <r>
    <x v="1"/>
    <x v="5"/>
    <x v="4"/>
    <x v="7"/>
    <x v="55"/>
    <x v="0"/>
    <x v="1"/>
    <n v="0"/>
  </r>
  <r>
    <x v="1"/>
    <x v="5"/>
    <x v="4"/>
    <x v="7"/>
    <x v="55"/>
    <x v="0"/>
    <x v="2"/>
    <n v="0"/>
  </r>
  <r>
    <x v="1"/>
    <x v="5"/>
    <x v="4"/>
    <x v="7"/>
    <x v="55"/>
    <x v="0"/>
    <x v="3"/>
    <n v="0"/>
  </r>
  <r>
    <x v="1"/>
    <x v="5"/>
    <x v="4"/>
    <x v="7"/>
    <x v="55"/>
    <x v="0"/>
    <x v="4"/>
    <n v="0"/>
  </r>
  <r>
    <x v="1"/>
    <x v="5"/>
    <x v="4"/>
    <x v="7"/>
    <x v="55"/>
    <x v="0"/>
    <x v="5"/>
    <n v="0"/>
  </r>
  <r>
    <x v="1"/>
    <x v="5"/>
    <x v="4"/>
    <x v="7"/>
    <x v="55"/>
    <x v="0"/>
    <x v="6"/>
    <n v="0"/>
  </r>
  <r>
    <x v="1"/>
    <x v="5"/>
    <x v="4"/>
    <x v="7"/>
    <x v="56"/>
    <x v="0"/>
    <x v="0"/>
    <n v="0"/>
  </r>
  <r>
    <x v="1"/>
    <x v="5"/>
    <x v="4"/>
    <x v="7"/>
    <x v="56"/>
    <x v="0"/>
    <x v="1"/>
    <n v="0"/>
  </r>
  <r>
    <x v="1"/>
    <x v="5"/>
    <x v="4"/>
    <x v="7"/>
    <x v="56"/>
    <x v="0"/>
    <x v="2"/>
    <n v="0"/>
  </r>
  <r>
    <x v="1"/>
    <x v="5"/>
    <x v="4"/>
    <x v="7"/>
    <x v="56"/>
    <x v="0"/>
    <x v="3"/>
    <n v="0"/>
  </r>
  <r>
    <x v="1"/>
    <x v="5"/>
    <x v="4"/>
    <x v="7"/>
    <x v="56"/>
    <x v="0"/>
    <x v="4"/>
    <n v="0"/>
  </r>
  <r>
    <x v="1"/>
    <x v="5"/>
    <x v="4"/>
    <x v="7"/>
    <x v="56"/>
    <x v="0"/>
    <x v="5"/>
    <n v="0"/>
  </r>
  <r>
    <x v="1"/>
    <x v="5"/>
    <x v="4"/>
    <x v="7"/>
    <x v="56"/>
    <x v="0"/>
    <x v="6"/>
    <n v="0"/>
  </r>
  <r>
    <x v="1"/>
    <x v="5"/>
    <x v="4"/>
    <x v="7"/>
    <x v="57"/>
    <x v="0"/>
    <x v="0"/>
    <n v="0"/>
  </r>
  <r>
    <x v="1"/>
    <x v="5"/>
    <x v="4"/>
    <x v="7"/>
    <x v="57"/>
    <x v="0"/>
    <x v="1"/>
    <n v="0"/>
  </r>
  <r>
    <x v="1"/>
    <x v="5"/>
    <x v="4"/>
    <x v="7"/>
    <x v="57"/>
    <x v="0"/>
    <x v="2"/>
    <n v="0"/>
  </r>
  <r>
    <x v="1"/>
    <x v="5"/>
    <x v="4"/>
    <x v="7"/>
    <x v="57"/>
    <x v="0"/>
    <x v="3"/>
    <n v="0"/>
  </r>
  <r>
    <x v="1"/>
    <x v="5"/>
    <x v="4"/>
    <x v="7"/>
    <x v="57"/>
    <x v="0"/>
    <x v="4"/>
    <n v="0"/>
  </r>
  <r>
    <x v="1"/>
    <x v="5"/>
    <x v="4"/>
    <x v="7"/>
    <x v="57"/>
    <x v="0"/>
    <x v="5"/>
    <n v="0"/>
  </r>
  <r>
    <x v="1"/>
    <x v="5"/>
    <x v="4"/>
    <x v="7"/>
    <x v="57"/>
    <x v="0"/>
    <x v="6"/>
    <n v="0"/>
  </r>
  <r>
    <x v="1"/>
    <x v="5"/>
    <x v="4"/>
    <x v="7"/>
    <x v="58"/>
    <x v="0"/>
    <x v="0"/>
    <n v="0"/>
  </r>
  <r>
    <x v="1"/>
    <x v="5"/>
    <x v="4"/>
    <x v="7"/>
    <x v="58"/>
    <x v="0"/>
    <x v="1"/>
    <n v="0"/>
  </r>
  <r>
    <x v="1"/>
    <x v="5"/>
    <x v="4"/>
    <x v="7"/>
    <x v="58"/>
    <x v="0"/>
    <x v="2"/>
    <n v="0"/>
  </r>
  <r>
    <x v="1"/>
    <x v="5"/>
    <x v="4"/>
    <x v="7"/>
    <x v="58"/>
    <x v="0"/>
    <x v="3"/>
    <n v="0"/>
  </r>
  <r>
    <x v="1"/>
    <x v="5"/>
    <x v="4"/>
    <x v="7"/>
    <x v="58"/>
    <x v="0"/>
    <x v="4"/>
    <n v="0"/>
  </r>
  <r>
    <x v="1"/>
    <x v="5"/>
    <x v="4"/>
    <x v="7"/>
    <x v="58"/>
    <x v="0"/>
    <x v="5"/>
    <n v="0"/>
  </r>
  <r>
    <x v="1"/>
    <x v="5"/>
    <x v="4"/>
    <x v="7"/>
    <x v="58"/>
    <x v="0"/>
    <x v="6"/>
    <n v="0"/>
  </r>
  <r>
    <x v="1"/>
    <x v="5"/>
    <x v="4"/>
    <x v="7"/>
    <x v="59"/>
    <x v="0"/>
    <x v="0"/>
    <n v="0"/>
  </r>
  <r>
    <x v="1"/>
    <x v="5"/>
    <x v="4"/>
    <x v="7"/>
    <x v="59"/>
    <x v="0"/>
    <x v="1"/>
    <n v="0"/>
  </r>
  <r>
    <x v="1"/>
    <x v="5"/>
    <x v="4"/>
    <x v="7"/>
    <x v="59"/>
    <x v="0"/>
    <x v="2"/>
    <n v="0"/>
  </r>
  <r>
    <x v="1"/>
    <x v="5"/>
    <x v="4"/>
    <x v="7"/>
    <x v="59"/>
    <x v="0"/>
    <x v="3"/>
    <n v="0"/>
  </r>
  <r>
    <x v="1"/>
    <x v="5"/>
    <x v="4"/>
    <x v="7"/>
    <x v="59"/>
    <x v="0"/>
    <x v="4"/>
    <n v="0"/>
  </r>
  <r>
    <x v="1"/>
    <x v="5"/>
    <x v="4"/>
    <x v="7"/>
    <x v="59"/>
    <x v="0"/>
    <x v="5"/>
    <n v="0"/>
  </r>
  <r>
    <x v="1"/>
    <x v="5"/>
    <x v="4"/>
    <x v="7"/>
    <x v="59"/>
    <x v="0"/>
    <x v="6"/>
    <n v="0"/>
  </r>
  <r>
    <x v="1"/>
    <x v="5"/>
    <x v="4"/>
    <x v="7"/>
    <x v="60"/>
    <x v="0"/>
    <x v="0"/>
    <n v="0"/>
  </r>
  <r>
    <x v="1"/>
    <x v="5"/>
    <x v="4"/>
    <x v="7"/>
    <x v="60"/>
    <x v="0"/>
    <x v="1"/>
    <n v="0"/>
  </r>
  <r>
    <x v="1"/>
    <x v="5"/>
    <x v="4"/>
    <x v="7"/>
    <x v="60"/>
    <x v="0"/>
    <x v="2"/>
    <n v="0"/>
  </r>
  <r>
    <x v="1"/>
    <x v="5"/>
    <x v="4"/>
    <x v="7"/>
    <x v="60"/>
    <x v="0"/>
    <x v="3"/>
    <n v="0"/>
  </r>
  <r>
    <x v="1"/>
    <x v="5"/>
    <x v="4"/>
    <x v="7"/>
    <x v="60"/>
    <x v="0"/>
    <x v="4"/>
    <n v="0"/>
  </r>
  <r>
    <x v="1"/>
    <x v="5"/>
    <x v="4"/>
    <x v="7"/>
    <x v="60"/>
    <x v="0"/>
    <x v="5"/>
    <n v="0"/>
  </r>
  <r>
    <x v="1"/>
    <x v="5"/>
    <x v="4"/>
    <x v="7"/>
    <x v="60"/>
    <x v="0"/>
    <x v="6"/>
    <n v="0"/>
  </r>
  <r>
    <x v="1"/>
    <x v="5"/>
    <x v="4"/>
    <x v="7"/>
    <x v="61"/>
    <x v="0"/>
    <x v="0"/>
    <n v="0"/>
  </r>
  <r>
    <x v="1"/>
    <x v="5"/>
    <x v="4"/>
    <x v="7"/>
    <x v="61"/>
    <x v="0"/>
    <x v="1"/>
    <n v="0"/>
  </r>
  <r>
    <x v="1"/>
    <x v="5"/>
    <x v="4"/>
    <x v="7"/>
    <x v="61"/>
    <x v="0"/>
    <x v="2"/>
    <n v="0"/>
  </r>
  <r>
    <x v="1"/>
    <x v="5"/>
    <x v="4"/>
    <x v="7"/>
    <x v="61"/>
    <x v="0"/>
    <x v="3"/>
    <n v="0"/>
  </r>
  <r>
    <x v="1"/>
    <x v="5"/>
    <x v="4"/>
    <x v="7"/>
    <x v="61"/>
    <x v="0"/>
    <x v="4"/>
    <n v="0"/>
  </r>
  <r>
    <x v="1"/>
    <x v="5"/>
    <x v="4"/>
    <x v="7"/>
    <x v="61"/>
    <x v="0"/>
    <x v="5"/>
    <n v="0"/>
  </r>
  <r>
    <x v="1"/>
    <x v="5"/>
    <x v="4"/>
    <x v="7"/>
    <x v="61"/>
    <x v="0"/>
    <x v="6"/>
    <n v="0"/>
  </r>
  <r>
    <x v="1"/>
    <x v="5"/>
    <x v="4"/>
    <x v="7"/>
    <x v="62"/>
    <x v="0"/>
    <x v="0"/>
    <n v="0"/>
  </r>
  <r>
    <x v="1"/>
    <x v="5"/>
    <x v="4"/>
    <x v="7"/>
    <x v="62"/>
    <x v="0"/>
    <x v="1"/>
    <n v="0"/>
  </r>
  <r>
    <x v="1"/>
    <x v="5"/>
    <x v="4"/>
    <x v="7"/>
    <x v="62"/>
    <x v="0"/>
    <x v="2"/>
    <n v="0"/>
  </r>
  <r>
    <x v="1"/>
    <x v="5"/>
    <x v="4"/>
    <x v="7"/>
    <x v="62"/>
    <x v="0"/>
    <x v="3"/>
    <n v="0"/>
  </r>
  <r>
    <x v="1"/>
    <x v="5"/>
    <x v="4"/>
    <x v="7"/>
    <x v="62"/>
    <x v="0"/>
    <x v="4"/>
    <n v="0"/>
  </r>
  <r>
    <x v="1"/>
    <x v="5"/>
    <x v="4"/>
    <x v="7"/>
    <x v="62"/>
    <x v="0"/>
    <x v="5"/>
    <n v="0"/>
  </r>
  <r>
    <x v="1"/>
    <x v="5"/>
    <x v="4"/>
    <x v="7"/>
    <x v="62"/>
    <x v="0"/>
    <x v="6"/>
    <n v="0"/>
  </r>
  <r>
    <x v="1"/>
    <x v="5"/>
    <x v="4"/>
    <x v="7"/>
    <x v="63"/>
    <x v="0"/>
    <x v="0"/>
    <n v="0"/>
  </r>
  <r>
    <x v="1"/>
    <x v="5"/>
    <x v="4"/>
    <x v="7"/>
    <x v="63"/>
    <x v="0"/>
    <x v="1"/>
    <n v="0"/>
  </r>
  <r>
    <x v="1"/>
    <x v="5"/>
    <x v="4"/>
    <x v="7"/>
    <x v="63"/>
    <x v="0"/>
    <x v="2"/>
    <n v="0"/>
  </r>
  <r>
    <x v="1"/>
    <x v="5"/>
    <x v="4"/>
    <x v="7"/>
    <x v="63"/>
    <x v="0"/>
    <x v="3"/>
    <n v="0"/>
  </r>
  <r>
    <x v="1"/>
    <x v="5"/>
    <x v="4"/>
    <x v="7"/>
    <x v="63"/>
    <x v="0"/>
    <x v="4"/>
    <n v="0"/>
  </r>
  <r>
    <x v="1"/>
    <x v="5"/>
    <x v="4"/>
    <x v="7"/>
    <x v="63"/>
    <x v="0"/>
    <x v="5"/>
    <n v="0"/>
  </r>
  <r>
    <x v="1"/>
    <x v="5"/>
    <x v="4"/>
    <x v="7"/>
    <x v="63"/>
    <x v="0"/>
    <x v="6"/>
    <n v="0"/>
  </r>
  <r>
    <x v="1"/>
    <x v="5"/>
    <x v="4"/>
    <x v="7"/>
    <x v="64"/>
    <x v="0"/>
    <x v="0"/>
    <n v="0"/>
  </r>
  <r>
    <x v="1"/>
    <x v="5"/>
    <x v="4"/>
    <x v="7"/>
    <x v="64"/>
    <x v="0"/>
    <x v="1"/>
    <n v="0"/>
  </r>
  <r>
    <x v="1"/>
    <x v="5"/>
    <x v="4"/>
    <x v="7"/>
    <x v="64"/>
    <x v="0"/>
    <x v="2"/>
    <n v="0"/>
  </r>
  <r>
    <x v="1"/>
    <x v="5"/>
    <x v="4"/>
    <x v="7"/>
    <x v="64"/>
    <x v="0"/>
    <x v="3"/>
    <n v="0"/>
  </r>
  <r>
    <x v="1"/>
    <x v="5"/>
    <x v="4"/>
    <x v="7"/>
    <x v="64"/>
    <x v="0"/>
    <x v="4"/>
    <n v="0"/>
  </r>
  <r>
    <x v="1"/>
    <x v="5"/>
    <x v="4"/>
    <x v="7"/>
    <x v="64"/>
    <x v="0"/>
    <x v="5"/>
    <n v="0"/>
  </r>
  <r>
    <x v="1"/>
    <x v="5"/>
    <x v="4"/>
    <x v="7"/>
    <x v="64"/>
    <x v="0"/>
    <x v="6"/>
    <n v="0"/>
  </r>
  <r>
    <x v="1"/>
    <x v="5"/>
    <x v="3"/>
    <x v="5"/>
    <x v="65"/>
    <x v="0"/>
    <x v="0"/>
    <n v="0"/>
  </r>
  <r>
    <x v="1"/>
    <x v="5"/>
    <x v="3"/>
    <x v="5"/>
    <x v="65"/>
    <x v="0"/>
    <x v="1"/>
    <n v="0"/>
  </r>
  <r>
    <x v="1"/>
    <x v="5"/>
    <x v="3"/>
    <x v="5"/>
    <x v="65"/>
    <x v="0"/>
    <x v="2"/>
    <n v="0"/>
  </r>
  <r>
    <x v="1"/>
    <x v="5"/>
    <x v="3"/>
    <x v="5"/>
    <x v="65"/>
    <x v="0"/>
    <x v="3"/>
    <n v="0"/>
  </r>
  <r>
    <x v="1"/>
    <x v="5"/>
    <x v="3"/>
    <x v="5"/>
    <x v="65"/>
    <x v="0"/>
    <x v="4"/>
    <n v="0"/>
  </r>
  <r>
    <x v="1"/>
    <x v="5"/>
    <x v="3"/>
    <x v="5"/>
    <x v="65"/>
    <x v="0"/>
    <x v="5"/>
    <n v="0"/>
  </r>
  <r>
    <x v="1"/>
    <x v="5"/>
    <x v="3"/>
    <x v="5"/>
    <x v="65"/>
    <x v="0"/>
    <x v="6"/>
    <n v="0"/>
  </r>
  <r>
    <x v="1"/>
    <x v="5"/>
    <x v="3"/>
    <x v="5"/>
    <x v="66"/>
    <x v="0"/>
    <x v="0"/>
    <n v="0"/>
  </r>
  <r>
    <x v="1"/>
    <x v="5"/>
    <x v="3"/>
    <x v="5"/>
    <x v="66"/>
    <x v="0"/>
    <x v="1"/>
    <n v="0"/>
  </r>
  <r>
    <x v="1"/>
    <x v="5"/>
    <x v="3"/>
    <x v="5"/>
    <x v="66"/>
    <x v="0"/>
    <x v="2"/>
    <n v="0"/>
  </r>
  <r>
    <x v="1"/>
    <x v="5"/>
    <x v="3"/>
    <x v="5"/>
    <x v="66"/>
    <x v="0"/>
    <x v="3"/>
    <n v="0"/>
  </r>
  <r>
    <x v="1"/>
    <x v="5"/>
    <x v="3"/>
    <x v="5"/>
    <x v="66"/>
    <x v="0"/>
    <x v="4"/>
    <n v="0"/>
  </r>
  <r>
    <x v="1"/>
    <x v="5"/>
    <x v="3"/>
    <x v="5"/>
    <x v="66"/>
    <x v="0"/>
    <x v="5"/>
    <n v="0"/>
  </r>
  <r>
    <x v="1"/>
    <x v="5"/>
    <x v="3"/>
    <x v="5"/>
    <x v="66"/>
    <x v="0"/>
    <x v="6"/>
    <n v="0"/>
  </r>
  <r>
    <x v="1"/>
    <x v="5"/>
    <x v="3"/>
    <x v="5"/>
    <x v="67"/>
    <x v="0"/>
    <x v="0"/>
    <n v="0"/>
  </r>
  <r>
    <x v="1"/>
    <x v="5"/>
    <x v="3"/>
    <x v="5"/>
    <x v="67"/>
    <x v="0"/>
    <x v="1"/>
    <n v="0"/>
  </r>
  <r>
    <x v="1"/>
    <x v="5"/>
    <x v="3"/>
    <x v="5"/>
    <x v="67"/>
    <x v="0"/>
    <x v="2"/>
    <n v="0"/>
  </r>
  <r>
    <x v="1"/>
    <x v="5"/>
    <x v="3"/>
    <x v="5"/>
    <x v="67"/>
    <x v="0"/>
    <x v="3"/>
    <n v="0"/>
  </r>
  <r>
    <x v="1"/>
    <x v="5"/>
    <x v="3"/>
    <x v="5"/>
    <x v="67"/>
    <x v="0"/>
    <x v="4"/>
    <n v="0"/>
  </r>
  <r>
    <x v="1"/>
    <x v="5"/>
    <x v="3"/>
    <x v="5"/>
    <x v="67"/>
    <x v="0"/>
    <x v="5"/>
    <n v="0"/>
  </r>
  <r>
    <x v="1"/>
    <x v="5"/>
    <x v="3"/>
    <x v="5"/>
    <x v="67"/>
    <x v="0"/>
    <x v="6"/>
    <n v="0"/>
  </r>
  <r>
    <x v="1"/>
    <x v="5"/>
    <x v="3"/>
    <x v="5"/>
    <x v="68"/>
    <x v="0"/>
    <x v="0"/>
    <n v="0"/>
  </r>
  <r>
    <x v="1"/>
    <x v="5"/>
    <x v="3"/>
    <x v="5"/>
    <x v="68"/>
    <x v="0"/>
    <x v="1"/>
    <n v="0"/>
  </r>
  <r>
    <x v="1"/>
    <x v="5"/>
    <x v="3"/>
    <x v="5"/>
    <x v="68"/>
    <x v="0"/>
    <x v="2"/>
    <n v="0"/>
  </r>
  <r>
    <x v="1"/>
    <x v="5"/>
    <x v="3"/>
    <x v="5"/>
    <x v="68"/>
    <x v="0"/>
    <x v="3"/>
    <n v="0"/>
  </r>
  <r>
    <x v="1"/>
    <x v="5"/>
    <x v="3"/>
    <x v="5"/>
    <x v="68"/>
    <x v="0"/>
    <x v="4"/>
    <n v="0"/>
  </r>
  <r>
    <x v="1"/>
    <x v="5"/>
    <x v="3"/>
    <x v="5"/>
    <x v="68"/>
    <x v="0"/>
    <x v="5"/>
    <n v="0"/>
  </r>
  <r>
    <x v="1"/>
    <x v="5"/>
    <x v="3"/>
    <x v="5"/>
    <x v="68"/>
    <x v="0"/>
    <x v="6"/>
    <n v="0"/>
  </r>
  <r>
    <x v="1"/>
    <x v="5"/>
    <x v="3"/>
    <x v="5"/>
    <x v="69"/>
    <x v="0"/>
    <x v="0"/>
    <n v="0"/>
  </r>
  <r>
    <x v="1"/>
    <x v="5"/>
    <x v="3"/>
    <x v="5"/>
    <x v="69"/>
    <x v="0"/>
    <x v="1"/>
    <n v="0"/>
  </r>
  <r>
    <x v="1"/>
    <x v="5"/>
    <x v="3"/>
    <x v="5"/>
    <x v="69"/>
    <x v="0"/>
    <x v="2"/>
    <n v="0"/>
  </r>
  <r>
    <x v="1"/>
    <x v="5"/>
    <x v="3"/>
    <x v="5"/>
    <x v="69"/>
    <x v="0"/>
    <x v="3"/>
    <n v="0"/>
  </r>
  <r>
    <x v="1"/>
    <x v="5"/>
    <x v="3"/>
    <x v="5"/>
    <x v="69"/>
    <x v="0"/>
    <x v="4"/>
    <n v="0"/>
  </r>
  <r>
    <x v="1"/>
    <x v="5"/>
    <x v="3"/>
    <x v="5"/>
    <x v="69"/>
    <x v="0"/>
    <x v="5"/>
    <n v="0"/>
  </r>
  <r>
    <x v="1"/>
    <x v="5"/>
    <x v="3"/>
    <x v="5"/>
    <x v="69"/>
    <x v="0"/>
    <x v="6"/>
    <n v="0"/>
  </r>
  <r>
    <x v="1"/>
    <x v="5"/>
    <x v="3"/>
    <x v="5"/>
    <x v="70"/>
    <x v="0"/>
    <x v="0"/>
    <n v="0"/>
  </r>
  <r>
    <x v="1"/>
    <x v="5"/>
    <x v="3"/>
    <x v="5"/>
    <x v="70"/>
    <x v="0"/>
    <x v="1"/>
    <n v="0"/>
  </r>
  <r>
    <x v="1"/>
    <x v="5"/>
    <x v="3"/>
    <x v="5"/>
    <x v="70"/>
    <x v="0"/>
    <x v="2"/>
    <n v="0"/>
  </r>
  <r>
    <x v="1"/>
    <x v="5"/>
    <x v="3"/>
    <x v="5"/>
    <x v="70"/>
    <x v="0"/>
    <x v="3"/>
    <n v="0"/>
  </r>
  <r>
    <x v="1"/>
    <x v="5"/>
    <x v="3"/>
    <x v="5"/>
    <x v="70"/>
    <x v="0"/>
    <x v="4"/>
    <n v="0"/>
  </r>
  <r>
    <x v="1"/>
    <x v="5"/>
    <x v="3"/>
    <x v="5"/>
    <x v="70"/>
    <x v="0"/>
    <x v="5"/>
    <n v="0"/>
  </r>
  <r>
    <x v="1"/>
    <x v="5"/>
    <x v="3"/>
    <x v="5"/>
    <x v="70"/>
    <x v="0"/>
    <x v="6"/>
    <n v="0"/>
  </r>
  <r>
    <x v="1"/>
    <x v="5"/>
    <x v="3"/>
    <x v="5"/>
    <x v="71"/>
    <x v="0"/>
    <x v="0"/>
    <n v="0"/>
  </r>
  <r>
    <x v="1"/>
    <x v="5"/>
    <x v="3"/>
    <x v="5"/>
    <x v="71"/>
    <x v="0"/>
    <x v="1"/>
    <n v="0"/>
  </r>
  <r>
    <x v="1"/>
    <x v="5"/>
    <x v="3"/>
    <x v="5"/>
    <x v="71"/>
    <x v="0"/>
    <x v="2"/>
    <n v="0"/>
  </r>
  <r>
    <x v="1"/>
    <x v="5"/>
    <x v="3"/>
    <x v="5"/>
    <x v="71"/>
    <x v="0"/>
    <x v="3"/>
    <n v="0"/>
  </r>
  <r>
    <x v="1"/>
    <x v="5"/>
    <x v="3"/>
    <x v="5"/>
    <x v="71"/>
    <x v="0"/>
    <x v="4"/>
    <n v="0"/>
  </r>
  <r>
    <x v="1"/>
    <x v="5"/>
    <x v="3"/>
    <x v="5"/>
    <x v="71"/>
    <x v="0"/>
    <x v="5"/>
    <n v="0"/>
  </r>
  <r>
    <x v="1"/>
    <x v="5"/>
    <x v="3"/>
    <x v="5"/>
    <x v="71"/>
    <x v="0"/>
    <x v="6"/>
    <n v="0"/>
  </r>
  <r>
    <x v="1"/>
    <x v="5"/>
    <x v="3"/>
    <x v="5"/>
    <x v="72"/>
    <x v="0"/>
    <x v="0"/>
    <n v="0"/>
  </r>
  <r>
    <x v="1"/>
    <x v="5"/>
    <x v="3"/>
    <x v="5"/>
    <x v="72"/>
    <x v="0"/>
    <x v="1"/>
    <n v="0"/>
  </r>
  <r>
    <x v="1"/>
    <x v="5"/>
    <x v="3"/>
    <x v="5"/>
    <x v="72"/>
    <x v="0"/>
    <x v="2"/>
    <n v="0"/>
  </r>
  <r>
    <x v="1"/>
    <x v="5"/>
    <x v="3"/>
    <x v="5"/>
    <x v="72"/>
    <x v="0"/>
    <x v="3"/>
    <n v="0"/>
  </r>
  <r>
    <x v="1"/>
    <x v="5"/>
    <x v="3"/>
    <x v="5"/>
    <x v="72"/>
    <x v="0"/>
    <x v="4"/>
    <n v="0"/>
  </r>
  <r>
    <x v="1"/>
    <x v="5"/>
    <x v="3"/>
    <x v="5"/>
    <x v="72"/>
    <x v="0"/>
    <x v="5"/>
    <n v="0"/>
  </r>
  <r>
    <x v="1"/>
    <x v="5"/>
    <x v="3"/>
    <x v="5"/>
    <x v="72"/>
    <x v="0"/>
    <x v="6"/>
    <n v="0"/>
  </r>
  <r>
    <x v="1"/>
    <x v="5"/>
    <x v="3"/>
    <x v="5"/>
    <x v="73"/>
    <x v="0"/>
    <x v="0"/>
    <n v="0"/>
  </r>
  <r>
    <x v="1"/>
    <x v="5"/>
    <x v="3"/>
    <x v="5"/>
    <x v="73"/>
    <x v="0"/>
    <x v="1"/>
    <n v="0"/>
  </r>
  <r>
    <x v="1"/>
    <x v="5"/>
    <x v="3"/>
    <x v="5"/>
    <x v="73"/>
    <x v="0"/>
    <x v="2"/>
    <n v="0"/>
  </r>
  <r>
    <x v="1"/>
    <x v="5"/>
    <x v="3"/>
    <x v="5"/>
    <x v="73"/>
    <x v="0"/>
    <x v="3"/>
    <n v="0"/>
  </r>
  <r>
    <x v="1"/>
    <x v="5"/>
    <x v="3"/>
    <x v="5"/>
    <x v="73"/>
    <x v="0"/>
    <x v="4"/>
    <n v="0"/>
  </r>
  <r>
    <x v="1"/>
    <x v="5"/>
    <x v="3"/>
    <x v="5"/>
    <x v="73"/>
    <x v="0"/>
    <x v="5"/>
    <n v="0"/>
  </r>
  <r>
    <x v="1"/>
    <x v="5"/>
    <x v="3"/>
    <x v="5"/>
    <x v="73"/>
    <x v="0"/>
    <x v="6"/>
    <n v="0"/>
  </r>
  <r>
    <x v="1"/>
    <x v="5"/>
    <x v="5"/>
    <x v="8"/>
    <x v="74"/>
    <x v="0"/>
    <x v="0"/>
    <n v="0"/>
  </r>
  <r>
    <x v="1"/>
    <x v="5"/>
    <x v="5"/>
    <x v="8"/>
    <x v="74"/>
    <x v="0"/>
    <x v="1"/>
    <n v="0"/>
  </r>
  <r>
    <x v="1"/>
    <x v="5"/>
    <x v="5"/>
    <x v="8"/>
    <x v="74"/>
    <x v="0"/>
    <x v="2"/>
    <n v="0"/>
  </r>
  <r>
    <x v="1"/>
    <x v="5"/>
    <x v="5"/>
    <x v="8"/>
    <x v="74"/>
    <x v="0"/>
    <x v="3"/>
    <n v="0"/>
  </r>
  <r>
    <x v="1"/>
    <x v="5"/>
    <x v="5"/>
    <x v="8"/>
    <x v="74"/>
    <x v="0"/>
    <x v="4"/>
    <n v="0"/>
  </r>
  <r>
    <x v="1"/>
    <x v="5"/>
    <x v="5"/>
    <x v="8"/>
    <x v="74"/>
    <x v="0"/>
    <x v="5"/>
    <n v="0"/>
  </r>
  <r>
    <x v="1"/>
    <x v="5"/>
    <x v="5"/>
    <x v="8"/>
    <x v="74"/>
    <x v="0"/>
    <x v="6"/>
    <n v="0"/>
  </r>
  <r>
    <x v="1"/>
    <x v="5"/>
    <x v="5"/>
    <x v="8"/>
    <x v="75"/>
    <x v="0"/>
    <x v="0"/>
    <n v="0"/>
  </r>
  <r>
    <x v="1"/>
    <x v="5"/>
    <x v="5"/>
    <x v="8"/>
    <x v="75"/>
    <x v="0"/>
    <x v="1"/>
    <n v="0"/>
  </r>
  <r>
    <x v="1"/>
    <x v="5"/>
    <x v="5"/>
    <x v="8"/>
    <x v="75"/>
    <x v="0"/>
    <x v="2"/>
    <n v="0"/>
  </r>
  <r>
    <x v="1"/>
    <x v="5"/>
    <x v="5"/>
    <x v="8"/>
    <x v="75"/>
    <x v="0"/>
    <x v="3"/>
    <n v="0"/>
  </r>
  <r>
    <x v="1"/>
    <x v="5"/>
    <x v="5"/>
    <x v="8"/>
    <x v="75"/>
    <x v="0"/>
    <x v="4"/>
    <n v="0"/>
  </r>
  <r>
    <x v="1"/>
    <x v="5"/>
    <x v="5"/>
    <x v="8"/>
    <x v="75"/>
    <x v="0"/>
    <x v="5"/>
    <n v="0"/>
  </r>
  <r>
    <x v="1"/>
    <x v="5"/>
    <x v="5"/>
    <x v="8"/>
    <x v="75"/>
    <x v="0"/>
    <x v="6"/>
    <n v="0"/>
  </r>
  <r>
    <x v="1"/>
    <x v="5"/>
    <x v="5"/>
    <x v="8"/>
    <x v="76"/>
    <x v="0"/>
    <x v="0"/>
    <n v="0"/>
  </r>
  <r>
    <x v="1"/>
    <x v="5"/>
    <x v="5"/>
    <x v="8"/>
    <x v="76"/>
    <x v="0"/>
    <x v="1"/>
    <n v="0"/>
  </r>
  <r>
    <x v="1"/>
    <x v="5"/>
    <x v="5"/>
    <x v="8"/>
    <x v="76"/>
    <x v="0"/>
    <x v="2"/>
    <n v="0"/>
  </r>
  <r>
    <x v="1"/>
    <x v="5"/>
    <x v="5"/>
    <x v="8"/>
    <x v="76"/>
    <x v="0"/>
    <x v="3"/>
    <n v="0"/>
  </r>
  <r>
    <x v="1"/>
    <x v="5"/>
    <x v="5"/>
    <x v="8"/>
    <x v="76"/>
    <x v="0"/>
    <x v="4"/>
    <n v="0"/>
  </r>
  <r>
    <x v="1"/>
    <x v="5"/>
    <x v="5"/>
    <x v="8"/>
    <x v="76"/>
    <x v="0"/>
    <x v="5"/>
    <n v="0"/>
  </r>
  <r>
    <x v="1"/>
    <x v="5"/>
    <x v="5"/>
    <x v="8"/>
    <x v="76"/>
    <x v="0"/>
    <x v="6"/>
    <n v="0"/>
  </r>
  <r>
    <x v="1"/>
    <x v="5"/>
    <x v="5"/>
    <x v="8"/>
    <x v="77"/>
    <x v="0"/>
    <x v="0"/>
    <n v="0"/>
  </r>
  <r>
    <x v="1"/>
    <x v="5"/>
    <x v="5"/>
    <x v="8"/>
    <x v="77"/>
    <x v="0"/>
    <x v="1"/>
    <n v="0"/>
  </r>
  <r>
    <x v="1"/>
    <x v="5"/>
    <x v="5"/>
    <x v="8"/>
    <x v="77"/>
    <x v="0"/>
    <x v="2"/>
    <n v="0"/>
  </r>
  <r>
    <x v="1"/>
    <x v="5"/>
    <x v="5"/>
    <x v="8"/>
    <x v="77"/>
    <x v="0"/>
    <x v="3"/>
    <n v="0"/>
  </r>
  <r>
    <x v="1"/>
    <x v="5"/>
    <x v="5"/>
    <x v="8"/>
    <x v="77"/>
    <x v="0"/>
    <x v="4"/>
    <n v="0"/>
  </r>
  <r>
    <x v="1"/>
    <x v="5"/>
    <x v="5"/>
    <x v="8"/>
    <x v="77"/>
    <x v="0"/>
    <x v="5"/>
    <n v="0"/>
  </r>
  <r>
    <x v="1"/>
    <x v="5"/>
    <x v="5"/>
    <x v="8"/>
    <x v="77"/>
    <x v="0"/>
    <x v="6"/>
    <n v="0"/>
  </r>
  <r>
    <x v="1"/>
    <x v="5"/>
    <x v="5"/>
    <x v="8"/>
    <x v="78"/>
    <x v="0"/>
    <x v="0"/>
    <n v="0"/>
  </r>
  <r>
    <x v="1"/>
    <x v="5"/>
    <x v="5"/>
    <x v="8"/>
    <x v="78"/>
    <x v="0"/>
    <x v="1"/>
    <n v="0"/>
  </r>
  <r>
    <x v="1"/>
    <x v="5"/>
    <x v="5"/>
    <x v="8"/>
    <x v="78"/>
    <x v="0"/>
    <x v="2"/>
    <n v="0"/>
  </r>
  <r>
    <x v="1"/>
    <x v="5"/>
    <x v="5"/>
    <x v="8"/>
    <x v="78"/>
    <x v="0"/>
    <x v="3"/>
    <n v="0"/>
  </r>
  <r>
    <x v="1"/>
    <x v="5"/>
    <x v="5"/>
    <x v="8"/>
    <x v="78"/>
    <x v="0"/>
    <x v="4"/>
    <n v="0"/>
  </r>
  <r>
    <x v="1"/>
    <x v="5"/>
    <x v="5"/>
    <x v="8"/>
    <x v="78"/>
    <x v="0"/>
    <x v="5"/>
    <n v="0"/>
  </r>
  <r>
    <x v="1"/>
    <x v="5"/>
    <x v="5"/>
    <x v="8"/>
    <x v="78"/>
    <x v="0"/>
    <x v="6"/>
    <n v="0"/>
  </r>
  <r>
    <x v="1"/>
    <x v="5"/>
    <x v="5"/>
    <x v="8"/>
    <x v="79"/>
    <x v="0"/>
    <x v="0"/>
    <n v="0"/>
  </r>
  <r>
    <x v="1"/>
    <x v="5"/>
    <x v="5"/>
    <x v="8"/>
    <x v="79"/>
    <x v="0"/>
    <x v="1"/>
    <n v="0"/>
  </r>
  <r>
    <x v="1"/>
    <x v="5"/>
    <x v="5"/>
    <x v="8"/>
    <x v="79"/>
    <x v="0"/>
    <x v="2"/>
    <n v="0"/>
  </r>
  <r>
    <x v="1"/>
    <x v="5"/>
    <x v="5"/>
    <x v="8"/>
    <x v="79"/>
    <x v="0"/>
    <x v="3"/>
    <n v="0"/>
  </r>
  <r>
    <x v="1"/>
    <x v="5"/>
    <x v="5"/>
    <x v="8"/>
    <x v="79"/>
    <x v="0"/>
    <x v="4"/>
    <n v="0"/>
  </r>
  <r>
    <x v="1"/>
    <x v="5"/>
    <x v="5"/>
    <x v="8"/>
    <x v="79"/>
    <x v="0"/>
    <x v="5"/>
    <n v="0"/>
  </r>
  <r>
    <x v="1"/>
    <x v="5"/>
    <x v="5"/>
    <x v="8"/>
    <x v="79"/>
    <x v="0"/>
    <x v="6"/>
    <n v="0"/>
  </r>
  <r>
    <x v="1"/>
    <x v="5"/>
    <x v="5"/>
    <x v="8"/>
    <x v="80"/>
    <x v="0"/>
    <x v="0"/>
    <n v="0"/>
  </r>
  <r>
    <x v="1"/>
    <x v="5"/>
    <x v="5"/>
    <x v="8"/>
    <x v="80"/>
    <x v="0"/>
    <x v="1"/>
    <n v="0"/>
  </r>
  <r>
    <x v="1"/>
    <x v="5"/>
    <x v="5"/>
    <x v="8"/>
    <x v="80"/>
    <x v="0"/>
    <x v="2"/>
    <n v="0"/>
  </r>
  <r>
    <x v="1"/>
    <x v="5"/>
    <x v="5"/>
    <x v="8"/>
    <x v="80"/>
    <x v="0"/>
    <x v="3"/>
    <n v="0"/>
  </r>
  <r>
    <x v="1"/>
    <x v="5"/>
    <x v="5"/>
    <x v="8"/>
    <x v="80"/>
    <x v="0"/>
    <x v="4"/>
    <n v="0"/>
  </r>
  <r>
    <x v="1"/>
    <x v="5"/>
    <x v="5"/>
    <x v="8"/>
    <x v="80"/>
    <x v="0"/>
    <x v="5"/>
    <n v="0"/>
  </r>
  <r>
    <x v="1"/>
    <x v="5"/>
    <x v="5"/>
    <x v="8"/>
    <x v="80"/>
    <x v="0"/>
    <x v="6"/>
    <n v="0"/>
  </r>
  <r>
    <x v="1"/>
    <x v="5"/>
    <x v="5"/>
    <x v="8"/>
    <x v="81"/>
    <x v="0"/>
    <x v="0"/>
    <n v="0"/>
  </r>
  <r>
    <x v="1"/>
    <x v="5"/>
    <x v="5"/>
    <x v="8"/>
    <x v="81"/>
    <x v="0"/>
    <x v="1"/>
    <n v="0"/>
  </r>
  <r>
    <x v="1"/>
    <x v="5"/>
    <x v="5"/>
    <x v="8"/>
    <x v="81"/>
    <x v="0"/>
    <x v="2"/>
    <n v="0"/>
  </r>
  <r>
    <x v="1"/>
    <x v="5"/>
    <x v="5"/>
    <x v="8"/>
    <x v="81"/>
    <x v="0"/>
    <x v="3"/>
    <n v="0"/>
  </r>
  <r>
    <x v="1"/>
    <x v="5"/>
    <x v="5"/>
    <x v="8"/>
    <x v="81"/>
    <x v="0"/>
    <x v="4"/>
    <n v="0"/>
  </r>
  <r>
    <x v="1"/>
    <x v="5"/>
    <x v="5"/>
    <x v="8"/>
    <x v="81"/>
    <x v="0"/>
    <x v="5"/>
    <n v="0"/>
  </r>
  <r>
    <x v="1"/>
    <x v="5"/>
    <x v="5"/>
    <x v="8"/>
    <x v="81"/>
    <x v="0"/>
    <x v="6"/>
    <n v="0"/>
  </r>
  <r>
    <x v="1"/>
    <x v="5"/>
    <x v="5"/>
    <x v="8"/>
    <x v="82"/>
    <x v="0"/>
    <x v="0"/>
    <n v="0"/>
  </r>
  <r>
    <x v="1"/>
    <x v="5"/>
    <x v="5"/>
    <x v="8"/>
    <x v="82"/>
    <x v="0"/>
    <x v="1"/>
    <n v="0"/>
  </r>
  <r>
    <x v="1"/>
    <x v="5"/>
    <x v="5"/>
    <x v="8"/>
    <x v="82"/>
    <x v="0"/>
    <x v="2"/>
    <n v="0"/>
  </r>
  <r>
    <x v="1"/>
    <x v="5"/>
    <x v="5"/>
    <x v="8"/>
    <x v="82"/>
    <x v="0"/>
    <x v="3"/>
    <n v="0"/>
  </r>
  <r>
    <x v="1"/>
    <x v="5"/>
    <x v="5"/>
    <x v="8"/>
    <x v="82"/>
    <x v="0"/>
    <x v="4"/>
    <n v="0"/>
  </r>
  <r>
    <x v="1"/>
    <x v="5"/>
    <x v="5"/>
    <x v="8"/>
    <x v="82"/>
    <x v="0"/>
    <x v="5"/>
    <n v="0"/>
  </r>
  <r>
    <x v="1"/>
    <x v="5"/>
    <x v="5"/>
    <x v="8"/>
    <x v="82"/>
    <x v="0"/>
    <x v="6"/>
    <n v="0"/>
  </r>
  <r>
    <x v="1"/>
    <x v="5"/>
    <x v="5"/>
    <x v="8"/>
    <x v="83"/>
    <x v="0"/>
    <x v="0"/>
    <n v="0"/>
  </r>
  <r>
    <x v="1"/>
    <x v="5"/>
    <x v="5"/>
    <x v="8"/>
    <x v="83"/>
    <x v="0"/>
    <x v="1"/>
    <n v="0"/>
  </r>
  <r>
    <x v="1"/>
    <x v="5"/>
    <x v="5"/>
    <x v="8"/>
    <x v="83"/>
    <x v="0"/>
    <x v="2"/>
    <n v="0"/>
  </r>
  <r>
    <x v="1"/>
    <x v="5"/>
    <x v="5"/>
    <x v="8"/>
    <x v="83"/>
    <x v="0"/>
    <x v="3"/>
    <n v="0"/>
  </r>
  <r>
    <x v="1"/>
    <x v="5"/>
    <x v="5"/>
    <x v="8"/>
    <x v="83"/>
    <x v="0"/>
    <x v="4"/>
    <n v="0"/>
  </r>
  <r>
    <x v="1"/>
    <x v="5"/>
    <x v="5"/>
    <x v="8"/>
    <x v="83"/>
    <x v="0"/>
    <x v="5"/>
    <n v="0"/>
  </r>
  <r>
    <x v="1"/>
    <x v="5"/>
    <x v="5"/>
    <x v="8"/>
    <x v="83"/>
    <x v="0"/>
    <x v="6"/>
    <n v="0"/>
  </r>
  <r>
    <x v="1"/>
    <x v="6"/>
    <x v="0"/>
    <x v="0"/>
    <x v="0"/>
    <x v="0"/>
    <x v="0"/>
    <n v="0"/>
  </r>
  <r>
    <x v="1"/>
    <x v="6"/>
    <x v="0"/>
    <x v="0"/>
    <x v="0"/>
    <x v="0"/>
    <x v="1"/>
    <n v="0"/>
  </r>
  <r>
    <x v="1"/>
    <x v="6"/>
    <x v="0"/>
    <x v="0"/>
    <x v="0"/>
    <x v="0"/>
    <x v="2"/>
    <n v="0"/>
  </r>
  <r>
    <x v="1"/>
    <x v="6"/>
    <x v="0"/>
    <x v="0"/>
    <x v="0"/>
    <x v="0"/>
    <x v="3"/>
    <n v="0"/>
  </r>
  <r>
    <x v="1"/>
    <x v="6"/>
    <x v="0"/>
    <x v="0"/>
    <x v="0"/>
    <x v="0"/>
    <x v="4"/>
    <n v="0"/>
  </r>
  <r>
    <x v="1"/>
    <x v="6"/>
    <x v="0"/>
    <x v="0"/>
    <x v="0"/>
    <x v="0"/>
    <x v="5"/>
    <n v="0"/>
  </r>
  <r>
    <x v="1"/>
    <x v="6"/>
    <x v="0"/>
    <x v="0"/>
    <x v="0"/>
    <x v="0"/>
    <x v="6"/>
    <n v="0"/>
  </r>
  <r>
    <x v="1"/>
    <x v="6"/>
    <x v="0"/>
    <x v="1"/>
    <x v="1"/>
    <x v="0"/>
    <x v="0"/>
    <n v="0"/>
  </r>
  <r>
    <x v="1"/>
    <x v="6"/>
    <x v="0"/>
    <x v="1"/>
    <x v="1"/>
    <x v="0"/>
    <x v="1"/>
    <n v="0"/>
  </r>
  <r>
    <x v="1"/>
    <x v="6"/>
    <x v="0"/>
    <x v="1"/>
    <x v="1"/>
    <x v="0"/>
    <x v="2"/>
    <n v="0"/>
  </r>
  <r>
    <x v="1"/>
    <x v="6"/>
    <x v="0"/>
    <x v="1"/>
    <x v="1"/>
    <x v="0"/>
    <x v="3"/>
    <n v="0"/>
  </r>
  <r>
    <x v="1"/>
    <x v="6"/>
    <x v="0"/>
    <x v="1"/>
    <x v="1"/>
    <x v="0"/>
    <x v="4"/>
    <n v="0"/>
  </r>
  <r>
    <x v="1"/>
    <x v="6"/>
    <x v="0"/>
    <x v="1"/>
    <x v="1"/>
    <x v="0"/>
    <x v="5"/>
    <n v="0"/>
  </r>
  <r>
    <x v="1"/>
    <x v="6"/>
    <x v="0"/>
    <x v="1"/>
    <x v="1"/>
    <x v="0"/>
    <x v="6"/>
    <n v="0"/>
  </r>
  <r>
    <x v="1"/>
    <x v="6"/>
    <x v="0"/>
    <x v="1"/>
    <x v="2"/>
    <x v="0"/>
    <x v="0"/>
    <n v="0"/>
  </r>
  <r>
    <x v="1"/>
    <x v="6"/>
    <x v="0"/>
    <x v="1"/>
    <x v="2"/>
    <x v="0"/>
    <x v="1"/>
    <n v="0"/>
  </r>
  <r>
    <x v="1"/>
    <x v="6"/>
    <x v="0"/>
    <x v="1"/>
    <x v="2"/>
    <x v="0"/>
    <x v="2"/>
    <n v="0"/>
  </r>
  <r>
    <x v="1"/>
    <x v="6"/>
    <x v="0"/>
    <x v="1"/>
    <x v="2"/>
    <x v="0"/>
    <x v="3"/>
    <n v="0"/>
  </r>
  <r>
    <x v="1"/>
    <x v="6"/>
    <x v="0"/>
    <x v="1"/>
    <x v="2"/>
    <x v="0"/>
    <x v="4"/>
    <n v="0"/>
  </r>
  <r>
    <x v="1"/>
    <x v="6"/>
    <x v="0"/>
    <x v="1"/>
    <x v="2"/>
    <x v="0"/>
    <x v="5"/>
    <n v="0"/>
  </r>
  <r>
    <x v="1"/>
    <x v="6"/>
    <x v="0"/>
    <x v="1"/>
    <x v="2"/>
    <x v="0"/>
    <x v="6"/>
    <n v="0"/>
  </r>
  <r>
    <x v="1"/>
    <x v="6"/>
    <x v="0"/>
    <x v="1"/>
    <x v="3"/>
    <x v="0"/>
    <x v="0"/>
    <n v="0"/>
  </r>
  <r>
    <x v="1"/>
    <x v="6"/>
    <x v="0"/>
    <x v="1"/>
    <x v="3"/>
    <x v="0"/>
    <x v="1"/>
    <n v="0"/>
  </r>
  <r>
    <x v="1"/>
    <x v="6"/>
    <x v="0"/>
    <x v="1"/>
    <x v="3"/>
    <x v="0"/>
    <x v="2"/>
    <n v="0"/>
  </r>
  <r>
    <x v="1"/>
    <x v="6"/>
    <x v="0"/>
    <x v="1"/>
    <x v="3"/>
    <x v="0"/>
    <x v="3"/>
    <n v="0"/>
  </r>
  <r>
    <x v="1"/>
    <x v="6"/>
    <x v="0"/>
    <x v="1"/>
    <x v="3"/>
    <x v="0"/>
    <x v="4"/>
    <n v="0"/>
  </r>
  <r>
    <x v="1"/>
    <x v="6"/>
    <x v="0"/>
    <x v="1"/>
    <x v="3"/>
    <x v="0"/>
    <x v="5"/>
    <n v="0"/>
  </r>
  <r>
    <x v="1"/>
    <x v="6"/>
    <x v="0"/>
    <x v="1"/>
    <x v="3"/>
    <x v="0"/>
    <x v="6"/>
    <n v="0"/>
  </r>
  <r>
    <x v="1"/>
    <x v="6"/>
    <x v="0"/>
    <x v="1"/>
    <x v="4"/>
    <x v="0"/>
    <x v="0"/>
    <n v="0"/>
  </r>
  <r>
    <x v="1"/>
    <x v="6"/>
    <x v="0"/>
    <x v="1"/>
    <x v="4"/>
    <x v="0"/>
    <x v="1"/>
    <n v="0"/>
  </r>
  <r>
    <x v="1"/>
    <x v="6"/>
    <x v="0"/>
    <x v="1"/>
    <x v="4"/>
    <x v="0"/>
    <x v="2"/>
    <n v="0"/>
  </r>
  <r>
    <x v="1"/>
    <x v="6"/>
    <x v="0"/>
    <x v="1"/>
    <x v="4"/>
    <x v="0"/>
    <x v="3"/>
    <n v="0"/>
  </r>
  <r>
    <x v="1"/>
    <x v="6"/>
    <x v="0"/>
    <x v="1"/>
    <x v="4"/>
    <x v="0"/>
    <x v="4"/>
    <n v="0"/>
  </r>
  <r>
    <x v="1"/>
    <x v="6"/>
    <x v="0"/>
    <x v="1"/>
    <x v="4"/>
    <x v="0"/>
    <x v="5"/>
    <n v="0"/>
  </r>
  <r>
    <x v="1"/>
    <x v="6"/>
    <x v="0"/>
    <x v="1"/>
    <x v="4"/>
    <x v="0"/>
    <x v="6"/>
    <n v="0"/>
  </r>
  <r>
    <x v="1"/>
    <x v="6"/>
    <x v="0"/>
    <x v="1"/>
    <x v="5"/>
    <x v="0"/>
    <x v="0"/>
    <n v="0"/>
  </r>
  <r>
    <x v="1"/>
    <x v="6"/>
    <x v="0"/>
    <x v="1"/>
    <x v="5"/>
    <x v="0"/>
    <x v="1"/>
    <n v="0"/>
  </r>
  <r>
    <x v="1"/>
    <x v="6"/>
    <x v="0"/>
    <x v="1"/>
    <x v="5"/>
    <x v="0"/>
    <x v="2"/>
    <n v="0"/>
  </r>
  <r>
    <x v="1"/>
    <x v="6"/>
    <x v="0"/>
    <x v="1"/>
    <x v="5"/>
    <x v="0"/>
    <x v="3"/>
    <n v="0"/>
  </r>
  <r>
    <x v="1"/>
    <x v="6"/>
    <x v="0"/>
    <x v="1"/>
    <x v="5"/>
    <x v="0"/>
    <x v="4"/>
    <n v="0"/>
  </r>
  <r>
    <x v="1"/>
    <x v="6"/>
    <x v="0"/>
    <x v="1"/>
    <x v="5"/>
    <x v="0"/>
    <x v="5"/>
    <n v="0"/>
  </r>
  <r>
    <x v="1"/>
    <x v="6"/>
    <x v="0"/>
    <x v="1"/>
    <x v="5"/>
    <x v="0"/>
    <x v="6"/>
    <n v="0"/>
  </r>
  <r>
    <x v="1"/>
    <x v="6"/>
    <x v="0"/>
    <x v="1"/>
    <x v="6"/>
    <x v="0"/>
    <x v="0"/>
    <n v="0"/>
  </r>
  <r>
    <x v="1"/>
    <x v="6"/>
    <x v="0"/>
    <x v="1"/>
    <x v="6"/>
    <x v="0"/>
    <x v="1"/>
    <n v="0"/>
  </r>
  <r>
    <x v="1"/>
    <x v="6"/>
    <x v="0"/>
    <x v="1"/>
    <x v="6"/>
    <x v="0"/>
    <x v="2"/>
    <n v="0"/>
  </r>
  <r>
    <x v="1"/>
    <x v="6"/>
    <x v="0"/>
    <x v="1"/>
    <x v="6"/>
    <x v="0"/>
    <x v="3"/>
    <n v="0"/>
  </r>
  <r>
    <x v="1"/>
    <x v="6"/>
    <x v="0"/>
    <x v="1"/>
    <x v="6"/>
    <x v="0"/>
    <x v="4"/>
    <n v="0"/>
  </r>
  <r>
    <x v="1"/>
    <x v="6"/>
    <x v="0"/>
    <x v="1"/>
    <x v="6"/>
    <x v="0"/>
    <x v="5"/>
    <n v="0"/>
  </r>
  <r>
    <x v="1"/>
    <x v="6"/>
    <x v="0"/>
    <x v="1"/>
    <x v="6"/>
    <x v="0"/>
    <x v="6"/>
    <n v="0"/>
  </r>
  <r>
    <x v="1"/>
    <x v="6"/>
    <x v="0"/>
    <x v="1"/>
    <x v="7"/>
    <x v="0"/>
    <x v="0"/>
    <n v="0"/>
  </r>
  <r>
    <x v="1"/>
    <x v="6"/>
    <x v="0"/>
    <x v="1"/>
    <x v="7"/>
    <x v="0"/>
    <x v="1"/>
    <n v="0"/>
  </r>
  <r>
    <x v="1"/>
    <x v="6"/>
    <x v="0"/>
    <x v="1"/>
    <x v="7"/>
    <x v="0"/>
    <x v="2"/>
    <n v="0"/>
  </r>
  <r>
    <x v="1"/>
    <x v="6"/>
    <x v="0"/>
    <x v="1"/>
    <x v="7"/>
    <x v="0"/>
    <x v="3"/>
    <n v="0"/>
  </r>
  <r>
    <x v="1"/>
    <x v="6"/>
    <x v="0"/>
    <x v="1"/>
    <x v="7"/>
    <x v="0"/>
    <x v="4"/>
    <n v="0"/>
  </r>
  <r>
    <x v="1"/>
    <x v="6"/>
    <x v="0"/>
    <x v="1"/>
    <x v="7"/>
    <x v="0"/>
    <x v="5"/>
    <n v="0"/>
  </r>
  <r>
    <x v="1"/>
    <x v="6"/>
    <x v="0"/>
    <x v="1"/>
    <x v="7"/>
    <x v="0"/>
    <x v="6"/>
    <n v="0"/>
  </r>
  <r>
    <x v="1"/>
    <x v="6"/>
    <x v="0"/>
    <x v="1"/>
    <x v="8"/>
    <x v="0"/>
    <x v="0"/>
    <n v="0"/>
  </r>
  <r>
    <x v="1"/>
    <x v="6"/>
    <x v="0"/>
    <x v="1"/>
    <x v="8"/>
    <x v="0"/>
    <x v="1"/>
    <n v="0"/>
  </r>
  <r>
    <x v="1"/>
    <x v="6"/>
    <x v="0"/>
    <x v="1"/>
    <x v="8"/>
    <x v="0"/>
    <x v="2"/>
    <n v="0"/>
  </r>
  <r>
    <x v="1"/>
    <x v="6"/>
    <x v="0"/>
    <x v="1"/>
    <x v="8"/>
    <x v="0"/>
    <x v="3"/>
    <n v="0"/>
  </r>
  <r>
    <x v="1"/>
    <x v="6"/>
    <x v="0"/>
    <x v="1"/>
    <x v="8"/>
    <x v="0"/>
    <x v="4"/>
    <n v="0"/>
  </r>
  <r>
    <x v="1"/>
    <x v="6"/>
    <x v="0"/>
    <x v="1"/>
    <x v="8"/>
    <x v="0"/>
    <x v="5"/>
    <n v="0"/>
  </r>
  <r>
    <x v="1"/>
    <x v="6"/>
    <x v="0"/>
    <x v="1"/>
    <x v="8"/>
    <x v="0"/>
    <x v="6"/>
    <n v="0"/>
  </r>
  <r>
    <x v="1"/>
    <x v="6"/>
    <x v="0"/>
    <x v="1"/>
    <x v="9"/>
    <x v="0"/>
    <x v="0"/>
    <n v="0"/>
  </r>
  <r>
    <x v="1"/>
    <x v="6"/>
    <x v="0"/>
    <x v="1"/>
    <x v="9"/>
    <x v="0"/>
    <x v="1"/>
    <n v="0"/>
  </r>
  <r>
    <x v="1"/>
    <x v="6"/>
    <x v="0"/>
    <x v="1"/>
    <x v="9"/>
    <x v="0"/>
    <x v="2"/>
    <n v="0"/>
  </r>
  <r>
    <x v="1"/>
    <x v="6"/>
    <x v="0"/>
    <x v="1"/>
    <x v="9"/>
    <x v="0"/>
    <x v="3"/>
    <n v="0"/>
  </r>
  <r>
    <x v="1"/>
    <x v="6"/>
    <x v="0"/>
    <x v="1"/>
    <x v="9"/>
    <x v="0"/>
    <x v="4"/>
    <n v="0"/>
  </r>
  <r>
    <x v="1"/>
    <x v="6"/>
    <x v="0"/>
    <x v="1"/>
    <x v="9"/>
    <x v="0"/>
    <x v="5"/>
    <n v="0"/>
  </r>
  <r>
    <x v="1"/>
    <x v="6"/>
    <x v="0"/>
    <x v="1"/>
    <x v="9"/>
    <x v="0"/>
    <x v="6"/>
    <n v="0"/>
  </r>
  <r>
    <x v="1"/>
    <x v="6"/>
    <x v="0"/>
    <x v="1"/>
    <x v="10"/>
    <x v="0"/>
    <x v="0"/>
    <n v="0"/>
  </r>
  <r>
    <x v="1"/>
    <x v="6"/>
    <x v="0"/>
    <x v="1"/>
    <x v="10"/>
    <x v="0"/>
    <x v="1"/>
    <n v="0"/>
  </r>
  <r>
    <x v="1"/>
    <x v="6"/>
    <x v="0"/>
    <x v="1"/>
    <x v="10"/>
    <x v="0"/>
    <x v="2"/>
    <n v="0"/>
  </r>
  <r>
    <x v="1"/>
    <x v="6"/>
    <x v="0"/>
    <x v="1"/>
    <x v="10"/>
    <x v="0"/>
    <x v="3"/>
    <n v="0"/>
  </r>
  <r>
    <x v="1"/>
    <x v="6"/>
    <x v="0"/>
    <x v="1"/>
    <x v="10"/>
    <x v="0"/>
    <x v="4"/>
    <n v="0"/>
  </r>
  <r>
    <x v="1"/>
    <x v="6"/>
    <x v="0"/>
    <x v="1"/>
    <x v="10"/>
    <x v="0"/>
    <x v="5"/>
    <n v="0"/>
  </r>
  <r>
    <x v="1"/>
    <x v="6"/>
    <x v="0"/>
    <x v="1"/>
    <x v="10"/>
    <x v="0"/>
    <x v="6"/>
    <n v="0"/>
  </r>
  <r>
    <x v="1"/>
    <x v="6"/>
    <x v="0"/>
    <x v="0"/>
    <x v="11"/>
    <x v="0"/>
    <x v="0"/>
    <n v="0"/>
  </r>
  <r>
    <x v="1"/>
    <x v="6"/>
    <x v="0"/>
    <x v="0"/>
    <x v="11"/>
    <x v="0"/>
    <x v="1"/>
    <n v="0"/>
  </r>
  <r>
    <x v="1"/>
    <x v="6"/>
    <x v="0"/>
    <x v="0"/>
    <x v="11"/>
    <x v="0"/>
    <x v="2"/>
    <n v="0"/>
  </r>
  <r>
    <x v="1"/>
    <x v="6"/>
    <x v="0"/>
    <x v="0"/>
    <x v="11"/>
    <x v="0"/>
    <x v="3"/>
    <n v="0"/>
  </r>
  <r>
    <x v="1"/>
    <x v="6"/>
    <x v="0"/>
    <x v="0"/>
    <x v="11"/>
    <x v="0"/>
    <x v="4"/>
    <n v="0"/>
  </r>
  <r>
    <x v="1"/>
    <x v="6"/>
    <x v="0"/>
    <x v="0"/>
    <x v="11"/>
    <x v="0"/>
    <x v="5"/>
    <n v="0"/>
  </r>
  <r>
    <x v="1"/>
    <x v="6"/>
    <x v="0"/>
    <x v="0"/>
    <x v="11"/>
    <x v="0"/>
    <x v="6"/>
    <n v="0"/>
  </r>
  <r>
    <x v="1"/>
    <x v="6"/>
    <x v="0"/>
    <x v="0"/>
    <x v="12"/>
    <x v="0"/>
    <x v="0"/>
    <n v="0"/>
  </r>
  <r>
    <x v="1"/>
    <x v="6"/>
    <x v="0"/>
    <x v="0"/>
    <x v="12"/>
    <x v="0"/>
    <x v="1"/>
    <n v="0"/>
  </r>
  <r>
    <x v="1"/>
    <x v="6"/>
    <x v="0"/>
    <x v="0"/>
    <x v="12"/>
    <x v="0"/>
    <x v="2"/>
    <n v="0"/>
  </r>
  <r>
    <x v="1"/>
    <x v="6"/>
    <x v="0"/>
    <x v="0"/>
    <x v="12"/>
    <x v="0"/>
    <x v="3"/>
    <n v="0"/>
  </r>
  <r>
    <x v="1"/>
    <x v="6"/>
    <x v="0"/>
    <x v="0"/>
    <x v="12"/>
    <x v="0"/>
    <x v="4"/>
    <n v="0"/>
  </r>
  <r>
    <x v="1"/>
    <x v="6"/>
    <x v="0"/>
    <x v="0"/>
    <x v="12"/>
    <x v="0"/>
    <x v="5"/>
    <n v="0"/>
  </r>
  <r>
    <x v="1"/>
    <x v="6"/>
    <x v="0"/>
    <x v="0"/>
    <x v="12"/>
    <x v="0"/>
    <x v="6"/>
    <n v="0"/>
  </r>
  <r>
    <x v="1"/>
    <x v="6"/>
    <x v="0"/>
    <x v="0"/>
    <x v="13"/>
    <x v="0"/>
    <x v="0"/>
    <n v="0"/>
  </r>
  <r>
    <x v="1"/>
    <x v="6"/>
    <x v="0"/>
    <x v="0"/>
    <x v="13"/>
    <x v="0"/>
    <x v="1"/>
    <n v="0"/>
  </r>
  <r>
    <x v="1"/>
    <x v="6"/>
    <x v="0"/>
    <x v="0"/>
    <x v="13"/>
    <x v="0"/>
    <x v="2"/>
    <n v="0"/>
  </r>
  <r>
    <x v="1"/>
    <x v="6"/>
    <x v="0"/>
    <x v="0"/>
    <x v="13"/>
    <x v="0"/>
    <x v="3"/>
    <n v="0"/>
  </r>
  <r>
    <x v="1"/>
    <x v="6"/>
    <x v="0"/>
    <x v="0"/>
    <x v="13"/>
    <x v="0"/>
    <x v="4"/>
    <n v="0"/>
  </r>
  <r>
    <x v="1"/>
    <x v="6"/>
    <x v="0"/>
    <x v="0"/>
    <x v="13"/>
    <x v="0"/>
    <x v="5"/>
    <n v="0"/>
  </r>
  <r>
    <x v="1"/>
    <x v="6"/>
    <x v="0"/>
    <x v="0"/>
    <x v="13"/>
    <x v="0"/>
    <x v="6"/>
    <n v="0"/>
  </r>
  <r>
    <x v="1"/>
    <x v="6"/>
    <x v="0"/>
    <x v="2"/>
    <x v="14"/>
    <x v="0"/>
    <x v="0"/>
    <n v="0"/>
  </r>
  <r>
    <x v="1"/>
    <x v="6"/>
    <x v="0"/>
    <x v="2"/>
    <x v="14"/>
    <x v="0"/>
    <x v="1"/>
    <n v="0"/>
  </r>
  <r>
    <x v="1"/>
    <x v="6"/>
    <x v="0"/>
    <x v="2"/>
    <x v="14"/>
    <x v="0"/>
    <x v="2"/>
    <n v="0"/>
  </r>
  <r>
    <x v="1"/>
    <x v="6"/>
    <x v="0"/>
    <x v="2"/>
    <x v="14"/>
    <x v="0"/>
    <x v="3"/>
    <n v="0"/>
  </r>
  <r>
    <x v="1"/>
    <x v="6"/>
    <x v="0"/>
    <x v="2"/>
    <x v="14"/>
    <x v="0"/>
    <x v="4"/>
    <n v="0"/>
  </r>
  <r>
    <x v="1"/>
    <x v="6"/>
    <x v="0"/>
    <x v="2"/>
    <x v="14"/>
    <x v="0"/>
    <x v="5"/>
    <n v="0"/>
  </r>
  <r>
    <x v="1"/>
    <x v="6"/>
    <x v="0"/>
    <x v="2"/>
    <x v="14"/>
    <x v="0"/>
    <x v="6"/>
    <n v="0"/>
  </r>
  <r>
    <x v="1"/>
    <x v="6"/>
    <x v="0"/>
    <x v="2"/>
    <x v="15"/>
    <x v="0"/>
    <x v="0"/>
    <n v="0"/>
  </r>
  <r>
    <x v="1"/>
    <x v="6"/>
    <x v="0"/>
    <x v="2"/>
    <x v="15"/>
    <x v="0"/>
    <x v="1"/>
    <n v="0"/>
  </r>
  <r>
    <x v="1"/>
    <x v="6"/>
    <x v="0"/>
    <x v="2"/>
    <x v="15"/>
    <x v="0"/>
    <x v="2"/>
    <n v="0"/>
  </r>
  <r>
    <x v="1"/>
    <x v="6"/>
    <x v="0"/>
    <x v="2"/>
    <x v="15"/>
    <x v="0"/>
    <x v="3"/>
    <n v="0"/>
  </r>
  <r>
    <x v="1"/>
    <x v="6"/>
    <x v="0"/>
    <x v="2"/>
    <x v="15"/>
    <x v="0"/>
    <x v="4"/>
    <n v="0"/>
  </r>
  <r>
    <x v="1"/>
    <x v="6"/>
    <x v="0"/>
    <x v="2"/>
    <x v="15"/>
    <x v="0"/>
    <x v="5"/>
    <n v="0"/>
  </r>
  <r>
    <x v="1"/>
    <x v="6"/>
    <x v="0"/>
    <x v="2"/>
    <x v="15"/>
    <x v="0"/>
    <x v="6"/>
    <n v="0"/>
  </r>
  <r>
    <x v="1"/>
    <x v="6"/>
    <x v="0"/>
    <x v="2"/>
    <x v="16"/>
    <x v="0"/>
    <x v="0"/>
    <n v="0"/>
  </r>
  <r>
    <x v="1"/>
    <x v="6"/>
    <x v="0"/>
    <x v="2"/>
    <x v="16"/>
    <x v="0"/>
    <x v="1"/>
    <n v="0"/>
  </r>
  <r>
    <x v="1"/>
    <x v="6"/>
    <x v="0"/>
    <x v="2"/>
    <x v="16"/>
    <x v="0"/>
    <x v="2"/>
    <n v="0"/>
  </r>
  <r>
    <x v="1"/>
    <x v="6"/>
    <x v="0"/>
    <x v="2"/>
    <x v="16"/>
    <x v="0"/>
    <x v="3"/>
    <n v="0"/>
  </r>
  <r>
    <x v="1"/>
    <x v="6"/>
    <x v="0"/>
    <x v="2"/>
    <x v="16"/>
    <x v="0"/>
    <x v="4"/>
    <n v="0"/>
  </r>
  <r>
    <x v="1"/>
    <x v="6"/>
    <x v="0"/>
    <x v="2"/>
    <x v="16"/>
    <x v="0"/>
    <x v="5"/>
    <n v="0"/>
  </r>
  <r>
    <x v="1"/>
    <x v="6"/>
    <x v="0"/>
    <x v="2"/>
    <x v="16"/>
    <x v="0"/>
    <x v="6"/>
    <n v="0"/>
  </r>
  <r>
    <x v="1"/>
    <x v="6"/>
    <x v="0"/>
    <x v="0"/>
    <x v="17"/>
    <x v="0"/>
    <x v="0"/>
    <n v="0"/>
  </r>
  <r>
    <x v="1"/>
    <x v="6"/>
    <x v="0"/>
    <x v="0"/>
    <x v="17"/>
    <x v="0"/>
    <x v="1"/>
    <n v="0"/>
  </r>
  <r>
    <x v="1"/>
    <x v="6"/>
    <x v="0"/>
    <x v="0"/>
    <x v="17"/>
    <x v="0"/>
    <x v="2"/>
    <n v="0"/>
  </r>
  <r>
    <x v="1"/>
    <x v="6"/>
    <x v="0"/>
    <x v="0"/>
    <x v="17"/>
    <x v="0"/>
    <x v="3"/>
    <n v="0"/>
  </r>
  <r>
    <x v="1"/>
    <x v="6"/>
    <x v="0"/>
    <x v="0"/>
    <x v="17"/>
    <x v="0"/>
    <x v="4"/>
    <n v="0"/>
  </r>
  <r>
    <x v="1"/>
    <x v="6"/>
    <x v="0"/>
    <x v="0"/>
    <x v="17"/>
    <x v="0"/>
    <x v="5"/>
    <n v="0"/>
  </r>
  <r>
    <x v="1"/>
    <x v="6"/>
    <x v="0"/>
    <x v="0"/>
    <x v="17"/>
    <x v="0"/>
    <x v="6"/>
    <n v="0"/>
  </r>
  <r>
    <x v="1"/>
    <x v="6"/>
    <x v="0"/>
    <x v="2"/>
    <x v="18"/>
    <x v="0"/>
    <x v="0"/>
    <n v="0"/>
  </r>
  <r>
    <x v="1"/>
    <x v="6"/>
    <x v="0"/>
    <x v="2"/>
    <x v="18"/>
    <x v="0"/>
    <x v="1"/>
    <n v="0"/>
  </r>
  <r>
    <x v="1"/>
    <x v="6"/>
    <x v="0"/>
    <x v="2"/>
    <x v="18"/>
    <x v="0"/>
    <x v="2"/>
    <n v="0"/>
  </r>
  <r>
    <x v="1"/>
    <x v="6"/>
    <x v="0"/>
    <x v="2"/>
    <x v="18"/>
    <x v="0"/>
    <x v="3"/>
    <n v="0"/>
  </r>
  <r>
    <x v="1"/>
    <x v="6"/>
    <x v="0"/>
    <x v="2"/>
    <x v="18"/>
    <x v="0"/>
    <x v="4"/>
    <n v="0"/>
  </r>
  <r>
    <x v="1"/>
    <x v="6"/>
    <x v="0"/>
    <x v="2"/>
    <x v="18"/>
    <x v="0"/>
    <x v="5"/>
    <n v="0"/>
  </r>
  <r>
    <x v="1"/>
    <x v="6"/>
    <x v="0"/>
    <x v="2"/>
    <x v="18"/>
    <x v="0"/>
    <x v="6"/>
    <n v="0"/>
  </r>
  <r>
    <x v="1"/>
    <x v="6"/>
    <x v="1"/>
    <x v="3"/>
    <x v="19"/>
    <x v="0"/>
    <x v="0"/>
    <n v="0"/>
  </r>
  <r>
    <x v="1"/>
    <x v="6"/>
    <x v="1"/>
    <x v="3"/>
    <x v="19"/>
    <x v="0"/>
    <x v="1"/>
    <n v="0"/>
  </r>
  <r>
    <x v="1"/>
    <x v="6"/>
    <x v="1"/>
    <x v="3"/>
    <x v="19"/>
    <x v="0"/>
    <x v="2"/>
    <n v="0"/>
  </r>
  <r>
    <x v="1"/>
    <x v="6"/>
    <x v="1"/>
    <x v="3"/>
    <x v="19"/>
    <x v="0"/>
    <x v="3"/>
    <n v="0"/>
  </r>
  <r>
    <x v="1"/>
    <x v="6"/>
    <x v="1"/>
    <x v="3"/>
    <x v="19"/>
    <x v="0"/>
    <x v="4"/>
    <n v="0"/>
  </r>
  <r>
    <x v="1"/>
    <x v="6"/>
    <x v="1"/>
    <x v="3"/>
    <x v="19"/>
    <x v="0"/>
    <x v="5"/>
    <n v="0"/>
  </r>
  <r>
    <x v="1"/>
    <x v="6"/>
    <x v="1"/>
    <x v="3"/>
    <x v="19"/>
    <x v="0"/>
    <x v="6"/>
    <n v="0"/>
  </r>
  <r>
    <x v="1"/>
    <x v="6"/>
    <x v="1"/>
    <x v="3"/>
    <x v="20"/>
    <x v="0"/>
    <x v="0"/>
    <n v="0"/>
  </r>
  <r>
    <x v="1"/>
    <x v="6"/>
    <x v="1"/>
    <x v="3"/>
    <x v="20"/>
    <x v="0"/>
    <x v="1"/>
    <n v="0"/>
  </r>
  <r>
    <x v="1"/>
    <x v="6"/>
    <x v="1"/>
    <x v="3"/>
    <x v="20"/>
    <x v="0"/>
    <x v="2"/>
    <n v="0"/>
  </r>
  <r>
    <x v="1"/>
    <x v="6"/>
    <x v="1"/>
    <x v="3"/>
    <x v="20"/>
    <x v="0"/>
    <x v="3"/>
    <n v="0"/>
  </r>
  <r>
    <x v="1"/>
    <x v="6"/>
    <x v="1"/>
    <x v="3"/>
    <x v="20"/>
    <x v="0"/>
    <x v="4"/>
    <n v="0"/>
  </r>
  <r>
    <x v="1"/>
    <x v="6"/>
    <x v="1"/>
    <x v="3"/>
    <x v="20"/>
    <x v="0"/>
    <x v="5"/>
    <n v="0"/>
  </r>
  <r>
    <x v="1"/>
    <x v="6"/>
    <x v="1"/>
    <x v="3"/>
    <x v="20"/>
    <x v="0"/>
    <x v="6"/>
    <n v="0"/>
  </r>
  <r>
    <x v="1"/>
    <x v="6"/>
    <x v="1"/>
    <x v="3"/>
    <x v="21"/>
    <x v="0"/>
    <x v="0"/>
    <n v="0"/>
  </r>
  <r>
    <x v="1"/>
    <x v="6"/>
    <x v="1"/>
    <x v="3"/>
    <x v="21"/>
    <x v="0"/>
    <x v="1"/>
    <n v="0"/>
  </r>
  <r>
    <x v="1"/>
    <x v="6"/>
    <x v="1"/>
    <x v="3"/>
    <x v="21"/>
    <x v="0"/>
    <x v="2"/>
    <n v="0"/>
  </r>
  <r>
    <x v="1"/>
    <x v="6"/>
    <x v="1"/>
    <x v="3"/>
    <x v="21"/>
    <x v="0"/>
    <x v="3"/>
    <n v="0"/>
  </r>
  <r>
    <x v="1"/>
    <x v="6"/>
    <x v="1"/>
    <x v="3"/>
    <x v="21"/>
    <x v="0"/>
    <x v="4"/>
    <n v="0"/>
  </r>
  <r>
    <x v="1"/>
    <x v="6"/>
    <x v="1"/>
    <x v="3"/>
    <x v="21"/>
    <x v="0"/>
    <x v="5"/>
    <n v="0"/>
  </r>
  <r>
    <x v="1"/>
    <x v="6"/>
    <x v="1"/>
    <x v="3"/>
    <x v="21"/>
    <x v="0"/>
    <x v="6"/>
    <n v="0"/>
  </r>
  <r>
    <x v="1"/>
    <x v="6"/>
    <x v="1"/>
    <x v="3"/>
    <x v="22"/>
    <x v="0"/>
    <x v="0"/>
    <n v="0"/>
  </r>
  <r>
    <x v="1"/>
    <x v="6"/>
    <x v="1"/>
    <x v="3"/>
    <x v="22"/>
    <x v="0"/>
    <x v="1"/>
    <n v="0"/>
  </r>
  <r>
    <x v="1"/>
    <x v="6"/>
    <x v="1"/>
    <x v="3"/>
    <x v="22"/>
    <x v="0"/>
    <x v="2"/>
    <n v="0"/>
  </r>
  <r>
    <x v="1"/>
    <x v="6"/>
    <x v="1"/>
    <x v="3"/>
    <x v="22"/>
    <x v="0"/>
    <x v="3"/>
    <n v="0"/>
  </r>
  <r>
    <x v="1"/>
    <x v="6"/>
    <x v="1"/>
    <x v="3"/>
    <x v="22"/>
    <x v="0"/>
    <x v="4"/>
    <n v="0"/>
  </r>
  <r>
    <x v="1"/>
    <x v="6"/>
    <x v="1"/>
    <x v="3"/>
    <x v="22"/>
    <x v="0"/>
    <x v="5"/>
    <n v="0"/>
  </r>
  <r>
    <x v="1"/>
    <x v="6"/>
    <x v="1"/>
    <x v="3"/>
    <x v="22"/>
    <x v="0"/>
    <x v="6"/>
    <n v="0"/>
  </r>
  <r>
    <x v="1"/>
    <x v="6"/>
    <x v="1"/>
    <x v="3"/>
    <x v="23"/>
    <x v="0"/>
    <x v="0"/>
    <n v="0"/>
  </r>
  <r>
    <x v="1"/>
    <x v="6"/>
    <x v="1"/>
    <x v="3"/>
    <x v="23"/>
    <x v="0"/>
    <x v="1"/>
    <n v="0"/>
  </r>
  <r>
    <x v="1"/>
    <x v="6"/>
    <x v="1"/>
    <x v="3"/>
    <x v="23"/>
    <x v="0"/>
    <x v="2"/>
    <n v="0"/>
  </r>
  <r>
    <x v="1"/>
    <x v="6"/>
    <x v="1"/>
    <x v="3"/>
    <x v="23"/>
    <x v="0"/>
    <x v="3"/>
    <n v="0"/>
  </r>
  <r>
    <x v="1"/>
    <x v="6"/>
    <x v="1"/>
    <x v="3"/>
    <x v="23"/>
    <x v="0"/>
    <x v="4"/>
    <n v="0"/>
  </r>
  <r>
    <x v="1"/>
    <x v="6"/>
    <x v="1"/>
    <x v="3"/>
    <x v="23"/>
    <x v="0"/>
    <x v="5"/>
    <n v="0"/>
  </r>
  <r>
    <x v="1"/>
    <x v="6"/>
    <x v="1"/>
    <x v="3"/>
    <x v="23"/>
    <x v="0"/>
    <x v="6"/>
    <n v="0"/>
  </r>
  <r>
    <x v="1"/>
    <x v="6"/>
    <x v="1"/>
    <x v="3"/>
    <x v="24"/>
    <x v="0"/>
    <x v="0"/>
    <n v="0"/>
  </r>
  <r>
    <x v="1"/>
    <x v="6"/>
    <x v="1"/>
    <x v="3"/>
    <x v="24"/>
    <x v="0"/>
    <x v="1"/>
    <n v="0"/>
  </r>
  <r>
    <x v="1"/>
    <x v="6"/>
    <x v="1"/>
    <x v="3"/>
    <x v="24"/>
    <x v="0"/>
    <x v="2"/>
    <n v="0"/>
  </r>
  <r>
    <x v="1"/>
    <x v="6"/>
    <x v="1"/>
    <x v="3"/>
    <x v="24"/>
    <x v="0"/>
    <x v="3"/>
    <n v="0"/>
  </r>
  <r>
    <x v="1"/>
    <x v="6"/>
    <x v="1"/>
    <x v="3"/>
    <x v="24"/>
    <x v="0"/>
    <x v="4"/>
    <n v="0"/>
  </r>
  <r>
    <x v="1"/>
    <x v="6"/>
    <x v="1"/>
    <x v="3"/>
    <x v="24"/>
    <x v="0"/>
    <x v="5"/>
    <n v="0"/>
  </r>
  <r>
    <x v="1"/>
    <x v="6"/>
    <x v="1"/>
    <x v="3"/>
    <x v="24"/>
    <x v="0"/>
    <x v="6"/>
    <n v="0"/>
  </r>
  <r>
    <x v="1"/>
    <x v="6"/>
    <x v="1"/>
    <x v="3"/>
    <x v="25"/>
    <x v="0"/>
    <x v="0"/>
    <n v="0"/>
  </r>
  <r>
    <x v="1"/>
    <x v="6"/>
    <x v="1"/>
    <x v="3"/>
    <x v="25"/>
    <x v="0"/>
    <x v="1"/>
    <n v="0"/>
  </r>
  <r>
    <x v="1"/>
    <x v="6"/>
    <x v="1"/>
    <x v="3"/>
    <x v="25"/>
    <x v="0"/>
    <x v="2"/>
    <n v="0"/>
  </r>
  <r>
    <x v="1"/>
    <x v="6"/>
    <x v="1"/>
    <x v="3"/>
    <x v="25"/>
    <x v="0"/>
    <x v="3"/>
    <n v="0"/>
  </r>
  <r>
    <x v="1"/>
    <x v="6"/>
    <x v="1"/>
    <x v="3"/>
    <x v="25"/>
    <x v="0"/>
    <x v="4"/>
    <n v="0"/>
  </r>
  <r>
    <x v="1"/>
    <x v="6"/>
    <x v="1"/>
    <x v="3"/>
    <x v="25"/>
    <x v="0"/>
    <x v="5"/>
    <n v="0"/>
  </r>
  <r>
    <x v="1"/>
    <x v="6"/>
    <x v="1"/>
    <x v="3"/>
    <x v="25"/>
    <x v="0"/>
    <x v="6"/>
    <n v="0"/>
  </r>
  <r>
    <x v="1"/>
    <x v="6"/>
    <x v="2"/>
    <x v="4"/>
    <x v="26"/>
    <x v="0"/>
    <x v="0"/>
    <n v="0"/>
  </r>
  <r>
    <x v="1"/>
    <x v="6"/>
    <x v="2"/>
    <x v="4"/>
    <x v="26"/>
    <x v="0"/>
    <x v="1"/>
    <n v="0"/>
  </r>
  <r>
    <x v="1"/>
    <x v="6"/>
    <x v="2"/>
    <x v="4"/>
    <x v="26"/>
    <x v="0"/>
    <x v="2"/>
    <n v="0"/>
  </r>
  <r>
    <x v="1"/>
    <x v="6"/>
    <x v="2"/>
    <x v="4"/>
    <x v="26"/>
    <x v="0"/>
    <x v="3"/>
    <n v="0"/>
  </r>
  <r>
    <x v="1"/>
    <x v="6"/>
    <x v="2"/>
    <x v="4"/>
    <x v="26"/>
    <x v="0"/>
    <x v="4"/>
    <n v="0"/>
  </r>
  <r>
    <x v="1"/>
    <x v="6"/>
    <x v="2"/>
    <x v="4"/>
    <x v="26"/>
    <x v="0"/>
    <x v="5"/>
    <n v="0"/>
  </r>
  <r>
    <x v="1"/>
    <x v="6"/>
    <x v="2"/>
    <x v="4"/>
    <x v="26"/>
    <x v="0"/>
    <x v="6"/>
    <n v="0"/>
  </r>
  <r>
    <x v="1"/>
    <x v="6"/>
    <x v="2"/>
    <x v="4"/>
    <x v="27"/>
    <x v="0"/>
    <x v="0"/>
    <n v="0"/>
  </r>
  <r>
    <x v="1"/>
    <x v="6"/>
    <x v="2"/>
    <x v="4"/>
    <x v="27"/>
    <x v="0"/>
    <x v="1"/>
    <n v="0"/>
  </r>
  <r>
    <x v="1"/>
    <x v="6"/>
    <x v="2"/>
    <x v="4"/>
    <x v="27"/>
    <x v="0"/>
    <x v="2"/>
    <n v="0"/>
  </r>
  <r>
    <x v="1"/>
    <x v="6"/>
    <x v="2"/>
    <x v="4"/>
    <x v="27"/>
    <x v="0"/>
    <x v="3"/>
    <n v="0"/>
  </r>
  <r>
    <x v="1"/>
    <x v="6"/>
    <x v="2"/>
    <x v="4"/>
    <x v="27"/>
    <x v="0"/>
    <x v="4"/>
    <n v="0"/>
  </r>
  <r>
    <x v="1"/>
    <x v="6"/>
    <x v="2"/>
    <x v="4"/>
    <x v="27"/>
    <x v="0"/>
    <x v="5"/>
    <n v="0"/>
  </r>
  <r>
    <x v="1"/>
    <x v="6"/>
    <x v="2"/>
    <x v="4"/>
    <x v="27"/>
    <x v="0"/>
    <x v="6"/>
    <n v="0"/>
  </r>
  <r>
    <x v="1"/>
    <x v="6"/>
    <x v="2"/>
    <x v="4"/>
    <x v="28"/>
    <x v="0"/>
    <x v="0"/>
    <n v="0"/>
  </r>
  <r>
    <x v="1"/>
    <x v="6"/>
    <x v="2"/>
    <x v="4"/>
    <x v="28"/>
    <x v="0"/>
    <x v="1"/>
    <n v="0"/>
  </r>
  <r>
    <x v="1"/>
    <x v="6"/>
    <x v="2"/>
    <x v="4"/>
    <x v="28"/>
    <x v="0"/>
    <x v="2"/>
    <n v="0"/>
  </r>
  <r>
    <x v="1"/>
    <x v="6"/>
    <x v="2"/>
    <x v="4"/>
    <x v="28"/>
    <x v="0"/>
    <x v="3"/>
    <n v="0"/>
  </r>
  <r>
    <x v="1"/>
    <x v="6"/>
    <x v="2"/>
    <x v="4"/>
    <x v="28"/>
    <x v="0"/>
    <x v="4"/>
    <n v="0"/>
  </r>
  <r>
    <x v="1"/>
    <x v="6"/>
    <x v="2"/>
    <x v="4"/>
    <x v="28"/>
    <x v="0"/>
    <x v="5"/>
    <n v="0"/>
  </r>
  <r>
    <x v="1"/>
    <x v="6"/>
    <x v="2"/>
    <x v="4"/>
    <x v="28"/>
    <x v="0"/>
    <x v="6"/>
    <n v="0"/>
  </r>
  <r>
    <x v="1"/>
    <x v="6"/>
    <x v="2"/>
    <x v="4"/>
    <x v="29"/>
    <x v="0"/>
    <x v="0"/>
    <n v="0"/>
  </r>
  <r>
    <x v="1"/>
    <x v="6"/>
    <x v="2"/>
    <x v="4"/>
    <x v="29"/>
    <x v="0"/>
    <x v="1"/>
    <n v="0"/>
  </r>
  <r>
    <x v="1"/>
    <x v="6"/>
    <x v="2"/>
    <x v="4"/>
    <x v="29"/>
    <x v="0"/>
    <x v="2"/>
    <n v="0"/>
  </r>
  <r>
    <x v="1"/>
    <x v="6"/>
    <x v="2"/>
    <x v="4"/>
    <x v="29"/>
    <x v="0"/>
    <x v="3"/>
    <n v="0"/>
  </r>
  <r>
    <x v="1"/>
    <x v="6"/>
    <x v="2"/>
    <x v="4"/>
    <x v="29"/>
    <x v="0"/>
    <x v="4"/>
    <n v="0"/>
  </r>
  <r>
    <x v="1"/>
    <x v="6"/>
    <x v="2"/>
    <x v="4"/>
    <x v="29"/>
    <x v="0"/>
    <x v="5"/>
    <n v="0"/>
  </r>
  <r>
    <x v="1"/>
    <x v="6"/>
    <x v="2"/>
    <x v="4"/>
    <x v="29"/>
    <x v="0"/>
    <x v="6"/>
    <n v="0"/>
  </r>
  <r>
    <x v="1"/>
    <x v="6"/>
    <x v="3"/>
    <x v="5"/>
    <x v="30"/>
    <x v="0"/>
    <x v="0"/>
    <n v="0"/>
  </r>
  <r>
    <x v="1"/>
    <x v="6"/>
    <x v="3"/>
    <x v="5"/>
    <x v="30"/>
    <x v="0"/>
    <x v="1"/>
    <n v="0"/>
  </r>
  <r>
    <x v="1"/>
    <x v="6"/>
    <x v="3"/>
    <x v="5"/>
    <x v="30"/>
    <x v="0"/>
    <x v="2"/>
    <n v="0"/>
  </r>
  <r>
    <x v="1"/>
    <x v="6"/>
    <x v="3"/>
    <x v="5"/>
    <x v="30"/>
    <x v="0"/>
    <x v="3"/>
    <n v="0"/>
  </r>
  <r>
    <x v="1"/>
    <x v="6"/>
    <x v="3"/>
    <x v="5"/>
    <x v="30"/>
    <x v="0"/>
    <x v="4"/>
    <n v="0"/>
  </r>
  <r>
    <x v="1"/>
    <x v="6"/>
    <x v="3"/>
    <x v="5"/>
    <x v="30"/>
    <x v="0"/>
    <x v="5"/>
    <n v="0"/>
  </r>
  <r>
    <x v="1"/>
    <x v="6"/>
    <x v="3"/>
    <x v="5"/>
    <x v="30"/>
    <x v="0"/>
    <x v="6"/>
    <n v="0"/>
  </r>
  <r>
    <x v="1"/>
    <x v="6"/>
    <x v="2"/>
    <x v="4"/>
    <x v="31"/>
    <x v="0"/>
    <x v="0"/>
    <n v="0"/>
  </r>
  <r>
    <x v="1"/>
    <x v="6"/>
    <x v="2"/>
    <x v="4"/>
    <x v="31"/>
    <x v="0"/>
    <x v="1"/>
    <n v="0"/>
  </r>
  <r>
    <x v="1"/>
    <x v="6"/>
    <x v="2"/>
    <x v="4"/>
    <x v="31"/>
    <x v="0"/>
    <x v="2"/>
    <n v="0"/>
  </r>
  <r>
    <x v="1"/>
    <x v="6"/>
    <x v="2"/>
    <x v="4"/>
    <x v="31"/>
    <x v="0"/>
    <x v="3"/>
    <n v="0"/>
  </r>
  <r>
    <x v="1"/>
    <x v="6"/>
    <x v="2"/>
    <x v="4"/>
    <x v="31"/>
    <x v="0"/>
    <x v="4"/>
    <n v="0"/>
  </r>
  <r>
    <x v="1"/>
    <x v="6"/>
    <x v="2"/>
    <x v="4"/>
    <x v="31"/>
    <x v="0"/>
    <x v="5"/>
    <n v="0"/>
  </r>
  <r>
    <x v="1"/>
    <x v="6"/>
    <x v="2"/>
    <x v="4"/>
    <x v="31"/>
    <x v="0"/>
    <x v="6"/>
    <n v="0"/>
  </r>
  <r>
    <x v="1"/>
    <x v="6"/>
    <x v="2"/>
    <x v="4"/>
    <x v="32"/>
    <x v="0"/>
    <x v="0"/>
    <n v="0"/>
  </r>
  <r>
    <x v="1"/>
    <x v="6"/>
    <x v="2"/>
    <x v="4"/>
    <x v="32"/>
    <x v="0"/>
    <x v="1"/>
    <n v="0"/>
  </r>
  <r>
    <x v="1"/>
    <x v="6"/>
    <x v="2"/>
    <x v="4"/>
    <x v="32"/>
    <x v="0"/>
    <x v="2"/>
    <n v="0"/>
  </r>
  <r>
    <x v="1"/>
    <x v="6"/>
    <x v="2"/>
    <x v="4"/>
    <x v="32"/>
    <x v="0"/>
    <x v="3"/>
    <n v="0"/>
  </r>
  <r>
    <x v="1"/>
    <x v="6"/>
    <x v="2"/>
    <x v="4"/>
    <x v="32"/>
    <x v="0"/>
    <x v="4"/>
    <n v="0"/>
  </r>
  <r>
    <x v="1"/>
    <x v="6"/>
    <x v="2"/>
    <x v="4"/>
    <x v="32"/>
    <x v="0"/>
    <x v="5"/>
    <n v="0"/>
  </r>
  <r>
    <x v="1"/>
    <x v="6"/>
    <x v="2"/>
    <x v="4"/>
    <x v="32"/>
    <x v="0"/>
    <x v="6"/>
    <n v="0"/>
  </r>
  <r>
    <x v="1"/>
    <x v="6"/>
    <x v="2"/>
    <x v="4"/>
    <x v="33"/>
    <x v="0"/>
    <x v="0"/>
    <n v="0"/>
  </r>
  <r>
    <x v="1"/>
    <x v="6"/>
    <x v="2"/>
    <x v="4"/>
    <x v="33"/>
    <x v="0"/>
    <x v="1"/>
    <n v="0"/>
  </r>
  <r>
    <x v="1"/>
    <x v="6"/>
    <x v="2"/>
    <x v="4"/>
    <x v="33"/>
    <x v="0"/>
    <x v="2"/>
    <n v="0"/>
  </r>
  <r>
    <x v="1"/>
    <x v="6"/>
    <x v="2"/>
    <x v="4"/>
    <x v="33"/>
    <x v="0"/>
    <x v="3"/>
    <n v="0"/>
  </r>
  <r>
    <x v="1"/>
    <x v="6"/>
    <x v="2"/>
    <x v="4"/>
    <x v="33"/>
    <x v="0"/>
    <x v="4"/>
    <n v="0"/>
  </r>
  <r>
    <x v="1"/>
    <x v="6"/>
    <x v="2"/>
    <x v="4"/>
    <x v="33"/>
    <x v="0"/>
    <x v="5"/>
    <n v="0"/>
  </r>
  <r>
    <x v="1"/>
    <x v="6"/>
    <x v="2"/>
    <x v="4"/>
    <x v="33"/>
    <x v="0"/>
    <x v="6"/>
    <n v="0"/>
  </r>
  <r>
    <x v="1"/>
    <x v="6"/>
    <x v="2"/>
    <x v="4"/>
    <x v="34"/>
    <x v="0"/>
    <x v="0"/>
    <n v="0"/>
  </r>
  <r>
    <x v="1"/>
    <x v="6"/>
    <x v="2"/>
    <x v="4"/>
    <x v="34"/>
    <x v="0"/>
    <x v="1"/>
    <n v="0"/>
  </r>
  <r>
    <x v="1"/>
    <x v="6"/>
    <x v="2"/>
    <x v="4"/>
    <x v="34"/>
    <x v="0"/>
    <x v="2"/>
    <n v="0"/>
  </r>
  <r>
    <x v="1"/>
    <x v="6"/>
    <x v="2"/>
    <x v="4"/>
    <x v="34"/>
    <x v="0"/>
    <x v="3"/>
    <n v="0"/>
  </r>
  <r>
    <x v="1"/>
    <x v="6"/>
    <x v="2"/>
    <x v="4"/>
    <x v="34"/>
    <x v="0"/>
    <x v="4"/>
    <n v="0"/>
  </r>
  <r>
    <x v="1"/>
    <x v="6"/>
    <x v="2"/>
    <x v="4"/>
    <x v="34"/>
    <x v="0"/>
    <x v="5"/>
    <n v="0"/>
  </r>
  <r>
    <x v="1"/>
    <x v="6"/>
    <x v="2"/>
    <x v="4"/>
    <x v="34"/>
    <x v="0"/>
    <x v="6"/>
    <n v="0"/>
  </r>
  <r>
    <x v="1"/>
    <x v="6"/>
    <x v="2"/>
    <x v="6"/>
    <x v="35"/>
    <x v="0"/>
    <x v="0"/>
    <n v="0"/>
  </r>
  <r>
    <x v="1"/>
    <x v="6"/>
    <x v="2"/>
    <x v="6"/>
    <x v="35"/>
    <x v="0"/>
    <x v="1"/>
    <n v="0"/>
  </r>
  <r>
    <x v="1"/>
    <x v="6"/>
    <x v="2"/>
    <x v="6"/>
    <x v="35"/>
    <x v="0"/>
    <x v="2"/>
    <n v="0"/>
  </r>
  <r>
    <x v="1"/>
    <x v="6"/>
    <x v="2"/>
    <x v="6"/>
    <x v="35"/>
    <x v="0"/>
    <x v="3"/>
    <n v="0"/>
  </r>
  <r>
    <x v="1"/>
    <x v="6"/>
    <x v="2"/>
    <x v="6"/>
    <x v="35"/>
    <x v="0"/>
    <x v="4"/>
    <n v="0"/>
  </r>
  <r>
    <x v="1"/>
    <x v="6"/>
    <x v="2"/>
    <x v="6"/>
    <x v="35"/>
    <x v="0"/>
    <x v="5"/>
    <n v="0"/>
  </r>
  <r>
    <x v="1"/>
    <x v="6"/>
    <x v="2"/>
    <x v="6"/>
    <x v="35"/>
    <x v="0"/>
    <x v="6"/>
    <n v="0"/>
  </r>
  <r>
    <x v="1"/>
    <x v="6"/>
    <x v="2"/>
    <x v="6"/>
    <x v="36"/>
    <x v="0"/>
    <x v="0"/>
    <n v="0"/>
  </r>
  <r>
    <x v="1"/>
    <x v="6"/>
    <x v="2"/>
    <x v="6"/>
    <x v="36"/>
    <x v="0"/>
    <x v="1"/>
    <n v="0"/>
  </r>
  <r>
    <x v="1"/>
    <x v="6"/>
    <x v="2"/>
    <x v="6"/>
    <x v="36"/>
    <x v="0"/>
    <x v="2"/>
    <n v="0"/>
  </r>
  <r>
    <x v="1"/>
    <x v="6"/>
    <x v="2"/>
    <x v="6"/>
    <x v="36"/>
    <x v="0"/>
    <x v="3"/>
    <n v="0"/>
  </r>
  <r>
    <x v="1"/>
    <x v="6"/>
    <x v="2"/>
    <x v="6"/>
    <x v="36"/>
    <x v="0"/>
    <x v="4"/>
    <n v="0"/>
  </r>
  <r>
    <x v="1"/>
    <x v="6"/>
    <x v="2"/>
    <x v="6"/>
    <x v="36"/>
    <x v="0"/>
    <x v="5"/>
    <n v="0"/>
  </r>
  <r>
    <x v="1"/>
    <x v="6"/>
    <x v="2"/>
    <x v="6"/>
    <x v="36"/>
    <x v="0"/>
    <x v="6"/>
    <n v="0"/>
  </r>
  <r>
    <x v="1"/>
    <x v="6"/>
    <x v="2"/>
    <x v="6"/>
    <x v="37"/>
    <x v="0"/>
    <x v="0"/>
    <n v="0"/>
  </r>
  <r>
    <x v="1"/>
    <x v="6"/>
    <x v="2"/>
    <x v="6"/>
    <x v="37"/>
    <x v="0"/>
    <x v="1"/>
    <n v="0"/>
  </r>
  <r>
    <x v="1"/>
    <x v="6"/>
    <x v="2"/>
    <x v="6"/>
    <x v="37"/>
    <x v="0"/>
    <x v="2"/>
    <n v="0"/>
  </r>
  <r>
    <x v="1"/>
    <x v="6"/>
    <x v="2"/>
    <x v="6"/>
    <x v="37"/>
    <x v="0"/>
    <x v="3"/>
    <n v="0"/>
  </r>
  <r>
    <x v="1"/>
    <x v="6"/>
    <x v="2"/>
    <x v="6"/>
    <x v="37"/>
    <x v="0"/>
    <x v="4"/>
    <n v="0"/>
  </r>
  <r>
    <x v="1"/>
    <x v="6"/>
    <x v="2"/>
    <x v="6"/>
    <x v="37"/>
    <x v="0"/>
    <x v="5"/>
    <n v="0"/>
  </r>
  <r>
    <x v="1"/>
    <x v="6"/>
    <x v="2"/>
    <x v="6"/>
    <x v="37"/>
    <x v="0"/>
    <x v="6"/>
    <n v="0"/>
  </r>
  <r>
    <x v="1"/>
    <x v="6"/>
    <x v="2"/>
    <x v="6"/>
    <x v="38"/>
    <x v="0"/>
    <x v="0"/>
    <n v="0"/>
  </r>
  <r>
    <x v="1"/>
    <x v="6"/>
    <x v="2"/>
    <x v="6"/>
    <x v="38"/>
    <x v="0"/>
    <x v="1"/>
    <n v="0"/>
  </r>
  <r>
    <x v="1"/>
    <x v="6"/>
    <x v="2"/>
    <x v="6"/>
    <x v="38"/>
    <x v="0"/>
    <x v="2"/>
    <n v="0"/>
  </r>
  <r>
    <x v="1"/>
    <x v="6"/>
    <x v="2"/>
    <x v="6"/>
    <x v="38"/>
    <x v="0"/>
    <x v="3"/>
    <n v="0"/>
  </r>
  <r>
    <x v="1"/>
    <x v="6"/>
    <x v="2"/>
    <x v="6"/>
    <x v="38"/>
    <x v="0"/>
    <x v="4"/>
    <n v="0"/>
  </r>
  <r>
    <x v="1"/>
    <x v="6"/>
    <x v="2"/>
    <x v="6"/>
    <x v="38"/>
    <x v="0"/>
    <x v="5"/>
    <n v="0"/>
  </r>
  <r>
    <x v="1"/>
    <x v="6"/>
    <x v="2"/>
    <x v="6"/>
    <x v="38"/>
    <x v="0"/>
    <x v="6"/>
    <n v="0"/>
  </r>
  <r>
    <x v="1"/>
    <x v="6"/>
    <x v="3"/>
    <x v="5"/>
    <x v="39"/>
    <x v="0"/>
    <x v="0"/>
    <n v="0"/>
  </r>
  <r>
    <x v="1"/>
    <x v="6"/>
    <x v="3"/>
    <x v="5"/>
    <x v="39"/>
    <x v="0"/>
    <x v="1"/>
    <n v="0"/>
  </r>
  <r>
    <x v="1"/>
    <x v="6"/>
    <x v="3"/>
    <x v="5"/>
    <x v="39"/>
    <x v="0"/>
    <x v="2"/>
    <n v="0"/>
  </r>
  <r>
    <x v="1"/>
    <x v="6"/>
    <x v="3"/>
    <x v="5"/>
    <x v="39"/>
    <x v="0"/>
    <x v="3"/>
    <n v="0"/>
  </r>
  <r>
    <x v="1"/>
    <x v="6"/>
    <x v="3"/>
    <x v="5"/>
    <x v="39"/>
    <x v="0"/>
    <x v="4"/>
    <n v="0"/>
  </r>
  <r>
    <x v="1"/>
    <x v="6"/>
    <x v="3"/>
    <x v="5"/>
    <x v="39"/>
    <x v="0"/>
    <x v="5"/>
    <n v="0"/>
  </r>
  <r>
    <x v="1"/>
    <x v="6"/>
    <x v="3"/>
    <x v="5"/>
    <x v="39"/>
    <x v="0"/>
    <x v="6"/>
    <n v="0"/>
  </r>
  <r>
    <x v="1"/>
    <x v="6"/>
    <x v="2"/>
    <x v="6"/>
    <x v="40"/>
    <x v="0"/>
    <x v="0"/>
    <n v="0"/>
  </r>
  <r>
    <x v="1"/>
    <x v="6"/>
    <x v="2"/>
    <x v="6"/>
    <x v="40"/>
    <x v="0"/>
    <x v="1"/>
    <n v="0"/>
  </r>
  <r>
    <x v="1"/>
    <x v="6"/>
    <x v="2"/>
    <x v="6"/>
    <x v="40"/>
    <x v="0"/>
    <x v="2"/>
    <n v="0"/>
  </r>
  <r>
    <x v="1"/>
    <x v="6"/>
    <x v="2"/>
    <x v="6"/>
    <x v="40"/>
    <x v="0"/>
    <x v="3"/>
    <n v="0"/>
  </r>
  <r>
    <x v="1"/>
    <x v="6"/>
    <x v="2"/>
    <x v="6"/>
    <x v="40"/>
    <x v="0"/>
    <x v="4"/>
    <n v="0"/>
  </r>
  <r>
    <x v="1"/>
    <x v="6"/>
    <x v="2"/>
    <x v="6"/>
    <x v="40"/>
    <x v="0"/>
    <x v="5"/>
    <n v="0"/>
  </r>
  <r>
    <x v="1"/>
    <x v="6"/>
    <x v="2"/>
    <x v="6"/>
    <x v="40"/>
    <x v="0"/>
    <x v="6"/>
    <n v="0"/>
  </r>
  <r>
    <x v="1"/>
    <x v="6"/>
    <x v="2"/>
    <x v="6"/>
    <x v="41"/>
    <x v="0"/>
    <x v="0"/>
    <n v="0"/>
  </r>
  <r>
    <x v="1"/>
    <x v="6"/>
    <x v="2"/>
    <x v="6"/>
    <x v="41"/>
    <x v="0"/>
    <x v="1"/>
    <n v="0"/>
  </r>
  <r>
    <x v="1"/>
    <x v="6"/>
    <x v="2"/>
    <x v="6"/>
    <x v="41"/>
    <x v="0"/>
    <x v="2"/>
    <n v="0"/>
  </r>
  <r>
    <x v="1"/>
    <x v="6"/>
    <x v="2"/>
    <x v="6"/>
    <x v="41"/>
    <x v="0"/>
    <x v="3"/>
    <n v="0"/>
  </r>
  <r>
    <x v="1"/>
    <x v="6"/>
    <x v="2"/>
    <x v="6"/>
    <x v="41"/>
    <x v="0"/>
    <x v="4"/>
    <n v="0"/>
  </r>
  <r>
    <x v="1"/>
    <x v="6"/>
    <x v="2"/>
    <x v="6"/>
    <x v="41"/>
    <x v="0"/>
    <x v="5"/>
    <n v="0"/>
  </r>
  <r>
    <x v="1"/>
    <x v="6"/>
    <x v="2"/>
    <x v="6"/>
    <x v="41"/>
    <x v="0"/>
    <x v="6"/>
    <n v="0"/>
  </r>
  <r>
    <x v="1"/>
    <x v="6"/>
    <x v="2"/>
    <x v="6"/>
    <x v="42"/>
    <x v="0"/>
    <x v="0"/>
    <n v="0"/>
  </r>
  <r>
    <x v="1"/>
    <x v="6"/>
    <x v="2"/>
    <x v="6"/>
    <x v="42"/>
    <x v="0"/>
    <x v="1"/>
    <n v="0"/>
  </r>
  <r>
    <x v="1"/>
    <x v="6"/>
    <x v="2"/>
    <x v="6"/>
    <x v="42"/>
    <x v="0"/>
    <x v="2"/>
    <n v="0"/>
  </r>
  <r>
    <x v="1"/>
    <x v="6"/>
    <x v="2"/>
    <x v="6"/>
    <x v="42"/>
    <x v="0"/>
    <x v="3"/>
    <n v="0"/>
  </r>
  <r>
    <x v="1"/>
    <x v="6"/>
    <x v="2"/>
    <x v="6"/>
    <x v="42"/>
    <x v="0"/>
    <x v="4"/>
    <n v="0"/>
  </r>
  <r>
    <x v="1"/>
    <x v="6"/>
    <x v="2"/>
    <x v="6"/>
    <x v="42"/>
    <x v="0"/>
    <x v="5"/>
    <n v="0"/>
  </r>
  <r>
    <x v="1"/>
    <x v="6"/>
    <x v="2"/>
    <x v="6"/>
    <x v="42"/>
    <x v="0"/>
    <x v="6"/>
    <n v="0"/>
  </r>
  <r>
    <x v="1"/>
    <x v="6"/>
    <x v="2"/>
    <x v="6"/>
    <x v="43"/>
    <x v="0"/>
    <x v="0"/>
    <n v="0"/>
  </r>
  <r>
    <x v="1"/>
    <x v="6"/>
    <x v="2"/>
    <x v="6"/>
    <x v="43"/>
    <x v="0"/>
    <x v="1"/>
    <n v="0"/>
  </r>
  <r>
    <x v="1"/>
    <x v="6"/>
    <x v="2"/>
    <x v="6"/>
    <x v="43"/>
    <x v="0"/>
    <x v="2"/>
    <n v="0"/>
  </r>
  <r>
    <x v="1"/>
    <x v="6"/>
    <x v="2"/>
    <x v="6"/>
    <x v="43"/>
    <x v="0"/>
    <x v="3"/>
    <n v="0"/>
  </r>
  <r>
    <x v="1"/>
    <x v="6"/>
    <x v="2"/>
    <x v="6"/>
    <x v="43"/>
    <x v="0"/>
    <x v="4"/>
    <n v="0"/>
  </r>
  <r>
    <x v="1"/>
    <x v="6"/>
    <x v="2"/>
    <x v="6"/>
    <x v="43"/>
    <x v="0"/>
    <x v="5"/>
    <n v="0"/>
  </r>
  <r>
    <x v="1"/>
    <x v="6"/>
    <x v="2"/>
    <x v="6"/>
    <x v="43"/>
    <x v="0"/>
    <x v="6"/>
    <n v="0"/>
  </r>
  <r>
    <x v="1"/>
    <x v="6"/>
    <x v="4"/>
    <x v="7"/>
    <x v="44"/>
    <x v="0"/>
    <x v="0"/>
    <n v="0"/>
  </r>
  <r>
    <x v="1"/>
    <x v="6"/>
    <x v="4"/>
    <x v="7"/>
    <x v="44"/>
    <x v="0"/>
    <x v="1"/>
    <n v="0"/>
  </r>
  <r>
    <x v="1"/>
    <x v="6"/>
    <x v="4"/>
    <x v="7"/>
    <x v="44"/>
    <x v="0"/>
    <x v="2"/>
    <n v="0"/>
  </r>
  <r>
    <x v="1"/>
    <x v="6"/>
    <x v="4"/>
    <x v="7"/>
    <x v="44"/>
    <x v="0"/>
    <x v="3"/>
    <n v="0"/>
  </r>
  <r>
    <x v="1"/>
    <x v="6"/>
    <x v="4"/>
    <x v="7"/>
    <x v="44"/>
    <x v="0"/>
    <x v="4"/>
    <n v="0"/>
  </r>
  <r>
    <x v="1"/>
    <x v="6"/>
    <x v="4"/>
    <x v="7"/>
    <x v="44"/>
    <x v="0"/>
    <x v="5"/>
    <n v="0"/>
  </r>
  <r>
    <x v="1"/>
    <x v="6"/>
    <x v="4"/>
    <x v="7"/>
    <x v="44"/>
    <x v="0"/>
    <x v="6"/>
    <n v="0"/>
  </r>
  <r>
    <x v="1"/>
    <x v="6"/>
    <x v="4"/>
    <x v="7"/>
    <x v="45"/>
    <x v="0"/>
    <x v="0"/>
    <n v="0"/>
  </r>
  <r>
    <x v="1"/>
    <x v="6"/>
    <x v="4"/>
    <x v="7"/>
    <x v="45"/>
    <x v="0"/>
    <x v="1"/>
    <n v="0"/>
  </r>
  <r>
    <x v="1"/>
    <x v="6"/>
    <x v="4"/>
    <x v="7"/>
    <x v="45"/>
    <x v="0"/>
    <x v="2"/>
    <n v="0"/>
  </r>
  <r>
    <x v="1"/>
    <x v="6"/>
    <x v="4"/>
    <x v="7"/>
    <x v="45"/>
    <x v="0"/>
    <x v="3"/>
    <n v="0"/>
  </r>
  <r>
    <x v="1"/>
    <x v="6"/>
    <x v="4"/>
    <x v="7"/>
    <x v="45"/>
    <x v="0"/>
    <x v="4"/>
    <n v="0"/>
  </r>
  <r>
    <x v="1"/>
    <x v="6"/>
    <x v="4"/>
    <x v="7"/>
    <x v="45"/>
    <x v="0"/>
    <x v="5"/>
    <n v="0"/>
  </r>
  <r>
    <x v="1"/>
    <x v="6"/>
    <x v="4"/>
    <x v="7"/>
    <x v="45"/>
    <x v="0"/>
    <x v="6"/>
    <n v="0"/>
  </r>
  <r>
    <x v="1"/>
    <x v="6"/>
    <x v="4"/>
    <x v="7"/>
    <x v="46"/>
    <x v="0"/>
    <x v="0"/>
    <n v="0"/>
  </r>
  <r>
    <x v="1"/>
    <x v="6"/>
    <x v="4"/>
    <x v="7"/>
    <x v="46"/>
    <x v="0"/>
    <x v="1"/>
    <n v="0"/>
  </r>
  <r>
    <x v="1"/>
    <x v="6"/>
    <x v="4"/>
    <x v="7"/>
    <x v="46"/>
    <x v="0"/>
    <x v="2"/>
    <n v="0"/>
  </r>
  <r>
    <x v="1"/>
    <x v="6"/>
    <x v="4"/>
    <x v="7"/>
    <x v="46"/>
    <x v="0"/>
    <x v="3"/>
    <n v="0"/>
  </r>
  <r>
    <x v="1"/>
    <x v="6"/>
    <x v="4"/>
    <x v="7"/>
    <x v="46"/>
    <x v="0"/>
    <x v="4"/>
    <n v="0"/>
  </r>
  <r>
    <x v="1"/>
    <x v="6"/>
    <x v="4"/>
    <x v="7"/>
    <x v="46"/>
    <x v="0"/>
    <x v="5"/>
    <n v="0"/>
  </r>
  <r>
    <x v="1"/>
    <x v="6"/>
    <x v="4"/>
    <x v="7"/>
    <x v="46"/>
    <x v="0"/>
    <x v="6"/>
    <n v="0"/>
  </r>
  <r>
    <x v="1"/>
    <x v="6"/>
    <x v="4"/>
    <x v="7"/>
    <x v="47"/>
    <x v="0"/>
    <x v="0"/>
    <n v="0"/>
  </r>
  <r>
    <x v="1"/>
    <x v="6"/>
    <x v="4"/>
    <x v="7"/>
    <x v="47"/>
    <x v="0"/>
    <x v="1"/>
    <n v="0"/>
  </r>
  <r>
    <x v="1"/>
    <x v="6"/>
    <x v="4"/>
    <x v="7"/>
    <x v="47"/>
    <x v="0"/>
    <x v="2"/>
    <n v="0"/>
  </r>
  <r>
    <x v="1"/>
    <x v="6"/>
    <x v="4"/>
    <x v="7"/>
    <x v="47"/>
    <x v="0"/>
    <x v="3"/>
    <n v="0"/>
  </r>
  <r>
    <x v="1"/>
    <x v="6"/>
    <x v="4"/>
    <x v="7"/>
    <x v="47"/>
    <x v="0"/>
    <x v="4"/>
    <n v="0"/>
  </r>
  <r>
    <x v="1"/>
    <x v="6"/>
    <x v="4"/>
    <x v="7"/>
    <x v="47"/>
    <x v="0"/>
    <x v="5"/>
    <n v="0"/>
  </r>
  <r>
    <x v="1"/>
    <x v="6"/>
    <x v="4"/>
    <x v="7"/>
    <x v="47"/>
    <x v="0"/>
    <x v="6"/>
    <n v="0"/>
  </r>
  <r>
    <x v="1"/>
    <x v="6"/>
    <x v="4"/>
    <x v="7"/>
    <x v="48"/>
    <x v="0"/>
    <x v="0"/>
    <n v="0"/>
  </r>
  <r>
    <x v="1"/>
    <x v="6"/>
    <x v="4"/>
    <x v="7"/>
    <x v="48"/>
    <x v="0"/>
    <x v="1"/>
    <n v="0"/>
  </r>
  <r>
    <x v="1"/>
    <x v="6"/>
    <x v="4"/>
    <x v="7"/>
    <x v="48"/>
    <x v="0"/>
    <x v="2"/>
    <n v="0"/>
  </r>
  <r>
    <x v="1"/>
    <x v="6"/>
    <x v="4"/>
    <x v="7"/>
    <x v="48"/>
    <x v="0"/>
    <x v="3"/>
    <n v="0"/>
  </r>
  <r>
    <x v="1"/>
    <x v="6"/>
    <x v="4"/>
    <x v="7"/>
    <x v="48"/>
    <x v="0"/>
    <x v="4"/>
    <n v="0"/>
  </r>
  <r>
    <x v="1"/>
    <x v="6"/>
    <x v="4"/>
    <x v="7"/>
    <x v="48"/>
    <x v="0"/>
    <x v="5"/>
    <n v="0"/>
  </r>
  <r>
    <x v="1"/>
    <x v="6"/>
    <x v="4"/>
    <x v="7"/>
    <x v="48"/>
    <x v="0"/>
    <x v="6"/>
    <n v="0"/>
  </r>
  <r>
    <x v="1"/>
    <x v="6"/>
    <x v="4"/>
    <x v="7"/>
    <x v="49"/>
    <x v="0"/>
    <x v="0"/>
    <n v="0"/>
  </r>
  <r>
    <x v="1"/>
    <x v="6"/>
    <x v="4"/>
    <x v="7"/>
    <x v="49"/>
    <x v="0"/>
    <x v="1"/>
    <n v="0"/>
  </r>
  <r>
    <x v="1"/>
    <x v="6"/>
    <x v="4"/>
    <x v="7"/>
    <x v="49"/>
    <x v="0"/>
    <x v="2"/>
    <n v="0"/>
  </r>
  <r>
    <x v="1"/>
    <x v="6"/>
    <x v="4"/>
    <x v="7"/>
    <x v="49"/>
    <x v="0"/>
    <x v="3"/>
    <n v="0"/>
  </r>
  <r>
    <x v="1"/>
    <x v="6"/>
    <x v="4"/>
    <x v="7"/>
    <x v="49"/>
    <x v="0"/>
    <x v="4"/>
    <n v="0"/>
  </r>
  <r>
    <x v="1"/>
    <x v="6"/>
    <x v="4"/>
    <x v="7"/>
    <x v="49"/>
    <x v="0"/>
    <x v="5"/>
    <n v="0"/>
  </r>
  <r>
    <x v="1"/>
    <x v="6"/>
    <x v="4"/>
    <x v="7"/>
    <x v="49"/>
    <x v="0"/>
    <x v="6"/>
    <n v="0"/>
  </r>
  <r>
    <x v="1"/>
    <x v="6"/>
    <x v="4"/>
    <x v="7"/>
    <x v="50"/>
    <x v="0"/>
    <x v="0"/>
    <n v="0"/>
  </r>
  <r>
    <x v="1"/>
    <x v="6"/>
    <x v="4"/>
    <x v="7"/>
    <x v="50"/>
    <x v="0"/>
    <x v="1"/>
    <n v="0"/>
  </r>
  <r>
    <x v="1"/>
    <x v="6"/>
    <x v="4"/>
    <x v="7"/>
    <x v="50"/>
    <x v="0"/>
    <x v="2"/>
    <n v="0"/>
  </r>
  <r>
    <x v="1"/>
    <x v="6"/>
    <x v="4"/>
    <x v="7"/>
    <x v="50"/>
    <x v="0"/>
    <x v="3"/>
    <n v="0"/>
  </r>
  <r>
    <x v="1"/>
    <x v="6"/>
    <x v="4"/>
    <x v="7"/>
    <x v="50"/>
    <x v="0"/>
    <x v="4"/>
    <n v="0"/>
  </r>
  <r>
    <x v="1"/>
    <x v="6"/>
    <x v="4"/>
    <x v="7"/>
    <x v="50"/>
    <x v="0"/>
    <x v="5"/>
    <n v="0"/>
  </r>
  <r>
    <x v="1"/>
    <x v="6"/>
    <x v="4"/>
    <x v="7"/>
    <x v="50"/>
    <x v="0"/>
    <x v="6"/>
    <n v="0"/>
  </r>
  <r>
    <x v="1"/>
    <x v="6"/>
    <x v="5"/>
    <x v="8"/>
    <x v="51"/>
    <x v="0"/>
    <x v="0"/>
    <n v="0"/>
  </r>
  <r>
    <x v="1"/>
    <x v="6"/>
    <x v="5"/>
    <x v="8"/>
    <x v="51"/>
    <x v="0"/>
    <x v="1"/>
    <n v="0"/>
  </r>
  <r>
    <x v="1"/>
    <x v="6"/>
    <x v="5"/>
    <x v="8"/>
    <x v="51"/>
    <x v="0"/>
    <x v="2"/>
    <n v="0"/>
  </r>
  <r>
    <x v="1"/>
    <x v="6"/>
    <x v="5"/>
    <x v="8"/>
    <x v="51"/>
    <x v="0"/>
    <x v="3"/>
    <n v="0"/>
  </r>
  <r>
    <x v="1"/>
    <x v="6"/>
    <x v="5"/>
    <x v="8"/>
    <x v="51"/>
    <x v="0"/>
    <x v="4"/>
    <n v="0"/>
  </r>
  <r>
    <x v="1"/>
    <x v="6"/>
    <x v="5"/>
    <x v="8"/>
    <x v="51"/>
    <x v="0"/>
    <x v="5"/>
    <n v="0"/>
  </r>
  <r>
    <x v="1"/>
    <x v="6"/>
    <x v="5"/>
    <x v="8"/>
    <x v="51"/>
    <x v="0"/>
    <x v="6"/>
    <n v="0"/>
  </r>
  <r>
    <x v="1"/>
    <x v="6"/>
    <x v="3"/>
    <x v="5"/>
    <x v="52"/>
    <x v="0"/>
    <x v="0"/>
    <n v="0"/>
  </r>
  <r>
    <x v="1"/>
    <x v="6"/>
    <x v="3"/>
    <x v="5"/>
    <x v="52"/>
    <x v="0"/>
    <x v="1"/>
    <n v="0"/>
  </r>
  <r>
    <x v="1"/>
    <x v="6"/>
    <x v="3"/>
    <x v="5"/>
    <x v="52"/>
    <x v="0"/>
    <x v="2"/>
    <n v="0"/>
  </r>
  <r>
    <x v="1"/>
    <x v="6"/>
    <x v="3"/>
    <x v="5"/>
    <x v="52"/>
    <x v="0"/>
    <x v="3"/>
    <n v="0"/>
  </r>
  <r>
    <x v="1"/>
    <x v="6"/>
    <x v="3"/>
    <x v="5"/>
    <x v="52"/>
    <x v="0"/>
    <x v="4"/>
    <n v="0"/>
  </r>
  <r>
    <x v="1"/>
    <x v="6"/>
    <x v="3"/>
    <x v="5"/>
    <x v="52"/>
    <x v="0"/>
    <x v="5"/>
    <n v="0"/>
  </r>
  <r>
    <x v="1"/>
    <x v="6"/>
    <x v="3"/>
    <x v="5"/>
    <x v="52"/>
    <x v="0"/>
    <x v="6"/>
    <n v="0"/>
  </r>
  <r>
    <x v="1"/>
    <x v="6"/>
    <x v="5"/>
    <x v="8"/>
    <x v="53"/>
    <x v="0"/>
    <x v="0"/>
    <n v="0"/>
  </r>
  <r>
    <x v="1"/>
    <x v="6"/>
    <x v="5"/>
    <x v="8"/>
    <x v="53"/>
    <x v="0"/>
    <x v="1"/>
    <n v="0"/>
  </r>
  <r>
    <x v="1"/>
    <x v="6"/>
    <x v="5"/>
    <x v="8"/>
    <x v="53"/>
    <x v="0"/>
    <x v="2"/>
    <n v="0"/>
  </r>
  <r>
    <x v="1"/>
    <x v="6"/>
    <x v="5"/>
    <x v="8"/>
    <x v="53"/>
    <x v="0"/>
    <x v="3"/>
    <n v="0"/>
  </r>
  <r>
    <x v="1"/>
    <x v="6"/>
    <x v="5"/>
    <x v="8"/>
    <x v="53"/>
    <x v="0"/>
    <x v="4"/>
    <n v="0"/>
  </r>
  <r>
    <x v="1"/>
    <x v="6"/>
    <x v="5"/>
    <x v="8"/>
    <x v="53"/>
    <x v="0"/>
    <x v="5"/>
    <n v="0"/>
  </r>
  <r>
    <x v="1"/>
    <x v="6"/>
    <x v="5"/>
    <x v="8"/>
    <x v="53"/>
    <x v="0"/>
    <x v="6"/>
    <n v="0"/>
  </r>
  <r>
    <x v="1"/>
    <x v="6"/>
    <x v="4"/>
    <x v="7"/>
    <x v="54"/>
    <x v="0"/>
    <x v="0"/>
    <n v="0"/>
  </r>
  <r>
    <x v="1"/>
    <x v="6"/>
    <x v="4"/>
    <x v="7"/>
    <x v="54"/>
    <x v="0"/>
    <x v="1"/>
    <n v="0"/>
  </r>
  <r>
    <x v="1"/>
    <x v="6"/>
    <x v="4"/>
    <x v="7"/>
    <x v="54"/>
    <x v="0"/>
    <x v="2"/>
    <n v="0"/>
  </r>
  <r>
    <x v="1"/>
    <x v="6"/>
    <x v="4"/>
    <x v="7"/>
    <x v="54"/>
    <x v="0"/>
    <x v="3"/>
    <n v="0"/>
  </r>
  <r>
    <x v="1"/>
    <x v="6"/>
    <x v="4"/>
    <x v="7"/>
    <x v="54"/>
    <x v="0"/>
    <x v="4"/>
    <n v="0"/>
  </r>
  <r>
    <x v="1"/>
    <x v="6"/>
    <x v="4"/>
    <x v="7"/>
    <x v="54"/>
    <x v="0"/>
    <x v="5"/>
    <n v="0"/>
  </r>
  <r>
    <x v="1"/>
    <x v="6"/>
    <x v="4"/>
    <x v="7"/>
    <x v="54"/>
    <x v="0"/>
    <x v="6"/>
    <n v="0"/>
  </r>
  <r>
    <x v="1"/>
    <x v="6"/>
    <x v="4"/>
    <x v="7"/>
    <x v="55"/>
    <x v="0"/>
    <x v="0"/>
    <n v="0"/>
  </r>
  <r>
    <x v="1"/>
    <x v="6"/>
    <x v="4"/>
    <x v="7"/>
    <x v="55"/>
    <x v="0"/>
    <x v="1"/>
    <n v="0"/>
  </r>
  <r>
    <x v="1"/>
    <x v="6"/>
    <x v="4"/>
    <x v="7"/>
    <x v="55"/>
    <x v="0"/>
    <x v="2"/>
    <n v="0"/>
  </r>
  <r>
    <x v="1"/>
    <x v="6"/>
    <x v="4"/>
    <x v="7"/>
    <x v="55"/>
    <x v="0"/>
    <x v="3"/>
    <n v="0"/>
  </r>
  <r>
    <x v="1"/>
    <x v="6"/>
    <x v="4"/>
    <x v="7"/>
    <x v="55"/>
    <x v="0"/>
    <x v="4"/>
    <n v="0"/>
  </r>
  <r>
    <x v="1"/>
    <x v="6"/>
    <x v="4"/>
    <x v="7"/>
    <x v="55"/>
    <x v="0"/>
    <x v="5"/>
    <n v="0"/>
  </r>
  <r>
    <x v="1"/>
    <x v="6"/>
    <x v="4"/>
    <x v="7"/>
    <x v="55"/>
    <x v="0"/>
    <x v="6"/>
    <n v="0"/>
  </r>
  <r>
    <x v="1"/>
    <x v="6"/>
    <x v="4"/>
    <x v="7"/>
    <x v="56"/>
    <x v="0"/>
    <x v="0"/>
    <n v="0"/>
  </r>
  <r>
    <x v="1"/>
    <x v="6"/>
    <x v="4"/>
    <x v="7"/>
    <x v="56"/>
    <x v="0"/>
    <x v="1"/>
    <n v="0"/>
  </r>
  <r>
    <x v="1"/>
    <x v="6"/>
    <x v="4"/>
    <x v="7"/>
    <x v="56"/>
    <x v="0"/>
    <x v="2"/>
    <n v="0"/>
  </r>
  <r>
    <x v="1"/>
    <x v="6"/>
    <x v="4"/>
    <x v="7"/>
    <x v="56"/>
    <x v="0"/>
    <x v="3"/>
    <n v="0"/>
  </r>
  <r>
    <x v="1"/>
    <x v="6"/>
    <x v="4"/>
    <x v="7"/>
    <x v="56"/>
    <x v="0"/>
    <x v="4"/>
    <n v="0"/>
  </r>
  <r>
    <x v="1"/>
    <x v="6"/>
    <x v="4"/>
    <x v="7"/>
    <x v="56"/>
    <x v="0"/>
    <x v="5"/>
    <n v="0"/>
  </r>
  <r>
    <x v="1"/>
    <x v="6"/>
    <x v="4"/>
    <x v="7"/>
    <x v="56"/>
    <x v="0"/>
    <x v="6"/>
    <n v="0"/>
  </r>
  <r>
    <x v="1"/>
    <x v="6"/>
    <x v="4"/>
    <x v="7"/>
    <x v="57"/>
    <x v="0"/>
    <x v="0"/>
    <n v="0"/>
  </r>
  <r>
    <x v="1"/>
    <x v="6"/>
    <x v="4"/>
    <x v="7"/>
    <x v="57"/>
    <x v="0"/>
    <x v="1"/>
    <n v="0"/>
  </r>
  <r>
    <x v="1"/>
    <x v="6"/>
    <x v="4"/>
    <x v="7"/>
    <x v="57"/>
    <x v="0"/>
    <x v="2"/>
    <n v="0"/>
  </r>
  <r>
    <x v="1"/>
    <x v="6"/>
    <x v="4"/>
    <x v="7"/>
    <x v="57"/>
    <x v="0"/>
    <x v="3"/>
    <n v="0"/>
  </r>
  <r>
    <x v="1"/>
    <x v="6"/>
    <x v="4"/>
    <x v="7"/>
    <x v="57"/>
    <x v="0"/>
    <x v="4"/>
    <n v="0"/>
  </r>
  <r>
    <x v="1"/>
    <x v="6"/>
    <x v="4"/>
    <x v="7"/>
    <x v="57"/>
    <x v="0"/>
    <x v="5"/>
    <n v="0"/>
  </r>
  <r>
    <x v="1"/>
    <x v="6"/>
    <x v="4"/>
    <x v="7"/>
    <x v="57"/>
    <x v="0"/>
    <x v="6"/>
    <n v="0"/>
  </r>
  <r>
    <x v="1"/>
    <x v="6"/>
    <x v="4"/>
    <x v="7"/>
    <x v="58"/>
    <x v="0"/>
    <x v="0"/>
    <n v="0"/>
  </r>
  <r>
    <x v="1"/>
    <x v="6"/>
    <x v="4"/>
    <x v="7"/>
    <x v="58"/>
    <x v="0"/>
    <x v="1"/>
    <n v="0"/>
  </r>
  <r>
    <x v="1"/>
    <x v="6"/>
    <x v="4"/>
    <x v="7"/>
    <x v="58"/>
    <x v="0"/>
    <x v="2"/>
    <n v="0"/>
  </r>
  <r>
    <x v="1"/>
    <x v="6"/>
    <x v="4"/>
    <x v="7"/>
    <x v="58"/>
    <x v="0"/>
    <x v="3"/>
    <n v="0"/>
  </r>
  <r>
    <x v="1"/>
    <x v="6"/>
    <x v="4"/>
    <x v="7"/>
    <x v="58"/>
    <x v="0"/>
    <x v="4"/>
    <n v="0"/>
  </r>
  <r>
    <x v="1"/>
    <x v="6"/>
    <x v="4"/>
    <x v="7"/>
    <x v="58"/>
    <x v="0"/>
    <x v="5"/>
    <n v="0"/>
  </r>
  <r>
    <x v="1"/>
    <x v="6"/>
    <x v="4"/>
    <x v="7"/>
    <x v="58"/>
    <x v="0"/>
    <x v="6"/>
    <n v="0"/>
  </r>
  <r>
    <x v="1"/>
    <x v="6"/>
    <x v="4"/>
    <x v="7"/>
    <x v="59"/>
    <x v="0"/>
    <x v="0"/>
    <n v="0"/>
  </r>
  <r>
    <x v="1"/>
    <x v="6"/>
    <x v="4"/>
    <x v="7"/>
    <x v="59"/>
    <x v="0"/>
    <x v="1"/>
    <n v="0"/>
  </r>
  <r>
    <x v="1"/>
    <x v="6"/>
    <x v="4"/>
    <x v="7"/>
    <x v="59"/>
    <x v="0"/>
    <x v="2"/>
    <n v="0"/>
  </r>
  <r>
    <x v="1"/>
    <x v="6"/>
    <x v="4"/>
    <x v="7"/>
    <x v="59"/>
    <x v="0"/>
    <x v="3"/>
    <n v="0"/>
  </r>
  <r>
    <x v="1"/>
    <x v="6"/>
    <x v="4"/>
    <x v="7"/>
    <x v="59"/>
    <x v="0"/>
    <x v="4"/>
    <n v="0"/>
  </r>
  <r>
    <x v="1"/>
    <x v="6"/>
    <x v="4"/>
    <x v="7"/>
    <x v="59"/>
    <x v="0"/>
    <x v="5"/>
    <n v="0"/>
  </r>
  <r>
    <x v="1"/>
    <x v="6"/>
    <x v="4"/>
    <x v="7"/>
    <x v="59"/>
    <x v="0"/>
    <x v="6"/>
    <n v="0"/>
  </r>
  <r>
    <x v="1"/>
    <x v="6"/>
    <x v="4"/>
    <x v="7"/>
    <x v="60"/>
    <x v="0"/>
    <x v="0"/>
    <n v="0"/>
  </r>
  <r>
    <x v="1"/>
    <x v="6"/>
    <x v="4"/>
    <x v="7"/>
    <x v="60"/>
    <x v="0"/>
    <x v="1"/>
    <n v="0"/>
  </r>
  <r>
    <x v="1"/>
    <x v="6"/>
    <x v="4"/>
    <x v="7"/>
    <x v="60"/>
    <x v="0"/>
    <x v="2"/>
    <n v="0"/>
  </r>
  <r>
    <x v="1"/>
    <x v="6"/>
    <x v="4"/>
    <x v="7"/>
    <x v="60"/>
    <x v="0"/>
    <x v="3"/>
    <n v="0"/>
  </r>
  <r>
    <x v="1"/>
    <x v="6"/>
    <x v="4"/>
    <x v="7"/>
    <x v="60"/>
    <x v="0"/>
    <x v="4"/>
    <n v="0"/>
  </r>
  <r>
    <x v="1"/>
    <x v="6"/>
    <x v="4"/>
    <x v="7"/>
    <x v="60"/>
    <x v="0"/>
    <x v="5"/>
    <n v="0"/>
  </r>
  <r>
    <x v="1"/>
    <x v="6"/>
    <x v="4"/>
    <x v="7"/>
    <x v="60"/>
    <x v="0"/>
    <x v="6"/>
    <n v="0"/>
  </r>
  <r>
    <x v="1"/>
    <x v="6"/>
    <x v="4"/>
    <x v="7"/>
    <x v="61"/>
    <x v="0"/>
    <x v="0"/>
    <n v="0"/>
  </r>
  <r>
    <x v="1"/>
    <x v="6"/>
    <x v="4"/>
    <x v="7"/>
    <x v="61"/>
    <x v="0"/>
    <x v="1"/>
    <n v="0"/>
  </r>
  <r>
    <x v="1"/>
    <x v="6"/>
    <x v="4"/>
    <x v="7"/>
    <x v="61"/>
    <x v="0"/>
    <x v="2"/>
    <n v="0"/>
  </r>
  <r>
    <x v="1"/>
    <x v="6"/>
    <x v="4"/>
    <x v="7"/>
    <x v="61"/>
    <x v="0"/>
    <x v="3"/>
    <n v="0"/>
  </r>
  <r>
    <x v="1"/>
    <x v="6"/>
    <x v="4"/>
    <x v="7"/>
    <x v="61"/>
    <x v="0"/>
    <x v="4"/>
    <n v="0"/>
  </r>
  <r>
    <x v="1"/>
    <x v="6"/>
    <x v="4"/>
    <x v="7"/>
    <x v="61"/>
    <x v="0"/>
    <x v="5"/>
    <n v="0"/>
  </r>
  <r>
    <x v="1"/>
    <x v="6"/>
    <x v="4"/>
    <x v="7"/>
    <x v="61"/>
    <x v="0"/>
    <x v="6"/>
    <n v="0"/>
  </r>
  <r>
    <x v="1"/>
    <x v="6"/>
    <x v="4"/>
    <x v="7"/>
    <x v="62"/>
    <x v="0"/>
    <x v="0"/>
    <n v="0"/>
  </r>
  <r>
    <x v="1"/>
    <x v="6"/>
    <x v="4"/>
    <x v="7"/>
    <x v="62"/>
    <x v="0"/>
    <x v="1"/>
    <n v="0"/>
  </r>
  <r>
    <x v="1"/>
    <x v="6"/>
    <x v="4"/>
    <x v="7"/>
    <x v="62"/>
    <x v="0"/>
    <x v="2"/>
    <n v="0"/>
  </r>
  <r>
    <x v="1"/>
    <x v="6"/>
    <x v="4"/>
    <x v="7"/>
    <x v="62"/>
    <x v="0"/>
    <x v="3"/>
    <n v="0"/>
  </r>
  <r>
    <x v="1"/>
    <x v="6"/>
    <x v="4"/>
    <x v="7"/>
    <x v="62"/>
    <x v="0"/>
    <x v="4"/>
    <n v="0"/>
  </r>
  <r>
    <x v="1"/>
    <x v="6"/>
    <x v="4"/>
    <x v="7"/>
    <x v="62"/>
    <x v="0"/>
    <x v="5"/>
    <n v="0"/>
  </r>
  <r>
    <x v="1"/>
    <x v="6"/>
    <x v="4"/>
    <x v="7"/>
    <x v="62"/>
    <x v="0"/>
    <x v="6"/>
    <n v="0"/>
  </r>
  <r>
    <x v="1"/>
    <x v="6"/>
    <x v="4"/>
    <x v="7"/>
    <x v="63"/>
    <x v="0"/>
    <x v="0"/>
    <n v="0"/>
  </r>
  <r>
    <x v="1"/>
    <x v="6"/>
    <x v="4"/>
    <x v="7"/>
    <x v="63"/>
    <x v="0"/>
    <x v="1"/>
    <n v="0"/>
  </r>
  <r>
    <x v="1"/>
    <x v="6"/>
    <x v="4"/>
    <x v="7"/>
    <x v="63"/>
    <x v="0"/>
    <x v="2"/>
    <n v="0"/>
  </r>
  <r>
    <x v="1"/>
    <x v="6"/>
    <x v="4"/>
    <x v="7"/>
    <x v="63"/>
    <x v="0"/>
    <x v="3"/>
    <n v="0"/>
  </r>
  <r>
    <x v="1"/>
    <x v="6"/>
    <x v="4"/>
    <x v="7"/>
    <x v="63"/>
    <x v="0"/>
    <x v="4"/>
    <n v="0"/>
  </r>
  <r>
    <x v="1"/>
    <x v="6"/>
    <x v="4"/>
    <x v="7"/>
    <x v="63"/>
    <x v="0"/>
    <x v="5"/>
    <n v="0"/>
  </r>
  <r>
    <x v="1"/>
    <x v="6"/>
    <x v="4"/>
    <x v="7"/>
    <x v="63"/>
    <x v="0"/>
    <x v="6"/>
    <n v="0"/>
  </r>
  <r>
    <x v="1"/>
    <x v="6"/>
    <x v="4"/>
    <x v="7"/>
    <x v="64"/>
    <x v="0"/>
    <x v="0"/>
    <n v="0"/>
  </r>
  <r>
    <x v="1"/>
    <x v="6"/>
    <x v="4"/>
    <x v="7"/>
    <x v="64"/>
    <x v="0"/>
    <x v="1"/>
    <n v="0"/>
  </r>
  <r>
    <x v="1"/>
    <x v="6"/>
    <x v="4"/>
    <x v="7"/>
    <x v="64"/>
    <x v="0"/>
    <x v="2"/>
    <n v="0"/>
  </r>
  <r>
    <x v="1"/>
    <x v="6"/>
    <x v="4"/>
    <x v="7"/>
    <x v="64"/>
    <x v="0"/>
    <x v="3"/>
    <n v="0"/>
  </r>
  <r>
    <x v="1"/>
    <x v="6"/>
    <x v="4"/>
    <x v="7"/>
    <x v="64"/>
    <x v="0"/>
    <x v="4"/>
    <n v="0"/>
  </r>
  <r>
    <x v="1"/>
    <x v="6"/>
    <x v="4"/>
    <x v="7"/>
    <x v="64"/>
    <x v="0"/>
    <x v="5"/>
    <n v="0"/>
  </r>
  <r>
    <x v="1"/>
    <x v="6"/>
    <x v="4"/>
    <x v="7"/>
    <x v="64"/>
    <x v="0"/>
    <x v="6"/>
    <n v="0"/>
  </r>
  <r>
    <x v="1"/>
    <x v="6"/>
    <x v="3"/>
    <x v="5"/>
    <x v="65"/>
    <x v="0"/>
    <x v="0"/>
    <n v="0"/>
  </r>
  <r>
    <x v="1"/>
    <x v="6"/>
    <x v="3"/>
    <x v="5"/>
    <x v="65"/>
    <x v="0"/>
    <x v="1"/>
    <n v="0"/>
  </r>
  <r>
    <x v="1"/>
    <x v="6"/>
    <x v="3"/>
    <x v="5"/>
    <x v="65"/>
    <x v="0"/>
    <x v="2"/>
    <n v="0"/>
  </r>
  <r>
    <x v="1"/>
    <x v="6"/>
    <x v="3"/>
    <x v="5"/>
    <x v="65"/>
    <x v="0"/>
    <x v="3"/>
    <n v="0"/>
  </r>
  <r>
    <x v="1"/>
    <x v="6"/>
    <x v="3"/>
    <x v="5"/>
    <x v="65"/>
    <x v="0"/>
    <x v="4"/>
    <n v="0"/>
  </r>
  <r>
    <x v="1"/>
    <x v="6"/>
    <x v="3"/>
    <x v="5"/>
    <x v="65"/>
    <x v="0"/>
    <x v="5"/>
    <n v="0"/>
  </r>
  <r>
    <x v="1"/>
    <x v="6"/>
    <x v="3"/>
    <x v="5"/>
    <x v="65"/>
    <x v="0"/>
    <x v="6"/>
    <n v="0"/>
  </r>
  <r>
    <x v="1"/>
    <x v="6"/>
    <x v="3"/>
    <x v="5"/>
    <x v="66"/>
    <x v="0"/>
    <x v="0"/>
    <n v="0"/>
  </r>
  <r>
    <x v="1"/>
    <x v="6"/>
    <x v="3"/>
    <x v="5"/>
    <x v="66"/>
    <x v="0"/>
    <x v="1"/>
    <n v="0"/>
  </r>
  <r>
    <x v="1"/>
    <x v="6"/>
    <x v="3"/>
    <x v="5"/>
    <x v="66"/>
    <x v="0"/>
    <x v="2"/>
    <n v="0"/>
  </r>
  <r>
    <x v="1"/>
    <x v="6"/>
    <x v="3"/>
    <x v="5"/>
    <x v="66"/>
    <x v="0"/>
    <x v="3"/>
    <n v="0"/>
  </r>
  <r>
    <x v="1"/>
    <x v="6"/>
    <x v="3"/>
    <x v="5"/>
    <x v="66"/>
    <x v="0"/>
    <x v="4"/>
    <n v="0"/>
  </r>
  <r>
    <x v="1"/>
    <x v="6"/>
    <x v="3"/>
    <x v="5"/>
    <x v="66"/>
    <x v="0"/>
    <x v="5"/>
    <n v="0"/>
  </r>
  <r>
    <x v="1"/>
    <x v="6"/>
    <x v="3"/>
    <x v="5"/>
    <x v="66"/>
    <x v="0"/>
    <x v="6"/>
    <n v="0"/>
  </r>
  <r>
    <x v="1"/>
    <x v="6"/>
    <x v="3"/>
    <x v="5"/>
    <x v="67"/>
    <x v="0"/>
    <x v="0"/>
    <n v="0"/>
  </r>
  <r>
    <x v="1"/>
    <x v="6"/>
    <x v="3"/>
    <x v="5"/>
    <x v="67"/>
    <x v="0"/>
    <x v="1"/>
    <n v="0"/>
  </r>
  <r>
    <x v="1"/>
    <x v="6"/>
    <x v="3"/>
    <x v="5"/>
    <x v="67"/>
    <x v="0"/>
    <x v="2"/>
    <n v="0"/>
  </r>
  <r>
    <x v="1"/>
    <x v="6"/>
    <x v="3"/>
    <x v="5"/>
    <x v="67"/>
    <x v="0"/>
    <x v="3"/>
    <n v="0"/>
  </r>
  <r>
    <x v="1"/>
    <x v="6"/>
    <x v="3"/>
    <x v="5"/>
    <x v="67"/>
    <x v="0"/>
    <x v="4"/>
    <n v="0"/>
  </r>
  <r>
    <x v="1"/>
    <x v="6"/>
    <x v="3"/>
    <x v="5"/>
    <x v="67"/>
    <x v="0"/>
    <x v="5"/>
    <n v="0"/>
  </r>
  <r>
    <x v="1"/>
    <x v="6"/>
    <x v="3"/>
    <x v="5"/>
    <x v="67"/>
    <x v="0"/>
    <x v="6"/>
    <n v="0"/>
  </r>
  <r>
    <x v="1"/>
    <x v="6"/>
    <x v="3"/>
    <x v="5"/>
    <x v="68"/>
    <x v="0"/>
    <x v="0"/>
    <n v="0"/>
  </r>
  <r>
    <x v="1"/>
    <x v="6"/>
    <x v="3"/>
    <x v="5"/>
    <x v="68"/>
    <x v="0"/>
    <x v="1"/>
    <n v="0"/>
  </r>
  <r>
    <x v="1"/>
    <x v="6"/>
    <x v="3"/>
    <x v="5"/>
    <x v="68"/>
    <x v="0"/>
    <x v="2"/>
    <n v="0"/>
  </r>
  <r>
    <x v="1"/>
    <x v="6"/>
    <x v="3"/>
    <x v="5"/>
    <x v="68"/>
    <x v="0"/>
    <x v="3"/>
    <n v="0"/>
  </r>
  <r>
    <x v="1"/>
    <x v="6"/>
    <x v="3"/>
    <x v="5"/>
    <x v="68"/>
    <x v="0"/>
    <x v="4"/>
    <n v="0"/>
  </r>
  <r>
    <x v="1"/>
    <x v="6"/>
    <x v="3"/>
    <x v="5"/>
    <x v="68"/>
    <x v="0"/>
    <x v="5"/>
    <n v="0"/>
  </r>
  <r>
    <x v="1"/>
    <x v="6"/>
    <x v="3"/>
    <x v="5"/>
    <x v="68"/>
    <x v="0"/>
    <x v="6"/>
    <n v="0"/>
  </r>
  <r>
    <x v="1"/>
    <x v="6"/>
    <x v="3"/>
    <x v="5"/>
    <x v="69"/>
    <x v="0"/>
    <x v="0"/>
    <n v="0"/>
  </r>
  <r>
    <x v="1"/>
    <x v="6"/>
    <x v="3"/>
    <x v="5"/>
    <x v="69"/>
    <x v="0"/>
    <x v="1"/>
    <n v="0"/>
  </r>
  <r>
    <x v="1"/>
    <x v="6"/>
    <x v="3"/>
    <x v="5"/>
    <x v="69"/>
    <x v="0"/>
    <x v="2"/>
    <n v="0"/>
  </r>
  <r>
    <x v="1"/>
    <x v="6"/>
    <x v="3"/>
    <x v="5"/>
    <x v="69"/>
    <x v="0"/>
    <x v="3"/>
    <n v="0"/>
  </r>
  <r>
    <x v="1"/>
    <x v="6"/>
    <x v="3"/>
    <x v="5"/>
    <x v="69"/>
    <x v="0"/>
    <x v="4"/>
    <n v="0"/>
  </r>
  <r>
    <x v="1"/>
    <x v="6"/>
    <x v="3"/>
    <x v="5"/>
    <x v="69"/>
    <x v="0"/>
    <x v="5"/>
    <n v="0"/>
  </r>
  <r>
    <x v="1"/>
    <x v="6"/>
    <x v="3"/>
    <x v="5"/>
    <x v="69"/>
    <x v="0"/>
    <x v="6"/>
    <n v="0"/>
  </r>
  <r>
    <x v="1"/>
    <x v="6"/>
    <x v="3"/>
    <x v="5"/>
    <x v="70"/>
    <x v="0"/>
    <x v="0"/>
    <n v="0"/>
  </r>
  <r>
    <x v="1"/>
    <x v="6"/>
    <x v="3"/>
    <x v="5"/>
    <x v="70"/>
    <x v="0"/>
    <x v="1"/>
    <n v="0"/>
  </r>
  <r>
    <x v="1"/>
    <x v="6"/>
    <x v="3"/>
    <x v="5"/>
    <x v="70"/>
    <x v="0"/>
    <x v="2"/>
    <n v="0"/>
  </r>
  <r>
    <x v="1"/>
    <x v="6"/>
    <x v="3"/>
    <x v="5"/>
    <x v="70"/>
    <x v="0"/>
    <x v="3"/>
    <n v="0"/>
  </r>
  <r>
    <x v="1"/>
    <x v="6"/>
    <x v="3"/>
    <x v="5"/>
    <x v="70"/>
    <x v="0"/>
    <x v="4"/>
    <n v="0"/>
  </r>
  <r>
    <x v="1"/>
    <x v="6"/>
    <x v="3"/>
    <x v="5"/>
    <x v="70"/>
    <x v="0"/>
    <x v="5"/>
    <n v="0"/>
  </r>
  <r>
    <x v="1"/>
    <x v="6"/>
    <x v="3"/>
    <x v="5"/>
    <x v="70"/>
    <x v="0"/>
    <x v="6"/>
    <n v="0"/>
  </r>
  <r>
    <x v="1"/>
    <x v="6"/>
    <x v="3"/>
    <x v="5"/>
    <x v="71"/>
    <x v="0"/>
    <x v="0"/>
    <n v="0"/>
  </r>
  <r>
    <x v="1"/>
    <x v="6"/>
    <x v="3"/>
    <x v="5"/>
    <x v="71"/>
    <x v="0"/>
    <x v="1"/>
    <n v="0"/>
  </r>
  <r>
    <x v="1"/>
    <x v="6"/>
    <x v="3"/>
    <x v="5"/>
    <x v="71"/>
    <x v="0"/>
    <x v="2"/>
    <n v="0"/>
  </r>
  <r>
    <x v="1"/>
    <x v="6"/>
    <x v="3"/>
    <x v="5"/>
    <x v="71"/>
    <x v="0"/>
    <x v="3"/>
    <n v="0"/>
  </r>
  <r>
    <x v="1"/>
    <x v="6"/>
    <x v="3"/>
    <x v="5"/>
    <x v="71"/>
    <x v="0"/>
    <x v="4"/>
    <n v="0"/>
  </r>
  <r>
    <x v="1"/>
    <x v="6"/>
    <x v="3"/>
    <x v="5"/>
    <x v="71"/>
    <x v="0"/>
    <x v="5"/>
    <n v="0"/>
  </r>
  <r>
    <x v="1"/>
    <x v="6"/>
    <x v="3"/>
    <x v="5"/>
    <x v="71"/>
    <x v="0"/>
    <x v="6"/>
    <n v="0"/>
  </r>
  <r>
    <x v="1"/>
    <x v="6"/>
    <x v="3"/>
    <x v="5"/>
    <x v="72"/>
    <x v="0"/>
    <x v="0"/>
    <n v="0"/>
  </r>
  <r>
    <x v="1"/>
    <x v="6"/>
    <x v="3"/>
    <x v="5"/>
    <x v="72"/>
    <x v="0"/>
    <x v="1"/>
    <n v="0"/>
  </r>
  <r>
    <x v="1"/>
    <x v="6"/>
    <x v="3"/>
    <x v="5"/>
    <x v="72"/>
    <x v="0"/>
    <x v="2"/>
    <n v="0"/>
  </r>
  <r>
    <x v="1"/>
    <x v="6"/>
    <x v="3"/>
    <x v="5"/>
    <x v="72"/>
    <x v="0"/>
    <x v="3"/>
    <n v="0"/>
  </r>
  <r>
    <x v="1"/>
    <x v="6"/>
    <x v="3"/>
    <x v="5"/>
    <x v="72"/>
    <x v="0"/>
    <x v="4"/>
    <n v="0"/>
  </r>
  <r>
    <x v="1"/>
    <x v="6"/>
    <x v="3"/>
    <x v="5"/>
    <x v="72"/>
    <x v="0"/>
    <x v="5"/>
    <n v="0"/>
  </r>
  <r>
    <x v="1"/>
    <x v="6"/>
    <x v="3"/>
    <x v="5"/>
    <x v="72"/>
    <x v="0"/>
    <x v="6"/>
    <n v="0"/>
  </r>
  <r>
    <x v="1"/>
    <x v="6"/>
    <x v="3"/>
    <x v="5"/>
    <x v="73"/>
    <x v="0"/>
    <x v="0"/>
    <n v="0"/>
  </r>
  <r>
    <x v="1"/>
    <x v="6"/>
    <x v="3"/>
    <x v="5"/>
    <x v="73"/>
    <x v="0"/>
    <x v="1"/>
    <n v="0"/>
  </r>
  <r>
    <x v="1"/>
    <x v="6"/>
    <x v="3"/>
    <x v="5"/>
    <x v="73"/>
    <x v="0"/>
    <x v="2"/>
    <n v="0"/>
  </r>
  <r>
    <x v="1"/>
    <x v="6"/>
    <x v="3"/>
    <x v="5"/>
    <x v="73"/>
    <x v="0"/>
    <x v="3"/>
    <n v="0"/>
  </r>
  <r>
    <x v="1"/>
    <x v="6"/>
    <x v="3"/>
    <x v="5"/>
    <x v="73"/>
    <x v="0"/>
    <x v="4"/>
    <n v="0"/>
  </r>
  <r>
    <x v="1"/>
    <x v="6"/>
    <x v="3"/>
    <x v="5"/>
    <x v="73"/>
    <x v="0"/>
    <x v="5"/>
    <n v="0"/>
  </r>
  <r>
    <x v="1"/>
    <x v="6"/>
    <x v="3"/>
    <x v="5"/>
    <x v="73"/>
    <x v="0"/>
    <x v="6"/>
    <n v="0"/>
  </r>
  <r>
    <x v="1"/>
    <x v="6"/>
    <x v="5"/>
    <x v="8"/>
    <x v="74"/>
    <x v="0"/>
    <x v="0"/>
    <n v="0"/>
  </r>
  <r>
    <x v="1"/>
    <x v="6"/>
    <x v="5"/>
    <x v="8"/>
    <x v="74"/>
    <x v="0"/>
    <x v="1"/>
    <n v="0"/>
  </r>
  <r>
    <x v="1"/>
    <x v="6"/>
    <x v="5"/>
    <x v="8"/>
    <x v="74"/>
    <x v="0"/>
    <x v="2"/>
    <n v="0"/>
  </r>
  <r>
    <x v="1"/>
    <x v="6"/>
    <x v="5"/>
    <x v="8"/>
    <x v="74"/>
    <x v="0"/>
    <x v="3"/>
    <n v="0"/>
  </r>
  <r>
    <x v="1"/>
    <x v="6"/>
    <x v="5"/>
    <x v="8"/>
    <x v="74"/>
    <x v="0"/>
    <x v="4"/>
    <n v="0"/>
  </r>
  <r>
    <x v="1"/>
    <x v="6"/>
    <x v="5"/>
    <x v="8"/>
    <x v="74"/>
    <x v="0"/>
    <x v="5"/>
    <n v="0"/>
  </r>
  <r>
    <x v="1"/>
    <x v="6"/>
    <x v="5"/>
    <x v="8"/>
    <x v="74"/>
    <x v="0"/>
    <x v="6"/>
    <n v="0"/>
  </r>
  <r>
    <x v="1"/>
    <x v="6"/>
    <x v="5"/>
    <x v="8"/>
    <x v="75"/>
    <x v="0"/>
    <x v="0"/>
    <n v="0"/>
  </r>
  <r>
    <x v="1"/>
    <x v="6"/>
    <x v="5"/>
    <x v="8"/>
    <x v="75"/>
    <x v="0"/>
    <x v="1"/>
    <n v="0"/>
  </r>
  <r>
    <x v="1"/>
    <x v="6"/>
    <x v="5"/>
    <x v="8"/>
    <x v="75"/>
    <x v="0"/>
    <x v="2"/>
    <n v="0"/>
  </r>
  <r>
    <x v="1"/>
    <x v="6"/>
    <x v="5"/>
    <x v="8"/>
    <x v="75"/>
    <x v="0"/>
    <x v="3"/>
    <n v="0"/>
  </r>
  <r>
    <x v="1"/>
    <x v="6"/>
    <x v="5"/>
    <x v="8"/>
    <x v="75"/>
    <x v="0"/>
    <x v="4"/>
    <n v="0"/>
  </r>
  <r>
    <x v="1"/>
    <x v="6"/>
    <x v="5"/>
    <x v="8"/>
    <x v="75"/>
    <x v="0"/>
    <x v="5"/>
    <n v="0"/>
  </r>
  <r>
    <x v="1"/>
    <x v="6"/>
    <x v="5"/>
    <x v="8"/>
    <x v="75"/>
    <x v="0"/>
    <x v="6"/>
    <n v="0"/>
  </r>
  <r>
    <x v="1"/>
    <x v="6"/>
    <x v="5"/>
    <x v="8"/>
    <x v="76"/>
    <x v="0"/>
    <x v="0"/>
    <n v="0"/>
  </r>
  <r>
    <x v="1"/>
    <x v="6"/>
    <x v="5"/>
    <x v="8"/>
    <x v="76"/>
    <x v="0"/>
    <x v="1"/>
    <n v="0"/>
  </r>
  <r>
    <x v="1"/>
    <x v="6"/>
    <x v="5"/>
    <x v="8"/>
    <x v="76"/>
    <x v="0"/>
    <x v="2"/>
    <n v="0"/>
  </r>
  <r>
    <x v="1"/>
    <x v="6"/>
    <x v="5"/>
    <x v="8"/>
    <x v="76"/>
    <x v="0"/>
    <x v="3"/>
    <n v="0"/>
  </r>
  <r>
    <x v="1"/>
    <x v="6"/>
    <x v="5"/>
    <x v="8"/>
    <x v="76"/>
    <x v="0"/>
    <x v="4"/>
    <n v="0"/>
  </r>
  <r>
    <x v="1"/>
    <x v="6"/>
    <x v="5"/>
    <x v="8"/>
    <x v="76"/>
    <x v="0"/>
    <x v="5"/>
    <n v="0"/>
  </r>
  <r>
    <x v="1"/>
    <x v="6"/>
    <x v="5"/>
    <x v="8"/>
    <x v="76"/>
    <x v="0"/>
    <x v="6"/>
    <n v="0"/>
  </r>
  <r>
    <x v="1"/>
    <x v="6"/>
    <x v="5"/>
    <x v="8"/>
    <x v="77"/>
    <x v="0"/>
    <x v="0"/>
    <n v="0"/>
  </r>
  <r>
    <x v="1"/>
    <x v="6"/>
    <x v="5"/>
    <x v="8"/>
    <x v="77"/>
    <x v="0"/>
    <x v="1"/>
    <n v="0"/>
  </r>
  <r>
    <x v="1"/>
    <x v="6"/>
    <x v="5"/>
    <x v="8"/>
    <x v="77"/>
    <x v="0"/>
    <x v="2"/>
    <n v="0"/>
  </r>
  <r>
    <x v="1"/>
    <x v="6"/>
    <x v="5"/>
    <x v="8"/>
    <x v="77"/>
    <x v="0"/>
    <x v="3"/>
    <n v="0"/>
  </r>
  <r>
    <x v="1"/>
    <x v="6"/>
    <x v="5"/>
    <x v="8"/>
    <x v="77"/>
    <x v="0"/>
    <x v="4"/>
    <n v="0"/>
  </r>
  <r>
    <x v="1"/>
    <x v="6"/>
    <x v="5"/>
    <x v="8"/>
    <x v="77"/>
    <x v="0"/>
    <x v="5"/>
    <n v="0"/>
  </r>
  <r>
    <x v="1"/>
    <x v="6"/>
    <x v="5"/>
    <x v="8"/>
    <x v="77"/>
    <x v="0"/>
    <x v="6"/>
    <n v="0"/>
  </r>
  <r>
    <x v="1"/>
    <x v="6"/>
    <x v="5"/>
    <x v="8"/>
    <x v="78"/>
    <x v="0"/>
    <x v="0"/>
    <n v="0"/>
  </r>
  <r>
    <x v="1"/>
    <x v="6"/>
    <x v="5"/>
    <x v="8"/>
    <x v="78"/>
    <x v="0"/>
    <x v="1"/>
    <n v="0"/>
  </r>
  <r>
    <x v="1"/>
    <x v="6"/>
    <x v="5"/>
    <x v="8"/>
    <x v="78"/>
    <x v="0"/>
    <x v="2"/>
    <n v="0"/>
  </r>
  <r>
    <x v="1"/>
    <x v="6"/>
    <x v="5"/>
    <x v="8"/>
    <x v="78"/>
    <x v="0"/>
    <x v="3"/>
    <n v="0"/>
  </r>
  <r>
    <x v="1"/>
    <x v="6"/>
    <x v="5"/>
    <x v="8"/>
    <x v="78"/>
    <x v="0"/>
    <x v="4"/>
    <n v="0"/>
  </r>
  <r>
    <x v="1"/>
    <x v="6"/>
    <x v="5"/>
    <x v="8"/>
    <x v="78"/>
    <x v="0"/>
    <x v="5"/>
    <n v="0"/>
  </r>
  <r>
    <x v="1"/>
    <x v="6"/>
    <x v="5"/>
    <x v="8"/>
    <x v="78"/>
    <x v="0"/>
    <x v="6"/>
    <n v="0"/>
  </r>
  <r>
    <x v="1"/>
    <x v="6"/>
    <x v="5"/>
    <x v="8"/>
    <x v="79"/>
    <x v="0"/>
    <x v="0"/>
    <n v="0"/>
  </r>
  <r>
    <x v="1"/>
    <x v="6"/>
    <x v="5"/>
    <x v="8"/>
    <x v="79"/>
    <x v="0"/>
    <x v="1"/>
    <n v="0"/>
  </r>
  <r>
    <x v="1"/>
    <x v="6"/>
    <x v="5"/>
    <x v="8"/>
    <x v="79"/>
    <x v="0"/>
    <x v="2"/>
    <n v="0"/>
  </r>
  <r>
    <x v="1"/>
    <x v="6"/>
    <x v="5"/>
    <x v="8"/>
    <x v="79"/>
    <x v="0"/>
    <x v="3"/>
    <n v="0"/>
  </r>
  <r>
    <x v="1"/>
    <x v="6"/>
    <x v="5"/>
    <x v="8"/>
    <x v="79"/>
    <x v="0"/>
    <x v="4"/>
    <n v="0"/>
  </r>
  <r>
    <x v="1"/>
    <x v="6"/>
    <x v="5"/>
    <x v="8"/>
    <x v="79"/>
    <x v="0"/>
    <x v="5"/>
    <n v="0"/>
  </r>
  <r>
    <x v="1"/>
    <x v="6"/>
    <x v="5"/>
    <x v="8"/>
    <x v="79"/>
    <x v="0"/>
    <x v="6"/>
    <n v="0"/>
  </r>
  <r>
    <x v="1"/>
    <x v="6"/>
    <x v="5"/>
    <x v="8"/>
    <x v="80"/>
    <x v="0"/>
    <x v="0"/>
    <n v="0"/>
  </r>
  <r>
    <x v="1"/>
    <x v="6"/>
    <x v="5"/>
    <x v="8"/>
    <x v="80"/>
    <x v="0"/>
    <x v="1"/>
    <n v="0"/>
  </r>
  <r>
    <x v="1"/>
    <x v="6"/>
    <x v="5"/>
    <x v="8"/>
    <x v="80"/>
    <x v="0"/>
    <x v="2"/>
    <n v="0"/>
  </r>
  <r>
    <x v="1"/>
    <x v="6"/>
    <x v="5"/>
    <x v="8"/>
    <x v="80"/>
    <x v="0"/>
    <x v="3"/>
    <n v="0"/>
  </r>
  <r>
    <x v="1"/>
    <x v="6"/>
    <x v="5"/>
    <x v="8"/>
    <x v="80"/>
    <x v="0"/>
    <x v="4"/>
    <n v="0"/>
  </r>
  <r>
    <x v="1"/>
    <x v="6"/>
    <x v="5"/>
    <x v="8"/>
    <x v="80"/>
    <x v="0"/>
    <x v="5"/>
    <n v="0"/>
  </r>
  <r>
    <x v="1"/>
    <x v="6"/>
    <x v="5"/>
    <x v="8"/>
    <x v="80"/>
    <x v="0"/>
    <x v="6"/>
    <n v="0"/>
  </r>
  <r>
    <x v="1"/>
    <x v="6"/>
    <x v="5"/>
    <x v="8"/>
    <x v="81"/>
    <x v="0"/>
    <x v="0"/>
    <n v="0"/>
  </r>
  <r>
    <x v="1"/>
    <x v="6"/>
    <x v="5"/>
    <x v="8"/>
    <x v="81"/>
    <x v="0"/>
    <x v="1"/>
    <n v="0"/>
  </r>
  <r>
    <x v="1"/>
    <x v="6"/>
    <x v="5"/>
    <x v="8"/>
    <x v="81"/>
    <x v="0"/>
    <x v="2"/>
    <n v="0"/>
  </r>
  <r>
    <x v="1"/>
    <x v="6"/>
    <x v="5"/>
    <x v="8"/>
    <x v="81"/>
    <x v="0"/>
    <x v="3"/>
    <n v="0"/>
  </r>
  <r>
    <x v="1"/>
    <x v="6"/>
    <x v="5"/>
    <x v="8"/>
    <x v="81"/>
    <x v="0"/>
    <x v="4"/>
    <n v="0"/>
  </r>
  <r>
    <x v="1"/>
    <x v="6"/>
    <x v="5"/>
    <x v="8"/>
    <x v="81"/>
    <x v="0"/>
    <x v="5"/>
    <n v="0"/>
  </r>
  <r>
    <x v="1"/>
    <x v="6"/>
    <x v="5"/>
    <x v="8"/>
    <x v="81"/>
    <x v="0"/>
    <x v="6"/>
    <n v="0"/>
  </r>
  <r>
    <x v="1"/>
    <x v="6"/>
    <x v="5"/>
    <x v="8"/>
    <x v="82"/>
    <x v="0"/>
    <x v="0"/>
    <n v="0"/>
  </r>
  <r>
    <x v="1"/>
    <x v="6"/>
    <x v="5"/>
    <x v="8"/>
    <x v="82"/>
    <x v="0"/>
    <x v="1"/>
    <n v="0"/>
  </r>
  <r>
    <x v="1"/>
    <x v="6"/>
    <x v="5"/>
    <x v="8"/>
    <x v="82"/>
    <x v="0"/>
    <x v="2"/>
    <n v="0"/>
  </r>
  <r>
    <x v="1"/>
    <x v="6"/>
    <x v="5"/>
    <x v="8"/>
    <x v="82"/>
    <x v="0"/>
    <x v="3"/>
    <n v="0"/>
  </r>
  <r>
    <x v="1"/>
    <x v="6"/>
    <x v="5"/>
    <x v="8"/>
    <x v="82"/>
    <x v="0"/>
    <x v="4"/>
    <n v="0"/>
  </r>
  <r>
    <x v="1"/>
    <x v="6"/>
    <x v="5"/>
    <x v="8"/>
    <x v="82"/>
    <x v="0"/>
    <x v="5"/>
    <n v="0"/>
  </r>
  <r>
    <x v="1"/>
    <x v="6"/>
    <x v="5"/>
    <x v="8"/>
    <x v="82"/>
    <x v="0"/>
    <x v="6"/>
    <n v="0"/>
  </r>
  <r>
    <x v="1"/>
    <x v="6"/>
    <x v="5"/>
    <x v="8"/>
    <x v="83"/>
    <x v="0"/>
    <x v="0"/>
    <n v="0"/>
  </r>
  <r>
    <x v="1"/>
    <x v="6"/>
    <x v="5"/>
    <x v="8"/>
    <x v="83"/>
    <x v="0"/>
    <x v="1"/>
    <n v="0"/>
  </r>
  <r>
    <x v="1"/>
    <x v="6"/>
    <x v="5"/>
    <x v="8"/>
    <x v="83"/>
    <x v="0"/>
    <x v="2"/>
    <n v="0"/>
  </r>
  <r>
    <x v="1"/>
    <x v="6"/>
    <x v="5"/>
    <x v="8"/>
    <x v="83"/>
    <x v="0"/>
    <x v="3"/>
    <n v="0"/>
  </r>
  <r>
    <x v="1"/>
    <x v="6"/>
    <x v="5"/>
    <x v="8"/>
    <x v="83"/>
    <x v="0"/>
    <x v="4"/>
    <n v="0"/>
  </r>
  <r>
    <x v="1"/>
    <x v="6"/>
    <x v="5"/>
    <x v="8"/>
    <x v="83"/>
    <x v="0"/>
    <x v="5"/>
    <n v="0"/>
  </r>
  <r>
    <x v="1"/>
    <x v="6"/>
    <x v="5"/>
    <x v="8"/>
    <x v="83"/>
    <x v="0"/>
    <x v="6"/>
    <n v="0"/>
  </r>
  <r>
    <x v="1"/>
    <x v="7"/>
    <x v="0"/>
    <x v="0"/>
    <x v="0"/>
    <x v="0"/>
    <x v="0"/>
    <n v="0"/>
  </r>
  <r>
    <x v="1"/>
    <x v="7"/>
    <x v="0"/>
    <x v="0"/>
    <x v="0"/>
    <x v="0"/>
    <x v="1"/>
    <n v="0"/>
  </r>
  <r>
    <x v="1"/>
    <x v="7"/>
    <x v="0"/>
    <x v="0"/>
    <x v="0"/>
    <x v="0"/>
    <x v="2"/>
    <n v="0"/>
  </r>
  <r>
    <x v="1"/>
    <x v="7"/>
    <x v="0"/>
    <x v="0"/>
    <x v="0"/>
    <x v="0"/>
    <x v="3"/>
    <n v="0"/>
  </r>
  <r>
    <x v="1"/>
    <x v="7"/>
    <x v="0"/>
    <x v="0"/>
    <x v="0"/>
    <x v="0"/>
    <x v="4"/>
    <n v="0"/>
  </r>
  <r>
    <x v="1"/>
    <x v="7"/>
    <x v="0"/>
    <x v="0"/>
    <x v="0"/>
    <x v="0"/>
    <x v="5"/>
    <n v="0"/>
  </r>
  <r>
    <x v="1"/>
    <x v="7"/>
    <x v="0"/>
    <x v="0"/>
    <x v="0"/>
    <x v="0"/>
    <x v="6"/>
    <n v="0"/>
  </r>
  <r>
    <x v="1"/>
    <x v="7"/>
    <x v="0"/>
    <x v="1"/>
    <x v="1"/>
    <x v="0"/>
    <x v="0"/>
    <n v="0"/>
  </r>
  <r>
    <x v="1"/>
    <x v="7"/>
    <x v="0"/>
    <x v="1"/>
    <x v="1"/>
    <x v="0"/>
    <x v="1"/>
    <n v="0"/>
  </r>
  <r>
    <x v="1"/>
    <x v="7"/>
    <x v="0"/>
    <x v="1"/>
    <x v="1"/>
    <x v="0"/>
    <x v="2"/>
    <n v="0"/>
  </r>
  <r>
    <x v="1"/>
    <x v="7"/>
    <x v="0"/>
    <x v="1"/>
    <x v="1"/>
    <x v="0"/>
    <x v="3"/>
    <n v="0"/>
  </r>
  <r>
    <x v="1"/>
    <x v="7"/>
    <x v="0"/>
    <x v="1"/>
    <x v="1"/>
    <x v="0"/>
    <x v="4"/>
    <n v="0"/>
  </r>
  <r>
    <x v="1"/>
    <x v="7"/>
    <x v="0"/>
    <x v="1"/>
    <x v="1"/>
    <x v="0"/>
    <x v="5"/>
    <n v="0"/>
  </r>
  <r>
    <x v="1"/>
    <x v="7"/>
    <x v="0"/>
    <x v="1"/>
    <x v="1"/>
    <x v="0"/>
    <x v="6"/>
    <n v="0"/>
  </r>
  <r>
    <x v="1"/>
    <x v="7"/>
    <x v="0"/>
    <x v="1"/>
    <x v="2"/>
    <x v="0"/>
    <x v="0"/>
    <n v="0"/>
  </r>
  <r>
    <x v="1"/>
    <x v="7"/>
    <x v="0"/>
    <x v="1"/>
    <x v="2"/>
    <x v="0"/>
    <x v="1"/>
    <n v="0"/>
  </r>
  <r>
    <x v="1"/>
    <x v="7"/>
    <x v="0"/>
    <x v="1"/>
    <x v="2"/>
    <x v="0"/>
    <x v="2"/>
    <n v="0"/>
  </r>
  <r>
    <x v="1"/>
    <x v="7"/>
    <x v="0"/>
    <x v="1"/>
    <x v="2"/>
    <x v="0"/>
    <x v="3"/>
    <n v="0"/>
  </r>
  <r>
    <x v="1"/>
    <x v="7"/>
    <x v="0"/>
    <x v="1"/>
    <x v="2"/>
    <x v="0"/>
    <x v="4"/>
    <n v="0"/>
  </r>
  <r>
    <x v="1"/>
    <x v="7"/>
    <x v="0"/>
    <x v="1"/>
    <x v="2"/>
    <x v="0"/>
    <x v="5"/>
    <n v="0"/>
  </r>
  <r>
    <x v="1"/>
    <x v="7"/>
    <x v="0"/>
    <x v="1"/>
    <x v="2"/>
    <x v="0"/>
    <x v="6"/>
    <n v="0"/>
  </r>
  <r>
    <x v="1"/>
    <x v="7"/>
    <x v="0"/>
    <x v="1"/>
    <x v="3"/>
    <x v="0"/>
    <x v="0"/>
    <n v="0"/>
  </r>
  <r>
    <x v="1"/>
    <x v="7"/>
    <x v="0"/>
    <x v="1"/>
    <x v="3"/>
    <x v="0"/>
    <x v="1"/>
    <n v="0"/>
  </r>
  <r>
    <x v="1"/>
    <x v="7"/>
    <x v="0"/>
    <x v="1"/>
    <x v="3"/>
    <x v="0"/>
    <x v="2"/>
    <n v="0"/>
  </r>
  <r>
    <x v="1"/>
    <x v="7"/>
    <x v="0"/>
    <x v="1"/>
    <x v="3"/>
    <x v="0"/>
    <x v="3"/>
    <n v="0"/>
  </r>
  <r>
    <x v="1"/>
    <x v="7"/>
    <x v="0"/>
    <x v="1"/>
    <x v="3"/>
    <x v="0"/>
    <x v="4"/>
    <n v="0"/>
  </r>
  <r>
    <x v="1"/>
    <x v="7"/>
    <x v="0"/>
    <x v="1"/>
    <x v="3"/>
    <x v="0"/>
    <x v="5"/>
    <n v="0"/>
  </r>
  <r>
    <x v="1"/>
    <x v="7"/>
    <x v="0"/>
    <x v="1"/>
    <x v="3"/>
    <x v="0"/>
    <x v="6"/>
    <n v="0"/>
  </r>
  <r>
    <x v="1"/>
    <x v="7"/>
    <x v="0"/>
    <x v="1"/>
    <x v="4"/>
    <x v="0"/>
    <x v="0"/>
    <n v="0"/>
  </r>
  <r>
    <x v="1"/>
    <x v="7"/>
    <x v="0"/>
    <x v="1"/>
    <x v="4"/>
    <x v="0"/>
    <x v="1"/>
    <n v="0"/>
  </r>
  <r>
    <x v="1"/>
    <x v="7"/>
    <x v="0"/>
    <x v="1"/>
    <x v="4"/>
    <x v="0"/>
    <x v="2"/>
    <n v="0"/>
  </r>
  <r>
    <x v="1"/>
    <x v="7"/>
    <x v="0"/>
    <x v="1"/>
    <x v="4"/>
    <x v="0"/>
    <x v="3"/>
    <n v="0"/>
  </r>
  <r>
    <x v="1"/>
    <x v="7"/>
    <x v="0"/>
    <x v="1"/>
    <x v="4"/>
    <x v="0"/>
    <x v="4"/>
    <n v="0"/>
  </r>
  <r>
    <x v="1"/>
    <x v="7"/>
    <x v="0"/>
    <x v="1"/>
    <x v="4"/>
    <x v="0"/>
    <x v="5"/>
    <n v="0"/>
  </r>
  <r>
    <x v="1"/>
    <x v="7"/>
    <x v="0"/>
    <x v="1"/>
    <x v="4"/>
    <x v="0"/>
    <x v="6"/>
    <n v="0"/>
  </r>
  <r>
    <x v="1"/>
    <x v="7"/>
    <x v="0"/>
    <x v="1"/>
    <x v="5"/>
    <x v="0"/>
    <x v="0"/>
    <n v="0"/>
  </r>
  <r>
    <x v="1"/>
    <x v="7"/>
    <x v="0"/>
    <x v="1"/>
    <x v="5"/>
    <x v="0"/>
    <x v="1"/>
    <n v="0"/>
  </r>
  <r>
    <x v="1"/>
    <x v="7"/>
    <x v="0"/>
    <x v="1"/>
    <x v="5"/>
    <x v="0"/>
    <x v="2"/>
    <n v="0"/>
  </r>
  <r>
    <x v="1"/>
    <x v="7"/>
    <x v="0"/>
    <x v="1"/>
    <x v="5"/>
    <x v="0"/>
    <x v="3"/>
    <n v="0"/>
  </r>
  <r>
    <x v="1"/>
    <x v="7"/>
    <x v="0"/>
    <x v="1"/>
    <x v="5"/>
    <x v="0"/>
    <x v="4"/>
    <n v="0"/>
  </r>
  <r>
    <x v="1"/>
    <x v="7"/>
    <x v="0"/>
    <x v="1"/>
    <x v="5"/>
    <x v="0"/>
    <x v="5"/>
    <n v="0"/>
  </r>
  <r>
    <x v="1"/>
    <x v="7"/>
    <x v="0"/>
    <x v="1"/>
    <x v="5"/>
    <x v="0"/>
    <x v="6"/>
    <n v="0"/>
  </r>
  <r>
    <x v="1"/>
    <x v="7"/>
    <x v="0"/>
    <x v="1"/>
    <x v="6"/>
    <x v="0"/>
    <x v="0"/>
    <n v="0"/>
  </r>
  <r>
    <x v="1"/>
    <x v="7"/>
    <x v="0"/>
    <x v="1"/>
    <x v="6"/>
    <x v="0"/>
    <x v="1"/>
    <n v="0"/>
  </r>
  <r>
    <x v="1"/>
    <x v="7"/>
    <x v="0"/>
    <x v="1"/>
    <x v="6"/>
    <x v="0"/>
    <x v="2"/>
    <n v="0"/>
  </r>
  <r>
    <x v="1"/>
    <x v="7"/>
    <x v="0"/>
    <x v="1"/>
    <x v="6"/>
    <x v="0"/>
    <x v="3"/>
    <n v="0"/>
  </r>
  <r>
    <x v="1"/>
    <x v="7"/>
    <x v="0"/>
    <x v="1"/>
    <x v="6"/>
    <x v="0"/>
    <x v="4"/>
    <n v="0"/>
  </r>
  <r>
    <x v="1"/>
    <x v="7"/>
    <x v="0"/>
    <x v="1"/>
    <x v="6"/>
    <x v="0"/>
    <x v="5"/>
    <n v="0"/>
  </r>
  <r>
    <x v="1"/>
    <x v="7"/>
    <x v="0"/>
    <x v="1"/>
    <x v="6"/>
    <x v="0"/>
    <x v="6"/>
    <n v="0"/>
  </r>
  <r>
    <x v="1"/>
    <x v="7"/>
    <x v="0"/>
    <x v="1"/>
    <x v="7"/>
    <x v="0"/>
    <x v="0"/>
    <n v="0"/>
  </r>
  <r>
    <x v="1"/>
    <x v="7"/>
    <x v="0"/>
    <x v="1"/>
    <x v="7"/>
    <x v="0"/>
    <x v="1"/>
    <n v="0"/>
  </r>
  <r>
    <x v="1"/>
    <x v="7"/>
    <x v="0"/>
    <x v="1"/>
    <x v="7"/>
    <x v="0"/>
    <x v="2"/>
    <n v="0"/>
  </r>
  <r>
    <x v="1"/>
    <x v="7"/>
    <x v="0"/>
    <x v="1"/>
    <x v="7"/>
    <x v="0"/>
    <x v="3"/>
    <n v="0"/>
  </r>
  <r>
    <x v="1"/>
    <x v="7"/>
    <x v="0"/>
    <x v="1"/>
    <x v="7"/>
    <x v="0"/>
    <x v="4"/>
    <n v="0"/>
  </r>
  <r>
    <x v="1"/>
    <x v="7"/>
    <x v="0"/>
    <x v="1"/>
    <x v="7"/>
    <x v="0"/>
    <x v="5"/>
    <n v="0"/>
  </r>
  <r>
    <x v="1"/>
    <x v="7"/>
    <x v="0"/>
    <x v="1"/>
    <x v="7"/>
    <x v="0"/>
    <x v="6"/>
    <n v="0"/>
  </r>
  <r>
    <x v="1"/>
    <x v="7"/>
    <x v="0"/>
    <x v="1"/>
    <x v="8"/>
    <x v="0"/>
    <x v="0"/>
    <n v="0"/>
  </r>
  <r>
    <x v="1"/>
    <x v="7"/>
    <x v="0"/>
    <x v="1"/>
    <x v="8"/>
    <x v="0"/>
    <x v="1"/>
    <n v="0"/>
  </r>
  <r>
    <x v="1"/>
    <x v="7"/>
    <x v="0"/>
    <x v="1"/>
    <x v="8"/>
    <x v="0"/>
    <x v="2"/>
    <n v="0"/>
  </r>
  <r>
    <x v="1"/>
    <x v="7"/>
    <x v="0"/>
    <x v="1"/>
    <x v="8"/>
    <x v="0"/>
    <x v="3"/>
    <n v="0"/>
  </r>
  <r>
    <x v="1"/>
    <x v="7"/>
    <x v="0"/>
    <x v="1"/>
    <x v="8"/>
    <x v="0"/>
    <x v="4"/>
    <n v="0"/>
  </r>
  <r>
    <x v="1"/>
    <x v="7"/>
    <x v="0"/>
    <x v="1"/>
    <x v="8"/>
    <x v="0"/>
    <x v="5"/>
    <n v="0"/>
  </r>
  <r>
    <x v="1"/>
    <x v="7"/>
    <x v="0"/>
    <x v="1"/>
    <x v="8"/>
    <x v="0"/>
    <x v="6"/>
    <n v="0"/>
  </r>
  <r>
    <x v="1"/>
    <x v="7"/>
    <x v="0"/>
    <x v="1"/>
    <x v="9"/>
    <x v="0"/>
    <x v="0"/>
    <n v="0"/>
  </r>
  <r>
    <x v="1"/>
    <x v="7"/>
    <x v="0"/>
    <x v="1"/>
    <x v="9"/>
    <x v="0"/>
    <x v="1"/>
    <n v="0"/>
  </r>
  <r>
    <x v="1"/>
    <x v="7"/>
    <x v="0"/>
    <x v="1"/>
    <x v="9"/>
    <x v="0"/>
    <x v="2"/>
    <n v="0"/>
  </r>
  <r>
    <x v="1"/>
    <x v="7"/>
    <x v="0"/>
    <x v="1"/>
    <x v="9"/>
    <x v="0"/>
    <x v="3"/>
    <n v="0"/>
  </r>
  <r>
    <x v="1"/>
    <x v="7"/>
    <x v="0"/>
    <x v="1"/>
    <x v="9"/>
    <x v="0"/>
    <x v="4"/>
    <n v="0"/>
  </r>
  <r>
    <x v="1"/>
    <x v="7"/>
    <x v="0"/>
    <x v="1"/>
    <x v="9"/>
    <x v="0"/>
    <x v="5"/>
    <n v="0"/>
  </r>
  <r>
    <x v="1"/>
    <x v="7"/>
    <x v="0"/>
    <x v="1"/>
    <x v="9"/>
    <x v="0"/>
    <x v="6"/>
    <n v="0"/>
  </r>
  <r>
    <x v="1"/>
    <x v="7"/>
    <x v="0"/>
    <x v="1"/>
    <x v="10"/>
    <x v="0"/>
    <x v="0"/>
    <n v="0"/>
  </r>
  <r>
    <x v="1"/>
    <x v="7"/>
    <x v="0"/>
    <x v="1"/>
    <x v="10"/>
    <x v="0"/>
    <x v="1"/>
    <n v="0"/>
  </r>
  <r>
    <x v="1"/>
    <x v="7"/>
    <x v="0"/>
    <x v="1"/>
    <x v="10"/>
    <x v="0"/>
    <x v="2"/>
    <n v="0"/>
  </r>
  <r>
    <x v="1"/>
    <x v="7"/>
    <x v="0"/>
    <x v="1"/>
    <x v="10"/>
    <x v="0"/>
    <x v="3"/>
    <n v="0"/>
  </r>
  <r>
    <x v="1"/>
    <x v="7"/>
    <x v="0"/>
    <x v="1"/>
    <x v="10"/>
    <x v="0"/>
    <x v="4"/>
    <n v="0"/>
  </r>
  <r>
    <x v="1"/>
    <x v="7"/>
    <x v="0"/>
    <x v="1"/>
    <x v="10"/>
    <x v="0"/>
    <x v="5"/>
    <n v="0"/>
  </r>
  <r>
    <x v="1"/>
    <x v="7"/>
    <x v="0"/>
    <x v="1"/>
    <x v="10"/>
    <x v="0"/>
    <x v="6"/>
    <n v="0"/>
  </r>
  <r>
    <x v="1"/>
    <x v="7"/>
    <x v="0"/>
    <x v="0"/>
    <x v="11"/>
    <x v="0"/>
    <x v="0"/>
    <n v="0"/>
  </r>
  <r>
    <x v="1"/>
    <x v="7"/>
    <x v="0"/>
    <x v="0"/>
    <x v="11"/>
    <x v="0"/>
    <x v="1"/>
    <n v="0"/>
  </r>
  <r>
    <x v="1"/>
    <x v="7"/>
    <x v="0"/>
    <x v="0"/>
    <x v="11"/>
    <x v="0"/>
    <x v="2"/>
    <n v="0"/>
  </r>
  <r>
    <x v="1"/>
    <x v="7"/>
    <x v="0"/>
    <x v="0"/>
    <x v="11"/>
    <x v="0"/>
    <x v="3"/>
    <n v="0"/>
  </r>
  <r>
    <x v="1"/>
    <x v="7"/>
    <x v="0"/>
    <x v="0"/>
    <x v="11"/>
    <x v="0"/>
    <x v="4"/>
    <n v="0"/>
  </r>
  <r>
    <x v="1"/>
    <x v="7"/>
    <x v="0"/>
    <x v="0"/>
    <x v="11"/>
    <x v="0"/>
    <x v="5"/>
    <n v="0"/>
  </r>
  <r>
    <x v="1"/>
    <x v="7"/>
    <x v="0"/>
    <x v="0"/>
    <x v="11"/>
    <x v="0"/>
    <x v="6"/>
    <n v="0"/>
  </r>
  <r>
    <x v="1"/>
    <x v="7"/>
    <x v="0"/>
    <x v="0"/>
    <x v="12"/>
    <x v="0"/>
    <x v="0"/>
    <n v="0"/>
  </r>
  <r>
    <x v="1"/>
    <x v="7"/>
    <x v="0"/>
    <x v="0"/>
    <x v="12"/>
    <x v="0"/>
    <x v="1"/>
    <n v="0"/>
  </r>
  <r>
    <x v="1"/>
    <x v="7"/>
    <x v="0"/>
    <x v="0"/>
    <x v="12"/>
    <x v="0"/>
    <x v="2"/>
    <n v="0"/>
  </r>
  <r>
    <x v="1"/>
    <x v="7"/>
    <x v="0"/>
    <x v="0"/>
    <x v="12"/>
    <x v="0"/>
    <x v="3"/>
    <n v="0"/>
  </r>
  <r>
    <x v="1"/>
    <x v="7"/>
    <x v="0"/>
    <x v="0"/>
    <x v="12"/>
    <x v="0"/>
    <x v="4"/>
    <n v="0"/>
  </r>
  <r>
    <x v="1"/>
    <x v="7"/>
    <x v="0"/>
    <x v="0"/>
    <x v="12"/>
    <x v="0"/>
    <x v="5"/>
    <n v="0"/>
  </r>
  <r>
    <x v="1"/>
    <x v="7"/>
    <x v="0"/>
    <x v="0"/>
    <x v="12"/>
    <x v="0"/>
    <x v="6"/>
    <n v="0"/>
  </r>
  <r>
    <x v="1"/>
    <x v="7"/>
    <x v="0"/>
    <x v="0"/>
    <x v="13"/>
    <x v="0"/>
    <x v="0"/>
    <n v="0"/>
  </r>
  <r>
    <x v="1"/>
    <x v="7"/>
    <x v="0"/>
    <x v="0"/>
    <x v="13"/>
    <x v="0"/>
    <x v="1"/>
    <n v="0"/>
  </r>
  <r>
    <x v="1"/>
    <x v="7"/>
    <x v="0"/>
    <x v="0"/>
    <x v="13"/>
    <x v="0"/>
    <x v="2"/>
    <n v="0"/>
  </r>
  <r>
    <x v="1"/>
    <x v="7"/>
    <x v="0"/>
    <x v="0"/>
    <x v="13"/>
    <x v="0"/>
    <x v="3"/>
    <n v="0"/>
  </r>
  <r>
    <x v="1"/>
    <x v="7"/>
    <x v="0"/>
    <x v="0"/>
    <x v="13"/>
    <x v="0"/>
    <x v="4"/>
    <n v="0"/>
  </r>
  <r>
    <x v="1"/>
    <x v="7"/>
    <x v="0"/>
    <x v="0"/>
    <x v="13"/>
    <x v="0"/>
    <x v="5"/>
    <n v="0"/>
  </r>
  <r>
    <x v="1"/>
    <x v="7"/>
    <x v="0"/>
    <x v="0"/>
    <x v="13"/>
    <x v="0"/>
    <x v="6"/>
    <n v="0"/>
  </r>
  <r>
    <x v="1"/>
    <x v="7"/>
    <x v="0"/>
    <x v="2"/>
    <x v="14"/>
    <x v="0"/>
    <x v="0"/>
    <n v="0"/>
  </r>
  <r>
    <x v="1"/>
    <x v="7"/>
    <x v="0"/>
    <x v="2"/>
    <x v="14"/>
    <x v="0"/>
    <x v="1"/>
    <n v="0"/>
  </r>
  <r>
    <x v="1"/>
    <x v="7"/>
    <x v="0"/>
    <x v="2"/>
    <x v="14"/>
    <x v="0"/>
    <x v="2"/>
    <n v="0"/>
  </r>
  <r>
    <x v="1"/>
    <x v="7"/>
    <x v="0"/>
    <x v="2"/>
    <x v="14"/>
    <x v="0"/>
    <x v="3"/>
    <n v="0"/>
  </r>
  <r>
    <x v="1"/>
    <x v="7"/>
    <x v="0"/>
    <x v="2"/>
    <x v="14"/>
    <x v="0"/>
    <x v="4"/>
    <n v="0"/>
  </r>
  <r>
    <x v="1"/>
    <x v="7"/>
    <x v="0"/>
    <x v="2"/>
    <x v="14"/>
    <x v="0"/>
    <x v="5"/>
    <n v="0"/>
  </r>
  <r>
    <x v="1"/>
    <x v="7"/>
    <x v="0"/>
    <x v="2"/>
    <x v="14"/>
    <x v="0"/>
    <x v="6"/>
    <n v="0"/>
  </r>
  <r>
    <x v="1"/>
    <x v="7"/>
    <x v="0"/>
    <x v="2"/>
    <x v="15"/>
    <x v="0"/>
    <x v="0"/>
    <n v="0"/>
  </r>
  <r>
    <x v="1"/>
    <x v="7"/>
    <x v="0"/>
    <x v="2"/>
    <x v="15"/>
    <x v="0"/>
    <x v="1"/>
    <n v="0"/>
  </r>
  <r>
    <x v="1"/>
    <x v="7"/>
    <x v="0"/>
    <x v="2"/>
    <x v="15"/>
    <x v="0"/>
    <x v="2"/>
    <n v="0"/>
  </r>
  <r>
    <x v="1"/>
    <x v="7"/>
    <x v="0"/>
    <x v="2"/>
    <x v="15"/>
    <x v="0"/>
    <x v="3"/>
    <n v="0"/>
  </r>
  <r>
    <x v="1"/>
    <x v="7"/>
    <x v="0"/>
    <x v="2"/>
    <x v="15"/>
    <x v="0"/>
    <x v="4"/>
    <n v="0"/>
  </r>
  <r>
    <x v="1"/>
    <x v="7"/>
    <x v="0"/>
    <x v="2"/>
    <x v="15"/>
    <x v="0"/>
    <x v="5"/>
    <n v="0"/>
  </r>
  <r>
    <x v="1"/>
    <x v="7"/>
    <x v="0"/>
    <x v="2"/>
    <x v="15"/>
    <x v="0"/>
    <x v="6"/>
    <n v="0"/>
  </r>
  <r>
    <x v="1"/>
    <x v="7"/>
    <x v="0"/>
    <x v="2"/>
    <x v="16"/>
    <x v="0"/>
    <x v="0"/>
    <n v="0"/>
  </r>
  <r>
    <x v="1"/>
    <x v="7"/>
    <x v="0"/>
    <x v="2"/>
    <x v="16"/>
    <x v="0"/>
    <x v="1"/>
    <n v="0"/>
  </r>
  <r>
    <x v="1"/>
    <x v="7"/>
    <x v="0"/>
    <x v="2"/>
    <x v="16"/>
    <x v="0"/>
    <x v="2"/>
    <n v="0"/>
  </r>
  <r>
    <x v="1"/>
    <x v="7"/>
    <x v="0"/>
    <x v="2"/>
    <x v="16"/>
    <x v="0"/>
    <x v="3"/>
    <n v="0"/>
  </r>
  <r>
    <x v="1"/>
    <x v="7"/>
    <x v="0"/>
    <x v="2"/>
    <x v="16"/>
    <x v="0"/>
    <x v="4"/>
    <n v="0"/>
  </r>
  <r>
    <x v="1"/>
    <x v="7"/>
    <x v="0"/>
    <x v="2"/>
    <x v="16"/>
    <x v="0"/>
    <x v="5"/>
    <n v="0"/>
  </r>
  <r>
    <x v="1"/>
    <x v="7"/>
    <x v="0"/>
    <x v="2"/>
    <x v="16"/>
    <x v="0"/>
    <x v="6"/>
    <n v="0"/>
  </r>
  <r>
    <x v="1"/>
    <x v="7"/>
    <x v="0"/>
    <x v="0"/>
    <x v="17"/>
    <x v="0"/>
    <x v="0"/>
    <n v="0"/>
  </r>
  <r>
    <x v="1"/>
    <x v="7"/>
    <x v="0"/>
    <x v="0"/>
    <x v="17"/>
    <x v="0"/>
    <x v="1"/>
    <n v="0"/>
  </r>
  <r>
    <x v="1"/>
    <x v="7"/>
    <x v="0"/>
    <x v="0"/>
    <x v="17"/>
    <x v="0"/>
    <x v="2"/>
    <n v="0"/>
  </r>
  <r>
    <x v="1"/>
    <x v="7"/>
    <x v="0"/>
    <x v="0"/>
    <x v="17"/>
    <x v="0"/>
    <x v="3"/>
    <n v="0"/>
  </r>
  <r>
    <x v="1"/>
    <x v="7"/>
    <x v="0"/>
    <x v="0"/>
    <x v="17"/>
    <x v="0"/>
    <x v="4"/>
    <n v="0"/>
  </r>
  <r>
    <x v="1"/>
    <x v="7"/>
    <x v="0"/>
    <x v="0"/>
    <x v="17"/>
    <x v="0"/>
    <x v="5"/>
    <n v="0"/>
  </r>
  <r>
    <x v="1"/>
    <x v="7"/>
    <x v="0"/>
    <x v="0"/>
    <x v="17"/>
    <x v="0"/>
    <x v="6"/>
    <n v="0"/>
  </r>
  <r>
    <x v="1"/>
    <x v="7"/>
    <x v="0"/>
    <x v="2"/>
    <x v="18"/>
    <x v="0"/>
    <x v="0"/>
    <n v="0"/>
  </r>
  <r>
    <x v="1"/>
    <x v="7"/>
    <x v="0"/>
    <x v="2"/>
    <x v="18"/>
    <x v="0"/>
    <x v="1"/>
    <n v="0"/>
  </r>
  <r>
    <x v="1"/>
    <x v="7"/>
    <x v="0"/>
    <x v="2"/>
    <x v="18"/>
    <x v="0"/>
    <x v="2"/>
    <n v="0"/>
  </r>
  <r>
    <x v="1"/>
    <x v="7"/>
    <x v="0"/>
    <x v="2"/>
    <x v="18"/>
    <x v="0"/>
    <x v="3"/>
    <n v="0"/>
  </r>
  <r>
    <x v="1"/>
    <x v="7"/>
    <x v="0"/>
    <x v="2"/>
    <x v="18"/>
    <x v="0"/>
    <x v="4"/>
    <n v="0"/>
  </r>
  <r>
    <x v="1"/>
    <x v="7"/>
    <x v="0"/>
    <x v="2"/>
    <x v="18"/>
    <x v="0"/>
    <x v="5"/>
    <n v="0"/>
  </r>
  <r>
    <x v="1"/>
    <x v="7"/>
    <x v="0"/>
    <x v="2"/>
    <x v="18"/>
    <x v="0"/>
    <x v="6"/>
    <n v="0"/>
  </r>
  <r>
    <x v="1"/>
    <x v="7"/>
    <x v="1"/>
    <x v="3"/>
    <x v="19"/>
    <x v="0"/>
    <x v="0"/>
    <n v="0"/>
  </r>
  <r>
    <x v="1"/>
    <x v="7"/>
    <x v="1"/>
    <x v="3"/>
    <x v="19"/>
    <x v="0"/>
    <x v="1"/>
    <n v="0"/>
  </r>
  <r>
    <x v="1"/>
    <x v="7"/>
    <x v="1"/>
    <x v="3"/>
    <x v="19"/>
    <x v="0"/>
    <x v="2"/>
    <n v="0"/>
  </r>
  <r>
    <x v="1"/>
    <x v="7"/>
    <x v="1"/>
    <x v="3"/>
    <x v="19"/>
    <x v="0"/>
    <x v="3"/>
    <n v="0"/>
  </r>
  <r>
    <x v="1"/>
    <x v="7"/>
    <x v="1"/>
    <x v="3"/>
    <x v="19"/>
    <x v="0"/>
    <x v="4"/>
    <n v="0"/>
  </r>
  <r>
    <x v="1"/>
    <x v="7"/>
    <x v="1"/>
    <x v="3"/>
    <x v="19"/>
    <x v="0"/>
    <x v="5"/>
    <n v="0"/>
  </r>
  <r>
    <x v="1"/>
    <x v="7"/>
    <x v="1"/>
    <x v="3"/>
    <x v="19"/>
    <x v="0"/>
    <x v="6"/>
    <n v="0"/>
  </r>
  <r>
    <x v="1"/>
    <x v="7"/>
    <x v="1"/>
    <x v="3"/>
    <x v="20"/>
    <x v="0"/>
    <x v="0"/>
    <n v="0"/>
  </r>
  <r>
    <x v="1"/>
    <x v="7"/>
    <x v="1"/>
    <x v="3"/>
    <x v="20"/>
    <x v="0"/>
    <x v="1"/>
    <n v="0"/>
  </r>
  <r>
    <x v="1"/>
    <x v="7"/>
    <x v="1"/>
    <x v="3"/>
    <x v="20"/>
    <x v="0"/>
    <x v="2"/>
    <n v="0"/>
  </r>
  <r>
    <x v="1"/>
    <x v="7"/>
    <x v="1"/>
    <x v="3"/>
    <x v="20"/>
    <x v="0"/>
    <x v="3"/>
    <n v="0"/>
  </r>
  <r>
    <x v="1"/>
    <x v="7"/>
    <x v="1"/>
    <x v="3"/>
    <x v="20"/>
    <x v="0"/>
    <x v="4"/>
    <n v="0"/>
  </r>
  <r>
    <x v="1"/>
    <x v="7"/>
    <x v="1"/>
    <x v="3"/>
    <x v="20"/>
    <x v="0"/>
    <x v="5"/>
    <n v="0"/>
  </r>
  <r>
    <x v="1"/>
    <x v="7"/>
    <x v="1"/>
    <x v="3"/>
    <x v="20"/>
    <x v="0"/>
    <x v="6"/>
    <n v="0"/>
  </r>
  <r>
    <x v="1"/>
    <x v="7"/>
    <x v="1"/>
    <x v="3"/>
    <x v="21"/>
    <x v="0"/>
    <x v="0"/>
    <n v="0"/>
  </r>
  <r>
    <x v="1"/>
    <x v="7"/>
    <x v="1"/>
    <x v="3"/>
    <x v="21"/>
    <x v="0"/>
    <x v="1"/>
    <n v="0"/>
  </r>
  <r>
    <x v="1"/>
    <x v="7"/>
    <x v="1"/>
    <x v="3"/>
    <x v="21"/>
    <x v="0"/>
    <x v="2"/>
    <n v="0"/>
  </r>
  <r>
    <x v="1"/>
    <x v="7"/>
    <x v="1"/>
    <x v="3"/>
    <x v="21"/>
    <x v="0"/>
    <x v="3"/>
    <n v="0"/>
  </r>
  <r>
    <x v="1"/>
    <x v="7"/>
    <x v="1"/>
    <x v="3"/>
    <x v="21"/>
    <x v="0"/>
    <x v="4"/>
    <n v="0"/>
  </r>
  <r>
    <x v="1"/>
    <x v="7"/>
    <x v="1"/>
    <x v="3"/>
    <x v="21"/>
    <x v="0"/>
    <x v="5"/>
    <n v="0"/>
  </r>
  <r>
    <x v="1"/>
    <x v="7"/>
    <x v="1"/>
    <x v="3"/>
    <x v="21"/>
    <x v="0"/>
    <x v="6"/>
    <n v="0"/>
  </r>
  <r>
    <x v="1"/>
    <x v="7"/>
    <x v="1"/>
    <x v="3"/>
    <x v="22"/>
    <x v="0"/>
    <x v="0"/>
    <n v="0"/>
  </r>
  <r>
    <x v="1"/>
    <x v="7"/>
    <x v="1"/>
    <x v="3"/>
    <x v="22"/>
    <x v="0"/>
    <x v="1"/>
    <n v="0"/>
  </r>
  <r>
    <x v="1"/>
    <x v="7"/>
    <x v="1"/>
    <x v="3"/>
    <x v="22"/>
    <x v="0"/>
    <x v="2"/>
    <n v="0"/>
  </r>
  <r>
    <x v="1"/>
    <x v="7"/>
    <x v="1"/>
    <x v="3"/>
    <x v="22"/>
    <x v="0"/>
    <x v="3"/>
    <n v="0"/>
  </r>
  <r>
    <x v="1"/>
    <x v="7"/>
    <x v="1"/>
    <x v="3"/>
    <x v="22"/>
    <x v="0"/>
    <x v="4"/>
    <n v="0"/>
  </r>
  <r>
    <x v="1"/>
    <x v="7"/>
    <x v="1"/>
    <x v="3"/>
    <x v="22"/>
    <x v="0"/>
    <x v="5"/>
    <n v="0"/>
  </r>
  <r>
    <x v="1"/>
    <x v="7"/>
    <x v="1"/>
    <x v="3"/>
    <x v="22"/>
    <x v="0"/>
    <x v="6"/>
    <n v="0"/>
  </r>
  <r>
    <x v="1"/>
    <x v="7"/>
    <x v="1"/>
    <x v="3"/>
    <x v="23"/>
    <x v="0"/>
    <x v="0"/>
    <n v="0"/>
  </r>
  <r>
    <x v="1"/>
    <x v="7"/>
    <x v="1"/>
    <x v="3"/>
    <x v="23"/>
    <x v="0"/>
    <x v="1"/>
    <n v="0"/>
  </r>
  <r>
    <x v="1"/>
    <x v="7"/>
    <x v="1"/>
    <x v="3"/>
    <x v="23"/>
    <x v="0"/>
    <x v="2"/>
    <n v="0"/>
  </r>
  <r>
    <x v="1"/>
    <x v="7"/>
    <x v="1"/>
    <x v="3"/>
    <x v="23"/>
    <x v="0"/>
    <x v="3"/>
    <n v="0"/>
  </r>
  <r>
    <x v="1"/>
    <x v="7"/>
    <x v="1"/>
    <x v="3"/>
    <x v="23"/>
    <x v="0"/>
    <x v="4"/>
    <n v="0"/>
  </r>
  <r>
    <x v="1"/>
    <x v="7"/>
    <x v="1"/>
    <x v="3"/>
    <x v="23"/>
    <x v="0"/>
    <x v="5"/>
    <n v="0"/>
  </r>
  <r>
    <x v="1"/>
    <x v="7"/>
    <x v="1"/>
    <x v="3"/>
    <x v="23"/>
    <x v="0"/>
    <x v="6"/>
    <n v="0"/>
  </r>
  <r>
    <x v="1"/>
    <x v="7"/>
    <x v="1"/>
    <x v="3"/>
    <x v="24"/>
    <x v="0"/>
    <x v="0"/>
    <n v="0"/>
  </r>
  <r>
    <x v="1"/>
    <x v="7"/>
    <x v="1"/>
    <x v="3"/>
    <x v="24"/>
    <x v="0"/>
    <x v="1"/>
    <n v="0"/>
  </r>
  <r>
    <x v="1"/>
    <x v="7"/>
    <x v="1"/>
    <x v="3"/>
    <x v="24"/>
    <x v="0"/>
    <x v="2"/>
    <n v="0"/>
  </r>
  <r>
    <x v="1"/>
    <x v="7"/>
    <x v="1"/>
    <x v="3"/>
    <x v="24"/>
    <x v="0"/>
    <x v="3"/>
    <n v="0"/>
  </r>
  <r>
    <x v="1"/>
    <x v="7"/>
    <x v="1"/>
    <x v="3"/>
    <x v="24"/>
    <x v="0"/>
    <x v="4"/>
    <n v="0"/>
  </r>
  <r>
    <x v="1"/>
    <x v="7"/>
    <x v="1"/>
    <x v="3"/>
    <x v="24"/>
    <x v="0"/>
    <x v="5"/>
    <n v="0"/>
  </r>
  <r>
    <x v="1"/>
    <x v="7"/>
    <x v="1"/>
    <x v="3"/>
    <x v="24"/>
    <x v="0"/>
    <x v="6"/>
    <n v="0"/>
  </r>
  <r>
    <x v="1"/>
    <x v="7"/>
    <x v="1"/>
    <x v="3"/>
    <x v="25"/>
    <x v="0"/>
    <x v="0"/>
    <n v="0"/>
  </r>
  <r>
    <x v="1"/>
    <x v="7"/>
    <x v="1"/>
    <x v="3"/>
    <x v="25"/>
    <x v="0"/>
    <x v="1"/>
    <n v="0"/>
  </r>
  <r>
    <x v="1"/>
    <x v="7"/>
    <x v="1"/>
    <x v="3"/>
    <x v="25"/>
    <x v="0"/>
    <x v="2"/>
    <n v="0"/>
  </r>
  <r>
    <x v="1"/>
    <x v="7"/>
    <x v="1"/>
    <x v="3"/>
    <x v="25"/>
    <x v="0"/>
    <x v="3"/>
    <n v="0"/>
  </r>
  <r>
    <x v="1"/>
    <x v="7"/>
    <x v="1"/>
    <x v="3"/>
    <x v="25"/>
    <x v="0"/>
    <x v="4"/>
    <n v="0"/>
  </r>
  <r>
    <x v="1"/>
    <x v="7"/>
    <x v="1"/>
    <x v="3"/>
    <x v="25"/>
    <x v="0"/>
    <x v="5"/>
    <n v="0"/>
  </r>
  <r>
    <x v="1"/>
    <x v="7"/>
    <x v="1"/>
    <x v="3"/>
    <x v="25"/>
    <x v="0"/>
    <x v="6"/>
    <n v="0"/>
  </r>
  <r>
    <x v="1"/>
    <x v="7"/>
    <x v="2"/>
    <x v="4"/>
    <x v="26"/>
    <x v="0"/>
    <x v="0"/>
    <n v="0"/>
  </r>
  <r>
    <x v="1"/>
    <x v="7"/>
    <x v="2"/>
    <x v="4"/>
    <x v="26"/>
    <x v="0"/>
    <x v="1"/>
    <n v="0"/>
  </r>
  <r>
    <x v="1"/>
    <x v="7"/>
    <x v="2"/>
    <x v="4"/>
    <x v="26"/>
    <x v="0"/>
    <x v="2"/>
    <n v="0"/>
  </r>
  <r>
    <x v="1"/>
    <x v="7"/>
    <x v="2"/>
    <x v="4"/>
    <x v="26"/>
    <x v="0"/>
    <x v="3"/>
    <n v="0"/>
  </r>
  <r>
    <x v="1"/>
    <x v="7"/>
    <x v="2"/>
    <x v="4"/>
    <x v="26"/>
    <x v="0"/>
    <x v="4"/>
    <n v="0"/>
  </r>
  <r>
    <x v="1"/>
    <x v="7"/>
    <x v="2"/>
    <x v="4"/>
    <x v="26"/>
    <x v="0"/>
    <x v="5"/>
    <n v="0"/>
  </r>
  <r>
    <x v="1"/>
    <x v="7"/>
    <x v="2"/>
    <x v="4"/>
    <x v="26"/>
    <x v="0"/>
    <x v="6"/>
    <n v="0"/>
  </r>
  <r>
    <x v="1"/>
    <x v="7"/>
    <x v="2"/>
    <x v="4"/>
    <x v="27"/>
    <x v="0"/>
    <x v="0"/>
    <n v="0"/>
  </r>
  <r>
    <x v="1"/>
    <x v="7"/>
    <x v="2"/>
    <x v="4"/>
    <x v="27"/>
    <x v="0"/>
    <x v="1"/>
    <n v="0"/>
  </r>
  <r>
    <x v="1"/>
    <x v="7"/>
    <x v="2"/>
    <x v="4"/>
    <x v="27"/>
    <x v="0"/>
    <x v="2"/>
    <n v="0"/>
  </r>
  <r>
    <x v="1"/>
    <x v="7"/>
    <x v="2"/>
    <x v="4"/>
    <x v="27"/>
    <x v="0"/>
    <x v="3"/>
    <n v="0"/>
  </r>
  <r>
    <x v="1"/>
    <x v="7"/>
    <x v="2"/>
    <x v="4"/>
    <x v="27"/>
    <x v="0"/>
    <x v="4"/>
    <n v="0"/>
  </r>
  <r>
    <x v="1"/>
    <x v="7"/>
    <x v="2"/>
    <x v="4"/>
    <x v="27"/>
    <x v="0"/>
    <x v="5"/>
    <n v="0"/>
  </r>
  <r>
    <x v="1"/>
    <x v="7"/>
    <x v="2"/>
    <x v="4"/>
    <x v="27"/>
    <x v="0"/>
    <x v="6"/>
    <n v="0"/>
  </r>
  <r>
    <x v="1"/>
    <x v="7"/>
    <x v="2"/>
    <x v="4"/>
    <x v="28"/>
    <x v="0"/>
    <x v="0"/>
    <n v="0"/>
  </r>
  <r>
    <x v="1"/>
    <x v="7"/>
    <x v="2"/>
    <x v="4"/>
    <x v="28"/>
    <x v="0"/>
    <x v="1"/>
    <n v="0"/>
  </r>
  <r>
    <x v="1"/>
    <x v="7"/>
    <x v="2"/>
    <x v="4"/>
    <x v="28"/>
    <x v="0"/>
    <x v="2"/>
    <n v="0"/>
  </r>
  <r>
    <x v="1"/>
    <x v="7"/>
    <x v="2"/>
    <x v="4"/>
    <x v="28"/>
    <x v="0"/>
    <x v="3"/>
    <n v="0"/>
  </r>
  <r>
    <x v="1"/>
    <x v="7"/>
    <x v="2"/>
    <x v="4"/>
    <x v="28"/>
    <x v="0"/>
    <x v="4"/>
    <n v="0"/>
  </r>
  <r>
    <x v="1"/>
    <x v="7"/>
    <x v="2"/>
    <x v="4"/>
    <x v="28"/>
    <x v="0"/>
    <x v="5"/>
    <n v="0"/>
  </r>
  <r>
    <x v="1"/>
    <x v="7"/>
    <x v="2"/>
    <x v="4"/>
    <x v="28"/>
    <x v="0"/>
    <x v="6"/>
    <n v="0"/>
  </r>
  <r>
    <x v="1"/>
    <x v="7"/>
    <x v="2"/>
    <x v="4"/>
    <x v="29"/>
    <x v="0"/>
    <x v="0"/>
    <n v="0"/>
  </r>
  <r>
    <x v="1"/>
    <x v="7"/>
    <x v="2"/>
    <x v="4"/>
    <x v="29"/>
    <x v="0"/>
    <x v="1"/>
    <n v="0"/>
  </r>
  <r>
    <x v="1"/>
    <x v="7"/>
    <x v="2"/>
    <x v="4"/>
    <x v="29"/>
    <x v="0"/>
    <x v="2"/>
    <n v="0"/>
  </r>
  <r>
    <x v="1"/>
    <x v="7"/>
    <x v="2"/>
    <x v="4"/>
    <x v="29"/>
    <x v="0"/>
    <x v="3"/>
    <n v="0"/>
  </r>
  <r>
    <x v="1"/>
    <x v="7"/>
    <x v="2"/>
    <x v="4"/>
    <x v="29"/>
    <x v="0"/>
    <x v="4"/>
    <n v="0"/>
  </r>
  <r>
    <x v="1"/>
    <x v="7"/>
    <x v="2"/>
    <x v="4"/>
    <x v="29"/>
    <x v="0"/>
    <x v="5"/>
    <n v="0"/>
  </r>
  <r>
    <x v="1"/>
    <x v="7"/>
    <x v="2"/>
    <x v="4"/>
    <x v="29"/>
    <x v="0"/>
    <x v="6"/>
    <n v="0"/>
  </r>
  <r>
    <x v="1"/>
    <x v="7"/>
    <x v="3"/>
    <x v="5"/>
    <x v="30"/>
    <x v="0"/>
    <x v="0"/>
    <n v="0"/>
  </r>
  <r>
    <x v="1"/>
    <x v="7"/>
    <x v="3"/>
    <x v="5"/>
    <x v="30"/>
    <x v="0"/>
    <x v="1"/>
    <n v="0"/>
  </r>
  <r>
    <x v="1"/>
    <x v="7"/>
    <x v="3"/>
    <x v="5"/>
    <x v="30"/>
    <x v="0"/>
    <x v="2"/>
    <n v="0"/>
  </r>
  <r>
    <x v="1"/>
    <x v="7"/>
    <x v="3"/>
    <x v="5"/>
    <x v="30"/>
    <x v="0"/>
    <x v="3"/>
    <n v="0"/>
  </r>
  <r>
    <x v="1"/>
    <x v="7"/>
    <x v="3"/>
    <x v="5"/>
    <x v="30"/>
    <x v="0"/>
    <x v="4"/>
    <n v="0"/>
  </r>
  <r>
    <x v="1"/>
    <x v="7"/>
    <x v="3"/>
    <x v="5"/>
    <x v="30"/>
    <x v="0"/>
    <x v="5"/>
    <n v="0"/>
  </r>
  <r>
    <x v="1"/>
    <x v="7"/>
    <x v="3"/>
    <x v="5"/>
    <x v="30"/>
    <x v="0"/>
    <x v="6"/>
    <n v="0"/>
  </r>
  <r>
    <x v="1"/>
    <x v="7"/>
    <x v="2"/>
    <x v="4"/>
    <x v="31"/>
    <x v="0"/>
    <x v="0"/>
    <n v="0"/>
  </r>
  <r>
    <x v="1"/>
    <x v="7"/>
    <x v="2"/>
    <x v="4"/>
    <x v="31"/>
    <x v="0"/>
    <x v="1"/>
    <n v="0"/>
  </r>
  <r>
    <x v="1"/>
    <x v="7"/>
    <x v="2"/>
    <x v="4"/>
    <x v="31"/>
    <x v="0"/>
    <x v="2"/>
    <n v="0"/>
  </r>
  <r>
    <x v="1"/>
    <x v="7"/>
    <x v="2"/>
    <x v="4"/>
    <x v="31"/>
    <x v="0"/>
    <x v="3"/>
    <n v="0"/>
  </r>
  <r>
    <x v="1"/>
    <x v="7"/>
    <x v="2"/>
    <x v="4"/>
    <x v="31"/>
    <x v="0"/>
    <x v="4"/>
    <n v="0"/>
  </r>
  <r>
    <x v="1"/>
    <x v="7"/>
    <x v="2"/>
    <x v="4"/>
    <x v="31"/>
    <x v="0"/>
    <x v="5"/>
    <n v="0"/>
  </r>
  <r>
    <x v="1"/>
    <x v="7"/>
    <x v="2"/>
    <x v="4"/>
    <x v="31"/>
    <x v="0"/>
    <x v="6"/>
    <n v="0"/>
  </r>
  <r>
    <x v="1"/>
    <x v="7"/>
    <x v="2"/>
    <x v="4"/>
    <x v="32"/>
    <x v="0"/>
    <x v="0"/>
    <n v="0"/>
  </r>
  <r>
    <x v="1"/>
    <x v="7"/>
    <x v="2"/>
    <x v="4"/>
    <x v="32"/>
    <x v="0"/>
    <x v="1"/>
    <n v="0"/>
  </r>
  <r>
    <x v="1"/>
    <x v="7"/>
    <x v="2"/>
    <x v="4"/>
    <x v="32"/>
    <x v="0"/>
    <x v="2"/>
    <n v="0"/>
  </r>
  <r>
    <x v="1"/>
    <x v="7"/>
    <x v="2"/>
    <x v="4"/>
    <x v="32"/>
    <x v="0"/>
    <x v="3"/>
    <n v="0"/>
  </r>
  <r>
    <x v="1"/>
    <x v="7"/>
    <x v="2"/>
    <x v="4"/>
    <x v="32"/>
    <x v="0"/>
    <x v="4"/>
    <n v="0"/>
  </r>
  <r>
    <x v="1"/>
    <x v="7"/>
    <x v="2"/>
    <x v="4"/>
    <x v="32"/>
    <x v="0"/>
    <x v="5"/>
    <n v="0"/>
  </r>
  <r>
    <x v="1"/>
    <x v="7"/>
    <x v="2"/>
    <x v="4"/>
    <x v="32"/>
    <x v="0"/>
    <x v="6"/>
    <n v="0"/>
  </r>
  <r>
    <x v="1"/>
    <x v="7"/>
    <x v="2"/>
    <x v="4"/>
    <x v="33"/>
    <x v="0"/>
    <x v="0"/>
    <n v="0"/>
  </r>
  <r>
    <x v="1"/>
    <x v="7"/>
    <x v="2"/>
    <x v="4"/>
    <x v="33"/>
    <x v="0"/>
    <x v="1"/>
    <n v="0"/>
  </r>
  <r>
    <x v="1"/>
    <x v="7"/>
    <x v="2"/>
    <x v="4"/>
    <x v="33"/>
    <x v="0"/>
    <x v="2"/>
    <n v="0"/>
  </r>
  <r>
    <x v="1"/>
    <x v="7"/>
    <x v="2"/>
    <x v="4"/>
    <x v="33"/>
    <x v="0"/>
    <x v="3"/>
    <n v="0"/>
  </r>
  <r>
    <x v="1"/>
    <x v="7"/>
    <x v="2"/>
    <x v="4"/>
    <x v="33"/>
    <x v="0"/>
    <x v="4"/>
    <n v="0"/>
  </r>
  <r>
    <x v="1"/>
    <x v="7"/>
    <x v="2"/>
    <x v="4"/>
    <x v="33"/>
    <x v="0"/>
    <x v="5"/>
    <n v="0"/>
  </r>
  <r>
    <x v="1"/>
    <x v="7"/>
    <x v="2"/>
    <x v="4"/>
    <x v="33"/>
    <x v="0"/>
    <x v="6"/>
    <n v="0"/>
  </r>
  <r>
    <x v="1"/>
    <x v="7"/>
    <x v="2"/>
    <x v="4"/>
    <x v="34"/>
    <x v="0"/>
    <x v="0"/>
    <n v="0"/>
  </r>
  <r>
    <x v="1"/>
    <x v="7"/>
    <x v="2"/>
    <x v="4"/>
    <x v="34"/>
    <x v="0"/>
    <x v="1"/>
    <n v="0"/>
  </r>
  <r>
    <x v="1"/>
    <x v="7"/>
    <x v="2"/>
    <x v="4"/>
    <x v="34"/>
    <x v="0"/>
    <x v="2"/>
    <n v="0"/>
  </r>
  <r>
    <x v="1"/>
    <x v="7"/>
    <x v="2"/>
    <x v="4"/>
    <x v="34"/>
    <x v="0"/>
    <x v="3"/>
    <n v="0"/>
  </r>
  <r>
    <x v="1"/>
    <x v="7"/>
    <x v="2"/>
    <x v="4"/>
    <x v="34"/>
    <x v="0"/>
    <x v="4"/>
    <n v="0"/>
  </r>
  <r>
    <x v="1"/>
    <x v="7"/>
    <x v="2"/>
    <x v="4"/>
    <x v="34"/>
    <x v="0"/>
    <x v="5"/>
    <n v="0"/>
  </r>
  <r>
    <x v="1"/>
    <x v="7"/>
    <x v="2"/>
    <x v="4"/>
    <x v="34"/>
    <x v="0"/>
    <x v="6"/>
    <n v="0"/>
  </r>
  <r>
    <x v="1"/>
    <x v="7"/>
    <x v="2"/>
    <x v="6"/>
    <x v="35"/>
    <x v="0"/>
    <x v="0"/>
    <n v="0"/>
  </r>
  <r>
    <x v="1"/>
    <x v="7"/>
    <x v="2"/>
    <x v="6"/>
    <x v="35"/>
    <x v="0"/>
    <x v="1"/>
    <n v="0"/>
  </r>
  <r>
    <x v="1"/>
    <x v="7"/>
    <x v="2"/>
    <x v="6"/>
    <x v="35"/>
    <x v="0"/>
    <x v="2"/>
    <n v="0"/>
  </r>
  <r>
    <x v="1"/>
    <x v="7"/>
    <x v="2"/>
    <x v="6"/>
    <x v="35"/>
    <x v="0"/>
    <x v="3"/>
    <n v="0"/>
  </r>
  <r>
    <x v="1"/>
    <x v="7"/>
    <x v="2"/>
    <x v="6"/>
    <x v="35"/>
    <x v="0"/>
    <x v="4"/>
    <n v="0"/>
  </r>
  <r>
    <x v="1"/>
    <x v="7"/>
    <x v="2"/>
    <x v="6"/>
    <x v="35"/>
    <x v="0"/>
    <x v="5"/>
    <n v="0"/>
  </r>
  <r>
    <x v="1"/>
    <x v="7"/>
    <x v="2"/>
    <x v="6"/>
    <x v="35"/>
    <x v="0"/>
    <x v="6"/>
    <n v="0"/>
  </r>
  <r>
    <x v="1"/>
    <x v="7"/>
    <x v="2"/>
    <x v="6"/>
    <x v="36"/>
    <x v="0"/>
    <x v="0"/>
    <n v="0"/>
  </r>
  <r>
    <x v="1"/>
    <x v="7"/>
    <x v="2"/>
    <x v="6"/>
    <x v="36"/>
    <x v="0"/>
    <x v="1"/>
    <n v="0"/>
  </r>
  <r>
    <x v="1"/>
    <x v="7"/>
    <x v="2"/>
    <x v="6"/>
    <x v="36"/>
    <x v="0"/>
    <x v="2"/>
    <n v="0"/>
  </r>
  <r>
    <x v="1"/>
    <x v="7"/>
    <x v="2"/>
    <x v="6"/>
    <x v="36"/>
    <x v="0"/>
    <x v="3"/>
    <n v="0"/>
  </r>
  <r>
    <x v="1"/>
    <x v="7"/>
    <x v="2"/>
    <x v="6"/>
    <x v="36"/>
    <x v="0"/>
    <x v="4"/>
    <n v="0"/>
  </r>
  <r>
    <x v="1"/>
    <x v="7"/>
    <x v="2"/>
    <x v="6"/>
    <x v="36"/>
    <x v="0"/>
    <x v="5"/>
    <n v="0"/>
  </r>
  <r>
    <x v="1"/>
    <x v="7"/>
    <x v="2"/>
    <x v="6"/>
    <x v="36"/>
    <x v="0"/>
    <x v="6"/>
    <n v="0"/>
  </r>
  <r>
    <x v="1"/>
    <x v="7"/>
    <x v="2"/>
    <x v="6"/>
    <x v="37"/>
    <x v="0"/>
    <x v="0"/>
    <n v="0"/>
  </r>
  <r>
    <x v="1"/>
    <x v="7"/>
    <x v="2"/>
    <x v="6"/>
    <x v="37"/>
    <x v="0"/>
    <x v="1"/>
    <n v="0"/>
  </r>
  <r>
    <x v="1"/>
    <x v="7"/>
    <x v="2"/>
    <x v="6"/>
    <x v="37"/>
    <x v="0"/>
    <x v="2"/>
    <n v="0"/>
  </r>
  <r>
    <x v="1"/>
    <x v="7"/>
    <x v="2"/>
    <x v="6"/>
    <x v="37"/>
    <x v="0"/>
    <x v="3"/>
    <n v="0"/>
  </r>
  <r>
    <x v="1"/>
    <x v="7"/>
    <x v="2"/>
    <x v="6"/>
    <x v="37"/>
    <x v="0"/>
    <x v="4"/>
    <n v="0"/>
  </r>
  <r>
    <x v="1"/>
    <x v="7"/>
    <x v="2"/>
    <x v="6"/>
    <x v="37"/>
    <x v="0"/>
    <x v="5"/>
    <n v="0"/>
  </r>
  <r>
    <x v="1"/>
    <x v="7"/>
    <x v="2"/>
    <x v="6"/>
    <x v="37"/>
    <x v="0"/>
    <x v="6"/>
    <n v="0"/>
  </r>
  <r>
    <x v="1"/>
    <x v="7"/>
    <x v="2"/>
    <x v="6"/>
    <x v="38"/>
    <x v="0"/>
    <x v="0"/>
    <n v="0"/>
  </r>
  <r>
    <x v="1"/>
    <x v="7"/>
    <x v="2"/>
    <x v="6"/>
    <x v="38"/>
    <x v="0"/>
    <x v="1"/>
    <n v="0"/>
  </r>
  <r>
    <x v="1"/>
    <x v="7"/>
    <x v="2"/>
    <x v="6"/>
    <x v="38"/>
    <x v="0"/>
    <x v="2"/>
    <n v="0"/>
  </r>
  <r>
    <x v="1"/>
    <x v="7"/>
    <x v="2"/>
    <x v="6"/>
    <x v="38"/>
    <x v="0"/>
    <x v="3"/>
    <n v="0"/>
  </r>
  <r>
    <x v="1"/>
    <x v="7"/>
    <x v="2"/>
    <x v="6"/>
    <x v="38"/>
    <x v="0"/>
    <x v="4"/>
    <n v="0"/>
  </r>
  <r>
    <x v="1"/>
    <x v="7"/>
    <x v="2"/>
    <x v="6"/>
    <x v="38"/>
    <x v="0"/>
    <x v="5"/>
    <n v="0"/>
  </r>
  <r>
    <x v="1"/>
    <x v="7"/>
    <x v="2"/>
    <x v="6"/>
    <x v="38"/>
    <x v="0"/>
    <x v="6"/>
    <n v="0"/>
  </r>
  <r>
    <x v="1"/>
    <x v="7"/>
    <x v="3"/>
    <x v="5"/>
    <x v="39"/>
    <x v="0"/>
    <x v="0"/>
    <n v="0"/>
  </r>
  <r>
    <x v="1"/>
    <x v="7"/>
    <x v="3"/>
    <x v="5"/>
    <x v="39"/>
    <x v="0"/>
    <x v="1"/>
    <n v="0"/>
  </r>
  <r>
    <x v="1"/>
    <x v="7"/>
    <x v="3"/>
    <x v="5"/>
    <x v="39"/>
    <x v="0"/>
    <x v="2"/>
    <n v="0"/>
  </r>
  <r>
    <x v="1"/>
    <x v="7"/>
    <x v="3"/>
    <x v="5"/>
    <x v="39"/>
    <x v="0"/>
    <x v="3"/>
    <n v="0"/>
  </r>
  <r>
    <x v="1"/>
    <x v="7"/>
    <x v="3"/>
    <x v="5"/>
    <x v="39"/>
    <x v="0"/>
    <x v="4"/>
    <n v="0"/>
  </r>
  <r>
    <x v="1"/>
    <x v="7"/>
    <x v="3"/>
    <x v="5"/>
    <x v="39"/>
    <x v="0"/>
    <x v="5"/>
    <n v="0"/>
  </r>
  <r>
    <x v="1"/>
    <x v="7"/>
    <x v="3"/>
    <x v="5"/>
    <x v="39"/>
    <x v="0"/>
    <x v="6"/>
    <n v="0"/>
  </r>
  <r>
    <x v="1"/>
    <x v="7"/>
    <x v="2"/>
    <x v="6"/>
    <x v="40"/>
    <x v="0"/>
    <x v="0"/>
    <n v="0"/>
  </r>
  <r>
    <x v="1"/>
    <x v="7"/>
    <x v="2"/>
    <x v="6"/>
    <x v="40"/>
    <x v="0"/>
    <x v="1"/>
    <n v="0"/>
  </r>
  <r>
    <x v="1"/>
    <x v="7"/>
    <x v="2"/>
    <x v="6"/>
    <x v="40"/>
    <x v="0"/>
    <x v="2"/>
    <n v="0"/>
  </r>
  <r>
    <x v="1"/>
    <x v="7"/>
    <x v="2"/>
    <x v="6"/>
    <x v="40"/>
    <x v="0"/>
    <x v="3"/>
    <n v="0"/>
  </r>
  <r>
    <x v="1"/>
    <x v="7"/>
    <x v="2"/>
    <x v="6"/>
    <x v="40"/>
    <x v="0"/>
    <x v="4"/>
    <n v="0"/>
  </r>
  <r>
    <x v="1"/>
    <x v="7"/>
    <x v="2"/>
    <x v="6"/>
    <x v="40"/>
    <x v="0"/>
    <x v="5"/>
    <n v="0"/>
  </r>
  <r>
    <x v="1"/>
    <x v="7"/>
    <x v="2"/>
    <x v="6"/>
    <x v="40"/>
    <x v="0"/>
    <x v="6"/>
    <n v="0"/>
  </r>
  <r>
    <x v="1"/>
    <x v="7"/>
    <x v="2"/>
    <x v="6"/>
    <x v="41"/>
    <x v="0"/>
    <x v="0"/>
    <n v="0"/>
  </r>
  <r>
    <x v="1"/>
    <x v="7"/>
    <x v="2"/>
    <x v="6"/>
    <x v="41"/>
    <x v="0"/>
    <x v="1"/>
    <n v="0"/>
  </r>
  <r>
    <x v="1"/>
    <x v="7"/>
    <x v="2"/>
    <x v="6"/>
    <x v="41"/>
    <x v="0"/>
    <x v="2"/>
    <n v="0"/>
  </r>
  <r>
    <x v="1"/>
    <x v="7"/>
    <x v="2"/>
    <x v="6"/>
    <x v="41"/>
    <x v="0"/>
    <x v="3"/>
    <n v="0"/>
  </r>
  <r>
    <x v="1"/>
    <x v="7"/>
    <x v="2"/>
    <x v="6"/>
    <x v="41"/>
    <x v="0"/>
    <x v="4"/>
    <n v="0"/>
  </r>
  <r>
    <x v="1"/>
    <x v="7"/>
    <x v="2"/>
    <x v="6"/>
    <x v="41"/>
    <x v="0"/>
    <x v="5"/>
    <n v="0"/>
  </r>
  <r>
    <x v="1"/>
    <x v="7"/>
    <x v="2"/>
    <x v="6"/>
    <x v="41"/>
    <x v="0"/>
    <x v="6"/>
    <n v="0"/>
  </r>
  <r>
    <x v="1"/>
    <x v="7"/>
    <x v="2"/>
    <x v="6"/>
    <x v="42"/>
    <x v="0"/>
    <x v="0"/>
    <n v="0"/>
  </r>
  <r>
    <x v="1"/>
    <x v="7"/>
    <x v="2"/>
    <x v="6"/>
    <x v="42"/>
    <x v="0"/>
    <x v="1"/>
    <n v="0"/>
  </r>
  <r>
    <x v="1"/>
    <x v="7"/>
    <x v="2"/>
    <x v="6"/>
    <x v="42"/>
    <x v="0"/>
    <x v="2"/>
    <n v="0"/>
  </r>
  <r>
    <x v="1"/>
    <x v="7"/>
    <x v="2"/>
    <x v="6"/>
    <x v="42"/>
    <x v="0"/>
    <x v="3"/>
    <n v="0"/>
  </r>
  <r>
    <x v="1"/>
    <x v="7"/>
    <x v="2"/>
    <x v="6"/>
    <x v="42"/>
    <x v="0"/>
    <x v="4"/>
    <n v="0"/>
  </r>
  <r>
    <x v="1"/>
    <x v="7"/>
    <x v="2"/>
    <x v="6"/>
    <x v="42"/>
    <x v="0"/>
    <x v="5"/>
    <n v="0"/>
  </r>
  <r>
    <x v="1"/>
    <x v="7"/>
    <x v="2"/>
    <x v="6"/>
    <x v="42"/>
    <x v="0"/>
    <x v="6"/>
    <n v="0"/>
  </r>
  <r>
    <x v="1"/>
    <x v="7"/>
    <x v="2"/>
    <x v="6"/>
    <x v="43"/>
    <x v="0"/>
    <x v="0"/>
    <n v="0"/>
  </r>
  <r>
    <x v="1"/>
    <x v="7"/>
    <x v="2"/>
    <x v="6"/>
    <x v="43"/>
    <x v="0"/>
    <x v="1"/>
    <n v="0"/>
  </r>
  <r>
    <x v="1"/>
    <x v="7"/>
    <x v="2"/>
    <x v="6"/>
    <x v="43"/>
    <x v="0"/>
    <x v="2"/>
    <n v="0"/>
  </r>
  <r>
    <x v="1"/>
    <x v="7"/>
    <x v="2"/>
    <x v="6"/>
    <x v="43"/>
    <x v="0"/>
    <x v="3"/>
    <n v="0"/>
  </r>
  <r>
    <x v="1"/>
    <x v="7"/>
    <x v="2"/>
    <x v="6"/>
    <x v="43"/>
    <x v="0"/>
    <x v="4"/>
    <n v="0"/>
  </r>
  <r>
    <x v="1"/>
    <x v="7"/>
    <x v="2"/>
    <x v="6"/>
    <x v="43"/>
    <x v="0"/>
    <x v="5"/>
    <n v="0"/>
  </r>
  <r>
    <x v="1"/>
    <x v="7"/>
    <x v="2"/>
    <x v="6"/>
    <x v="43"/>
    <x v="0"/>
    <x v="6"/>
    <n v="0"/>
  </r>
  <r>
    <x v="1"/>
    <x v="7"/>
    <x v="4"/>
    <x v="7"/>
    <x v="44"/>
    <x v="0"/>
    <x v="0"/>
    <n v="0"/>
  </r>
  <r>
    <x v="1"/>
    <x v="7"/>
    <x v="4"/>
    <x v="7"/>
    <x v="44"/>
    <x v="0"/>
    <x v="1"/>
    <n v="0"/>
  </r>
  <r>
    <x v="1"/>
    <x v="7"/>
    <x v="4"/>
    <x v="7"/>
    <x v="44"/>
    <x v="0"/>
    <x v="2"/>
    <n v="0"/>
  </r>
  <r>
    <x v="1"/>
    <x v="7"/>
    <x v="4"/>
    <x v="7"/>
    <x v="44"/>
    <x v="0"/>
    <x v="3"/>
    <n v="0"/>
  </r>
  <r>
    <x v="1"/>
    <x v="7"/>
    <x v="4"/>
    <x v="7"/>
    <x v="44"/>
    <x v="0"/>
    <x v="4"/>
    <n v="0"/>
  </r>
  <r>
    <x v="1"/>
    <x v="7"/>
    <x v="4"/>
    <x v="7"/>
    <x v="44"/>
    <x v="0"/>
    <x v="5"/>
    <n v="0"/>
  </r>
  <r>
    <x v="1"/>
    <x v="7"/>
    <x v="4"/>
    <x v="7"/>
    <x v="44"/>
    <x v="0"/>
    <x v="6"/>
    <n v="0"/>
  </r>
  <r>
    <x v="1"/>
    <x v="7"/>
    <x v="4"/>
    <x v="7"/>
    <x v="45"/>
    <x v="0"/>
    <x v="0"/>
    <n v="0"/>
  </r>
  <r>
    <x v="1"/>
    <x v="7"/>
    <x v="4"/>
    <x v="7"/>
    <x v="45"/>
    <x v="0"/>
    <x v="1"/>
    <n v="0"/>
  </r>
  <r>
    <x v="1"/>
    <x v="7"/>
    <x v="4"/>
    <x v="7"/>
    <x v="45"/>
    <x v="0"/>
    <x v="2"/>
    <n v="0"/>
  </r>
  <r>
    <x v="1"/>
    <x v="7"/>
    <x v="4"/>
    <x v="7"/>
    <x v="45"/>
    <x v="0"/>
    <x v="3"/>
    <n v="0"/>
  </r>
  <r>
    <x v="1"/>
    <x v="7"/>
    <x v="4"/>
    <x v="7"/>
    <x v="45"/>
    <x v="0"/>
    <x v="4"/>
    <n v="0"/>
  </r>
  <r>
    <x v="1"/>
    <x v="7"/>
    <x v="4"/>
    <x v="7"/>
    <x v="45"/>
    <x v="0"/>
    <x v="5"/>
    <n v="0"/>
  </r>
  <r>
    <x v="1"/>
    <x v="7"/>
    <x v="4"/>
    <x v="7"/>
    <x v="45"/>
    <x v="0"/>
    <x v="6"/>
    <n v="0"/>
  </r>
  <r>
    <x v="1"/>
    <x v="7"/>
    <x v="4"/>
    <x v="7"/>
    <x v="46"/>
    <x v="0"/>
    <x v="0"/>
    <n v="0"/>
  </r>
  <r>
    <x v="1"/>
    <x v="7"/>
    <x v="4"/>
    <x v="7"/>
    <x v="46"/>
    <x v="0"/>
    <x v="1"/>
    <n v="0"/>
  </r>
  <r>
    <x v="1"/>
    <x v="7"/>
    <x v="4"/>
    <x v="7"/>
    <x v="46"/>
    <x v="0"/>
    <x v="2"/>
    <n v="0"/>
  </r>
  <r>
    <x v="1"/>
    <x v="7"/>
    <x v="4"/>
    <x v="7"/>
    <x v="46"/>
    <x v="0"/>
    <x v="3"/>
    <n v="0"/>
  </r>
  <r>
    <x v="1"/>
    <x v="7"/>
    <x v="4"/>
    <x v="7"/>
    <x v="46"/>
    <x v="0"/>
    <x v="4"/>
    <n v="0"/>
  </r>
  <r>
    <x v="1"/>
    <x v="7"/>
    <x v="4"/>
    <x v="7"/>
    <x v="46"/>
    <x v="0"/>
    <x v="5"/>
    <n v="0"/>
  </r>
  <r>
    <x v="1"/>
    <x v="7"/>
    <x v="4"/>
    <x v="7"/>
    <x v="46"/>
    <x v="0"/>
    <x v="6"/>
    <n v="0"/>
  </r>
  <r>
    <x v="1"/>
    <x v="7"/>
    <x v="4"/>
    <x v="7"/>
    <x v="47"/>
    <x v="0"/>
    <x v="0"/>
    <n v="0"/>
  </r>
  <r>
    <x v="1"/>
    <x v="7"/>
    <x v="4"/>
    <x v="7"/>
    <x v="47"/>
    <x v="0"/>
    <x v="1"/>
    <n v="0"/>
  </r>
  <r>
    <x v="1"/>
    <x v="7"/>
    <x v="4"/>
    <x v="7"/>
    <x v="47"/>
    <x v="0"/>
    <x v="2"/>
    <n v="0"/>
  </r>
  <r>
    <x v="1"/>
    <x v="7"/>
    <x v="4"/>
    <x v="7"/>
    <x v="47"/>
    <x v="0"/>
    <x v="3"/>
    <n v="0"/>
  </r>
  <r>
    <x v="1"/>
    <x v="7"/>
    <x v="4"/>
    <x v="7"/>
    <x v="47"/>
    <x v="0"/>
    <x v="4"/>
    <n v="0"/>
  </r>
  <r>
    <x v="1"/>
    <x v="7"/>
    <x v="4"/>
    <x v="7"/>
    <x v="47"/>
    <x v="0"/>
    <x v="5"/>
    <n v="0"/>
  </r>
  <r>
    <x v="1"/>
    <x v="7"/>
    <x v="4"/>
    <x v="7"/>
    <x v="47"/>
    <x v="0"/>
    <x v="6"/>
    <n v="0"/>
  </r>
  <r>
    <x v="1"/>
    <x v="7"/>
    <x v="4"/>
    <x v="7"/>
    <x v="48"/>
    <x v="0"/>
    <x v="0"/>
    <n v="0"/>
  </r>
  <r>
    <x v="1"/>
    <x v="7"/>
    <x v="4"/>
    <x v="7"/>
    <x v="48"/>
    <x v="0"/>
    <x v="1"/>
    <n v="0"/>
  </r>
  <r>
    <x v="1"/>
    <x v="7"/>
    <x v="4"/>
    <x v="7"/>
    <x v="48"/>
    <x v="0"/>
    <x v="2"/>
    <n v="0"/>
  </r>
  <r>
    <x v="1"/>
    <x v="7"/>
    <x v="4"/>
    <x v="7"/>
    <x v="48"/>
    <x v="0"/>
    <x v="3"/>
    <n v="0"/>
  </r>
  <r>
    <x v="1"/>
    <x v="7"/>
    <x v="4"/>
    <x v="7"/>
    <x v="48"/>
    <x v="0"/>
    <x v="4"/>
    <n v="0"/>
  </r>
  <r>
    <x v="1"/>
    <x v="7"/>
    <x v="4"/>
    <x v="7"/>
    <x v="48"/>
    <x v="0"/>
    <x v="5"/>
    <n v="0"/>
  </r>
  <r>
    <x v="1"/>
    <x v="7"/>
    <x v="4"/>
    <x v="7"/>
    <x v="48"/>
    <x v="0"/>
    <x v="6"/>
    <n v="0"/>
  </r>
  <r>
    <x v="1"/>
    <x v="7"/>
    <x v="4"/>
    <x v="7"/>
    <x v="49"/>
    <x v="0"/>
    <x v="0"/>
    <n v="0"/>
  </r>
  <r>
    <x v="1"/>
    <x v="7"/>
    <x v="4"/>
    <x v="7"/>
    <x v="49"/>
    <x v="0"/>
    <x v="1"/>
    <n v="0"/>
  </r>
  <r>
    <x v="1"/>
    <x v="7"/>
    <x v="4"/>
    <x v="7"/>
    <x v="49"/>
    <x v="0"/>
    <x v="2"/>
    <n v="0"/>
  </r>
  <r>
    <x v="1"/>
    <x v="7"/>
    <x v="4"/>
    <x v="7"/>
    <x v="49"/>
    <x v="0"/>
    <x v="3"/>
    <n v="0"/>
  </r>
  <r>
    <x v="1"/>
    <x v="7"/>
    <x v="4"/>
    <x v="7"/>
    <x v="49"/>
    <x v="0"/>
    <x v="4"/>
    <n v="0"/>
  </r>
  <r>
    <x v="1"/>
    <x v="7"/>
    <x v="4"/>
    <x v="7"/>
    <x v="49"/>
    <x v="0"/>
    <x v="5"/>
    <n v="0"/>
  </r>
  <r>
    <x v="1"/>
    <x v="7"/>
    <x v="4"/>
    <x v="7"/>
    <x v="49"/>
    <x v="0"/>
    <x v="6"/>
    <n v="0"/>
  </r>
  <r>
    <x v="1"/>
    <x v="7"/>
    <x v="4"/>
    <x v="7"/>
    <x v="50"/>
    <x v="0"/>
    <x v="0"/>
    <n v="0"/>
  </r>
  <r>
    <x v="1"/>
    <x v="7"/>
    <x v="4"/>
    <x v="7"/>
    <x v="50"/>
    <x v="0"/>
    <x v="1"/>
    <n v="0"/>
  </r>
  <r>
    <x v="1"/>
    <x v="7"/>
    <x v="4"/>
    <x v="7"/>
    <x v="50"/>
    <x v="0"/>
    <x v="2"/>
    <n v="0"/>
  </r>
  <r>
    <x v="1"/>
    <x v="7"/>
    <x v="4"/>
    <x v="7"/>
    <x v="50"/>
    <x v="0"/>
    <x v="3"/>
    <n v="0"/>
  </r>
  <r>
    <x v="1"/>
    <x v="7"/>
    <x v="4"/>
    <x v="7"/>
    <x v="50"/>
    <x v="0"/>
    <x v="4"/>
    <n v="0"/>
  </r>
  <r>
    <x v="1"/>
    <x v="7"/>
    <x v="4"/>
    <x v="7"/>
    <x v="50"/>
    <x v="0"/>
    <x v="5"/>
    <n v="0"/>
  </r>
  <r>
    <x v="1"/>
    <x v="7"/>
    <x v="4"/>
    <x v="7"/>
    <x v="50"/>
    <x v="0"/>
    <x v="6"/>
    <n v="0"/>
  </r>
  <r>
    <x v="1"/>
    <x v="7"/>
    <x v="5"/>
    <x v="8"/>
    <x v="51"/>
    <x v="0"/>
    <x v="0"/>
    <n v="0"/>
  </r>
  <r>
    <x v="1"/>
    <x v="7"/>
    <x v="5"/>
    <x v="8"/>
    <x v="51"/>
    <x v="0"/>
    <x v="1"/>
    <n v="0"/>
  </r>
  <r>
    <x v="1"/>
    <x v="7"/>
    <x v="5"/>
    <x v="8"/>
    <x v="51"/>
    <x v="0"/>
    <x v="2"/>
    <n v="0"/>
  </r>
  <r>
    <x v="1"/>
    <x v="7"/>
    <x v="5"/>
    <x v="8"/>
    <x v="51"/>
    <x v="0"/>
    <x v="3"/>
    <n v="0"/>
  </r>
  <r>
    <x v="1"/>
    <x v="7"/>
    <x v="5"/>
    <x v="8"/>
    <x v="51"/>
    <x v="0"/>
    <x v="4"/>
    <n v="0"/>
  </r>
  <r>
    <x v="1"/>
    <x v="7"/>
    <x v="5"/>
    <x v="8"/>
    <x v="51"/>
    <x v="0"/>
    <x v="5"/>
    <n v="0"/>
  </r>
  <r>
    <x v="1"/>
    <x v="7"/>
    <x v="5"/>
    <x v="8"/>
    <x v="51"/>
    <x v="0"/>
    <x v="6"/>
    <n v="0"/>
  </r>
  <r>
    <x v="1"/>
    <x v="7"/>
    <x v="3"/>
    <x v="5"/>
    <x v="52"/>
    <x v="0"/>
    <x v="0"/>
    <n v="0"/>
  </r>
  <r>
    <x v="1"/>
    <x v="7"/>
    <x v="3"/>
    <x v="5"/>
    <x v="52"/>
    <x v="0"/>
    <x v="1"/>
    <n v="0"/>
  </r>
  <r>
    <x v="1"/>
    <x v="7"/>
    <x v="3"/>
    <x v="5"/>
    <x v="52"/>
    <x v="0"/>
    <x v="2"/>
    <n v="0"/>
  </r>
  <r>
    <x v="1"/>
    <x v="7"/>
    <x v="3"/>
    <x v="5"/>
    <x v="52"/>
    <x v="0"/>
    <x v="3"/>
    <n v="0"/>
  </r>
  <r>
    <x v="1"/>
    <x v="7"/>
    <x v="3"/>
    <x v="5"/>
    <x v="52"/>
    <x v="0"/>
    <x v="4"/>
    <n v="0"/>
  </r>
  <r>
    <x v="1"/>
    <x v="7"/>
    <x v="3"/>
    <x v="5"/>
    <x v="52"/>
    <x v="0"/>
    <x v="5"/>
    <n v="0"/>
  </r>
  <r>
    <x v="1"/>
    <x v="7"/>
    <x v="3"/>
    <x v="5"/>
    <x v="52"/>
    <x v="0"/>
    <x v="6"/>
    <n v="0"/>
  </r>
  <r>
    <x v="1"/>
    <x v="7"/>
    <x v="5"/>
    <x v="8"/>
    <x v="53"/>
    <x v="0"/>
    <x v="0"/>
    <n v="0"/>
  </r>
  <r>
    <x v="1"/>
    <x v="7"/>
    <x v="5"/>
    <x v="8"/>
    <x v="53"/>
    <x v="0"/>
    <x v="1"/>
    <n v="0"/>
  </r>
  <r>
    <x v="1"/>
    <x v="7"/>
    <x v="5"/>
    <x v="8"/>
    <x v="53"/>
    <x v="0"/>
    <x v="2"/>
    <n v="0"/>
  </r>
  <r>
    <x v="1"/>
    <x v="7"/>
    <x v="5"/>
    <x v="8"/>
    <x v="53"/>
    <x v="0"/>
    <x v="3"/>
    <n v="0"/>
  </r>
  <r>
    <x v="1"/>
    <x v="7"/>
    <x v="5"/>
    <x v="8"/>
    <x v="53"/>
    <x v="0"/>
    <x v="4"/>
    <n v="0"/>
  </r>
  <r>
    <x v="1"/>
    <x v="7"/>
    <x v="5"/>
    <x v="8"/>
    <x v="53"/>
    <x v="0"/>
    <x v="5"/>
    <n v="0"/>
  </r>
  <r>
    <x v="1"/>
    <x v="7"/>
    <x v="5"/>
    <x v="8"/>
    <x v="53"/>
    <x v="0"/>
    <x v="6"/>
    <n v="0"/>
  </r>
  <r>
    <x v="1"/>
    <x v="7"/>
    <x v="4"/>
    <x v="7"/>
    <x v="54"/>
    <x v="0"/>
    <x v="0"/>
    <n v="0"/>
  </r>
  <r>
    <x v="1"/>
    <x v="7"/>
    <x v="4"/>
    <x v="7"/>
    <x v="54"/>
    <x v="0"/>
    <x v="1"/>
    <n v="0"/>
  </r>
  <r>
    <x v="1"/>
    <x v="7"/>
    <x v="4"/>
    <x v="7"/>
    <x v="54"/>
    <x v="0"/>
    <x v="2"/>
    <n v="0"/>
  </r>
  <r>
    <x v="1"/>
    <x v="7"/>
    <x v="4"/>
    <x v="7"/>
    <x v="54"/>
    <x v="0"/>
    <x v="3"/>
    <n v="0"/>
  </r>
  <r>
    <x v="1"/>
    <x v="7"/>
    <x v="4"/>
    <x v="7"/>
    <x v="54"/>
    <x v="0"/>
    <x v="4"/>
    <n v="0"/>
  </r>
  <r>
    <x v="1"/>
    <x v="7"/>
    <x v="4"/>
    <x v="7"/>
    <x v="54"/>
    <x v="0"/>
    <x v="5"/>
    <n v="0"/>
  </r>
  <r>
    <x v="1"/>
    <x v="7"/>
    <x v="4"/>
    <x v="7"/>
    <x v="54"/>
    <x v="0"/>
    <x v="6"/>
    <n v="0"/>
  </r>
  <r>
    <x v="1"/>
    <x v="7"/>
    <x v="4"/>
    <x v="7"/>
    <x v="55"/>
    <x v="0"/>
    <x v="0"/>
    <n v="0"/>
  </r>
  <r>
    <x v="1"/>
    <x v="7"/>
    <x v="4"/>
    <x v="7"/>
    <x v="55"/>
    <x v="0"/>
    <x v="1"/>
    <n v="0"/>
  </r>
  <r>
    <x v="1"/>
    <x v="7"/>
    <x v="4"/>
    <x v="7"/>
    <x v="55"/>
    <x v="0"/>
    <x v="2"/>
    <n v="0"/>
  </r>
  <r>
    <x v="1"/>
    <x v="7"/>
    <x v="4"/>
    <x v="7"/>
    <x v="55"/>
    <x v="0"/>
    <x v="3"/>
    <n v="0"/>
  </r>
  <r>
    <x v="1"/>
    <x v="7"/>
    <x v="4"/>
    <x v="7"/>
    <x v="55"/>
    <x v="0"/>
    <x v="4"/>
    <n v="0"/>
  </r>
  <r>
    <x v="1"/>
    <x v="7"/>
    <x v="4"/>
    <x v="7"/>
    <x v="55"/>
    <x v="0"/>
    <x v="5"/>
    <n v="0"/>
  </r>
  <r>
    <x v="1"/>
    <x v="7"/>
    <x v="4"/>
    <x v="7"/>
    <x v="55"/>
    <x v="0"/>
    <x v="6"/>
    <n v="0"/>
  </r>
  <r>
    <x v="1"/>
    <x v="7"/>
    <x v="4"/>
    <x v="7"/>
    <x v="56"/>
    <x v="0"/>
    <x v="0"/>
    <n v="0"/>
  </r>
  <r>
    <x v="1"/>
    <x v="7"/>
    <x v="4"/>
    <x v="7"/>
    <x v="56"/>
    <x v="0"/>
    <x v="1"/>
    <n v="0"/>
  </r>
  <r>
    <x v="1"/>
    <x v="7"/>
    <x v="4"/>
    <x v="7"/>
    <x v="56"/>
    <x v="0"/>
    <x v="2"/>
    <n v="0"/>
  </r>
  <r>
    <x v="1"/>
    <x v="7"/>
    <x v="4"/>
    <x v="7"/>
    <x v="56"/>
    <x v="0"/>
    <x v="3"/>
    <n v="0"/>
  </r>
  <r>
    <x v="1"/>
    <x v="7"/>
    <x v="4"/>
    <x v="7"/>
    <x v="56"/>
    <x v="0"/>
    <x v="4"/>
    <n v="0"/>
  </r>
  <r>
    <x v="1"/>
    <x v="7"/>
    <x v="4"/>
    <x v="7"/>
    <x v="56"/>
    <x v="0"/>
    <x v="5"/>
    <n v="0"/>
  </r>
  <r>
    <x v="1"/>
    <x v="7"/>
    <x v="4"/>
    <x v="7"/>
    <x v="56"/>
    <x v="0"/>
    <x v="6"/>
    <n v="0"/>
  </r>
  <r>
    <x v="1"/>
    <x v="7"/>
    <x v="4"/>
    <x v="7"/>
    <x v="57"/>
    <x v="0"/>
    <x v="0"/>
    <n v="0"/>
  </r>
  <r>
    <x v="1"/>
    <x v="7"/>
    <x v="4"/>
    <x v="7"/>
    <x v="57"/>
    <x v="0"/>
    <x v="1"/>
    <n v="0"/>
  </r>
  <r>
    <x v="1"/>
    <x v="7"/>
    <x v="4"/>
    <x v="7"/>
    <x v="57"/>
    <x v="0"/>
    <x v="2"/>
    <n v="0"/>
  </r>
  <r>
    <x v="1"/>
    <x v="7"/>
    <x v="4"/>
    <x v="7"/>
    <x v="57"/>
    <x v="0"/>
    <x v="3"/>
    <n v="0"/>
  </r>
  <r>
    <x v="1"/>
    <x v="7"/>
    <x v="4"/>
    <x v="7"/>
    <x v="57"/>
    <x v="0"/>
    <x v="4"/>
    <n v="0"/>
  </r>
  <r>
    <x v="1"/>
    <x v="7"/>
    <x v="4"/>
    <x v="7"/>
    <x v="57"/>
    <x v="0"/>
    <x v="5"/>
    <n v="0"/>
  </r>
  <r>
    <x v="1"/>
    <x v="7"/>
    <x v="4"/>
    <x v="7"/>
    <x v="57"/>
    <x v="0"/>
    <x v="6"/>
    <n v="0"/>
  </r>
  <r>
    <x v="1"/>
    <x v="7"/>
    <x v="4"/>
    <x v="7"/>
    <x v="58"/>
    <x v="0"/>
    <x v="0"/>
    <n v="0"/>
  </r>
  <r>
    <x v="1"/>
    <x v="7"/>
    <x v="4"/>
    <x v="7"/>
    <x v="58"/>
    <x v="0"/>
    <x v="1"/>
    <n v="0"/>
  </r>
  <r>
    <x v="1"/>
    <x v="7"/>
    <x v="4"/>
    <x v="7"/>
    <x v="58"/>
    <x v="0"/>
    <x v="2"/>
    <n v="0"/>
  </r>
  <r>
    <x v="1"/>
    <x v="7"/>
    <x v="4"/>
    <x v="7"/>
    <x v="58"/>
    <x v="0"/>
    <x v="3"/>
    <n v="0"/>
  </r>
  <r>
    <x v="1"/>
    <x v="7"/>
    <x v="4"/>
    <x v="7"/>
    <x v="58"/>
    <x v="0"/>
    <x v="4"/>
    <n v="0"/>
  </r>
  <r>
    <x v="1"/>
    <x v="7"/>
    <x v="4"/>
    <x v="7"/>
    <x v="58"/>
    <x v="0"/>
    <x v="5"/>
    <n v="0"/>
  </r>
  <r>
    <x v="1"/>
    <x v="7"/>
    <x v="4"/>
    <x v="7"/>
    <x v="58"/>
    <x v="0"/>
    <x v="6"/>
    <n v="0"/>
  </r>
  <r>
    <x v="1"/>
    <x v="7"/>
    <x v="4"/>
    <x v="7"/>
    <x v="59"/>
    <x v="0"/>
    <x v="0"/>
    <n v="0"/>
  </r>
  <r>
    <x v="1"/>
    <x v="7"/>
    <x v="4"/>
    <x v="7"/>
    <x v="59"/>
    <x v="0"/>
    <x v="1"/>
    <n v="0"/>
  </r>
  <r>
    <x v="1"/>
    <x v="7"/>
    <x v="4"/>
    <x v="7"/>
    <x v="59"/>
    <x v="0"/>
    <x v="2"/>
    <n v="0"/>
  </r>
  <r>
    <x v="1"/>
    <x v="7"/>
    <x v="4"/>
    <x v="7"/>
    <x v="59"/>
    <x v="0"/>
    <x v="3"/>
    <n v="0"/>
  </r>
  <r>
    <x v="1"/>
    <x v="7"/>
    <x v="4"/>
    <x v="7"/>
    <x v="59"/>
    <x v="0"/>
    <x v="4"/>
    <n v="0"/>
  </r>
  <r>
    <x v="1"/>
    <x v="7"/>
    <x v="4"/>
    <x v="7"/>
    <x v="59"/>
    <x v="0"/>
    <x v="5"/>
    <n v="0"/>
  </r>
  <r>
    <x v="1"/>
    <x v="7"/>
    <x v="4"/>
    <x v="7"/>
    <x v="59"/>
    <x v="0"/>
    <x v="6"/>
    <n v="0"/>
  </r>
  <r>
    <x v="1"/>
    <x v="7"/>
    <x v="4"/>
    <x v="7"/>
    <x v="60"/>
    <x v="0"/>
    <x v="0"/>
    <n v="0"/>
  </r>
  <r>
    <x v="1"/>
    <x v="7"/>
    <x v="4"/>
    <x v="7"/>
    <x v="60"/>
    <x v="0"/>
    <x v="1"/>
    <n v="0"/>
  </r>
  <r>
    <x v="1"/>
    <x v="7"/>
    <x v="4"/>
    <x v="7"/>
    <x v="60"/>
    <x v="0"/>
    <x v="2"/>
    <n v="0"/>
  </r>
  <r>
    <x v="1"/>
    <x v="7"/>
    <x v="4"/>
    <x v="7"/>
    <x v="60"/>
    <x v="0"/>
    <x v="3"/>
    <n v="0"/>
  </r>
  <r>
    <x v="1"/>
    <x v="7"/>
    <x v="4"/>
    <x v="7"/>
    <x v="60"/>
    <x v="0"/>
    <x v="4"/>
    <n v="0"/>
  </r>
  <r>
    <x v="1"/>
    <x v="7"/>
    <x v="4"/>
    <x v="7"/>
    <x v="60"/>
    <x v="0"/>
    <x v="5"/>
    <n v="0"/>
  </r>
  <r>
    <x v="1"/>
    <x v="7"/>
    <x v="4"/>
    <x v="7"/>
    <x v="60"/>
    <x v="0"/>
    <x v="6"/>
    <n v="0"/>
  </r>
  <r>
    <x v="1"/>
    <x v="7"/>
    <x v="4"/>
    <x v="7"/>
    <x v="61"/>
    <x v="0"/>
    <x v="0"/>
    <n v="0"/>
  </r>
  <r>
    <x v="1"/>
    <x v="7"/>
    <x v="4"/>
    <x v="7"/>
    <x v="61"/>
    <x v="0"/>
    <x v="1"/>
    <n v="0"/>
  </r>
  <r>
    <x v="1"/>
    <x v="7"/>
    <x v="4"/>
    <x v="7"/>
    <x v="61"/>
    <x v="0"/>
    <x v="2"/>
    <n v="0"/>
  </r>
  <r>
    <x v="1"/>
    <x v="7"/>
    <x v="4"/>
    <x v="7"/>
    <x v="61"/>
    <x v="0"/>
    <x v="3"/>
    <n v="0"/>
  </r>
  <r>
    <x v="1"/>
    <x v="7"/>
    <x v="4"/>
    <x v="7"/>
    <x v="61"/>
    <x v="0"/>
    <x v="4"/>
    <n v="0"/>
  </r>
  <r>
    <x v="1"/>
    <x v="7"/>
    <x v="4"/>
    <x v="7"/>
    <x v="61"/>
    <x v="0"/>
    <x v="5"/>
    <n v="0"/>
  </r>
  <r>
    <x v="1"/>
    <x v="7"/>
    <x v="4"/>
    <x v="7"/>
    <x v="61"/>
    <x v="0"/>
    <x v="6"/>
    <n v="0"/>
  </r>
  <r>
    <x v="1"/>
    <x v="7"/>
    <x v="4"/>
    <x v="7"/>
    <x v="62"/>
    <x v="0"/>
    <x v="0"/>
    <n v="0"/>
  </r>
  <r>
    <x v="1"/>
    <x v="7"/>
    <x v="4"/>
    <x v="7"/>
    <x v="62"/>
    <x v="0"/>
    <x v="1"/>
    <n v="0"/>
  </r>
  <r>
    <x v="1"/>
    <x v="7"/>
    <x v="4"/>
    <x v="7"/>
    <x v="62"/>
    <x v="0"/>
    <x v="2"/>
    <n v="0"/>
  </r>
  <r>
    <x v="1"/>
    <x v="7"/>
    <x v="4"/>
    <x v="7"/>
    <x v="62"/>
    <x v="0"/>
    <x v="3"/>
    <n v="0"/>
  </r>
  <r>
    <x v="1"/>
    <x v="7"/>
    <x v="4"/>
    <x v="7"/>
    <x v="62"/>
    <x v="0"/>
    <x v="4"/>
    <n v="0"/>
  </r>
  <r>
    <x v="1"/>
    <x v="7"/>
    <x v="4"/>
    <x v="7"/>
    <x v="62"/>
    <x v="0"/>
    <x v="5"/>
    <n v="0"/>
  </r>
  <r>
    <x v="1"/>
    <x v="7"/>
    <x v="4"/>
    <x v="7"/>
    <x v="62"/>
    <x v="0"/>
    <x v="6"/>
    <n v="0"/>
  </r>
  <r>
    <x v="1"/>
    <x v="7"/>
    <x v="4"/>
    <x v="7"/>
    <x v="63"/>
    <x v="0"/>
    <x v="0"/>
    <n v="0"/>
  </r>
  <r>
    <x v="1"/>
    <x v="7"/>
    <x v="4"/>
    <x v="7"/>
    <x v="63"/>
    <x v="0"/>
    <x v="1"/>
    <n v="0"/>
  </r>
  <r>
    <x v="1"/>
    <x v="7"/>
    <x v="4"/>
    <x v="7"/>
    <x v="63"/>
    <x v="0"/>
    <x v="2"/>
    <n v="0"/>
  </r>
  <r>
    <x v="1"/>
    <x v="7"/>
    <x v="4"/>
    <x v="7"/>
    <x v="63"/>
    <x v="0"/>
    <x v="3"/>
    <n v="0"/>
  </r>
  <r>
    <x v="1"/>
    <x v="7"/>
    <x v="4"/>
    <x v="7"/>
    <x v="63"/>
    <x v="0"/>
    <x v="4"/>
    <n v="0"/>
  </r>
  <r>
    <x v="1"/>
    <x v="7"/>
    <x v="4"/>
    <x v="7"/>
    <x v="63"/>
    <x v="0"/>
    <x v="5"/>
    <n v="0"/>
  </r>
  <r>
    <x v="1"/>
    <x v="7"/>
    <x v="4"/>
    <x v="7"/>
    <x v="63"/>
    <x v="0"/>
    <x v="6"/>
    <n v="0"/>
  </r>
  <r>
    <x v="1"/>
    <x v="7"/>
    <x v="4"/>
    <x v="7"/>
    <x v="64"/>
    <x v="0"/>
    <x v="0"/>
    <n v="0"/>
  </r>
  <r>
    <x v="1"/>
    <x v="7"/>
    <x v="4"/>
    <x v="7"/>
    <x v="64"/>
    <x v="0"/>
    <x v="1"/>
    <n v="0"/>
  </r>
  <r>
    <x v="1"/>
    <x v="7"/>
    <x v="4"/>
    <x v="7"/>
    <x v="64"/>
    <x v="0"/>
    <x v="2"/>
    <n v="0"/>
  </r>
  <r>
    <x v="1"/>
    <x v="7"/>
    <x v="4"/>
    <x v="7"/>
    <x v="64"/>
    <x v="0"/>
    <x v="3"/>
    <n v="0"/>
  </r>
  <r>
    <x v="1"/>
    <x v="7"/>
    <x v="4"/>
    <x v="7"/>
    <x v="64"/>
    <x v="0"/>
    <x v="4"/>
    <n v="0"/>
  </r>
  <r>
    <x v="1"/>
    <x v="7"/>
    <x v="4"/>
    <x v="7"/>
    <x v="64"/>
    <x v="0"/>
    <x v="5"/>
    <n v="0"/>
  </r>
  <r>
    <x v="1"/>
    <x v="7"/>
    <x v="4"/>
    <x v="7"/>
    <x v="64"/>
    <x v="0"/>
    <x v="6"/>
    <n v="0"/>
  </r>
  <r>
    <x v="1"/>
    <x v="7"/>
    <x v="3"/>
    <x v="5"/>
    <x v="65"/>
    <x v="0"/>
    <x v="0"/>
    <n v="0"/>
  </r>
  <r>
    <x v="1"/>
    <x v="7"/>
    <x v="3"/>
    <x v="5"/>
    <x v="65"/>
    <x v="0"/>
    <x v="1"/>
    <n v="0"/>
  </r>
  <r>
    <x v="1"/>
    <x v="7"/>
    <x v="3"/>
    <x v="5"/>
    <x v="65"/>
    <x v="0"/>
    <x v="2"/>
    <n v="0"/>
  </r>
  <r>
    <x v="1"/>
    <x v="7"/>
    <x v="3"/>
    <x v="5"/>
    <x v="65"/>
    <x v="0"/>
    <x v="3"/>
    <n v="0"/>
  </r>
  <r>
    <x v="1"/>
    <x v="7"/>
    <x v="3"/>
    <x v="5"/>
    <x v="65"/>
    <x v="0"/>
    <x v="4"/>
    <n v="0"/>
  </r>
  <r>
    <x v="1"/>
    <x v="7"/>
    <x v="3"/>
    <x v="5"/>
    <x v="65"/>
    <x v="0"/>
    <x v="5"/>
    <n v="0"/>
  </r>
  <r>
    <x v="1"/>
    <x v="7"/>
    <x v="3"/>
    <x v="5"/>
    <x v="65"/>
    <x v="0"/>
    <x v="6"/>
    <n v="0"/>
  </r>
  <r>
    <x v="1"/>
    <x v="7"/>
    <x v="3"/>
    <x v="5"/>
    <x v="66"/>
    <x v="0"/>
    <x v="0"/>
    <n v="0"/>
  </r>
  <r>
    <x v="1"/>
    <x v="7"/>
    <x v="3"/>
    <x v="5"/>
    <x v="66"/>
    <x v="0"/>
    <x v="1"/>
    <n v="0"/>
  </r>
  <r>
    <x v="1"/>
    <x v="7"/>
    <x v="3"/>
    <x v="5"/>
    <x v="66"/>
    <x v="0"/>
    <x v="2"/>
    <n v="0"/>
  </r>
  <r>
    <x v="1"/>
    <x v="7"/>
    <x v="3"/>
    <x v="5"/>
    <x v="66"/>
    <x v="0"/>
    <x v="3"/>
    <n v="0"/>
  </r>
  <r>
    <x v="1"/>
    <x v="7"/>
    <x v="3"/>
    <x v="5"/>
    <x v="66"/>
    <x v="0"/>
    <x v="4"/>
    <n v="0"/>
  </r>
  <r>
    <x v="1"/>
    <x v="7"/>
    <x v="3"/>
    <x v="5"/>
    <x v="66"/>
    <x v="0"/>
    <x v="5"/>
    <n v="0"/>
  </r>
  <r>
    <x v="1"/>
    <x v="7"/>
    <x v="3"/>
    <x v="5"/>
    <x v="66"/>
    <x v="0"/>
    <x v="6"/>
    <n v="0"/>
  </r>
  <r>
    <x v="1"/>
    <x v="7"/>
    <x v="3"/>
    <x v="5"/>
    <x v="67"/>
    <x v="0"/>
    <x v="0"/>
    <n v="0"/>
  </r>
  <r>
    <x v="1"/>
    <x v="7"/>
    <x v="3"/>
    <x v="5"/>
    <x v="67"/>
    <x v="0"/>
    <x v="1"/>
    <n v="0"/>
  </r>
  <r>
    <x v="1"/>
    <x v="7"/>
    <x v="3"/>
    <x v="5"/>
    <x v="67"/>
    <x v="0"/>
    <x v="2"/>
    <n v="0"/>
  </r>
  <r>
    <x v="1"/>
    <x v="7"/>
    <x v="3"/>
    <x v="5"/>
    <x v="67"/>
    <x v="0"/>
    <x v="3"/>
    <n v="0"/>
  </r>
  <r>
    <x v="1"/>
    <x v="7"/>
    <x v="3"/>
    <x v="5"/>
    <x v="67"/>
    <x v="0"/>
    <x v="4"/>
    <n v="0"/>
  </r>
  <r>
    <x v="1"/>
    <x v="7"/>
    <x v="3"/>
    <x v="5"/>
    <x v="67"/>
    <x v="0"/>
    <x v="5"/>
    <n v="0"/>
  </r>
  <r>
    <x v="1"/>
    <x v="7"/>
    <x v="3"/>
    <x v="5"/>
    <x v="67"/>
    <x v="0"/>
    <x v="6"/>
    <n v="0"/>
  </r>
  <r>
    <x v="1"/>
    <x v="7"/>
    <x v="3"/>
    <x v="5"/>
    <x v="68"/>
    <x v="0"/>
    <x v="0"/>
    <n v="0"/>
  </r>
  <r>
    <x v="1"/>
    <x v="7"/>
    <x v="3"/>
    <x v="5"/>
    <x v="68"/>
    <x v="0"/>
    <x v="1"/>
    <n v="0"/>
  </r>
  <r>
    <x v="1"/>
    <x v="7"/>
    <x v="3"/>
    <x v="5"/>
    <x v="68"/>
    <x v="0"/>
    <x v="2"/>
    <n v="0"/>
  </r>
  <r>
    <x v="1"/>
    <x v="7"/>
    <x v="3"/>
    <x v="5"/>
    <x v="68"/>
    <x v="0"/>
    <x v="3"/>
    <n v="0"/>
  </r>
  <r>
    <x v="1"/>
    <x v="7"/>
    <x v="3"/>
    <x v="5"/>
    <x v="68"/>
    <x v="0"/>
    <x v="4"/>
    <n v="0"/>
  </r>
  <r>
    <x v="1"/>
    <x v="7"/>
    <x v="3"/>
    <x v="5"/>
    <x v="68"/>
    <x v="0"/>
    <x v="5"/>
    <n v="0"/>
  </r>
  <r>
    <x v="1"/>
    <x v="7"/>
    <x v="3"/>
    <x v="5"/>
    <x v="68"/>
    <x v="0"/>
    <x v="6"/>
    <n v="0"/>
  </r>
  <r>
    <x v="1"/>
    <x v="7"/>
    <x v="3"/>
    <x v="5"/>
    <x v="69"/>
    <x v="0"/>
    <x v="0"/>
    <n v="0"/>
  </r>
  <r>
    <x v="1"/>
    <x v="7"/>
    <x v="3"/>
    <x v="5"/>
    <x v="69"/>
    <x v="0"/>
    <x v="1"/>
    <n v="0"/>
  </r>
  <r>
    <x v="1"/>
    <x v="7"/>
    <x v="3"/>
    <x v="5"/>
    <x v="69"/>
    <x v="0"/>
    <x v="2"/>
    <n v="0"/>
  </r>
  <r>
    <x v="1"/>
    <x v="7"/>
    <x v="3"/>
    <x v="5"/>
    <x v="69"/>
    <x v="0"/>
    <x v="3"/>
    <n v="0"/>
  </r>
  <r>
    <x v="1"/>
    <x v="7"/>
    <x v="3"/>
    <x v="5"/>
    <x v="69"/>
    <x v="0"/>
    <x v="4"/>
    <n v="0"/>
  </r>
  <r>
    <x v="1"/>
    <x v="7"/>
    <x v="3"/>
    <x v="5"/>
    <x v="69"/>
    <x v="0"/>
    <x v="5"/>
    <n v="0"/>
  </r>
  <r>
    <x v="1"/>
    <x v="7"/>
    <x v="3"/>
    <x v="5"/>
    <x v="69"/>
    <x v="0"/>
    <x v="6"/>
    <n v="0"/>
  </r>
  <r>
    <x v="1"/>
    <x v="7"/>
    <x v="3"/>
    <x v="5"/>
    <x v="70"/>
    <x v="0"/>
    <x v="0"/>
    <n v="0"/>
  </r>
  <r>
    <x v="1"/>
    <x v="7"/>
    <x v="3"/>
    <x v="5"/>
    <x v="70"/>
    <x v="0"/>
    <x v="1"/>
    <n v="0"/>
  </r>
  <r>
    <x v="1"/>
    <x v="7"/>
    <x v="3"/>
    <x v="5"/>
    <x v="70"/>
    <x v="0"/>
    <x v="2"/>
    <n v="0"/>
  </r>
  <r>
    <x v="1"/>
    <x v="7"/>
    <x v="3"/>
    <x v="5"/>
    <x v="70"/>
    <x v="0"/>
    <x v="3"/>
    <n v="0"/>
  </r>
  <r>
    <x v="1"/>
    <x v="7"/>
    <x v="3"/>
    <x v="5"/>
    <x v="70"/>
    <x v="0"/>
    <x v="4"/>
    <n v="0"/>
  </r>
  <r>
    <x v="1"/>
    <x v="7"/>
    <x v="3"/>
    <x v="5"/>
    <x v="70"/>
    <x v="0"/>
    <x v="5"/>
    <n v="0"/>
  </r>
  <r>
    <x v="1"/>
    <x v="7"/>
    <x v="3"/>
    <x v="5"/>
    <x v="70"/>
    <x v="0"/>
    <x v="6"/>
    <n v="0"/>
  </r>
  <r>
    <x v="1"/>
    <x v="7"/>
    <x v="3"/>
    <x v="5"/>
    <x v="71"/>
    <x v="0"/>
    <x v="0"/>
    <n v="0"/>
  </r>
  <r>
    <x v="1"/>
    <x v="7"/>
    <x v="3"/>
    <x v="5"/>
    <x v="71"/>
    <x v="0"/>
    <x v="1"/>
    <n v="0"/>
  </r>
  <r>
    <x v="1"/>
    <x v="7"/>
    <x v="3"/>
    <x v="5"/>
    <x v="71"/>
    <x v="0"/>
    <x v="2"/>
    <n v="0"/>
  </r>
  <r>
    <x v="1"/>
    <x v="7"/>
    <x v="3"/>
    <x v="5"/>
    <x v="71"/>
    <x v="0"/>
    <x v="3"/>
    <n v="0"/>
  </r>
  <r>
    <x v="1"/>
    <x v="7"/>
    <x v="3"/>
    <x v="5"/>
    <x v="71"/>
    <x v="0"/>
    <x v="4"/>
    <n v="0"/>
  </r>
  <r>
    <x v="1"/>
    <x v="7"/>
    <x v="3"/>
    <x v="5"/>
    <x v="71"/>
    <x v="0"/>
    <x v="5"/>
    <n v="0"/>
  </r>
  <r>
    <x v="1"/>
    <x v="7"/>
    <x v="3"/>
    <x v="5"/>
    <x v="71"/>
    <x v="0"/>
    <x v="6"/>
    <n v="0"/>
  </r>
  <r>
    <x v="1"/>
    <x v="7"/>
    <x v="3"/>
    <x v="5"/>
    <x v="72"/>
    <x v="0"/>
    <x v="0"/>
    <n v="0"/>
  </r>
  <r>
    <x v="1"/>
    <x v="7"/>
    <x v="3"/>
    <x v="5"/>
    <x v="72"/>
    <x v="0"/>
    <x v="1"/>
    <n v="0"/>
  </r>
  <r>
    <x v="1"/>
    <x v="7"/>
    <x v="3"/>
    <x v="5"/>
    <x v="72"/>
    <x v="0"/>
    <x v="2"/>
    <n v="0"/>
  </r>
  <r>
    <x v="1"/>
    <x v="7"/>
    <x v="3"/>
    <x v="5"/>
    <x v="72"/>
    <x v="0"/>
    <x v="3"/>
    <n v="0"/>
  </r>
  <r>
    <x v="1"/>
    <x v="7"/>
    <x v="3"/>
    <x v="5"/>
    <x v="72"/>
    <x v="0"/>
    <x v="4"/>
    <n v="0"/>
  </r>
  <r>
    <x v="1"/>
    <x v="7"/>
    <x v="3"/>
    <x v="5"/>
    <x v="72"/>
    <x v="0"/>
    <x v="5"/>
    <n v="0"/>
  </r>
  <r>
    <x v="1"/>
    <x v="7"/>
    <x v="3"/>
    <x v="5"/>
    <x v="72"/>
    <x v="0"/>
    <x v="6"/>
    <n v="0"/>
  </r>
  <r>
    <x v="1"/>
    <x v="7"/>
    <x v="3"/>
    <x v="5"/>
    <x v="73"/>
    <x v="0"/>
    <x v="0"/>
    <n v="0"/>
  </r>
  <r>
    <x v="1"/>
    <x v="7"/>
    <x v="3"/>
    <x v="5"/>
    <x v="73"/>
    <x v="0"/>
    <x v="1"/>
    <n v="0"/>
  </r>
  <r>
    <x v="1"/>
    <x v="7"/>
    <x v="3"/>
    <x v="5"/>
    <x v="73"/>
    <x v="0"/>
    <x v="2"/>
    <n v="0"/>
  </r>
  <r>
    <x v="1"/>
    <x v="7"/>
    <x v="3"/>
    <x v="5"/>
    <x v="73"/>
    <x v="0"/>
    <x v="3"/>
    <n v="0"/>
  </r>
  <r>
    <x v="1"/>
    <x v="7"/>
    <x v="3"/>
    <x v="5"/>
    <x v="73"/>
    <x v="0"/>
    <x v="4"/>
    <n v="0"/>
  </r>
  <r>
    <x v="1"/>
    <x v="7"/>
    <x v="3"/>
    <x v="5"/>
    <x v="73"/>
    <x v="0"/>
    <x v="5"/>
    <n v="0"/>
  </r>
  <r>
    <x v="1"/>
    <x v="7"/>
    <x v="3"/>
    <x v="5"/>
    <x v="73"/>
    <x v="0"/>
    <x v="6"/>
    <n v="0"/>
  </r>
  <r>
    <x v="1"/>
    <x v="7"/>
    <x v="5"/>
    <x v="8"/>
    <x v="74"/>
    <x v="0"/>
    <x v="0"/>
    <n v="0"/>
  </r>
  <r>
    <x v="1"/>
    <x v="7"/>
    <x v="5"/>
    <x v="8"/>
    <x v="74"/>
    <x v="0"/>
    <x v="1"/>
    <n v="0"/>
  </r>
  <r>
    <x v="1"/>
    <x v="7"/>
    <x v="5"/>
    <x v="8"/>
    <x v="74"/>
    <x v="0"/>
    <x v="2"/>
    <n v="0"/>
  </r>
  <r>
    <x v="1"/>
    <x v="7"/>
    <x v="5"/>
    <x v="8"/>
    <x v="74"/>
    <x v="0"/>
    <x v="3"/>
    <n v="0"/>
  </r>
  <r>
    <x v="1"/>
    <x v="7"/>
    <x v="5"/>
    <x v="8"/>
    <x v="74"/>
    <x v="0"/>
    <x v="4"/>
    <n v="0"/>
  </r>
  <r>
    <x v="1"/>
    <x v="7"/>
    <x v="5"/>
    <x v="8"/>
    <x v="74"/>
    <x v="0"/>
    <x v="5"/>
    <n v="0"/>
  </r>
  <r>
    <x v="1"/>
    <x v="7"/>
    <x v="5"/>
    <x v="8"/>
    <x v="74"/>
    <x v="0"/>
    <x v="6"/>
    <n v="0"/>
  </r>
  <r>
    <x v="1"/>
    <x v="7"/>
    <x v="5"/>
    <x v="8"/>
    <x v="75"/>
    <x v="0"/>
    <x v="0"/>
    <n v="0"/>
  </r>
  <r>
    <x v="1"/>
    <x v="7"/>
    <x v="5"/>
    <x v="8"/>
    <x v="75"/>
    <x v="0"/>
    <x v="1"/>
    <n v="0"/>
  </r>
  <r>
    <x v="1"/>
    <x v="7"/>
    <x v="5"/>
    <x v="8"/>
    <x v="75"/>
    <x v="0"/>
    <x v="2"/>
    <n v="0"/>
  </r>
  <r>
    <x v="1"/>
    <x v="7"/>
    <x v="5"/>
    <x v="8"/>
    <x v="75"/>
    <x v="0"/>
    <x v="3"/>
    <n v="0"/>
  </r>
  <r>
    <x v="1"/>
    <x v="7"/>
    <x v="5"/>
    <x v="8"/>
    <x v="75"/>
    <x v="0"/>
    <x v="4"/>
    <n v="0"/>
  </r>
  <r>
    <x v="1"/>
    <x v="7"/>
    <x v="5"/>
    <x v="8"/>
    <x v="75"/>
    <x v="0"/>
    <x v="5"/>
    <n v="0"/>
  </r>
  <r>
    <x v="1"/>
    <x v="7"/>
    <x v="5"/>
    <x v="8"/>
    <x v="75"/>
    <x v="0"/>
    <x v="6"/>
    <n v="0"/>
  </r>
  <r>
    <x v="1"/>
    <x v="7"/>
    <x v="5"/>
    <x v="8"/>
    <x v="76"/>
    <x v="0"/>
    <x v="0"/>
    <n v="0"/>
  </r>
  <r>
    <x v="1"/>
    <x v="7"/>
    <x v="5"/>
    <x v="8"/>
    <x v="76"/>
    <x v="0"/>
    <x v="1"/>
    <n v="0"/>
  </r>
  <r>
    <x v="1"/>
    <x v="7"/>
    <x v="5"/>
    <x v="8"/>
    <x v="76"/>
    <x v="0"/>
    <x v="2"/>
    <n v="0"/>
  </r>
  <r>
    <x v="1"/>
    <x v="7"/>
    <x v="5"/>
    <x v="8"/>
    <x v="76"/>
    <x v="0"/>
    <x v="3"/>
    <n v="0"/>
  </r>
  <r>
    <x v="1"/>
    <x v="7"/>
    <x v="5"/>
    <x v="8"/>
    <x v="76"/>
    <x v="0"/>
    <x v="4"/>
    <n v="0"/>
  </r>
  <r>
    <x v="1"/>
    <x v="7"/>
    <x v="5"/>
    <x v="8"/>
    <x v="76"/>
    <x v="0"/>
    <x v="5"/>
    <n v="0"/>
  </r>
  <r>
    <x v="1"/>
    <x v="7"/>
    <x v="5"/>
    <x v="8"/>
    <x v="76"/>
    <x v="0"/>
    <x v="6"/>
    <n v="0"/>
  </r>
  <r>
    <x v="1"/>
    <x v="7"/>
    <x v="5"/>
    <x v="8"/>
    <x v="77"/>
    <x v="0"/>
    <x v="0"/>
    <n v="0"/>
  </r>
  <r>
    <x v="1"/>
    <x v="7"/>
    <x v="5"/>
    <x v="8"/>
    <x v="77"/>
    <x v="0"/>
    <x v="1"/>
    <n v="0"/>
  </r>
  <r>
    <x v="1"/>
    <x v="7"/>
    <x v="5"/>
    <x v="8"/>
    <x v="77"/>
    <x v="0"/>
    <x v="2"/>
    <n v="0"/>
  </r>
  <r>
    <x v="1"/>
    <x v="7"/>
    <x v="5"/>
    <x v="8"/>
    <x v="77"/>
    <x v="0"/>
    <x v="3"/>
    <n v="0"/>
  </r>
  <r>
    <x v="1"/>
    <x v="7"/>
    <x v="5"/>
    <x v="8"/>
    <x v="77"/>
    <x v="0"/>
    <x v="4"/>
    <n v="0"/>
  </r>
  <r>
    <x v="1"/>
    <x v="7"/>
    <x v="5"/>
    <x v="8"/>
    <x v="77"/>
    <x v="0"/>
    <x v="5"/>
    <n v="0"/>
  </r>
  <r>
    <x v="1"/>
    <x v="7"/>
    <x v="5"/>
    <x v="8"/>
    <x v="77"/>
    <x v="0"/>
    <x v="6"/>
    <n v="0"/>
  </r>
  <r>
    <x v="1"/>
    <x v="7"/>
    <x v="5"/>
    <x v="8"/>
    <x v="78"/>
    <x v="0"/>
    <x v="0"/>
    <n v="0"/>
  </r>
  <r>
    <x v="1"/>
    <x v="7"/>
    <x v="5"/>
    <x v="8"/>
    <x v="78"/>
    <x v="0"/>
    <x v="1"/>
    <n v="0"/>
  </r>
  <r>
    <x v="1"/>
    <x v="7"/>
    <x v="5"/>
    <x v="8"/>
    <x v="78"/>
    <x v="0"/>
    <x v="2"/>
    <n v="0"/>
  </r>
  <r>
    <x v="1"/>
    <x v="7"/>
    <x v="5"/>
    <x v="8"/>
    <x v="78"/>
    <x v="0"/>
    <x v="3"/>
    <n v="0"/>
  </r>
  <r>
    <x v="1"/>
    <x v="7"/>
    <x v="5"/>
    <x v="8"/>
    <x v="78"/>
    <x v="0"/>
    <x v="4"/>
    <n v="0"/>
  </r>
  <r>
    <x v="1"/>
    <x v="7"/>
    <x v="5"/>
    <x v="8"/>
    <x v="78"/>
    <x v="0"/>
    <x v="5"/>
    <n v="0"/>
  </r>
  <r>
    <x v="1"/>
    <x v="7"/>
    <x v="5"/>
    <x v="8"/>
    <x v="78"/>
    <x v="0"/>
    <x v="6"/>
    <n v="0"/>
  </r>
  <r>
    <x v="1"/>
    <x v="7"/>
    <x v="5"/>
    <x v="8"/>
    <x v="79"/>
    <x v="0"/>
    <x v="0"/>
    <n v="0"/>
  </r>
  <r>
    <x v="1"/>
    <x v="7"/>
    <x v="5"/>
    <x v="8"/>
    <x v="79"/>
    <x v="0"/>
    <x v="1"/>
    <n v="0"/>
  </r>
  <r>
    <x v="1"/>
    <x v="7"/>
    <x v="5"/>
    <x v="8"/>
    <x v="79"/>
    <x v="0"/>
    <x v="2"/>
    <n v="0"/>
  </r>
  <r>
    <x v="1"/>
    <x v="7"/>
    <x v="5"/>
    <x v="8"/>
    <x v="79"/>
    <x v="0"/>
    <x v="3"/>
    <n v="0"/>
  </r>
  <r>
    <x v="1"/>
    <x v="7"/>
    <x v="5"/>
    <x v="8"/>
    <x v="79"/>
    <x v="0"/>
    <x v="4"/>
    <n v="0"/>
  </r>
  <r>
    <x v="1"/>
    <x v="7"/>
    <x v="5"/>
    <x v="8"/>
    <x v="79"/>
    <x v="0"/>
    <x v="5"/>
    <n v="0"/>
  </r>
  <r>
    <x v="1"/>
    <x v="7"/>
    <x v="5"/>
    <x v="8"/>
    <x v="79"/>
    <x v="0"/>
    <x v="6"/>
    <n v="0"/>
  </r>
  <r>
    <x v="1"/>
    <x v="7"/>
    <x v="5"/>
    <x v="8"/>
    <x v="80"/>
    <x v="0"/>
    <x v="0"/>
    <n v="0"/>
  </r>
  <r>
    <x v="1"/>
    <x v="7"/>
    <x v="5"/>
    <x v="8"/>
    <x v="80"/>
    <x v="0"/>
    <x v="1"/>
    <n v="0"/>
  </r>
  <r>
    <x v="1"/>
    <x v="7"/>
    <x v="5"/>
    <x v="8"/>
    <x v="80"/>
    <x v="0"/>
    <x v="2"/>
    <n v="0"/>
  </r>
  <r>
    <x v="1"/>
    <x v="7"/>
    <x v="5"/>
    <x v="8"/>
    <x v="80"/>
    <x v="0"/>
    <x v="3"/>
    <n v="0"/>
  </r>
  <r>
    <x v="1"/>
    <x v="7"/>
    <x v="5"/>
    <x v="8"/>
    <x v="80"/>
    <x v="0"/>
    <x v="4"/>
    <n v="0"/>
  </r>
  <r>
    <x v="1"/>
    <x v="7"/>
    <x v="5"/>
    <x v="8"/>
    <x v="80"/>
    <x v="0"/>
    <x v="5"/>
    <n v="0"/>
  </r>
  <r>
    <x v="1"/>
    <x v="7"/>
    <x v="5"/>
    <x v="8"/>
    <x v="80"/>
    <x v="0"/>
    <x v="6"/>
    <n v="0"/>
  </r>
  <r>
    <x v="1"/>
    <x v="7"/>
    <x v="5"/>
    <x v="8"/>
    <x v="81"/>
    <x v="0"/>
    <x v="0"/>
    <n v="0"/>
  </r>
  <r>
    <x v="1"/>
    <x v="7"/>
    <x v="5"/>
    <x v="8"/>
    <x v="81"/>
    <x v="0"/>
    <x v="1"/>
    <n v="0"/>
  </r>
  <r>
    <x v="1"/>
    <x v="7"/>
    <x v="5"/>
    <x v="8"/>
    <x v="81"/>
    <x v="0"/>
    <x v="2"/>
    <n v="0"/>
  </r>
  <r>
    <x v="1"/>
    <x v="7"/>
    <x v="5"/>
    <x v="8"/>
    <x v="81"/>
    <x v="0"/>
    <x v="3"/>
    <n v="0"/>
  </r>
  <r>
    <x v="1"/>
    <x v="7"/>
    <x v="5"/>
    <x v="8"/>
    <x v="81"/>
    <x v="0"/>
    <x v="4"/>
    <n v="0"/>
  </r>
  <r>
    <x v="1"/>
    <x v="7"/>
    <x v="5"/>
    <x v="8"/>
    <x v="81"/>
    <x v="0"/>
    <x v="5"/>
    <n v="0"/>
  </r>
  <r>
    <x v="1"/>
    <x v="7"/>
    <x v="5"/>
    <x v="8"/>
    <x v="81"/>
    <x v="0"/>
    <x v="6"/>
    <n v="0"/>
  </r>
  <r>
    <x v="1"/>
    <x v="7"/>
    <x v="5"/>
    <x v="8"/>
    <x v="82"/>
    <x v="0"/>
    <x v="0"/>
    <n v="0"/>
  </r>
  <r>
    <x v="1"/>
    <x v="7"/>
    <x v="5"/>
    <x v="8"/>
    <x v="82"/>
    <x v="0"/>
    <x v="1"/>
    <n v="0"/>
  </r>
  <r>
    <x v="1"/>
    <x v="7"/>
    <x v="5"/>
    <x v="8"/>
    <x v="82"/>
    <x v="0"/>
    <x v="2"/>
    <n v="0"/>
  </r>
  <r>
    <x v="1"/>
    <x v="7"/>
    <x v="5"/>
    <x v="8"/>
    <x v="82"/>
    <x v="0"/>
    <x v="3"/>
    <n v="0"/>
  </r>
  <r>
    <x v="1"/>
    <x v="7"/>
    <x v="5"/>
    <x v="8"/>
    <x v="82"/>
    <x v="0"/>
    <x v="4"/>
    <n v="0"/>
  </r>
  <r>
    <x v="1"/>
    <x v="7"/>
    <x v="5"/>
    <x v="8"/>
    <x v="82"/>
    <x v="0"/>
    <x v="5"/>
    <n v="0"/>
  </r>
  <r>
    <x v="1"/>
    <x v="7"/>
    <x v="5"/>
    <x v="8"/>
    <x v="82"/>
    <x v="0"/>
    <x v="6"/>
    <n v="0"/>
  </r>
  <r>
    <x v="1"/>
    <x v="7"/>
    <x v="5"/>
    <x v="8"/>
    <x v="83"/>
    <x v="0"/>
    <x v="0"/>
    <n v="0"/>
  </r>
  <r>
    <x v="1"/>
    <x v="7"/>
    <x v="5"/>
    <x v="8"/>
    <x v="83"/>
    <x v="0"/>
    <x v="1"/>
    <n v="0"/>
  </r>
  <r>
    <x v="1"/>
    <x v="7"/>
    <x v="5"/>
    <x v="8"/>
    <x v="83"/>
    <x v="0"/>
    <x v="2"/>
    <n v="0"/>
  </r>
  <r>
    <x v="1"/>
    <x v="7"/>
    <x v="5"/>
    <x v="8"/>
    <x v="83"/>
    <x v="0"/>
    <x v="3"/>
    <n v="0"/>
  </r>
  <r>
    <x v="1"/>
    <x v="7"/>
    <x v="5"/>
    <x v="8"/>
    <x v="83"/>
    <x v="0"/>
    <x v="4"/>
    <n v="0"/>
  </r>
  <r>
    <x v="1"/>
    <x v="7"/>
    <x v="5"/>
    <x v="8"/>
    <x v="83"/>
    <x v="0"/>
    <x v="5"/>
    <n v="0"/>
  </r>
  <r>
    <x v="1"/>
    <x v="7"/>
    <x v="5"/>
    <x v="8"/>
    <x v="83"/>
    <x v="0"/>
    <x v="6"/>
    <n v="0"/>
  </r>
  <r>
    <x v="1"/>
    <x v="8"/>
    <x v="0"/>
    <x v="0"/>
    <x v="0"/>
    <x v="0"/>
    <x v="0"/>
    <n v="0"/>
  </r>
  <r>
    <x v="1"/>
    <x v="8"/>
    <x v="0"/>
    <x v="0"/>
    <x v="0"/>
    <x v="0"/>
    <x v="1"/>
    <n v="0"/>
  </r>
  <r>
    <x v="1"/>
    <x v="8"/>
    <x v="0"/>
    <x v="0"/>
    <x v="0"/>
    <x v="0"/>
    <x v="2"/>
    <n v="0"/>
  </r>
  <r>
    <x v="1"/>
    <x v="8"/>
    <x v="0"/>
    <x v="0"/>
    <x v="0"/>
    <x v="0"/>
    <x v="3"/>
    <n v="0"/>
  </r>
  <r>
    <x v="1"/>
    <x v="8"/>
    <x v="0"/>
    <x v="0"/>
    <x v="0"/>
    <x v="0"/>
    <x v="4"/>
    <n v="0"/>
  </r>
  <r>
    <x v="1"/>
    <x v="8"/>
    <x v="0"/>
    <x v="0"/>
    <x v="0"/>
    <x v="0"/>
    <x v="5"/>
    <n v="0"/>
  </r>
  <r>
    <x v="1"/>
    <x v="8"/>
    <x v="0"/>
    <x v="0"/>
    <x v="0"/>
    <x v="0"/>
    <x v="6"/>
    <n v="0"/>
  </r>
  <r>
    <x v="1"/>
    <x v="8"/>
    <x v="0"/>
    <x v="1"/>
    <x v="1"/>
    <x v="0"/>
    <x v="0"/>
    <n v="0"/>
  </r>
  <r>
    <x v="1"/>
    <x v="8"/>
    <x v="0"/>
    <x v="1"/>
    <x v="1"/>
    <x v="0"/>
    <x v="1"/>
    <n v="0"/>
  </r>
  <r>
    <x v="1"/>
    <x v="8"/>
    <x v="0"/>
    <x v="1"/>
    <x v="1"/>
    <x v="0"/>
    <x v="2"/>
    <n v="0"/>
  </r>
  <r>
    <x v="1"/>
    <x v="8"/>
    <x v="0"/>
    <x v="1"/>
    <x v="1"/>
    <x v="0"/>
    <x v="3"/>
    <n v="0"/>
  </r>
  <r>
    <x v="1"/>
    <x v="8"/>
    <x v="0"/>
    <x v="1"/>
    <x v="1"/>
    <x v="0"/>
    <x v="4"/>
    <n v="0"/>
  </r>
  <r>
    <x v="1"/>
    <x v="8"/>
    <x v="0"/>
    <x v="1"/>
    <x v="1"/>
    <x v="0"/>
    <x v="5"/>
    <n v="0"/>
  </r>
  <r>
    <x v="1"/>
    <x v="8"/>
    <x v="0"/>
    <x v="1"/>
    <x v="1"/>
    <x v="0"/>
    <x v="6"/>
    <n v="0"/>
  </r>
  <r>
    <x v="1"/>
    <x v="8"/>
    <x v="0"/>
    <x v="1"/>
    <x v="2"/>
    <x v="0"/>
    <x v="0"/>
    <n v="4.0548500312251301"/>
  </r>
  <r>
    <x v="1"/>
    <x v="8"/>
    <x v="0"/>
    <x v="1"/>
    <x v="2"/>
    <x v="0"/>
    <x v="1"/>
    <n v="7.2858712781540111"/>
  </r>
  <r>
    <x v="1"/>
    <x v="8"/>
    <x v="0"/>
    <x v="1"/>
    <x v="2"/>
    <x v="0"/>
    <x v="2"/>
    <n v="9.9566809555237672"/>
  </r>
  <r>
    <x v="1"/>
    <x v="8"/>
    <x v="0"/>
    <x v="1"/>
    <x v="2"/>
    <x v="0"/>
    <x v="3"/>
    <n v="12.862026917930107"/>
  </r>
  <r>
    <x v="1"/>
    <x v="8"/>
    <x v="0"/>
    <x v="1"/>
    <x v="2"/>
    <x v="0"/>
    <x v="4"/>
    <n v="10.986220636503027"/>
  </r>
  <r>
    <x v="1"/>
    <x v="8"/>
    <x v="0"/>
    <x v="1"/>
    <x v="2"/>
    <x v="0"/>
    <x v="5"/>
    <n v="16.413163361461795"/>
  </r>
  <r>
    <x v="1"/>
    <x v="8"/>
    <x v="0"/>
    <x v="1"/>
    <x v="2"/>
    <x v="0"/>
    <x v="6"/>
    <n v="12.650051284890541"/>
  </r>
  <r>
    <x v="1"/>
    <x v="8"/>
    <x v="0"/>
    <x v="1"/>
    <x v="3"/>
    <x v="0"/>
    <x v="0"/>
    <n v="0.41470124416542481"/>
  </r>
  <r>
    <x v="1"/>
    <x v="8"/>
    <x v="0"/>
    <x v="1"/>
    <x v="3"/>
    <x v="0"/>
    <x v="1"/>
    <n v="1.3298482204457789"/>
  </r>
  <r>
    <x v="1"/>
    <x v="8"/>
    <x v="0"/>
    <x v="1"/>
    <x v="3"/>
    <x v="0"/>
    <x v="2"/>
    <n v="3.7719208890719846"/>
  </r>
  <r>
    <x v="1"/>
    <x v="8"/>
    <x v="0"/>
    <x v="1"/>
    <x v="3"/>
    <x v="0"/>
    <x v="3"/>
    <n v="5.7869972723009537"/>
  </r>
  <r>
    <x v="1"/>
    <x v="8"/>
    <x v="0"/>
    <x v="1"/>
    <x v="3"/>
    <x v="0"/>
    <x v="4"/>
    <n v="7.270865995636199"/>
  </r>
  <r>
    <x v="1"/>
    <x v="8"/>
    <x v="0"/>
    <x v="1"/>
    <x v="3"/>
    <x v="0"/>
    <x v="5"/>
    <n v="12.091972448215161"/>
  </r>
  <r>
    <x v="1"/>
    <x v="8"/>
    <x v="0"/>
    <x v="1"/>
    <x v="3"/>
    <x v="0"/>
    <x v="6"/>
    <n v="9.3127263272538485"/>
  </r>
  <r>
    <x v="1"/>
    <x v="8"/>
    <x v="0"/>
    <x v="1"/>
    <x v="4"/>
    <x v="0"/>
    <x v="0"/>
    <n v="5.4465259631279378E-2"/>
  </r>
  <r>
    <x v="1"/>
    <x v="8"/>
    <x v="0"/>
    <x v="1"/>
    <x v="4"/>
    <x v="0"/>
    <x v="1"/>
    <n v="0.10529464118236417"/>
  </r>
  <r>
    <x v="1"/>
    <x v="8"/>
    <x v="0"/>
    <x v="1"/>
    <x v="4"/>
    <x v="0"/>
    <x v="2"/>
    <n v="0.17379006029695268"/>
  </r>
  <r>
    <x v="1"/>
    <x v="8"/>
    <x v="0"/>
    <x v="1"/>
    <x v="4"/>
    <x v="0"/>
    <x v="3"/>
    <n v="0.2027428967071061"/>
  </r>
  <r>
    <x v="1"/>
    <x v="8"/>
    <x v="0"/>
    <x v="1"/>
    <x v="4"/>
    <x v="0"/>
    <x v="4"/>
    <n v="0.23146257468210402"/>
  </r>
  <r>
    <x v="1"/>
    <x v="8"/>
    <x v="0"/>
    <x v="1"/>
    <x v="4"/>
    <x v="0"/>
    <x v="5"/>
    <n v="0.36327544109846555"/>
  </r>
  <r>
    <x v="1"/>
    <x v="8"/>
    <x v="0"/>
    <x v="1"/>
    <x v="4"/>
    <x v="0"/>
    <x v="6"/>
    <n v="0.25668010955789222"/>
  </r>
  <r>
    <x v="1"/>
    <x v="8"/>
    <x v="0"/>
    <x v="1"/>
    <x v="5"/>
    <x v="0"/>
    <x v="0"/>
    <n v="2.0391150621919589"/>
  </r>
  <r>
    <x v="1"/>
    <x v="8"/>
    <x v="0"/>
    <x v="1"/>
    <x v="5"/>
    <x v="0"/>
    <x v="1"/>
    <n v="6.0805993616817444"/>
  </r>
  <r>
    <x v="1"/>
    <x v="8"/>
    <x v="0"/>
    <x v="1"/>
    <x v="5"/>
    <x v="0"/>
    <x v="2"/>
    <n v="12.89615239898837"/>
  </r>
  <r>
    <x v="1"/>
    <x v="8"/>
    <x v="0"/>
    <x v="1"/>
    <x v="5"/>
    <x v="0"/>
    <x v="3"/>
    <n v="21.690324181555603"/>
  </r>
  <r>
    <x v="1"/>
    <x v="8"/>
    <x v="0"/>
    <x v="1"/>
    <x v="5"/>
    <x v="0"/>
    <x v="4"/>
    <n v="34.614464276977849"/>
  </r>
  <r>
    <x v="1"/>
    <x v="8"/>
    <x v="0"/>
    <x v="1"/>
    <x v="5"/>
    <x v="0"/>
    <x v="5"/>
    <n v="41.934359131502355"/>
  </r>
  <r>
    <x v="1"/>
    <x v="8"/>
    <x v="0"/>
    <x v="1"/>
    <x v="5"/>
    <x v="0"/>
    <x v="6"/>
    <n v="30.608382741056612"/>
  </r>
  <r>
    <x v="1"/>
    <x v="8"/>
    <x v="0"/>
    <x v="1"/>
    <x v="6"/>
    <x v="0"/>
    <x v="0"/>
    <n v="2.5338787223628563"/>
  </r>
  <r>
    <x v="1"/>
    <x v="8"/>
    <x v="0"/>
    <x v="1"/>
    <x v="6"/>
    <x v="0"/>
    <x v="1"/>
    <n v="4.0089252338751669"/>
  </r>
  <r>
    <x v="1"/>
    <x v="8"/>
    <x v="0"/>
    <x v="1"/>
    <x v="6"/>
    <x v="0"/>
    <x v="2"/>
    <n v="5.1205548497267639"/>
  </r>
  <r>
    <x v="1"/>
    <x v="8"/>
    <x v="0"/>
    <x v="1"/>
    <x v="6"/>
    <x v="0"/>
    <x v="3"/>
    <n v="7.0278871950413624"/>
  </r>
  <r>
    <x v="1"/>
    <x v="8"/>
    <x v="0"/>
    <x v="1"/>
    <x v="6"/>
    <x v="0"/>
    <x v="4"/>
    <n v="9.3341437242602492"/>
  </r>
  <r>
    <x v="1"/>
    <x v="8"/>
    <x v="0"/>
    <x v="1"/>
    <x v="6"/>
    <x v="0"/>
    <x v="5"/>
    <n v="16.478090937892937"/>
  </r>
  <r>
    <x v="1"/>
    <x v="8"/>
    <x v="0"/>
    <x v="1"/>
    <x v="6"/>
    <x v="0"/>
    <x v="6"/>
    <n v="12.826680311666074"/>
  </r>
  <r>
    <x v="1"/>
    <x v="8"/>
    <x v="0"/>
    <x v="1"/>
    <x v="7"/>
    <x v="0"/>
    <x v="0"/>
    <n v="3.8689528916841285"/>
  </r>
  <r>
    <x v="1"/>
    <x v="8"/>
    <x v="0"/>
    <x v="1"/>
    <x v="7"/>
    <x v="0"/>
    <x v="1"/>
    <n v="8.9498358588269102"/>
  </r>
  <r>
    <x v="1"/>
    <x v="8"/>
    <x v="0"/>
    <x v="1"/>
    <x v="7"/>
    <x v="0"/>
    <x v="2"/>
    <n v="17.202780337667079"/>
  </r>
  <r>
    <x v="1"/>
    <x v="8"/>
    <x v="0"/>
    <x v="1"/>
    <x v="7"/>
    <x v="0"/>
    <x v="3"/>
    <n v="26.140310780476455"/>
  </r>
  <r>
    <x v="1"/>
    <x v="8"/>
    <x v="0"/>
    <x v="1"/>
    <x v="7"/>
    <x v="0"/>
    <x v="4"/>
    <n v="31.815882823709803"/>
  </r>
  <r>
    <x v="1"/>
    <x v="8"/>
    <x v="0"/>
    <x v="1"/>
    <x v="7"/>
    <x v="0"/>
    <x v="5"/>
    <n v="50.48016715223951"/>
  </r>
  <r>
    <x v="1"/>
    <x v="8"/>
    <x v="0"/>
    <x v="1"/>
    <x v="7"/>
    <x v="0"/>
    <x v="6"/>
    <n v="36.334505267248126"/>
  </r>
  <r>
    <x v="1"/>
    <x v="8"/>
    <x v="0"/>
    <x v="1"/>
    <x v="8"/>
    <x v="0"/>
    <x v="0"/>
    <n v="2.4162761576651069E-3"/>
  </r>
  <r>
    <x v="1"/>
    <x v="8"/>
    <x v="0"/>
    <x v="1"/>
    <x v="8"/>
    <x v="0"/>
    <x v="1"/>
    <n v="9.8958672266422389E-3"/>
  </r>
  <r>
    <x v="1"/>
    <x v="8"/>
    <x v="0"/>
    <x v="1"/>
    <x v="8"/>
    <x v="0"/>
    <x v="2"/>
    <n v="1.5289499732023613E-2"/>
  </r>
  <r>
    <x v="1"/>
    <x v="8"/>
    <x v="0"/>
    <x v="1"/>
    <x v="8"/>
    <x v="0"/>
    <x v="3"/>
    <n v="2.0998187637732191E-2"/>
  </r>
  <r>
    <x v="1"/>
    <x v="8"/>
    <x v="0"/>
    <x v="1"/>
    <x v="8"/>
    <x v="0"/>
    <x v="4"/>
    <n v="2.6952297997094411E-2"/>
  </r>
  <r>
    <x v="1"/>
    <x v="8"/>
    <x v="0"/>
    <x v="1"/>
    <x v="8"/>
    <x v="0"/>
    <x v="5"/>
    <n v="4.7301409151658737E-2"/>
  </r>
  <r>
    <x v="1"/>
    <x v="8"/>
    <x v="0"/>
    <x v="1"/>
    <x v="8"/>
    <x v="0"/>
    <x v="6"/>
    <n v="3.3088546400489985E-2"/>
  </r>
  <r>
    <x v="1"/>
    <x v="8"/>
    <x v="0"/>
    <x v="1"/>
    <x v="9"/>
    <x v="0"/>
    <x v="0"/>
    <n v="3.5263981199992873"/>
  </r>
  <r>
    <x v="1"/>
    <x v="8"/>
    <x v="0"/>
    <x v="1"/>
    <x v="9"/>
    <x v="0"/>
    <x v="1"/>
    <n v="6.2994463028351113"/>
  </r>
  <r>
    <x v="1"/>
    <x v="8"/>
    <x v="0"/>
    <x v="1"/>
    <x v="9"/>
    <x v="0"/>
    <x v="2"/>
    <n v="10.84046078948154"/>
  </r>
  <r>
    <x v="1"/>
    <x v="8"/>
    <x v="0"/>
    <x v="1"/>
    <x v="9"/>
    <x v="0"/>
    <x v="3"/>
    <n v="15.881506191260414"/>
  </r>
  <r>
    <x v="1"/>
    <x v="8"/>
    <x v="0"/>
    <x v="1"/>
    <x v="9"/>
    <x v="0"/>
    <x v="4"/>
    <n v="15.060300829723557"/>
  </r>
  <r>
    <x v="1"/>
    <x v="8"/>
    <x v="0"/>
    <x v="1"/>
    <x v="9"/>
    <x v="0"/>
    <x v="5"/>
    <n v="19.867938637190537"/>
  </r>
  <r>
    <x v="1"/>
    <x v="8"/>
    <x v="0"/>
    <x v="1"/>
    <x v="9"/>
    <x v="0"/>
    <x v="6"/>
    <n v="15.239221251389806"/>
  </r>
  <r>
    <x v="1"/>
    <x v="8"/>
    <x v="0"/>
    <x v="1"/>
    <x v="10"/>
    <x v="0"/>
    <x v="0"/>
    <n v="6.0024670426473721"/>
  </r>
  <r>
    <x v="1"/>
    <x v="8"/>
    <x v="0"/>
    <x v="1"/>
    <x v="10"/>
    <x v="0"/>
    <x v="1"/>
    <n v="11.243974912739981"/>
  </r>
  <r>
    <x v="1"/>
    <x v="8"/>
    <x v="0"/>
    <x v="1"/>
    <x v="10"/>
    <x v="0"/>
    <x v="2"/>
    <n v="16.743187498548533"/>
  </r>
  <r>
    <x v="1"/>
    <x v="8"/>
    <x v="0"/>
    <x v="1"/>
    <x v="10"/>
    <x v="0"/>
    <x v="3"/>
    <n v="21.808239715509799"/>
  </r>
  <r>
    <x v="1"/>
    <x v="8"/>
    <x v="0"/>
    <x v="1"/>
    <x v="10"/>
    <x v="0"/>
    <x v="4"/>
    <n v="22.412230998694668"/>
  </r>
  <r>
    <x v="1"/>
    <x v="8"/>
    <x v="0"/>
    <x v="1"/>
    <x v="10"/>
    <x v="0"/>
    <x v="5"/>
    <n v="35.480653144624917"/>
  </r>
  <r>
    <x v="1"/>
    <x v="8"/>
    <x v="0"/>
    <x v="1"/>
    <x v="10"/>
    <x v="0"/>
    <x v="6"/>
    <n v="29.743048216228456"/>
  </r>
  <r>
    <x v="1"/>
    <x v="8"/>
    <x v="0"/>
    <x v="0"/>
    <x v="11"/>
    <x v="0"/>
    <x v="0"/>
    <n v="2.5117233012892204E-2"/>
  </r>
  <r>
    <x v="1"/>
    <x v="8"/>
    <x v="0"/>
    <x v="0"/>
    <x v="11"/>
    <x v="0"/>
    <x v="1"/>
    <n v="0.12150148871022373"/>
  </r>
  <r>
    <x v="1"/>
    <x v="8"/>
    <x v="0"/>
    <x v="0"/>
    <x v="11"/>
    <x v="0"/>
    <x v="2"/>
    <n v="0.43930592252406325"/>
  </r>
  <r>
    <x v="1"/>
    <x v="8"/>
    <x v="0"/>
    <x v="0"/>
    <x v="11"/>
    <x v="0"/>
    <x v="3"/>
    <n v="1.5579062697801207"/>
  </r>
  <r>
    <x v="1"/>
    <x v="8"/>
    <x v="0"/>
    <x v="0"/>
    <x v="11"/>
    <x v="0"/>
    <x v="4"/>
    <n v="4.0391763740099975"/>
  </r>
  <r>
    <x v="1"/>
    <x v="8"/>
    <x v="0"/>
    <x v="0"/>
    <x v="11"/>
    <x v="0"/>
    <x v="5"/>
    <n v="4.2072579706610362"/>
  </r>
  <r>
    <x v="1"/>
    <x v="8"/>
    <x v="0"/>
    <x v="0"/>
    <x v="11"/>
    <x v="0"/>
    <x v="6"/>
    <n v="5.9668492373130384"/>
  </r>
  <r>
    <x v="1"/>
    <x v="8"/>
    <x v="0"/>
    <x v="0"/>
    <x v="12"/>
    <x v="0"/>
    <x v="0"/>
    <n v="0"/>
  </r>
  <r>
    <x v="1"/>
    <x v="8"/>
    <x v="0"/>
    <x v="0"/>
    <x v="12"/>
    <x v="0"/>
    <x v="1"/>
    <n v="0"/>
  </r>
  <r>
    <x v="1"/>
    <x v="8"/>
    <x v="0"/>
    <x v="0"/>
    <x v="12"/>
    <x v="0"/>
    <x v="2"/>
    <n v="0"/>
  </r>
  <r>
    <x v="1"/>
    <x v="8"/>
    <x v="0"/>
    <x v="0"/>
    <x v="12"/>
    <x v="0"/>
    <x v="3"/>
    <n v="0"/>
  </r>
  <r>
    <x v="1"/>
    <x v="8"/>
    <x v="0"/>
    <x v="0"/>
    <x v="12"/>
    <x v="0"/>
    <x v="4"/>
    <n v="0"/>
  </r>
  <r>
    <x v="1"/>
    <x v="8"/>
    <x v="0"/>
    <x v="0"/>
    <x v="12"/>
    <x v="0"/>
    <x v="5"/>
    <n v="0"/>
  </r>
  <r>
    <x v="1"/>
    <x v="8"/>
    <x v="0"/>
    <x v="0"/>
    <x v="12"/>
    <x v="0"/>
    <x v="6"/>
    <n v="0"/>
  </r>
  <r>
    <x v="1"/>
    <x v="8"/>
    <x v="0"/>
    <x v="0"/>
    <x v="13"/>
    <x v="0"/>
    <x v="0"/>
    <n v="0"/>
  </r>
  <r>
    <x v="1"/>
    <x v="8"/>
    <x v="0"/>
    <x v="0"/>
    <x v="13"/>
    <x v="0"/>
    <x v="1"/>
    <n v="0"/>
  </r>
  <r>
    <x v="1"/>
    <x v="8"/>
    <x v="0"/>
    <x v="0"/>
    <x v="13"/>
    <x v="0"/>
    <x v="2"/>
    <n v="0"/>
  </r>
  <r>
    <x v="1"/>
    <x v="8"/>
    <x v="0"/>
    <x v="0"/>
    <x v="13"/>
    <x v="0"/>
    <x v="3"/>
    <n v="0"/>
  </r>
  <r>
    <x v="1"/>
    <x v="8"/>
    <x v="0"/>
    <x v="0"/>
    <x v="13"/>
    <x v="0"/>
    <x v="4"/>
    <n v="0"/>
  </r>
  <r>
    <x v="1"/>
    <x v="8"/>
    <x v="0"/>
    <x v="0"/>
    <x v="13"/>
    <x v="0"/>
    <x v="5"/>
    <n v="0"/>
  </r>
  <r>
    <x v="1"/>
    <x v="8"/>
    <x v="0"/>
    <x v="0"/>
    <x v="13"/>
    <x v="0"/>
    <x v="6"/>
    <n v="0"/>
  </r>
  <r>
    <x v="1"/>
    <x v="8"/>
    <x v="0"/>
    <x v="2"/>
    <x v="14"/>
    <x v="0"/>
    <x v="0"/>
    <n v="4.5524451646133161E-2"/>
  </r>
  <r>
    <x v="1"/>
    <x v="8"/>
    <x v="0"/>
    <x v="2"/>
    <x v="14"/>
    <x v="0"/>
    <x v="1"/>
    <n v="0.17907421862707268"/>
  </r>
  <r>
    <x v="1"/>
    <x v="8"/>
    <x v="0"/>
    <x v="2"/>
    <x v="14"/>
    <x v="0"/>
    <x v="2"/>
    <n v="0.69894166744299313"/>
  </r>
  <r>
    <x v="1"/>
    <x v="8"/>
    <x v="0"/>
    <x v="2"/>
    <x v="14"/>
    <x v="0"/>
    <x v="3"/>
    <n v="2.8045690249804625"/>
  </r>
  <r>
    <x v="1"/>
    <x v="8"/>
    <x v="0"/>
    <x v="2"/>
    <x v="14"/>
    <x v="0"/>
    <x v="4"/>
    <n v="7.7503640648105216"/>
  </r>
  <r>
    <x v="1"/>
    <x v="8"/>
    <x v="0"/>
    <x v="2"/>
    <x v="14"/>
    <x v="0"/>
    <x v="5"/>
    <n v="9.0230758770865958"/>
  </r>
  <r>
    <x v="1"/>
    <x v="8"/>
    <x v="0"/>
    <x v="2"/>
    <x v="14"/>
    <x v="0"/>
    <x v="6"/>
    <n v="13.512462199614536"/>
  </r>
  <r>
    <x v="1"/>
    <x v="8"/>
    <x v="0"/>
    <x v="2"/>
    <x v="15"/>
    <x v="0"/>
    <x v="0"/>
    <n v="47.26580229583675"/>
  </r>
  <r>
    <x v="1"/>
    <x v="8"/>
    <x v="0"/>
    <x v="2"/>
    <x v="15"/>
    <x v="0"/>
    <x v="1"/>
    <n v="103.6177617074574"/>
  </r>
  <r>
    <x v="1"/>
    <x v="8"/>
    <x v="0"/>
    <x v="2"/>
    <x v="15"/>
    <x v="0"/>
    <x v="2"/>
    <n v="223.76823766492694"/>
  </r>
  <r>
    <x v="1"/>
    <x v="8"/>
    <x v="0"/>
    <x v="2"/>
    <x v="15"/>
    <x v="0"/>
    <x v="3"/>
    <n v="438.69353579739658"/>
  </r>
  <r>
    <x v="1"/>
    <x v="8"/>
    <x v="0"/>
    <x v="2"/>
    <x v="15"/>
    <x v="0"/>
    <x v="4"/>
    <n v="822.74848419849104"/>
  </r>
  <r>
    <x v="1"/>
    <x v="8"/>
    <x v="0"/>
    <x v="2"/>
    <x v="15"/>
    <x v="0"/>
    <x v="5"/>
    <n v="1251.7351672510422"/>
  </r>
  <r>
    <x v="1"/>
    <x v="8"/>
    <x v="0"/>
    <x v="2"/>
    <x v="15"/>
    <x v="0"/>
    <x v="6"/>
    <n v="1729.3555621917963"/>
  </r>
  <r>
    <x v="1"/>
    <x v="8"/>
    <x v="0"/>
    <x v="2"/>
    <x v="16"/>
    <x v="0"/>
    <x v="0"/>
    <n v="1.3029318157468663"/>
  </r>
  <r>
    <x v="1"/>
    <x v="8"/>
    <x v="0"/>
    <x v="2"/>
    <x v="16"/>
    <x v="0"/>
    <x v="1"/>
    <n v="16.456306312492462"/>
  </r>
  <r>
    <x v="1"/>
    <x v="8"/>
    <x v="0"/>
    <x v="2"/>
    <x v="16"/>
    <x v="0"/>
    <x v="2"/>
    <n v="44.904444827491474"/>
  </r>
  <r>
    <x v="1"/>
    <x v="8"/>
    <x v="0"/>
    <x v="2"/>
    <x v="16"/>
    <x v="0"/>
    <x v="3"/>
    <n v="72.374444486148761"/>
  </r>
  <r>
    <x v="1"/>
    <x v="8"/>
    <x v="0"/>
    <x v="2"/>
    <x v="16"/>
    <x v="0"/>
    <x v="4"/>
    <n v="102.08677919930288"/>
  </r>
  <r>
    <x v="1"/>
    <x v="8"/>
    <x v="0"/>
    <x v="2"/>
    <x v="16"/>
    <x v="0"/>
    <x v="5"/>
    <n v="202.87812410078743"/>
  </r>
  <r>
    <x v="1"/>
    <x v="8"/>
    <x v="0"/>
    <x v="2"/>
    <x v="16"/>
    <x v="0"/>
    <x v="6"/>
    <n v="289.62428182308753"/>
  </r>
  <r>
    <x v="1"/>
    <x v="8"/>
    <x v="0"/>
    <x v="0"/>
    <x v="17"/>
    <x v="0"/>
    <x v="0"/>
    <n v="0"/>
  </r>
  <r>
    <x v="1"/>
    <x v="8"/>
    <x v="0"/>
    <x v="0"/>
    <x v="17"/>
    <x v="0"/>
    <x v="1"/>
    <n v="0"/>
  </r>
  <r>
    <x v="1"/>
    <x v="8"/>
    <x v="0"/>
    <x v="0"/>
    <x v="17"/>
    <x v="0"/>
    <x v="2"/>
    <n v="0"/>
  </r>
  <r>
    <x v="1"/>
    <x v="8"/>
    <x v="0"/>
    <x v="0"/>
    <x v="17"/>
    <x v="0"/>
    <x v="3"/>
    <n v="0"/>
  </r>
  <r>
    <x v="1"/>
    <x v="8"/>
    <x v="0"/>
    <x v="0"/>
    <x v="17"/>
    <x v="0"/>
    <x v="4"/>
    <n v="0"/>
  </r>
  <r>
    <x v="1"/>
    <x v="8"/>
    <x v="0"/>
    <x v="0"/>
    <x v="17"/>
    <x v="0"/>
    <x v="5"/>
    <n v="0"/>
  </r>
  <r>
    <x v="1"/>
    <x v="8"/>
    <x v="0"/>
    <x v="0"/>
    <x v="17"/>
    <x v="0"/>
    <x v="6"/>
    <n v="0"/>
  </r>
  <r>
    <x v="1"/>
    <x v="8"/>
    <x v="0"/>
    <x v="2"/>
    <x v="18"/>
    <x v="0"/>
    <x v="0"/>
    <n v="176.29193652966597"/>
  </r>
  <r>
    <x v="1"/>
    <x v="8"/>
    <x v="0"/>
    <x v="2"/>
    <x v="18"/>
    <x v="0"/>
    <x v="1"/>
    <n v="274.80615288660658"/>
  </r>
  <r>
    <x v="1"/>
    <x v="8"/>
    <x v="0"/>
    <x v="2"/>
    <x v="18"/>
    <x v="0"/>
    <x v="2"/>
    <n v="331.41667068824324"/>
  </r>
  <r>
    <x v="1"/>
    <x v="8"/>
    <x v="0"/>
    <x v="2"/>
    <x v="18"/>
    <x v="0"/>
    <x v="3"/>
    <n v="464.53673986004418"/>
  </r>
  <r>
    <x v="1"/>
    <x v="8"/>
    <x v="0"/>
    <x v="2"/>
    <x v="18"/>
    <x v="0"/>
    <x v="4"/>
    <n v="833.85638022790317"/>
  </r>
  <r>
    <x v="1"/>
    <x v="8"/>
    <x v="0"/>
    <x v="2"/>
    <x v="18"/>
    <x v="0"/>
    <x v="5"/>
    <n v="1145.4924345182308"/>
  </r>
  <r>
    <x v="1"/>
    <x v="8"/>
    <x v="0"/>
    <x v="2"/>
    <x v="18"/>
    <x v="0"/>
    <x v="6"/>
    <n v="1406.1686739542672"/>
  </r>
  <r>
    <x v="1"/>
    <x v="8"/>
    <x v="1"/>
    <x v="3"/>
    <x v="19"/>
    <x v="0"/>
    <x v="0"/>
    <n v="1.6247272323599356E-2"/>
  </r>
  <r>
    <x v="1"/>
    <x v="8"/>
    <x v="1"/>
    <x v="3"/>
    <x v="19"/>
    <x v="0"/>
    <x v="1"/>
    <n v="4.0702002005816675E-2"/>
  </r>
  <r>
    <x v="1"/>
    <x v="8"/>
    <x v="1"/>
    <x v="3"/>
    <x v="19"/>
    <x v="0"/>
    <x v="2"/>
    <n v="0.10439054214815023"/>
  </r>
  <r>
    <x v="1"/>
    <x v="8"/>
    <x v="1"/>
    <x v="3"/>
    <x v="19"/>
    <x v="0"/>
    <x v="3"/>
    <n v="0.24588246492395932"/>
  </r>
  <r>
    <x v="1"/>
    <x v="8"/>
    <x v="1"/>
    <x v="3"/>
    <x v="19"/>
    <x v="0"/>
    <x v="4"/>
    <n v="0.34636839108528567"/>
  </r>
  <r>
    <x v="1"/>
    <x v="8"/>
    <x v="1"/>
    <x v="3"/>
    <x v="19"/>
    <x v="0"/>
    <x v="5"/>
    <n v="0.45299794770556534"/>
  </r>
  <r>
    <x v="1"/>
    <x v="8"/>
    <x v="1"/>
    <x v="3"/>
    <x v="19"/>
    <x v="0"/>
    <x v="6"/>
    <n v="0.61866136924999182"/>
  </r>
  <r>
    <x v="1"/>
    <x v="8"/>
    <x v="1"/>
    <x v="3"/>
    <x v="20"/>
    <x v="0"/>
    <x v="0"/>
    <n v="2.6561057814340136E-3"/>
  </r>
  <r>
    <x v="1"/>
    <x v="8"/>
    <x v="1"/>
    <x v="3"/>
    <x v="20"/>
    <x v="0"/>
    <x v="1"/>
    <n v="2.7159579740825088E-3"/>
  </r>
  <r>
    <x v="1"/>
    <x v="8"/>
    <x v="1"/>
    <x v="3"/>
    <x v="20"/>
    <x v="0"/>
    <x v="2"/>
    <n v="1.3761515376755453E-2"/>
  </r>
  <r>
    <x v="1"/>
    <x v="8"/>
    <x v="1"/>
    <x v="3"/>
    <x v="20"/>
    <x v="0"/>
    <x v="3"/>
    <n v="3.3870431604725096E-2"/>
  </r>
  <r>
    <x v="1"/>
    <x v="8"/>
    <x v="1"/>
    <x v="3"/>
    <x v="20"/>
    <x v="0"/>
    <x v="4"/>
    <n v="4.434499069439702E-2"/>
  </r>
  <r>
    <x v="1"/>
    <x v="8"/>
    <x v="1"/>
    <x v="3"/>
    <x v="20"/>
    <x v="0"/>
    <x v="5"/>
    <n v="5.7709952161599812E-2"/>
  </r>
  <r>
    <x v="1"/>
    <x v="8"/>
    <x v="1"/>
    <x v="3"/>
    <x v="20"/>
    <x v="0"/>
    <x v="6"/>
    <n v="6.6348442337243241E-2"/>
  </r>
  <r>
    <x v="1"/>
    <x v="8"/>
    <x v="1"/>
    <x v="3"/>
    <x v="21"/>
    <x v="0"/>
    <x v="0"/>
    <n v="0.17950164083202527"/>
  </r>
  <r>
    <x v="1"/>
    <x v="8"/>
    <x v="1"/>
    <x v="3"/>
    <x v="21"/>
    <x v="0"/>
    <x v="1"/>
    <n v="0.41285530944194815"/>
  </r>
  <r>
    <x v="1"/>
    <x v="8"/>
    <x v="1"/>
    <x v="3"/>
    <x v="21"/>
    <x v="0"/>
    <x v="2"/>
    <n v="0.91244297838783439"/>
  </r>
  <r>
    <x v="1"/>
    <x v="8"/>
    <x v="1"/>
    <x v="3"/>
    <x v="21"/>
    <x v="0"/>
    <x v="3"/>
    <n v="1.8964380503357052"/>
  </r>
  <r>
    <x v="1"/>
    <x v="8"/>
    <x v="1"/>
    <x v="3"/>
    <x v="21"/>
    <x v="0"/>
    <x v="4"/>
    <n v="2.464176615810163"/>
  </r>
  <r>
    <x v="1"/>
    <x v="8"/>
    <x v="1"/>
    <x v="3"/>
    <x v="21"/>
    <x v="0"/>
    <x v="5"/>
    <n v="3.2567369888887328"/>
  </r>
  <r>
    <x v="1"/>
    <x v="8"/>
    <x v="1"/>
    <x v="3"/>
    <x v="21"/>
    <x v="0"/>
    <x v="6"/>
    <n v="4.1534927480891195"/>
  </r>
  <r>
    <x v="1"/>
    <x v="8"/>
    <x v="1"/>
    <x v="3"/>
    <x v="22"/>
    <x v="0"/>
    <x v="0"/>
    <n v="0"/>
  </r>
  <r>
    <x v="1"/>
    <x v="8"/>
    <x v="1"/>
    <x v="3"/>
    <x v="22"/>
    <x v="0"/>
    <x v="1"/>
    <n v="0"/>
  </r>
  <r>
    <x v="1"/>
    <x v="8"/>
    <x v="1"/>
    <x v="3"/>
    <x v="22"/>
    <x v="0"/>
    <x v="2"/>
    <n v="0"/>
  </r>
  <r>
    <x v="1"/>
    <x v="8"/>
    <x v="1"/>
    <x v="3"/>
    <x v="22"/>
    <x v="0"/>
    <x v="3"/>
    <n v="0"/>
  </r>
  <r>
    <x v="1"/>
    <x v="8"/>
    <x v="1"/>
    <x v="3"/>
    <x v="22"/>
    <x v="0"/>
    <x v="4"/>
    <n v="0"/>
  </r>
  <r>
    <x v="1"/>
    <x v="8"/>
    <x v="1"/>
    <x v="3"/>
    <x v="22"/>
    <x v="0"/>
    <x v="5"/>
    <n v="0"/>
  </r>
  <r>
    <x v="1"/>
    <x v="8"/>
    <x v="1"/>
    <x v="3"/>
    <x v="22"/>
    <x v="0"/>
    <x v="6"/>
    <n v="0"/>
  </r>
  <r>
    <x v="1"/>
    <x v="8"/>
    <x v="1"/>
    <x v="3"/>
    <x v="23"/>
    <x v="0"/>
    <x v="0"/>
    <n v="0"/>
  </r>
  <r>
    <x v="1"/>
    <x v="8"/>
    <x v="1"/>
    <x v="3"/>
    <x v="23"/>
    <x v="0"/>
    <x v="1"/>
    <n v="0"/>
  </r>
  <r>
    <x v="1"/>
    <x v="8"/>
    <x v="1"/>
    <x v="3"/>
    <x v="23"/>
    <x v="0"/>
    <x v="2"/>
    <n v="0"/>
  </r>
  <r>
    <x v="1"/>
    <x v="8"/>
    <x v="1"/>
    <x v="3"/>
    <x v="23"/>
    <x v="0"/>
    <x v="3"/>
    <n v="0"/>
  </r>
  <r>
    <x v="1"/>
    <x v="8"/>
    <x v="1"/>
    <x v="3"/>
    <x v="23"/>
    <x v="0"/>
    <x v="4"/>
    <n v="0"/>
  </r>
  <r>
    <x v="1"/>
    <x v="8"/>
    <x v="1"/>
    <x v="3"/>
    <x v="23"/>
    <x v="0"/>
    <x v="5"/>
    <n v="0"/>
  </r>
  <r>
    <x v="1"/>
    <x v="8"/>
    <x v="1"/>
    <x v="3"/>
    <x v="23"/>
    <x v="0"/>
    <x v="6"/>
    <n v="0"/>
  </r>
  <r>
    <x v="1"/>
    <x v="8"/>
    <x v="1"/>
    <x v="3"/>
    <x v="24"/>
    <x v="0"/>
    <x v="0"/>
    <n v="0"/>
  </r>
  <r>
    <x v="1"/>
    <x v="8"/>
    <x v="1"/>
    <x v="3"/>
    <x v="24"/>
    <x v="0"/>
    <x v="1"/>
    <n v="0"/>
  </r>
  <r>
    <x v="1"/>
    <x v="8"/>
    <x v="1"/>
    <x v="3"/>
    <x v="24"/>
    <x v="0"/>
    <x v="2"/>
    <n v="0"/>
  </r>
  <r>
    <x v="1"/>
    <x v="8"/>
    <x v="1"/>
    <x v="3"/>
    <x v="24"/>
    <x v="0"/>
    <x v="3"/>
    <n v="0"/>
  </r>
  <r>
    <x v="1"/>
    <x v="8"/>
    <x v="1"/>
    <x v="3"/>
    <x v="24"/>
    <x v="0"/>
    <x v="4"/>
    <n v="0"/>
  </r>
  <r>
    <x v="1"/>
    <x v="8"/>
    <x v="1"/>
    <x v="3"/>
    <x v="24"/>
    <x v="0"/>
    <x v="5"/>
    <n v="0"/>
  </r>
  <r>
    <x v="1"/>
    <x v="8"/>
    <x v="1"/>
    <x v="3"/>
    <x v="24"/>
    <x v="0"/>
    <x v="6"/>
    <n v="0"/>
  </r>
  <r>
    <x v="1"/>
    <x v="8"/>
    <x v="1"/>
    <x v="3"/>
    <x v="25"/>
    <x v="0"/>
    <x v="0"/>
    <n v="0.55196984044527875"/>
  </r>
  <r>
    <x v="1"/>
    <x v="8"/>
    <x v="1"/>
    <x v="3"/>
    <x v="25"/>
    <x v="0"/>
    <x v="1"/>
    <n v="1.6655112076156828"/>
  </r>
  <r>
    <x v="1"/>
    <x v="8"/>
    <x v="1"/>
    <x v="3"/>
    <x v="25"/>
    <x v="0"/>
    <x v="2"/>
    <n v="4.8348795754323106"/>
  </r>
  <r>
    <x v="1"/>
    <x v="8"/>
    <x v="1"/>
    <x v="3"/>
    <x v="25"/>
    <x v="0"/>
    <x v="3"/>
    <n v="13.10373106765147"/>
  </r>
  <r>
    <x v="1"/>
    <x v="8"/>
    <x v="1"/>
    <x v="3"/>
    <x v="25"/>
    <x v="0"/>
    <x v="4"/>
    <n v="24.291712077281186"/>
  </r>
  <r>
    <x v="1"/>
    <x v="8"/>
    <x v="1"/>
    <x v="3"/>
    <x v="25"/>
    <x v="0"/>
    <x v="5"/>
    <n v="35.586772092989108"/>
  </r>
  <r>
    <x v="1"/>
    <x v="8"/>
    <x v="1"/>
    <x v="3"/>
    <x v="25"/>
    <x v="0"/>
    <x v="6"/>
    <n v="45.331083884054053"/>
  </r>
  <r>
    <x v="1"/>
    <x v="8"/>
    <x v="2"/>
    <x v="4"/>
    <x v="26"/>
    <x v="0"/>
    <x v="0"/>
    <n v="7.9868905558023139E-3"/>
  </r>
  <r>
    <x v="1"/>
    <x v="8"/>
    <x v="2"/>
    <x v="4"/>
    <x v="26"/>
    <x v="0"/>
    <x v="1"/>
    <n v="1.2534644809651401E-2"/>
  </r>
  <r>
    <x v="1"/>
    <x v="8"/>
    <x v="2"/>
    <x v="4"/>
    <x v="26"/>
    <x v="0"/>
    <x v="2"/>
    <n v="1.9651156029886388E-2"/>
  </r>
  <r>
    <x v="1"/>
    <x v="8"/>
    <x v="2"/>
    <x v="4"/>
    <x v="26"/>
    <x v="0"/>
    <x v="3"/>
    <n v="4.8709578646403892E-2"/>
  </r>
  <r>
    <x v="1"/>
    <x v="8"/>
    <x v="2"/>
    <x v="4"/>
    <x v="26"/>
    <x v="0"/>
    <x v="4"/>
    <n v="6.2999777292831641E-2"/>
  </r>
  <r>
    <x v="1"/>
    <x v="8"/>
    <x v="2"/>
    <x v="4"/>
    <x v="26"/>
    <x v="0"/>
    <x v="5"/>
    <n v="8.5356611845525093E-2"/>
  </r>
  <r>
    <x v="1"/>
    <x v="8"/>
    <x v="2"/>
    <x v="4"/>
    <x v="26"/>
    <x v="0"/>
    <x v="6"/>
    <n v="0.1008779347021698"/>
  </r>
  <r>
    <x v="1"/>
    <x v="8"/>
    <x v="2"/>
    <x v="4"/>
    <x v="27"/>
    <x v="0"/>
    <x v="0"/>
    <n v="8.1968800278656342E-2"/>
  </r>
  <r>
    <x v="1"/>
    <x v="8"/>
    <x v="2"/>
    <x v="4"/>
    <x v="27"/>
    <x v="0"/>
    <x v="1"/>
    <n v="0.29020114995738033"/>
  </r>
  <r>
    <x v="1"/>
    <x v="8"/>
    <x v="2"/>
    <x v="4"/>
    <x v="27"/>
    <x v="0"/>
    <x v="2"/>
    <n v="0.91335964285082982"/>
  </r>
  <r>
    <x v="1"/>
    <x v="8"/>
    <x v="2"/>
    <x v="4"/>
    <x v="27"/>
    <x v="0"/>
    <x v="3"/>
    <n v="3.1173904294415564"/>
  </r>
  <r>
    <x v="1"/>
    <x v="8"/>
    <x v="2"/>
    <x v="4"/>
    <x v="27"/>
    <x v="0"/>
    <x v="4"/>
    <n v="9.5332600398953442"/>
  </r>
  <r>
    <x v="1"/>
    <x v="8"/>
    <x v="2"/>
    <x v="4"/>
    <x v="27"/>
    <x v="0"/>
    <x v="5"/>
    <n v="13.730243885874533"/>
  </r>
  <r>
    <x v="1"/>
    <x v="8"/>
    <x v="2"/>
    <x v="4"/>
    <x v="27"/>
    <x v="0"/>
    <x v="6"/>
    <n v="20.214574522467512"/>
  </r>
  <r>
    <x v="1"/>
    <x v="8"/>
    <x v="2"/>
    <x v="4"/>
    <x v="28"/>
    <x v="0"/>
    <x v="0"/>
    <n v="5.0858881611359222E-2"/>
  </r>
  <r>
    <x v="1"/>
    <x v="8"/>
    <x v="2"/>
    <x v="4"/>
    <x v="28"/>
    <x v="0"/>
    <x v="1"/>
    <n v="0.1201315102400918"/>
  </r>
  <r>
    <x v="1"/>
    <x v="8"/>
    <x v="2"/>
    <x v="4"/>
    <x v="28"/>
    <x v="0"/>
    <x v="2"/>
    <n v="0.18024973567427216"/>
  </r>
  <r>
    <x v="1"/>
    <x v="8"/>
    <x v="2"/>
    <x v="4"/>
    <x v="28"/>
    <x v="0"/>
    <x v="3"/>
    <n v="0.45308867656939272"/>
  </r>
  <r>
    <x v="1"/>
    <x v="8"/>
    <x v="2"/>
    <x v="4"/>
    <x v="28"/>
    <x v="0"/>
    <x v="4"/>
    <n v="0.96081795860316488"/>
  </r>
  <r>
    <x v="1"/>
    <x v="8"/>
    <x v="2"/>
    <x v="4"/>
    <x v="28"/>
    <x v="0"/>
    <x v="5"/>
    <n v="1.4617663174869775"/>
  </r>
  <r>
    <x v="1"/>
    <x v="8"/>
    <x v="2"/>
    <x v="4"/>
    <x v="28"/>
    <x v="0"/>
    <x v="6"/>
    <n v="1.9117745551994334"/>
  </r>
  <r>
    <x v="1"/>
    <x v="8"/>
    <x v="2"/>
    <x v="4"/>
    <x v="29"/>
    <x v="0"/>
    <x v="0"/>
    <n v="0.9849895606787582"/>
  </r>
  <r>
    <x v="1"/>
    <x v="8"/>
    <x v="2"/>
    <x v="4"/>
    <x v="29"/>
    <x v="0"/>
    <x v="1"/>
    <n v="1.8045236527098669"/>
  </r>
  <r>
    <x v="1"/>
    <x v="8"/>
    <x v="2"/>
    <x v="4"/>
    <x v="29"/>
    <x v="0"/>
    <x v="2"/>
    <n v="2.4951905852230389"/>
  </r>
  <r>
    <x v="1"/>
    <x v="8"/>
    <x v="2"/>
    <x v="4"/>
    <x v="29"/>
    <x v="0"/>
    <x v="3"/>
    <n v="7.0806386291178383"/>
  </r>
  <r>
    <x v="1"/>
    <x v="8"/>
    <x v="2"/>
    <x v="4"/>
    <x v="29"/>
    <x v="0"/>
    <x v="4"/>
    <n v="11.698509226564225"/>
  </r>
  <r>
    <x v="1"/>
    <x v="8"/>
    <x v="2"/>
    <x v="4"/>
    <x v="29"/>
    <x v="0"/>
    <x v="5"/>
    <n v="16.123819787031021"/>
  </r>
  <r>
    <x v="1"/>
    <x v="8"/>
    <x v="2"/>
    <x v="4"/>
    <x v="29"/>
    <x v="0"/>
    <x v="6"/>
    <n v="24.934376137623833"/>
  </r>
  <r>
    <x v="1"/>
    <x v="8"/>
    <x v="3"/>
    <x v="5"/>
    <x v="30"/>
    <x v="0"/>
    <x v="0"/>
    <n v="8.7901212259451716E-2"/>
  </r>
  <r>
    <x v="1"/>
    <x v="8"/>
    <x v="3"/>
    <x v="5"/>
    <x v="30"/>
    <x v="0"/>
    <x v="1"/>
    <n v="0.30743871414646579"/>
  </r>
  <r>
    <x v="1"/>
    <x v="8"/>
    <x v="3"/>
    <x v="5"/>
    <x v="30"/>
    <x v="0"/>
    <x v="2"/>
    <n v="1.9949946997120607"/>
  </r>
  <r>
    <x v="1"/>
    <x v="8"/>
    <x v="3"/>
    <x v="5"/>
    <x v="30"/>
    <x v="0"/>
    <x v="3"/>
    <n v="10.047286258221291"/>
  </r>
  <r>
    <x v="1"/>
    <x v="8"/>
    <x v="3"/>
    <x v="5"/>
    <x v="30"/>
    <x v="0"/>
    <x v="4"/>
    <n v="16.462032566339925"/>
  </r>
  <r>
    <x v="1"/>
    <x v="8"/>
    <x v="3"/>
    <x v="5"/>
    <x v="30"/>
    <x v="0"/>
    <x v="5"/>
    <n v="24.67546953854184"/>
  </r>
  <r>
    <x v="1"/>
    <x v="8"/>
    <x v="3"/>
    <x v="5"/>
    <x v="30"/>
    <x v="0"/>
    <x v="6"/>
    <n v="20.999817735166236"/>
  </r>
  <r>
    <x v="1"/>
    <x v="8"/>
    <x v="2"/>
    <x v="4"/>
    <x v="31"/>
    <x v="0"/>
    <x v="0"/>
    <n v="1.4013110466728522"/>
  </r>
  <r>
    <x v="1"/>
    <x v="8"/>
    <x v="2"/>
    <x v="4"/>
    <x v="31"/>
    <x v="0"/>
    <x v="1"/>
    <n v="5.4496367133098946"/>
  </r>
  <r>
    <x v="1"/>
    <x v="8"/>
    <x v="2"/>
    <x v="4"/>
    <x v="31"/>
    <x v="0"/>
    <x v="2"/>
    <n v="19.160284057144299"/>
  </r>
  <r>
    <x v="1"/>
    <x v="8"/>
    <x v="2"/>
    <x v="4"/>
    <x v="31"/>
    <x v="0"/>
    <x v="3"/>
    <n v="67.969626802033375"/>
  </r>
  <r>
    <x v="1"/>
    <x v="8"/>
    <x v="2"/>
    <x v="4"/>
    <x v="31"/>
    <x v="0"/>
    <x v="4"/>
    <n v="204.30778822903025"/>
  </r>
  <r>
    <x v="1"/>
    <x v="8"/>
    <x v="2"/>
    <x v="4"/>
    <x v="31"/>
    <x v="0"/>
    <x v="5"/>
    <n v="301.21956739830603"/>
  </r>
  <r>
    <x v="1"/>
    <x v="8"/>
    <x v="2"/>
    <x v="4"/>
    <x v="31"/>
    <x v="0"/>
    <x v="6"/>
    <n v="382.64998206839226"/>
  </r>
  <r>
    <x v="1"/>
    <x v="8"/>
    <x v="2"/>
    <x v="4"/>
    <x v="32"/>
    <x v="0"/>
    <x v="0"/>
    <n v="0.33430569579285774"/>
  </r>
  <r>
    <x v="1"/>
    <x v="8"/>
    <x v="2"/>
    <x v="4"/>
    <x v="32"/>
    <x v="0"/>
    <x v="1"/>
    <n v="0.98774912201057918"/>
  </r>
  <r>
    <x v="1"/>
    <x v="8"/>
    <x v="2"/>
    <x v="4"/>
    <x v="32"/>
    <x v="0"/>
    <x v="2"/>
    <n v="2.6823100152767152"/>
  </r>
  <r>
    <x v="1"/>
    <x v="8"/>
    <x v="2"/>
    <x v="4"/>
    <x v="32"/>
    <x v="0"/>
    <x v="3"/>
    <n v="7.1185736924112337"/>
  </r>
  <r>
    <x v="1"/>
    <x v="8"/>
    <x v="2"/>
    <x v="4"/>
    <x v="32"/>
    <x v="0"/>
    <x v="4"/>
    <n v="4.2494799194091506"/>
  </r>
  <r>
    <x v="1"/>
    <x v="8"/>
    <x v="2"/>
    <x v="4"/>
    <x v="32"/>
    <x v="0"/>
    <x v="5"/>
    <n v="5.2214646863693428"/>
  </r>
  <r>
    <x v="1"/>
    <x v="8"/>
    <x v="2"/>
    <x v="4"/>
    <x v="32"/>
    <x v="0"/>
    <x v="6"/>
    <n v="14.621887004812333"/>
  </r>
  <r>
    <x v="1"/>
    <x v="8"/>
    <x v="2"/>
    <x v="4"/>
    <x v="33"/>
    <x v="0"/>
    <x v="0"/>
    <n v="6.1571417254671738E-3"/>
  </r>
  <r>
    <x v="1"/>
    <x v="8"/>
    <x v="2"/>
    <x v="4"/>
    <x v="33"/>
    <x v="0"/>
    <x v="1"/>
    <n v="1.7029004868065033E-2"/>
  </r>
  <r>
    <x v="1"/>
    <x v="8"/>
    <x v="2"/>
    <x v="4"/>
    <x v="33"/>
    <x v="0"/>
    <x v="2"/>
    <n v="6.4732492709684022E-2"/>
  </r>
  <r>
    <x v="1"/>
    <x v="8"/>
    <x v="2"/>
    <x v="4"/>
    <x v="33"/>
    <x v="0"/>
    <x v="3"/>
    <n v="0.1440987484580557"/>
  </r>
  <r>
    <x v="1"/>
    <x v="8"/>
    <x v="2"/>
    <x v="4"/>
    <x v="33"/>
    <x v="0"/>
    <x v="4"/>
    <n v="0.45990098846191685"/>
  </r>
  <r>
    <x v="1"/>
    <x v="8"/>
    <x v="2"/>
    <x v="4"/>
    <x v="33"/>
    <x v="0"/>
    <x v="5"/>
    <n v="0.71658794769140788"/>
  </r>
  <r>
    <x v="1"/>
    <x v="8"/>
    <x v="2"/>
    <x v="4"/>
    <x v="33"/>
    <x v="0"/>
    <x v="6"/>
    <n v="1.2436207849078942"/>
  </r>
  <r>
    <x v="1"/>
    <x v="8"/>
    <x v="2"/>
    <x v="4"/>
    <x v="34"/>
    <x v="0"/>
    <x v="0"/>
    <n v="3.8785614429627233E-2"/>
  </r>
  <r>
    <x v="1"/>
    <x v="8"/>
    <x v="2"/>
    <x v="4"/>
    <x v="34"/>
    <x v="0"/>
    <x v="1"/>
    <n v="0.10032796412555059"/>
  </r>
  <r>
    <x v="1"/>
    <x v="8"/>
    <x v="2"/>
    <x v="4"/>
    <x v="34"/>
    <x v="0"/>
    <x v="2"/>
    <n v="0.24656291590933838"/>
  </r>
  <r>
    <x v="1"/>
    <x v="8"/>
    <x v="2"/>
    <x v="4"/>
    <x v="34"/>
    <x v="0"/>
    <x v="3"/>
    <n v="0.71277961233085074"/>
  </r>
  <r>
    <x v="1"/>
    <x v="8"/>
    <x v="2"/>
    <x v="4"/>
    <x v="34"/>
    <x v="0"/>
    <x v="4"/>
    <n v="0.84672705596221653"/>
  </r>
  <r>
    <x v="1"/>
    <x v="8"/>
    <x v="2"/>
    <x v="4"/>
    <x v="34"/>
    <x v="0"/>
    <x v="5"/>
    <n v="1.2803518027251704"/>
  </r>
  <r>
    <x v="1"/>
    <x v="8"/>
    <x v="2"/>
    <x v="4"/>
    <x v="34"/>
    <x v="0"/>
    <x v="6"/>
    <n v="1.6257910248695404"/>
  </r>
  <r>
    <x v="1"/>
    <x v="8"/>
    <x v="2"/>
    <x v="6"/>
    <x v="35"/>
    <x v="0"/>
    <x v="0"/>
    <n v="1.3819338912027745E-2"/>
  </r>
  <r>
    <x v="1"/>
    <x v="8"/>
    <x v="2"/>
    <x v="6"/>
    <x v="35"/>
    <x v="0"/>
    <x v="1"/>
    <n v="1.1528264702883654E-2"/>
  </r>
  <r>
    <x v="1"/>
    <x v="8"/>
    <x v="2"/>
    <x v="6"/>
    <x v="35"/>
    <x v="0"/>
    <x v="2"/>
    <n v="1.1143049442839451E-2"/>
  </r>
  <r>
    <x v="1"/>
    <x v="8"/>
    <x v="2"/>
    <x v="6"/>
    <x v="35"/>
    <x v="0"/>
    <x v="3"/>
    <n v="8.7373000913969975E-3"/>
  </r>
  <r>
    <x v="1"/>
    <x v="8"/>
    <x v="2"/>
    <x v="6"/>
    <x v="35"/>
    <x v="0"/>
    <x v="4"/>
    <n v="4.7860168172291816E-3"/>
  </r>
  <r>
    <x v="1"/>
    <x v="8"/>
    <x v="2"/>
    <x v="6"/>
    <x v="35"/>
    <x v="0"/>
    <x v="5"/>
    <n v="7.5196991999972925E-3"/>
  </r>
  <r>
    <x v="1"/>
    <x v="8"/>
    <x v="2"/>
    <x v="6"/>
    <x v="35"/>
    <x v="0"/>
    <x v="6"/>
    <n v="-1.7289260255049677E-2"/>
  </r>
  <r>
    <x v="1"/>
    <x v="8"/>
    <x v="2"/>
    <x v="6"/>
    <x v="36"/>
    <x v="0"/>
    <x v="0"/>
    <n v="1.3715329560064599E-2"/>
  </r>
  <r>
    <x v="1"/>
    <x v="8"/>
    <x v="2"/>
    <x v="6"/>
    <x v="36"/>
    <x v="0"/>
    <x v="1"/>
    <n v="1.2537256700479756E-2"/>
  </r>
  <r>
    <x v="1"/>
    <x v="8"/>
    <x v="2"/>
    <x v="6"/>
    <x v="36"/>
    <x v="0"/>
    <x v="2"/>
    <n v="1.0609882307779811E-2"/>
  </r>
  <r>
    <x v="1"/>
    <x v="8"/>
    <x v="2"/>
    <x v="6"/>
    <x v="36"/>
    <x v="0"/>
    <x v="3"/>
    <n v="9.0406368755601048E-3"/>
  </r>
  <r>
    <x v="1"/>
    <x v="8"/>
    <x v="2"/>
    <x v="6"/>
    <x v="36"/>
    <x v="0"/>
    <x v="4"/>
    <n v="5.0318245964504262E-3"/>
  </r>
  <r>
    <x v="1"/>
    <x v="8"/>
    <x v="2"/>
    <x v="6"/>
    <x v="36"/>
    <x v="0"/>
    <x v="5"/>
    <n v="8.1326525897474963E-3"/>
  </r>
  <r>
    <x v="1"/>
    <x v="8"/>
    <x v="2"/>
    <x v="6"/>
    <x v="36"/>
    <x v="0"/>
    <x v="6"/>
    <n v="-2.1134632633767525E-2"/>
  </r>
  <r>
    <x v="1"/>
    <x v="8"/>
    <x v="2"/>
    <x v="6"/>
    <x v="37"/>
    <x v="0"/>
    <x v="0"/>
    <n v="1.99159135668384E-2"/>
  </r>
  <r>
    <x v="1"/>
    <x v="8"/>
    <x v="2"/>
    <x v="6"/>
    <x v="37"/>
    <x v="0"/>
    <x v="1"/>
    <n v="1.9587767502014838E-2"/>
  </r>
  <r>
    <x v="1"/>
    <x v="8"/>
    <x v="2"/>
    <x v="6"/>
    <x v="37"/>
    <x v="0"/>
    <x v="2"/>
    <n v="2.0941449068997187E-2"/>
  </r>
  <r>
    <x v="1"/>
    <x v="8"/>
    <x v="2"/>
    <x v="6"/>
    <x v="37"/>
    <x v="0"/>
    <x v="3"/>
    <n v="1.7833273875965387E-2"/>
  </r>
  <r>
    <x v="1"/>
    <x v="8"/>
    <x v="2"/>
    <x v="6"/>
    <x v="37"/>
    <x v="0"/>
    <x v="4"/>
    <n v="9.3049841966571945E-3"/>
  </r>
  <r>
    <x v="1"/>
    <x v="8"/>
    <x v="2"/>
    <x v="6"/>
    <x v="37"/>
    <x v="0"/>
    <x v="5"/>
    <n v="1.5472426180264006E-2"/>
  </r>
  <r>
    <x v="1"/>
    <x v="8"/>
    <x v="2"/>
    <x v="6"/>
    <x v="37"/>
    <x v="0"/>
    <x v="6"/>
    <n v="-4.0373367292246443E-2"/>
  </r>
  <r>
    <x v="1"/>
    <x v="8"/>
    <x v="2"/>
    <x v="6"/>
    <x v="38"/>
    <x v="0"/>
    <x v="0"/>
    <n v="7.48867839190642E-3"/>
  </r>
  <r>
    <x v="1"/>
    <x v="8"/>
    <x v="2"/>
    <x v="6"/>
    <x v="38"/>
    <x v="0"/>
    <x v="1"/>
    <n v="7.9476492381800028E-3"/>
  </r>
  <r>
    <x v="1"/>
    <x v="8"/>
    <x v="2"/>
    <x v="6"/>
    <x v="38"/>
    <x v="0"/>
    <x v="2"/>
    <n v="7.1331065021251481E-3"/>
  </r>
  <r>
    <x v="1"/>
    <x v="8"/>
    <x v="2"/>
    <x v="6"/>
    <x v="38"/>
    <x v="0"/>
    <x v="3"/>
    <n v="6.4129761951116117E-3"/>
  </r>
  <r>
    <x v="1"/>
    <x v="8"/>
    <x v="2"/>
    <x v="6"/>
    <x v="38"/>
    <x v="0"/>
    <x v="4"/>
    <n v="3.4685329020045235E-3"/>
  </r>
  <r>
    <x v="1"/>
    <x v="8"/>
    <x v="2"/>
    <x v="6"/>
    <x v="38"/>
    <x v="0"/>
    <x v="5"/>
    <n v="5.5174477999937084E-3"/>
  </r>
  <r>
    <x v="1"/>
    <x v="8"/>
    <x v="2"/>
    <x v="6"/>
    <x v="38"/>
    <x v="0"/>
    <x v="6"/>
    <n v="-1.3473444154678578E-2"/>
  </r>
  <r>
    <x v="1"/>
    <x v="8"/>
    <x v="3"/>
    <x v="5"/>
    <x v="39"/>
    <x v="0"/>
    <x v="0"/>
    <n v="0.41405220484778127"/>
  </r>
  <r>
    <x v="1"/>
    <x v="8"/>
    <x v="3"/>
    <x v="5"/>
    <x v="39"/>
    <x v="0"/>
    <x v="1"/>
    <n v="0.87858209845172452"/>
  </r>
  <r>
    <x v="1"/>
    <x v="8"/>
    <x v="3"/>
    <x v="5"/>
    <x v="39"/>
    <x v="0"/>
    <x v="2"/>
    <n v="3.3448507897193474"/>
  </r>
  <r>
    <x v="1"/>
    <x v="8"/>
    <x v="3"/>
    <x v="5"/>
    <x v="39"/>
    <x v="0"/>
    <x v="3"/>
    <n v="10.0660565356592"/>
  </r>
  <r>
    <x v="1"/>
    <x v="8"/>
    <x v="3"/>
    <x v="5"/>
    <x v="39"/>
    <x v="0"/>
    <x v="4"/>
    <n v="14.155379958090695"/>
  </r>
  <r>
    <x v="1"/>
    <x v="8"/>
    <x v="3"/>
    <x v="5"/>
    <x v="39"/>
    <x v="0"/>
    <x v="5"/>
    <n v="19.223999882088869"/>
  </r>
  <r>
    <x v="1"/>
    <x v="8"/>
    <x v="3"/>
    <x v="5"/>
    <x v="39"/>
    <x v="0"/>
    <x v="6"/>
    <n v="15.679362730675688"/>
  </r>
  <r>
    <x v="1"/>
    <x v="8"/>
    <x v="2"/>
    <x v="6"/>
    <x v="40"/>
    <x v="0"/>
    <x v="0"/>
    <n v="3.5739406764292291E-2"/>
  </r>
  <r>
    <x v="1"/>
    <x v="8"/>
    <x v="2"/>
    <x v="6"/>
    <x v="40"/>
    <x v="0"/>
    <x v="1"/>
    <n v="3.4651334996002252E-2"/>
  </r>
  <r>
    <x v="1"/>
    <x v="8"/>
    <x v="2"/>
    <x v="6"/>
    <x v="40"/>
    <x v="0"/>
    <x v="2"/>
    <n v="3.1088972578280822E-2"/>
  </r>
  <r>
    <x v="1"/>
    <x v="8"/>
    <x v="2"/>
    <x v="6"/>
    <x v="40"/>
    <x v="0"/>
    <x v="3"/>
    <n v="2.6807534557367601E-2"/>
  </r>
  <r>
    <x v="1"/>
    <x v="8"/>
    <x v="2"/>
    <x v="6"/>
    <x v="40"/>
    <x v="0"/>
    <x v="4"/>
    <n v="1.4642116959262199E-2"/>
  </r>
  <r>
    <x v="1"/>
    <x v="8"/>
    <x v="2"/>
    <x v="6"/>
    <x v="40"/>
    <x v="0"/>
    <x v="5"/>
    <n v="2.4693229705485216E-2"/>
  </r>
  <r>
    <x v="1"/>
    <x v="8"/>
    <x v="2"/>
    <x v="6"/>
    <x v="40"/>
    <x v="0"/>
    <x v="6"/>
    <n v="-6.0437410464394631E-2"/>
  </r>
  <r>
    <x v="1"/>
    <x v="8"/>
    <x v="2"/>
    <x v="6"/>
    <x v="41"/>
    <x v="0"/>
    <x v="0"/>
    <n v="5.5238990066832423E-2"/>
  </r>
  <r>
    <x v="1"/>
    <x v="8"/>
    <x v="2"/>
    <x v="6"/>
    <x v="41"/>
    <x v="0"/>
    <x v="1"/>
    <n v="5.1360194962082988E-2"/>
  </r>
  <r>
    <x v="1"/>
    <x v="8"/>
    <x v="2"/>
    <x v="6"/>
    <x v="41"/>
    <x v="0"/>
    <x v="2"/>
    <n v="4.5954563565235647E-2"/>
  </r>
  <r>
    <x v="1"/>
    <x v="8"/>
    <x v="2"/>
    <x v="6"/>
    <x v="41"/>
    <x v="0"/>
    <x v="3"/>
    <n v="4.0570422423788589E-2"/>
  </r>
  <r>
    <x v="1"/>
    <x v="8"/>
    <x v="2"/>
    <x v="6"/>
    <x v="41"/>
    <x v="0"/>
    <x v="4"/>
    <n v="2.2422267449500457E-2"/>
  </r>
  <r>
    <x v="1"/>
    <x v="8"/>
    <x v="2"/>
    <x v="6"/>
    <x v="41"/>
    <x v="0"/>
    <x v="5"/>
    <n v="3.7515643944557725E-2"/>
  </r>
  <r>
    <x v="1"/>
    <x v="8"/>
    <x v="2"/>
    <x v="6"/>
    <x v="41"/>
    <x v="0"/>
    <x v="6"/>
    <n v="-9.0970597928805699E-2"/>
  </r>
  <r>
    <x v="1"/>
    <x v="8"/>
    <x v="2"/>
    <x v="6"/>
    <x v="42"/>
    <x v="0"/>
    <x v="0"/>
    <n v="4.6128884186443168E-2"/>
  </r>
  <r>
    <x v="1"/>
    <x v="8"/>
    <x v="2"/>
    <x v="6"/>
    <x v="42"/>
    <x v="0"/>
    <x v="1"/>
    <n v="4.0987939460390706E-2"/>
  </r>
  <r>
    <x v="1"/>
    <x v="8"/>
    <x v="2"/>
    <x v="6"/>
    <x v="42"/>
    <x v="0"/>
    <x v="2"/>
    <n v="3.5562100464442262E-2"/>
  </r>
  <r>
    <x v="1"/>
    <x v="8"/>
    <x v="2"/>
    <x v="6"/>
    <x v="42"/>
    <x v="0"/>
    <x v="3"/>
    <n v="2.9494048450922954E-2"/>
  </r>
  <r>
    <x v="1"/>
    <x v="8"/>
    <x v="2"/>
    <x v="6"/>
    <x v="42"/>
    <x v="0"/>
    <x v="4"/>
    <n v="1.6242448292143736E-2"/>
  </r>
  <r>
    <x v="1"/>
    <x v="8"/>
    <x v="2"/>
    <x v="6"/>
    <x v="42"/>
    <x v="0"/>
    <x v="5"/>
    <n v="2.7540230003802606E-2"/>
  </r>
  <r>
    <x v="1"/>
    <x v="8"/>
    <x v="2"/>
    <x v="6"/>
    <x v="42"/>
    <x v="0"/>
    <x v="6"/>
    <n v="-7.4267595696655253E-2"/>
  </r>
  <r>
    <x v="1"/>
    <x v="8"/>
    <x v="2"/>
    <x v="6"/>
    <x v="43"/>
    <x v="0"/>
    <x v="0"/>
    <n v="8.313482198297821E-2"/>
  </r>
  <r>
    <x v="1"/>
    <x v="8"/>
    <x v="2"/>
    <x v="6"/>
    <x v="43"/>
    <x v="0"/>
    <x v="1"/>
    <n v="7.9286684639900018E-2"/>
  </r>
  <r>
    <x v="1"/>
    <x v="8"/>
    <x v="2"/>
    <x v="6"/>
    <x v="43"/>
    <x v="0"/>
    <x v="2"/>
    <n v="6.1304053943065165E-2"/>
  </r>
  <r>
    <x v="1"/>
    <x v="8"/>
    <x v="2"/>
    <x v="6"/>
    <x v="43"/>
    <x v="0"/>
    <x v="3"/>
    <n v="4.7467346277815362E-2"/>
  </r>
  <r>
    <x v="1"/>
    <x v="8"/>
    <x v="2"/>
    <x v="6"/>
    <x v="43"/>
    <x v="0"/>
    <x v="4"/>
    <n v="2.3977335678471656E-2"/>
  </r>
  <r>
    <x v="1"/>
    <x v="8"/>
    <x v="2"/>
    <x v="6"/>
    <x v="43"/>
    <x v="0"/>
    <x v="5"/>
    <n v="3.7039212746562619E-2"/>
  </r>
  <r>
    <x v="1"/>
    <x v="8"/>
    <x v="2"/>
    <x v="6"/>
    <x v="43"/>
    <x v="0"/>
    <x v="6"/>
    <n v="-9.17921087005477E-2"/>
  </r>
  <r>
    <x v="1"/>
    <x v="8"/>
    <x v="4"/>
    <x v="7"/>
    <x v="44"/>
    <x v="0"/>
    <x v="0"/>
    <n v="2.5260999410511233E-3"/>
  </r>
  <r>
    <x v="1"/>
    <x v="8"/>
    <x v="4"/>
    <x v="7"/>
    <x v="44"/>
    <x v="0"/>
    <x v="1"/>
    <n v="4.7175480216682802E-3"/>
  </r>
  <r>
    <x v="1"/>
    <x v="8"/>
    <x v="4"/>
    <x v="7"/>
    <x v="44"/>
    <x v="0"/>
    <x v="2"/>
    <n v="8.1145922574878751E-3"/>
  </r>
  <r>
    <x v="1"/>
    <x v="8"/>
    <x v="4"/>
    <x v="7"/>
    <x v="44"/>
    <x v="0"/>
    <x v="3"/>
    <n v="1.2404233619045741E-2"/>
  </r>
  <r>
    <x v="1"/>
    <x v="8"/>
    <x v="4"/>
    <x v="7"/>
    <x v="44"/>
    <x v="0"/>
    <x v="4"/>
    <n v="8.2607227219995728E-3"/>
  </r>
  <r>
    <x v="1"/>
    <x v="8"/>
    <x v="4"/>
    <x v="7"/>
    <x v="44"/>
    <x v="0"/>
    <x v="5"/>
    <n v="1.2409677824998607E-2"/>
  </r>
  <r>
    <x v="1"/>
    <x v="8"/>
    <x v="4"/>
    <x v="7"/>
    <x v="44"/>
    <x v="0"/>
    <x v="6"/>
    <n v="-1.9393296650785256E-2"/>
  </r>
  <r>
    <x v="1"/>
    <x v="8"/>
    <x v="4"/>
    <x v="7"/>
    <x v="45"/>
    <x v="0"/>
    <x v="0"/>
    <n v="0"/>
  </r>
  <r>
    <x v="1"/>
    <x v="8"/>
    <x v="4"/>
    <x v="7"/>
    <x v="45"/>
    <x v="0"/>
    <x v="1"/>
    <n v="0"/>
  </r>
  <r>
    <x v="1"/>
    <x v="8"/>
    <x v="4"/>
    <x v="7"/>
    <x v="45"/>
    <x v="0"/>
    <x v="2"/>
    <n v="0"/>
  </r>
  <r>
    <x v="1"/>
    <x v="8"/>
    <x v="4"/>
    <x v="7"/>
    <x v="45"/>
    <x v="0"/>
    <x v="3"/>
    <n v="0"/>
  </r>
  <r>
    <x v="1"/>
    <x v="8"/>
    <x v="4"/>
    <x v="7"/>
    <x v="45"/>
    <x v="0"/>
    <x v="4"/>
    <n v="0"/>
  </r>
  <r>
    <x v="1"/>
    <x v="8"/>
    <x v="4"/>
    <x v="7"/>
    <x v="45"/>
    <x v="0"/>
    <x v="5"/>
    <n v="0"/>
  </r>
  <r>
    <x v="1"/>
    <x v="8"/>
    <x v="4"/>
    <x v="7"/>
    <x v="45"/>
    <x v="0"/>
    <x v="6"/>
    <n v="0"/>
  </r>
  <r>
    <x v="1"/>
    <x v="8"/>
    <x v="4"/>
    <x v="7"/>
    <x v="46"/>
    <x v="0"/>
    <x v="0"/>
    <n v="0"/>
  </r>
  <r>
    <x v="1"/>
    <x v="8"/>
    <x v="4"/>
    <x v="7"/>
    <x v="46"/>
    <x v="0"/>
    <x v="1"/>
    <n v="0"/>
  </r>
  <r>
    <x v="1"/>
    <x v="8"/>
    <x v="4"/>
    <x v="7"/>
    <x v="46"/>
    <x v="0"/>
    <x v="2"/>
    <n v="0"/>
  </r>
  <r>
    <x v="1"/>
    <x v="8"/>
    <x v="4"/>
    <x v="7"/>
    <x v="46"/>
    <x v="0"/>
    <x v="3"/>
    <n v="0"/>
  </r>
  <r>
    <x v="1"/>
    <x v="8"/>
    <x v="4"/>
    <x v="7"/>
    <x v="46"/>
    <x v="0"/>
    <x v="4"/>
    <n v="0"/>
  </r>
  <r>
    <x v="1"/>
    <x v="8"/>
    <x v="4"/>
    <x v="7"/>
    <x v="46"/>
    <x v="0"/>
    <x v="5"/>
    <n v="0"/>
  </r>
  <r>
    <x v="1"/>
    <x v="8"/>
    <x v="4"/>
    <x v="7"/>
    <x v="46"/>
    <x v="0"/>
    <x v="6"/>
    <n v="0"/>
  </r>
  <r>
    <x v="1"/>
    <x v="8"/>
    <x v="4"/>
    <x v="7"/>
    <x v="47"/>
    <x v="0"/>
    <x v="0"/>
    <n v="0"/>
  </r>
  <r>
    <x v="1"/>
    <x v="8"/>
    <x v="4"/>
    <x v="7"/>
    <x v="47"/>
    <x v="0"/>
    <x v="1"/>
    <n v="0"/>
  </r>
  <r>
    <x v="1"/>
    <x v="8"/>
    <x v="4"/>
    <x v="7"/>
    <x v="47"/>
    <x v="0"/>
    <x v="2"/>
    <n v="0"/>
  </r>
  <r>
    <x v="1"/>
    <x v="8"/>
    <x v="4"/>
    <x v="7"/>
    <x v="47"/>
    <x v="0"/>
    <x v="3"/>
    <n v="0"/>
  </r>
  <r>
    <x v="1"/>
    <x v="8"/>
    <x v="4"/>
    <x v="7"/>
    <x v="47"/>
    <x v="0"/>
    <x v="4"/>
    <n v="0"/>
  </r>
  <r>
    <x v="1"/>
    <x v="8"/>
    <x v="4"/>
    <x v="7"/>
    <x v="47"/>
    <x v="0"/>
    <x v="5"/>
    <n v="0"/>
  </r>
  <r>
    <x v="1"/>
    <x v="8"/>
    <x v="4"/>
    <x v="7"/>
    <x v="47"/>
    <x v="0"/>
    <x v="6"/>
    <n v="0"/>
  </r>
  <r>
    <x v="1"/>
    <x v="8"/>
    <x v="4"/>
    <x v="7"/>
    <x v="48"/>
    <x v="0"/>
    <x v="0"/>
    <n v="0"/>
  </r>
  <r>
    <x v="1"/>
    <x v="8"/>
    <x v="4"/>
    <x v="7"/>
    <x v="48"/>
    <x v="0"/>
    <x v="1"/>
    <n v="0"/>
  </r>
  <r>
    <x v="1"/>
    <x v="8"/>
    <x v="4"/>
    <x v="7"/>
    <x v="48"/>
    <x v="0"/>
    <x v="2"/>
    <n v="0"/>
  </r>
  <r>
    <x v="1"/>
    <x v="8"/>
    <x v="4"/>
    <x v="7"/>
    <x v="48"/>
    <x v="0"/>
    <x v="3"/>
    <n v="0"/>
  </r>
  <r>
    <x v="1"/>
    <x v="8"/>
    <x v="4"/>
    <x v="7"/>
    <x v="48"/>
    <x v="0"/>
    <x v="4"/>
    <n v="0"/>
  </r>
  <r>
    <x v="1"/>
    <x v="8"/>
    <x v="4"/>
    <x v="7"/>
    <x v="48"/>
    <x v="0"/>
    <x v="5"/>
    <n v="0"/>
  </r>
  <r>
    <x v="1"/>
    <x v="8"/>
    <x v="4"/>
    <x v="7"/>
    <x v="48"/>
    <x v="0"/>
    <x v="6"/>
    <n v="0"/>
  </r>
  <r>
    <x v="1"/>
    <x v="8"/>
    <x v="4"/>
    <x v="7"/>
    <x v="49"/>
    <x v="0"/>
    <x v="0"/>
    <n v="0"/>
  </r>
  <r>
    <x v="1"/>
    <x v="8"/>
    <x v="4"/>
    <x v="7"/>
    <x v="49"/>
    <x v="0"/>
    <x v="1"/>
    <n v="0"/>
  </r>
  <r>
    <x v="1"/>
    <x v="8"/>
    <x v="4"/>
    <x v="7"/>
    <x v="49"/>
    <x v="0"/>
    <x v="2"/>
    <n v="0"/>
  </r>
  <r>
    <x v="1"/>
    <x v="8"/>
    <x v="4"/>
    <x v="7"/>
    <x v="49"/>
    <x v="0"/>
    <x v="3"/>
    <n v="0"/>
  </r>
  <r>
    <x v="1"/>
    <x v="8"/>
    <x v="4"/>
    <x v="7"/>
    <x v="49"/>
    <x v="0"/>
    <x v="4"/>
    <n v="0"/>
  </r>
  <r>
    <x v="1"/>
    <x v="8"/>
    <x v="4"/>
    <x v="7"/>
    <x v="49"/>
    <x v="0"/>
    <x v="5"/>
    <n v="0"/>
  </r>
  <r>
    <x v="1"/>
    <x v="8"/>
    <x v="4"/>
    <x v="7"/>
    <x v="49"/>
    <x v="0"/>
    <x v="6"/>
    <n v="0"/>
  </r>
  <r>
    <x v="1"/>
    <x v="8"/>
    <x v="4"/>
    <x v="7"/>
    <x v="50"/>
    <x v="0"/>
    <x v="0"/>
    <n v="0"/>
  </r>
  <r>
    <x v="1"/>
    <x v="8"/>
    <x v="4"/>
    <x v="7"/>
    <x v="50"/>
    <x v="0"/>
    <x v="1"/>
    <n v="0"/>
  </r>
  <r>
    <x v="1"/>
    <x v="8"/>
    <x v="4"/>
    <x v="7"/>
    <x v="50"/>
    <x v="0"/>
    <x v="2"/>
    <n v="0"/>
  </r>
  <r>
    <x v="1"/>
    <x v="8"/>
    <x v="4"/>
    <x v="7"/>
    <x v="50"/>
    <x v="0"/>
    <x v="3"/>
    <n v="0"/>
  </r>
  <r>
    <x v="1"/>
    <x v="8"/>
    <x v="4"/>
    <x v="7"/>
    <x v="50"/>
    <x v="0"/>
    <x v="4"/>
    <n v="0"/>
  </r>
  <r>
    <x v="1"/>
    <x v="8"/>
    <x v="4"/>
    <x v="7"/>
    <x v="50"/>
    <x v="0"/>
    <x v="5"/>
    <n v="0"/>
  </r>
  <r>
    <x v="1"/>
    <x v="8"/>
    <x v="4"/>
    <x v="7"/>
    <x v="50"/>
    <x v="0"/>
    <x v="6"/>
    <n v="0"/>
  </r>
  <r>
    <x v="1"/>
    <x v="8"/>
    <x v="5"/>
    <x v="8"/>
    <x v="51"/>
    <x v="0"/>
    <x v="0"/>
    <n v="0"/>
  </r>
  <r>
    <x v="1"/>
    <x v="8"/>
    <x v="5"/>
    <x v="8"/>
    <x v="51"/>
    <x v="0"/>
    <x v="1"/>
    <n v="0"/>
  </r>
  <r>
    <x v="1"/>
    <x v="8"/>
    <x v="5"/>
    <x v="8"/>
    <x v="51"/>
    <x v="0"/>
    <x v="2"/>
    <n v="0"/>
  </r>
  <r>
    <x v="1"/>
    <x v="8"/>
    <x v="5"/>
    <x v="8"/>
    <x v="51"/>
    <x v="0"/>
    <x v="3"/>
    <n v="8.2355523224577325E-3"/>
  </r>
  <r>
    <x v="1"/>
    <x v="8"/>
    <x v="5"/>
    <x v="8"/>
    <x v="51"/>
    <x v="0"/>
    <x v="4"/>
    <n v="6.0659866001386446E-2"/>
  </r>
  <r>
    <x v="1"/>
    <x v="8"/>
    <x v="5"/>
    <x v="8"/>
    <x v="51"/>
    <x v="0"/>
    <x v="5"/>
    <n v="7.9718531180681312E-2"/>
  </r>
  <r>
    <x v="1"/>
    <x v="8"/>
    <x v="5"/>
    <x v="8"/>
    <x v="51"/>
    <x v="0"/>
    <x v="6"/>
    <n v="9.4791130936060369E-2"/>
  </r>
  <r>
    <x v="1"/>
    <x v="8"/>
    <x v="3"/>
    <x v="5"/>
    <x v="52"/>
    <x v="0"/>
    <x v="0"/>
    <n v="9.4430537489533989E-7"/>
  </r>
  <r>
    <x v="1"/>
    <x v="8"/>
    <x v="3"/>
    <x v="5"/>
    <x v="52"/>
    <x v="0"/>
    <x v="1"/>
    <n v="6.0864840602149645E-6"/>
  </r>
  <r>
    <x v="1"/>
    <x v="8"/>
    <x v="3"/>
    <x v="5"/>
    <x v="52"/>
    <x v="0"/>
    <x v="2"/>
    <n v="3.6295421590944613E-5"/>
  </r>
  <r>
    <x v="1"/>
    <x v="8"/>
    <x v="3"/>
    <x v="5"/>
    <x v="52"/>
    <x v="0"/>
    <x v="3"/>
    <n v="1.877609471308263E-4"/>
  </r>
  <r>
    <x v="1"/>
    <x v="8"/>
    <x v="3"/>
    <x v="5"/>
    <x v="52"/>
    <x v="0"/>
    <x v="4"/>
    <n v="6.4941213287462291E-4"/>
  </r>
  <r>
    <x v="1"/>
    <x v="8"/>
    <x v="3"/>
    <x v="5"/>
    <x v="52"/>
    <x v="0"/>
    <x v="5"/>
    <n v="1.1386657872863467E-3"/>
  </r>
  <r>
    <x v="1"/>
    <x v="8"/>
    <x v="3"/>
    <x v="5"/>
    <x v="52"/>
    <x v="0"/>
    <x v="6"/>
    <n v="-1.8073191432651102E-3"/>
  </r>
  <r>
    <x v="1"/>
    <x v="8"/>
    <x v="5"/>
    <x v="8"/>
    <x v="53"/>
    <x v="0"/>
    <x v="0"/>
    <n v="0.6454811435675043"/>
  </r>
  <r>
    <x v="1"/>
    <x v="8"/>
    <x v="5"/>
    <x v="8"/>
    <x v="53"/>
    <x v="0"/>
    <x v="1"/>
    <n v="4.3821733300442434"/>
  </r>
  <r>
    <x v="1"/>
    <x v="8"/>
    <x v="5"/>
    <x v="8"/>
    <x v="53"/>
    <x v="0"/>
    <x v="2"/>
    <n v="8.4777227204671846"/>
  </r>
  <r>
    <x v="1"/>
    <x v="8"/>
    <x v="5"/>
    <x v="8"/>
    <x v="53"/>
    <x v="0"/>
    <x v="3"/>
    <n v="12.630228228383425"/>
  </r>
  <r>
    <x v="1"/>
    <x v="8"/>
    <x v="5"/>
    <x v="8"/>
    <x v="53"/>
    <x v="0"/>
    <x v="4"/>
    <n v="19.088291215584242"/>
  </r>
  <r>
    <x v="1"/>
    <x v="8"/>
    <x v="5"/>
    <x v="8"/>
    <x v="53"/>
    <x v="0"/>
    <x v="5"/>
    <n v="22.411434239562407"/>
  </r>
  <r>
    <x v="1"/>
    <x v="8"/>
    <x v="5"/>
    <x v="8"/>
    <x v="53"/>
    <x v="0"/>
    <x v="6"/>
    <n v="26.435467151351002"/>
  </r>
  <r>
    <x v="1"/>
    <x v="8"/>
    <x v="4"/>
    <x v="7"/>
    <x v="54"/>
    <x v="0"/>
    <x v="0"/>
    <n v="0"/>
  </r>
  <r>
    <x v="1"/>
    <x v="8"/>
    <x v="4"/>
    <x v="7"/>
    <x v="54"/>
    <x v="0"/>
    <x v="1"/>
    <n v="0"/>
  </r>
  <r>
    <x v="1"/>
    <x v="8"/>
    <x v="4"/>
    <x v="7"/>
    <x v="54"/>
    <x v="0"/>
    <x v="2"/>
    <n v="0"/>
  </r>
  <r>
    <x v="1"/>
    <x v="8"/>
    <x v="4"/>
    <x v="7"/>
    <x v="54"/>
    <x v="0"/>
    <x v="3"/>
    <n v="0"/>
  </r>
  <r>
    <x v="1"/>
    <x v="8"/>
    <x v="4"/>
    <x v="7"/>
    <x v="54"/>
    <x v="0"/>
    <x v="4"/>
    <n v="0"/>
  </r>
  <r>
    <x v="1"/>
    <x v="8"/>
    <x v="4"/>
    <x v="7"/>
    <x v="54"/>
    <x v="0"/>
    <x v="5"/>
    <n v="0"/>
  </r>
  <r>
    <x v="1"/>
    <x v="8"/>
    <x v="4"/>
    <x v="7"/>
    <x v="54"/>
    <x v="0"/>
    <x v="6"/>
    <n v="0"/>
  </r>
  <r>
    <x v="1"/>
    <x v="8"/>
    <x v="4"/>
    <x v="7"/>
    <x v="55"/>
    <x v="0"/>
    <x v="0"/>
    <n v="0"/>
  </r>
  <r>
    <x v="1"/>
    <x v="8"/>
    <x v="4"/>
    <x v="7"/>
    <x v="55"/>
    <x v="0"/>
    <x v="1"/>
    <n v="0"/>
  </r>
  <r>
    <x v="1"/>
    <x v="8"/>
    <x v="4"/>
    <x v="7"/>
    <x v="55"/>
    <x v="0"/>
    <x v="2"/>
    <n v="0"/>
  </r>
  <r>
    <x v="1"/>
    <x v="8"/>
    <x v="4"/>
    <x v="7"/>
    <x v="55"/>
    <x v="0"/>
    <x v="3"/>
    <n v="0"/>
  </r>
  <r>
    <x v="1"/>
    <x v="8"/>
    <x v="4"/>
    <x v="7"/>
    <x v="55"/>
    <x v="0"/>
    <x v="4"/>
    <n v="0"/>
  </r>
  <r>
    <x v="1"/>
    <x v="8"/>
    <x v="4"/>
    <x v="7"/>
    <x v="55"/>
    <x v="0"/>
    <x v="5"/>
    <n v="0"/>
  </r>
  <r>
    <x v="1"/>
    <x v="8"/>
    <x v="4"/>
    <x v="7"/>
    <x v="55"/>
    <x v="0"/>
    <x v="6"/>
    <n v="0"/>
  </r>
  <r>
    <x v="1"/>
    <x v="8"/>
    <x v="4"/>
    <x v="7"/>
    <x v="56"/>
    <x v="0"/>
    <x v="0"/>
    <n v="0"/>
  </r>
  <r>
    <x v="1"/>
    <x v="8"/>
    <x v="4"/>
    <x v="7"/>
    <x v="56"/>
    <x v="0"/>
    <x v="1"/>
    <n v="0"/>
  </r>
  <r>
    <x v="1"/>
    <x v="8"/>
    <x v="4"/>
    <x v="7"/>
    <x v="56"/>
    <x v="0"/>
    <x v="2"/>
    <n v="0"/>
  </r>
  <r>
    <x v="1"/>
    <x v="8"/>
    <x v="4"/>
    <x v="7"/>
    <x v="56"/>
    <x v="0"/>
    <x v="3"/>
    <n v="0"/>
  </r>
  <r>
    <x v="1"/>
    <x v="8"/>
    <x v="4"/>
    <x v="7"/>
    <x v="56"/>
    <x v="0"/>
    <x v="4"/>
    <n v="0"/>
  </r>
  <r>
    <x v="1"/>
    <x v="8"/>
    <x v="4"/>
    <x v="7"/>
    <x v="56"/>
    <x v="0"/>
    <x v="5"/>
    <n v="0"/>
  </r>
  <r>
    <x v="1"/>
    <x v="8"/>
    <x v="4"/>
    <x v="7"/>
    <x v="56"/>
    <x v="0"/>
    <x v="6"/>
    <n v="0"/>
  </r>
  <r>
    <x v="1"/>
    <x v="8"/>
    <x v="4"/>
    <x v="7"/>
    <x v="57"/>
    <x v="0"/>
    <x v="0"/>
    <n v="1.1241083464198958"/>
  </r>
  <r>
    <x v="1"/>
    <x v="8"/>
    <x v="4"/>
    <x v="7"/>
    <x v="57"/>
    <x v="0"/>
    <x v="1"/>
    <n v="2.0281109895043037"/>
  </r>
  <r>
    <x v="1"/>
    <x v="8"/>
    <x v="4"/>
    <x v="7"/>
    <x v="57"/>
    <x v="0"/>
    <x v="2"/>
    <n v="3.5003494714181382"/>
  </r>
  <r>
    <x v="1"/>
    <x v="8"/>
    <x v="4"/>
    <x v="7"/>
    <x v="57"/>
    <x v="0"/>
    <x v="3"/>
    <n v="8.5106113357531612"/>
  </r>
  <r>
    <x v="1"/>
    <x v="8"/>
    <x v="4"/>
    <x v="7"/>
    <x v="57"/>
    <x v="0"/>
    <x v="4"/>
    <n v="12.088836800332233"/>
  </r>
  <r>
    <x v="1"/>
    <x v="8"/>
    <x v="4"/>
    <x v="7"/>
    <x v="57"/>
    <x v="0"/>
    <x v="5"/>
    <n v="12.914299565297192"/>
  </r>
  <r>
    <x v="1"/>
    <x v="8"/>
    <x v="4"/>
    <x v="7"/>
    <x v="57"/>
    <x v="0"/>
    <x v="6"/>
    <n v="17.13279053392311"/>
  </r>
  <r>
    <x v="1"/>
    <x v="8"/>
    <x v="4"/>
    <x v="7"/>
    <x v="58"/>
    <x v="0"/>
    <x v="0"/>
    <n v="5.9082062243114528"/>
  </r>
  <r>
    <x v="1"/>
    <x v="8"/>
    <x v="4"/>
    <x v="7"/>
    <x v="58"/>
    <x v="0"/>
    <x v="1"/>
    <n v="10.467352851374303"/>
  </r>
  <r>
    <x v="1"/>
    <x v="8"/>
    <x v="4"/>
    <x v="7"/>
    <x v="58"/>
    <x v="0"/>
    <x v="2"/>
    <n v="19.782515112261876"/>
  </r>
  <r>
    <x v="1"/>
    <x v="8"/>
    <x v="4"/>
    <x v="7"/>
    <x v="58"/>
    <x v="0"/>
    <x v="3"/>
    <n v="25.938105375766572"/>
  </r>
  <r>
    <x v="1"/>
    <x v="8"/>
    <x v="4"/>
    <x v="7"/>
    <x v="58"/>
    <x v="0"/>
    <x v="4"/>
    <n v="23.428780520112063"/>
  </r>
  <r>
    <x v="1"/>
    <x v="8"/>
    <x v="4"/>
    <x v="7"/>
    <x v="58"/>
    <x v="0"/>
    <x v="5"/>
    <n v="24.822194226824248"/>
  </r>
  <r>
    <x v="1"/>
    <x v="8"/>
    <x v="4"/>
    <x v="7"/>
    <x v="58"/>
    <x v="0"/>
    <x v="6"/>
    <n v="27.833946618135801"/>
  </r>
  <r>
    <x v="1"/>
    <x v="8"/>
    <x v="4"/>
    <x v="7"/>
    <x v="59"/>
    <x v="0"/>
    <x v="0"/>
    <n v="0.42483912845989513"/>
  </r>
  <r>
    <x v="1"/>
    <x v="8"/>
    <x v="4"/>
    <x v="7"/>
    <x v="59"/>
    <x v="0"/>
    <x v="1"/>
    <n v="0.44599063748006229"/>
  </r>
  <r>
    <x v="1"/>
    <x v="8"/>
    <x v="4"/>
    <x v="7"/>
    <x v="59"/>
    <x v="0"/>
    <x v="2"/>
    <n v="0.58858729998524217"/>
  </r>
  <r>
    <x v="1"/>
    <x v="8"/>
    <x v="4"/>
    <x v="7"/>
    <x v="59"/>
    <x v="0"/>
    <x v="3"/>
    <n v="0.94535898834899446"/>
  </r>
  <r>
    <x v="1"/>
    <x v="8"/>
    <x v="4"/>
    <x v="7"/>
    <x v="59"/>
    <x v="0"/>
    <x v="4"/>
    <n v="1.2498608415515349"/>
  </r>
  <r>
    <x v="1"/>
    <x v="8"/>
    <x v="4"/>
    <x v="7"/>
    <x v="59"/>
    <x v="0"/>
    <x v="5"/>
    <n v="2.5830141448053401"/>
  </r>
  <r>
    <x v="1"/>
    <x v="8"/>
    <x v="4"/>
    <x v="7"/>
    <x v="59"/>
    <x v="0"/>
    <x v="6"/>
    <n v="4.6032694566193335"/>
  </r>
  <r>
    <x v="1"/>
    <x v="8"/>
    <x v="4"/>
    <x v="7"/>
    <x v="60"/>
    <x v="0"/>
    <x v="0"/>
    <n v="0"/>
  </r>
  <r>
    <x v="1"/>
    <x v="8"/>
    <x v="4"/>
    <x v="7"/>
    <x v="60"/>
    <x v="0"/>
    <x v="1"/>
    <n v="0"/>
  </r>
  <r>
    <x v="1"/>
    <x v="8"/>
    <x v="4"/>
    <x v="7"/>
    <x v="60"/>
    <x v="0"/>
    <x v="2"/>
    <n v="0"/>
  </r>
  <r>
    <x v="1"/>
    <x v="8"/>
    <x v="4"/>
    <x v="7"/>
    <x v="60"/>
    <x v="0"/>
    <x v="3"/>
    <n v="0"/>
  </r>
  <r>
    <x v="1"/>
    <x v="8"/>
    <x v="4"/>
    <x v="7"/>
    <x v="60"/>
    <x v="0"/>
    <x v="4"/>
    <n v="0"/>
  </r>
  <r>
    <x v="1"/>
    <x v="8"/>
    <x v="4"/>
    <x v="7"/>
    <x v="60"/>
    <x v="0"/>
    <x v="5"/>
    <n v="0"/>
  </r>
  <r>
    <x v="1"/>
    <x v="8"/>
    <x v="4"/>
    <x v="7"/>
    <x v="60"/>
    <x v="0"/>
    <x v="6"/>
    <n v="0"/>
  </r>
  <r>
    <x v="1"/>
    <x v="8"/>
    <x v="4"/>
    <x v="7"/>
    <x v="61"/>
    <x v="0"/>
    <x v="0"/>
    <n v="8.0304100997858566E-3"/>
  </r>
  <r>
    <x v="1"/>
    <x v="8"/>
    <x v="4"/>
    <x v="7"/>
    <x v="61"/>
    <x v="0"/>
    <x v="1"/>
    <n v="2.0753688362228264E-2"/>
  </r>
  <r>
    <x v="1"/>
    <x v="8"/>
    <x v="4"/>
    <x v="7"/>
    <x v="61"/>
    <x v="0"/>
    <x v="2"/>
    <n v="4.8228092693478268E-2"/>
  </r>
  <r>
    <x v="1"/>
    <x v="8"/>
    <x v="4"/>
    <x v="7"/>
    <x v="61"/>
    <x v="0"/>
    <x v="3"/>
    <n v="9.9940993148397564E-2"/>
  </r>
  <r>
    <x v="1"/>
    <x v="8"/>
    <x v="4"/>
    <x v="7"/>
    <x v="61"/>
    <x v="0"/>
    <x v="4"/>
    <n v="0"/>
  </r>
  <r>
    <x v="1"/>
    <x v="8"/>
    <x v="4"/>
    <x v="7"/>
    <x v="61"/>
    <x v="0"/>
    <x v="5"/>
    <n v="0"/>
  </r>
  <r>
    <x v="1"/>
    <x v="8"/>
    <x v="4"/>
    <x v="7"/>
    <x v="61"/>
    <x v="0"/>
    <x v="6"/>
    <n v="0.56015096670489362"/>
  </r>
  <r>
    <x v="1"/>
    <x v="8"/>
    <x v="4"/>
    <x v="7"/>
    <x v="62"/>
    <x v="0"/>
    <x v="0"/>
    <n v="8.2518113607821383E-4"/>
  </r>
  <r>
    <x v="1"/>
    <x v="8"/>
    <x v="4"/>
    <x v="7"/>
    <x v="62"/>
    <x v="0"/>
    <x v="1"/>
    <n v="9.4811596616144612E-4"/>
  </r>
  <r>
    <x v="1"/>
    <x v="8"/>
    <x v="4"/>
    <x v="7"/>
    <x v="62"/>
    <x v="0"/>
    <x v="2"/>
    <n v="1.0271569089470869E-3"/>
  </r>
  <r>
    <x v="1"/>
    <x v="8"/>
    <x v="4"/>
    <x v="7"/>
    <x v="62"/>
    <x v="0"/>
    <x v="3"/>
    <n v="1.0504431535348815E-3"/>
  </r>
  <r>
    <x v="1"/>
    <x v="8"/>
    <x v="4"/>
    <x v="7"/>
    <x v="62"/>
    <x v="0"/>
    <x v="4"/>
    <n v="1.0511854461227E-3"/>
  </r>
  <r>
    <x v="1"/>
    <x v="8"/>
    <x v="4"/>
    <x v="7"/>
    <x v="62"/>
    <x v="0"/>
    <x v="5"/>
    <n v="2.0142802830024841E-3"/>
  </r>
  <r>
    <x v="1"/>
    <x v="8"/>
    <x v="4"/>
    <x v="7"/>
    <x v="62"/>
    <x v="0"/>
    <x v="6"/>
    <n v="-2.8662482893012397E-3"/>
  </r>
  <r>
    <x v="1"/>
    <x v="8"/>
    <x v="4"/>
    <x v="7"/>
    <x v="63"/>
    <x v="0"/>
    <x v="0"/>
    <n v="0"/>
  </r>
  <r>
    <x v="1"/>
    <x v="8"/>
    <x v="4"/>
    <x v="7"/>
    <x v="63"/>
    <x v="0"/>
    <x v="1"/>
    <n v="0"/>
  </r>
  <r>
    <x v="1"/>
    <x v="8"/>
    <x v="4"/>
    <x v="7"/>
    <x v="63"/>
    <x v="0"/>
    <x v="2"/>
    <n v="0"/>
  </r>
  <r>
    <x v="1"/>
    <x v="8"/>
    <x v="4"/>
    <x v="7"/>
    <x v="63"/>
    <x v="0"/>
    <x v="3"/>
    <n v="0"/>
  </r>
  <r>
    <x v="1"/>
    <x v="8"/>
    <x v="4"/>
    <x v="7"/>
    <x v="63"/>
    <x v="0"/>
    <x v="4"/>
    <n v="0"/>
  </r>
  <r>
    <x v="1"/>
    <x v="8"/>
    <x v="4"/>
    <x v="7"/>
    <x v="63"/>
    <x v="0"/>
    <x v="5"/>
    <n v="0"/>
  </r>
  <r>
    <x v="1"/>
    <x v="8"/>
    <x v="4"/>
    <x v="7"/>
    <x v="63"/>
    <x v="0"/>
    <x v="6"/>
    <n v="0"/>
  </r>
  <r>
    <x v="1"/>
    <x v="8"/>
    <x v="4"/>
    <x v="7"/>
    <x v="64"/>
    <x v="0"/>
    <x v="0"/>
    <n v="1.1419779461645478E-2"/>
  </r>
  <r>
    <x v="1"/>
    <x v="8"/>
    <x v="4"/>
    <x v="7"/>
    <x v="64"/>
    <x v="0"/>
    <x v="1"/>
    <n v="1.5528545632914515E-2"/>
  </r>
  <r>
    <x v="1"/>
    <x v="8"/>
    <x v="4"/>
    <x v="7"/>
    <x v="64"/>
    <x v="0"/>
    <x v="2"/>
    <n v="2.4063375055789874E-2"/>
  </r>
  <r>
    <x v="1"/>
    <x v="8"/>
    <x v="4"/>
    <x v="7"/>
    <x v="64"/>
    <x v="0"/>
    <x v="3"/>
    <n v="1.3502273391183811E-2"/>
  </r>
  <r>
    <x v="1"/>
    <x v="8"/>
    <x v="4"/>
    <x v="7"/>
    <x v="64"/>
    <x v="0"/>
    <x v="4"/>
    <n v="8.9322118022012887E-3"/>
  </r>
  <r>
    <x v="1"/>
    <x v="8"/>
    <x v="4"/>
    <x v="7"/>
    <x v="64"/>
    <x v="0"/>
    <x v="5"/>
    <n v="1.3666768001144787E-2"/>
  </r>
  <r>
    <x v="1"/>
    <x v="8"/>
    <x v="4"/>
    <x v="7"/>
    <x v="64"/>
    <x v="0"/>
    <x v="6"/>
    <n v="-1.9235639140433934E-2"/>
  </r>
  <r>
    <x v="1"/>
    <x v="8"/>
    <x v="3"/>
    <x v="5"/>
    <x v="65"/>
    <x v="0"/>
    <x v="0"/>
    <n v="2.508795030228269E-3"/>
  </r>
  <r>
    <x v="1"/>
    <x v="8"/>
    <x v="3"/>
    <x v="5"/>
    <x v="65"/>
    <x v="0"/>
    <x v="1"/>
    <n v="3.7083353018912109E-3"/>
  </r>
  <r>
    <x v="1"/>
    <x v="8"/>
    <x v="3"/>
    <x v="5"/>
    <x v="65"/>
    <x v="0"/>
    <x v="2"/>
    <n v="2.9919985490025813E-3"/>
  </r>
  <r>
    <x v="1"/>
    <x v="8"/>
    <x v="3"/>
    <x v="5"/>
    <x v="65"/>
    <x v="0"/>
    <x v="3"/>
    <n v="2.5586892291424449E-3"/>
  </r>
  <r>
    <x v="1"/>
    <x v="8"/>
    <x v="3"/>
    <x v="5"/>
    <x v="65"/>
    <x v="0"/>
    <x v="4"/>
    <n v="1.3380629720540014E-3"/>
  </r>
  <r>
    <x v="1"/>
    <x v="8"/>
    <x v="3"/>
    <x v="5"/>
    <x v="65"/>
    <x v="0"/>
    <x v="5"/>
    <n v="3.0703275276380061E-3"/>
  </r>
  <r>
    <x v="1"/>
    <x v="8"/>
    <x v="3"/>
    <x v="5"/>
    <x v="65"/>
    <x v="0"/>
    <x v="6"/>
    <n v="-3.7966909102417419E-3"/>
  </r>
  <r>
    <x v="1"/>
    <x v="8"/>
    <x v="3"/>
    <x v="5"/>
    <x v="66"/>
    <x v="0"/>
    <x v="0"/>
    <n v="0"/>
  </r>
  <r>
    <x v="1"/>
    <x v="8"/>
    <x v="3"/>
    <x v="5"/>
    <x v="66"/>
    <x v="0"/>
    <x v="1"/>
    <n v="0"/>
  </r>
  <r>
    <x v="1"/>
    <x v="8"/>
    <x v="3"/>
    <x v="5"/>
    <x v="66"/>
    <x v="0"/>
    <x v="2"/>
    <n v="0"/>
  </r>
  <r>
    <x v="1"/>
    <x v="8"/>
    <x v="3"/>
    <x v="5"/>
    <x v="66"/>
    <x v="0"/>
    <x v="3"/>
    <n v="0"/>
  </r>
  <r>
    <x v="1"/>
    <x v="8"/>
    <x v="3"/>
    <x v="5"/>
    <x v="66"/>
    <x v="0"/>
    <x v="4"/>
    <n v="0"/>
  </r>
  <r>
    <x v="1"/>
    <x v="8"/>
    <x v="3"/>
    <x v="5"/>
    <x v="66"/>
    <x v="0"/>
    <x v="5"/>
    <n v="0"/>
  </r>
  <r>
    <x v="1"/>
    <x v="8"/>
    <x v="3"/>
    <x v="5"/>
    <x v="66"/>
    <x v="0"/>
    <x v="6"/>
    <n v="0"/>
  </r>
  <r>
    <x v="1"/>
    <x v="8"/>
    <x v="3"/>
    <x v="5"/>
    <x v="67"/>
    <x v="0"/>
    <x v="0"/>
    <n v="0"/>
  </r>
  <r>
    <x v="1"/>
    <x v="8"/>
    <x v="3"/>
    <x v="5"/>
    <x v="67"/>
    <x v="0"/>
    <x v="1"/>
    <n v="0"/>
  </r>
  <r>
    <x v="1"/>
    <x v="8"/>
    <x v="3"/>
    <x v="5"/>
    <x v="67"/>
    <x v="0"/>
    <x v="2"/>
    <n v="0"/>
  </r>
  <r>
    <x v="1"/>
    <x v="8"/>
    <x v="3"/>
    <x v="5"/>
    <x v="67"/>
    <x v="0"/>
    <x v="3"/>
    <n v="0"/>
  </r>
  <r>
    <x v="1"/>
    <x v="8"/>
    <x v="3"/>
    <x v="5"/>
    <x v="67"/>
    <x v="0"/>
    <x v="4"/>
    <n v="0"/>
  </r>
  <r>
    <x v="1"/>
    <x v="8"/>
    <x v="3"/>
    <x v="5"/>
    <x v="67"/>
    <x v="0"/>
    <x v="5"/>
    <n v="0"/>
  </r>
  <r>
    <x v="1"/>
    <x v="8"/>
    <x v="3"/>
    <x v="5"/>
    <x v="67"/>
    <x v="0"/>
    <x v="6"/>
    <n v="0"/>
  </r>
  <r>
    <x v="1"/>
    <x v="8"/>
    <x v="3"/>
    <x v="5"/>
    <x v="68"/>
    <x v="0"/>
    <x v="0"/>
    <n v="1.2787311171359359E-3"/>
  </r>
  <r>
    <x v="1"/>
    <x v="8"/>
    <x v="3"/>
    <x v="5"/>
    <x v="68"/>
    <x v="0"/>
    <x v="1"/>
    <n v="2.9852935420811521E-3"/>
  </r>
  <r>
    <x v="1"/>
    <x v="8"/>
    <x v="3"/>
    <x v="5"/>
    <x v="68"/>
    <x v="0"/>
    <x v="2"/>
    <n v="5.1714984953135472E-3"/>
  </r>
  <r>
    <x v="1"/>
    <x v="8"/>
    <x v="3"/>
    <x v="5"/>
    <x v="68"/>
    <x v="0"/>
    <x v="3"/>
    <n v="8.1978035383818443E-3"/>
  </r>
  <r>
    <x v="1"/>
    <x v="8"/>
    <x v="3"/>
    <x v="5"/>
    <x v="68"/>
    <x v="0"/>
    <x v="4"/>
    <n v="1.2444999687234868E-2"/>
  </r>
  <r>
    <x v="1"/>
    <x v="8"/>
    <x v="3"/>
    <x v="5"/>
    <x v="68"/>
    <x v="0"/>
    <x v="5"/>
    <n v="1.6887452332745988E-2"/>
  </r>
  <r>
    <x v="1"/>
    <x v="8"/>
    <x v="3"/>
    <x v="5"/>
    <x v="68"/>
    <x v="0"/>
    <x v="6"/>
    <n v="-2.2102217235304915E-2"/>
  </r>
  <r>
    <x v="1"/>
    <x v="8"/>
    <x v="3"/>
    <x v="5"/>
    <x v="69"/>
    <x v="0"/>
    <x v="0"/>
    <n v="7.236455656110456E-4"/>
  </r>
  <r>
    <x v="1"/>
    <x v="8"/>
    <x v="3"/>
    <x v="5"/>
    <x v="69"/>
    <x v="0"/>
    <x v="1"/>
    <n v="1.0170445474637028E-3"/>
  </r>
  <r>
    <x v="1"/>
    <x v="8"/>
    <x v="3"/>
    <x v="5"/>
    <x v="69"/>
    <x v="0"/>
    <x v="2"/>
    <n v="1.3440318618448074E-3"/>
  </r>
  <r>
    <x v="1"/>
    <x v="8"/>
    <x v="3"/>
    <x v="5"/>
    <x v="69"/>
    <x v="0"/>
    <x v="3"/>
    <n v="7.5262761522367095E-3"/>
  </r>
  <r>
    <x v="1"/>
    <x v="8"/>
    <x v="3"/>
    <x v="5"/>
    <x v="69"/>
    <x v="0"/>
    <x v="4"/>
    <n v="5.7262767681383313E-3"/>
  </r>
  <r>
    <x v="1"/>
    <x v="8"/>
    <x v="3"/>
    <x v="5"/>
    <x v="69"/>
    <x v="0"/>
    <x v="5"/>
    <n v="9.6362167302435145E-3"/>
  </r>
  <r>
    <x v="1"/>
    <x v="8"/>
    <x v="3"/>
    <x v="5"/>
    <x v="69"/>
    <x v="0"/>
    <x v="6"/>
    <n v="-1.1416002457899147E-2"/>
  </r>
  <r>
    <x v="1"/>
    <x v="8"/>
    <x v="3"/>
    <x v="5"/>
    <x v="70"/>
    <x v="0"/>
    <x v="0"/>
    <n v="8.817434452906153E-4"/>
  </r>
  <r>
    <x v="1"/>
    <x v="8"/>
    <x v="3"/>
    <x v="5"/>
    <x v="70"/>
    <x v="0"/>
    <x v="1"/>
    <n v="8.8526771520876398E-4"/>
  </r>
  <r>
    <x v="1"/>
    <x v="8"/>
    <x v="3"/>
    <x v="5"/>
    <x v="70"/>
    <x v="0"/>
    <x v="2"/>
    <n v="1.3296577876304424E-3"/>
  </r>
  <r>
    <x v="1"/>
    <x v="8"/>
    <x v="3"/>
    <x v="5"/>
    <x v="70"/>
    <x v="0"/>
    <x v="3"/>
    <n v="1.7206254800532744E-3"/>
  </r>
  <r>
    <x v="1"/>
    <x v="8"/>
    <x v="3"/>
    <x v="5"/>
    <x v="70"/>
    <x v="0"/>
    <x v="4"/>
    <n v="2.4579311353960178E-3"/>
  </r>
  <r>
    <x v="1"/>
    <x v="8"/>
    <x v="3"/>
    <x v="5"/>
    <x v="70"/>
    <x v="0"/>
    <x v="5"/>
    <n v="3.5723602209286683E-3"/>
  </r>
  <r>
    <x v="1"/>
    <x v="8"/>
    <x v="3"/>
    <x v="5"/>
    <x v="70"/>
    <x v="0"/>
    <x v="6"/>
    <n v="-4.3024190514526052E-3"/>
  </r>
  <r>
    <x v="1"/>
    <x v="8"/>
    <x v="3"/>
    <x v="5"/>
    <x v="71"/>
    <x v="0"/>
    <x v="0"/>
    <n v="4.623854546710333E-4"/>
  </r>
  <r>
    <x v="1"/>
    <x v="8"/>
    <x v="3"/>
    <x v="5"/>
    <x v="71"/>
    <x v="0"/>
    <x v="1"/>
    <n v="6.1282635995660425E-4"/>
  </r>
  <r>
    <x v="1"/>
    <x v="8"/>
    <x v="3"/>
    <x v="5"/>
    <x v="71"/>
    <x v="0"/>
    <x v="2"/>
    <n v="5.63658992035556E-4"/>
  </r>
  <r>
    <x v="1"/>
    <x v="8"/>
    <x v="3"/>
    <x v="5"/>
    <x v="71"/>
    <x v="0"/>
    <x v="3"/>
    <n v="6.1410348407371672E-4"/>
  </r>
  <r>
    <x v="1"/>
    <x v="8"/>
    <x v="3"/>
    <x v="5"/>
    <x v="71"/>
    <x v="0"/>
    <x v="4"/>
    <n v="7.1525033216681376E-4"/>
  </r>
  <r>
    <x v="1"/>
    <x v="8"/>
    <x v="3"/>
    <x v="5"/>
    <x v="71"/>
    <x v="0"/>
    <x v="5"/>
    <n v="1.4497974186008632E-3"/>
  </r>
  <r>
    <x v="1"/>
    <x v="8"/>
    <x v="3"/>
    <x v="5"/>
    <x v="71"/>
    <x v="0"/>
    <x v="6"/>
    <n v="-2.1637511889534195E-3"/>
  </r>
  <r>
    <x v="1"/>
    <x v="8"/>
    <x v="3"/>
    <x v="5"/>
    <x v="72"/>
    <x v="0"/>
    <x v="0"/>
    <n v="0"/>
  </r>
  <r>
    <x v="1"/>
    <x v="8"/>
    <x v="3"/>
    <x v="5"/>
    <x v="72"/>
    <x v="0"/>
    <x v="1"/>
    <n v="0"/>
  </r>
  <r>
    <x v="1"/>
    <x v="8"/>
    <x v="3"/>
    <x v="5"/>
    <x v="72"/>
    <x v="0"/>
    <x v="2"/>
    <n v="0"/>
  </r>
  <r>
    <x v="1"/>
    <x v="8"/>
    <x v="3"/>
    <x v="5"/>
    <x v="72"/>
    <x v="0"/>
    <x v="3"/>
    <n v="0"/>
  </r>
  <r>
    <x v="1"/>
    <x v="8"/>
    <x v="3"/>
    <x v="5"/>
    <x v="72"/>
    <x v="0"/>
    <x v="4"/>
    <n v="0"/>
  </r>
  <r>
    <x v="1"/>
    <x v="8"/>
    <x v="3"/>
    <x v="5"/>
    <x v="72"/>
    <x v="0"/>
    <x v="5"/>
    <n v="0"/>
  </r>
  <r>
    <x v="1"/>
    <x v="8"/>
    <x v="3"/>
    <x v="5"/>
    <x v="72"/>
    <x v="0"/>
    <x v="6"/>
    <n v="0"/>
  </r>
  <r>
    <x v="1"/>
    <x v="8"/>
    <x v="3"/>
    <x v="5"/>
    <x v="73"/>
    <x v="0"/>
    <x v="0"/>
    <n v="6.6963039852974913E-5"/>
  </r>
  <r>
    <x v="1"/>
    <x v="8"/>
    <x v="3"/>
    <x v="5"/>
    <x v="73"/>
    <x v="0"/>
    <x v="1"/>
    <n v="8.3678238630822304E-5"/>
  </r>
  <r>
    <x v="1"/>
    <x v="8"/>
    <x v="3"/>
    <x v="5"/>
    <x v="73"/>
    <x v="0"/>
    <x v="2"/>
    <n v="6.7219499130229121E-4"/>
  </r>
  <r>
    <x v="1"/>
    <x v="8"/>
    <x v="3"/>
    <x v="5"/>
    <x v="73"/>
    <x v="0"/>
    <x v="3"/>
    <n v="5.4310983190383798E-4"/>
  </r>
  <r>
    <x v="1"/>
    <x v="8"/>
    <x v="3"/>
    <x v="5"/>
    <x v="73"/>
    <x v="0"/>
    <x v="4"/>
    <n v="3.5450896354180436E-4"/>
  </r>
  <r>
    <x v="1"/>
    <x v="8"/>
    <x v="3"/>
    <x v="5"/>
    <x v="73"/>
    <x v="0"/>
    <x v="5"/>
    <n v="5.2712648092895036E-4"/>
  </r>
  <r>
    <x v="1"/>
    <x v="8"/>
    <x v="3"/>
    <x v="5"/>
    <x v="73"/>
    <x v="0"/>
    <x v="6"/>
    <n v="-7.4702061106731365E-4"/>
  </r>
  <r>
    <x v="1"/>
    <x v="8"/>
    <x v="5"/>
    <x v="8"/>
    <x v="74"/>
    <x v="0"/>
    <x v="0"/>
    <n v="0.21705504526484573"/>
  </r>
  <r>
    <x v="1"/>
    <x v="8"/>
    <x v="5"/>
    <x v="8"/>
    <x v="74"/>
    <x v="0"/>
    <x v="1"/>
    <n v="0.51980535312638376"/>
  </r>
  <r>
    <x v="1"/>
    <x v="8"/>
    <x v="5"/>
    <x v="8"/>
    <x v="74"/>
    <x v="0"/>
    <x v="2"/>
    <n v="1.1906169137701528"/>
  </r>
  <r>
    <x v="1"/>
    <x v="8"/>
    <x v="5"/>
    <x v="8"/>
    <x v="74"/>
    <x v="0"/>
    <x v="3"/>
    <n v="2.5156756771462483"/>
  </r>
  <r>
    <x v="1"/>
    <x v="8"/>
    <x v="5"/>
    <x v="8"/>
    <x v="74"/>
    <x v="0"/>
    <x v="4"/>
    <n v="5.1487103113556696"/>
  </r>
  <r>
    <x v="1"/>
    <x v="8"/>
    <x v="5"/>
    <x v="8"/>
    <x v="74"/>
    <x v="0"/>
    <x v="5"/>
    <n v="6.7985696489447065"/>
  </r>
  <r>
    <x v="1"/>
    <x v="8"/>
    <x v="5"/>
    <x v="8"/>
    <x v="74"/>
    <x v="0"/>
    <x v="6"/>
    <n v="8.6380293546384781"/>
  </r>
  <r>
    <x v="1"/>
    <x v="8"/>
    <x v="5"/>
    <x v="8"/>
    <x v="75"/>
    <x v="0"/>
    <x v="0"/>
    <n v="1.5900546726612805"/>
  </r>
  <r>
    <x v="1"/>
    <x v="8"/>
    <x v="5"/>
    <x v="8"/>
    <x v="75"/>
    <x v="0"/>
    <x v="1"/>
    <n v="4.3353297908783475"/>
  </r>
  <r>
    <x v="1"/>
    <x v="8"/>
    <x v="5"/>
    <x v="8"/>
    <x v="75"/>
    <x v="0"/>
    <x v="2"/>
    <n v="11.022541353395884"/>
  </r>
  <r>
    <x v="1"/>
    <x v="8"/>
    <x v="5"/>
    <x v="8"/>
    <x v="75"/>
    <x v="0"/>
    <x v="3"/>
    <n v="27.95682624991435"/>
  </r>
  <r>
    <x v="1"/>
    <x v="8"/>
    <x v="5"/>
    <x v="8"/>
    <x v="75"/>
    <x v="0"/>
    <x v="4"/>
    <n v="45.392569537239936"/>
  </r>
  <r>
    <x v="1"/>
    <x v="8"/>
    <x v="5"/>
    <x v="8"/>
    <x v="75"/>
    <x v="0"/>
    <x v="5"/>
    <n v="66.146853093412815"/>
  </r>
  <r>
    <x v="1"/>
    <x v="8"/>
    <x v="5"/>
    <x v="8"/>
    <x v="75"/>
    <x v="0"/>
    <x v="6"/>
    <n v="109.3200659471397"/>
  </r>
  <r>
    <x v="1"/>
    <x v="8"/>
    <x v="5"/>
    <x v="8"/>
    <x v="76"/>
    <x v="0"/>
    <x v="0"/>
    <n v="0.61367898632303586"/>
  </r>
  <r>
    <x v="1"/>
    <x v="8"/>
    <x v="5"/>
    <x v="8"/>
    <x v="76"/>
    <x v="0"/>
    <x v="1"/>
    <n v="1.6078029799423985"/>
  </r>
  <r>
    <x v="1"/>
    <x v="8"/>
    <x v="5"/>
    <x v="8"/>
    <x v="76"/>
    <x v="0"/>
    <x v="2"/>
    <n v="3.8354385233762902"/>
  </r>
  <r>
    <x v="1"/>
    <x v="8"/>
    <x v="5"/>
    <x v="8"/>
    <x v="76"/>
    <x v="0"/>
    <x v="3"/>
    <n v="9.2790902079821898"/>
  </r>
  <r>
    <x v="1"/>
    <x v="8"/>
    <x v="5"/>
    <x v="8"/>
    <x v="76"/>
    <x v="0"/>
    <x v="4"/>
    <n v="14.709726476034856"/>
  </r>
  <r>
    <x v="1"/>
    <x v="8"/>
    <x v="5"/>
    <x v="8"/>
    <x v="76"/>
    <x v="0"/>
    <x v="5"/>
    <n v="20.677318886169385"/>
  </r>
  <r>
    <x v="1"/>
    <x v="8"/>
    <x v="5"/>
    <x v="8"/>
    <x v="76"/>
    <x v="0"/>
    <x v="6"/>
    <n v="30.044004690209611"/>
  </r>
  <r>
    <x v="1"/>
    <x v="8"/>
    <x v="5"/>
    <x v="8"/>
    <x v="77"/>
    <x v="0"/>
    <x v="0"/>
    <n v="1.4945509411490605E-3"/>
  </r>
  <r>
    <x v="1"/>
    <x v="8"/>
    <x v="5"/>
    <x v="8"/>
    <x v="77"/>
    <x v="0"/>
    <x v="1"/>
    <n v="8.0663046397050396E-4"/>
  </r>
  <r>
    <x v="1"/>
    <x v="8"/>
    <x v="5"/>
    <x v="8"/>
    <x v="77"/>
    <x v="0"/>
    <x v="2"/>
    <n v="3.5943808127859227E-3"/>
  </r>
  <r>
    <x v="1"/>
    <x v="8"/>
    <x v="5"/>
    <x v="8"/>
    <x v="77"/>
    <x v="0"/>
    <x v="3"/>
    <n v="1.597520944663311E-2"/>
  </r>
  <r>
    <x v="1"/>
    <x v="8"/>
    <x v="5"/>
    <x v="8"/>
    <x v="77"/>
    <x v="0"/>
    <x v="4"/>
    <n v="3.2584029047391126E-2"/>
  </r>
  <r>
    <x v="1"/>
    <x v="8"/>
    <x v="5"/>
    <x v="8"/>
    <x v="77"/>
    <x v="0"/>
    <x v="5"/>
    <n v="6.0412151149458519E-2"/>
  </r>
  <r>
    <x v="1"/>
    <x v="8"/>
    <x v="5"/>
    <x v="8"/>
    <x v="77"/>
    <x v="0"/>
    <x v="6"/>
    <n v="9.0980525100941581E-2"/>
  </r>
  <r>
    <x v="1"/>
    <x v="8"/>
    <x v="5"/>
    <x v="8"/>
    <x v="78"/>
    <x v="0"/>
    <x v="0"/>
    <n v="1.446531019293253"/>
  </r>
  <r>
    <x v="1"/>
    <x v="8"/>
    <x v="5"/>
    <x v="8"/>
    <x v="78"/>
    <x v="0"/>
    <x v="1"/>
    <n v="3.9648516342530113"/>
  </r>
  <r>
    <x v="1"/>
    <x v="8"/>
    <x v="5"/>
    <x v="8"/>
    <x v="78"/>
    <x v="0"/>
    <x v="2"/>
    <n v="8.551721847539584"/>
  </r>
  <r>
    <x v="1"/>
    <x v="8"/>
    <x v="5"/>
    <x v="8"/>
    <x v="78"/>
    <x v="0"/>
    <x v="3"/>
    <n v="18.386045106678186"/>
  </r>
  <r>
    <x v="1"/>
    <x v="8"/>
    <x v="5"/>
    <x v="8"/>
    <x v="78"/>
    <x v="0"/>
    <x v="4"/>
    <n v="25.500020207391316"/>
  </r>
  <r>
    <x v="1"/>
    <x v="8"/>
    <x v="5"/>
    <x v="8"/>
    <x v="78"/>
    <x v="0"/>
    <x v="5"/>
    <n v="32.696828004901057"/>
  </r>
  <r>
    <x v="1"/>
    <x v="8"/>
    <x v="5"/>
    <x v="8"/>
    <x v="78"/>
    <x v="0"/>
    <x v="6"/>
    <n v="43.624102170593474"/>
  </r>
  <r>
    <x v="1"/>
    <x v="8"/>
    <x v="5"/>
    <x v="8"/>
    <x v="79"/>
    <x v="0"/>
    <x v="0"/>
    <n v="1.1285397293964696"/>
  </r>
  <r>
    <x v="1"/>
    <x v="8"/>
    <x v="5"/>
    <x v="8"/>
    <x v="79"/>
    <x v="0"/>
    <x v="1"/>
    <n v="3.1710610040674259"/>
  </r>
  <r>
    <x v="1"/>
    <x v="8"/>
    <x v="5"/>
    <x v="8"/>
    <x v="79"/>
    <x v="0"/>
    <x v="2"/>
    <n v="7.0818877815600825"/>
  </r>
  <r>
    <x v="1"/>
    <x v="8"/>
    <x v="5"/>
    <x v="8"/>
    <x v="79"/>
    <x v="0"/>
    <x v="3"/>
    <n v="14.554137981742956"/>
  </r>
  <r>
    <x v="1"/>
    <x v="8"/>
    <x v="5"/>
    <x v="8"/>
    <x v="79"/>
    <x v="0"/>
    <x v="4"/>
    <n v="26.048656353971886"/>
  </r>
  <r>
    <x v="1"/>
    <x v="8"/>
    <x v="5"/>
    <x v="8"/>
    <x v="79"/>
    <x v="0"/>
    <x v="5"/>
    <n v="40.763763151197537"/>
  </r>
  <r>
    <x v="1"/>
    <x v="8"/>
    <x v="5"/>
    <x v="8"/>
    <x v="79"/>
    <x v="0"/>
    <x v="6"/>
    <n v="55.236686732342463"/>
  </r>
  <r>
    <x v="1"/>
    <x v="8"/>
    <x v="5"/>
    <x v="8"/>
    <x v="80"/>
    <x v="0"/>
    <x v="0"/>
    <n v="3.0363661077542053E-2"/>
  </r>
  <r>
    <x v="1"/>
    <x v="8"/>
    <x v="5"/>
    <x v="8"/>
    <x v="80"/>
    <x v="0"/>
    <x v="1"/>
    <n v="7.2758042011969462E-2"/>
  </r>
  <r>
    <x v="1"/>
    <x v="8"/>
    <x v="5"/>
    <x v="8"/>
    <x v="80"/>
    <x v="0"/>
    <x v="2"/>
    <n v="0.1506093140188747"/>
  </r>
  <r>
    <x v="1"/>
    <x v="8"/>
    <x v="5"/>
    <x v="8"/>
    <x v="80"/>
    <x v="0"/>
    <x v="3"/>
    <n v="0.30453684248897817"/>
  </r>
  <r>
    <x v="1"/>
    <x v="8"/>
    <x v="5"/>
    <x v="8"/>
    <x v="80"/>
    <x v="0"/>
    <x v="4"/>
    <n v="0.40427084604988472"/>
  </r>
  <r>
    <x v="1"/>
    <x v="8"/>
    <x v="5"/>
    <x v="8"/>
    <x v="80"/>
    <x v="0"/>
    <x v="5"/>
    <n v="0.42429812810672357"/>
  </r>
  <r>
    <x v="1"/>
    <x v="8"/>
    <x v="5"/>
    <x v="8"/>
    <x v="80"/>
    <x v="0"/>
    <x v="6"/>
    <n v="0.46288941256621241"/>
  </r>
  <r>
    <x v="1"/>
    <x v="8"/>
    <x v="5"/>
    <x v="8"/>
    <x v="81"/>
    <x v="0"/>
    <x v="0"/>
    <n v="1.1741756033367459"/>
  </r>
  <r>
    <x v="1"/>
    <x v="8"/>
    <x v="5"/>
    <x v="8"/>
    <x v="81"/>
    <x v="0"/>
    <x v="1"/>
    <n v="3.2200554534717778"/>
  </r>
  <r>
    <x v="1"/>
    <x v="8"/>
    <x v="5"/>
    <x v="8"/>
    <x v="81"/>
    <x v="0"/>
    <x v="2"/>
    <n v="7.3352059454166216"/>
  </r>
  <r>
    <x v="1"/>
    <x v="8"/>
    <x v="5"/>
    <x v="8"/>
    <x v="81"/>
    <x v="0"/>
    <x v="3"/>
    <n v="16.326914744815539"/>
  </r>
  <r>
    <x v="1"/>
    <x v="8"/>
    <x v="5"/>
    <x v="8"/>
    <x v="81"/>
    <x v="0"/>
    <x v="4"/>
    <n v="24.460073862378316"/>
  </r>
  <r>
    <x v="1"/>
    <x v="8"/>
    <x v="5"/>
    <x v="8"/>
    <x v="81"/>
    <x v="0"/>
    <x v="5"/>
    <n v="33.345978409481994"/>
  </r>
  <r>
    <x v="1"/>
    <x v="8"/>
    <x v="5"/>
    <x v="8"/>
    <x v="81"/>
    <x v="0"/>
    <x v="6"/>
    <n v="47.320026335050898"/>
  </r>
  <r>
    <x v="1"/>
    <x v="8"/>
    <x v="5"/>
    <x v="8"/>
    <x v="82"/>
    <x v="0"/>
    <x v="0"/>
    <n v="1.7627642176374809"/>
  </r>
  <r>
    <x v="1"/>
    <x v="8"/>
    <x v="5"/>
    <x v="8"/>
    <x v="82"/>
    <x v="0"/>
    <x v="1"/>
    <n v="4.6592848537829354"/>
  </r>
  <r>
    <x v="1"/>
    <x v="8"/>
    <x v="5"/>
    <x v="8"/>
    <x v="82"/>
    <x v="0"/>
    <x v="2"/>
    <n v="10.902912305159401"/>
  </r>
  <r>
    <x v="1"/>
    <x v="8"/>
    <x v="5"/>
    <x v="8"/>
    <x v="82"/>
    <x v="0"/>
    <x v="3"/>
    <n v="23.907609723571955"/>
  </r>
  <r>
    <x v="1"/>
    <x v="8"/>
    <x v="5"/>
    <x v="8"/>
    <x v="82"/>
    <x v="0"/>
    <x v="4"/>
    <n v="34.943099502365079"/>
  </r>
  <r>
    <x v="1"/>
    <x v="8"/>
    <x v="5"/>
    <x v="8"/>
    <x v="82"/>
    <x v="0"/>
    <x v="5"/>
    <n v="45.722577180238993"/>
  </r>
  <r>
    <x v="1"/>
    <x v="8"/>
    <x v="5"/>
    <x v="8"/>
    <x v="82"/>
    <x v="0"/>
    <x v="6"/>
    <n v="63.121941384076933"/>
  </r>
  <r>
    <x v="1"/>
    <x v="8"/>
    <x v="5"/>
    <x v="8"/>
    <x v="83"/>
    <x v="0"/>
    <x v="0"/>
    <n v="2.3853785269871208"/>
  </r>
  <r>
    <x v="1"/>
    <x v="8"/>
    <x v="5"/>
    <x v="8"/>
    <x v="83"/>
    <x v="0"/>
    <x v="1"/>
    <n v="5.9753176494195284"/>
  </r>
  <r>
    <x v="1"/>
    <x v="8"/>
    <x v="5"/>
    <x v="8"/>
    <x v="83"/>
    <x v="0"/>
    <x v="2"/>
    <n v="14.116540966634563"/>
  </r>
  <r>
    <x v="1"/>
    <x v="8"/>
    <x v="5"/>
    <x v="8"/>
    <x v="83"/>
    <x v="0"/>
    <x v="3"/>
    <n v="30.944702145722072"/>
  </r>
  <r>
    <x v="1"/>
    <x v="8"/>
    <x v="5"/>
    <x v="8"/>
    <x v="83"/>
    <x v="0"/>
    <x v="4"/>
    <n v="43.546675687289813"/>
  </r>
  <r>
    <x v="1"/>
    <x v="8"/>
    <x v="5"/>
    <x v="8"/>
    <x v="83"/>
    <x v="0"/>
    <x v="5"/>
    <n v="56.795031144786407"/>
  </r>
  <r>
    <x v="1"/>
    <x v="8"/>
    <x v="5"/>
    <x v="8"/>
    <x v="83"/>
    <x v="0"/>
    <x v="6"/>
    <n v="76.186434480550531"/>
  </r>
  <r>
    <x v="0"/>
    <x v="0"/>
    <x v="0"/>
    <x v="0"/>
    <x v="84"/>
    <x v="0"/>
    <x v="0"/>
    <n v="39.409118936592321"/>
  </r>
  <r>
    <x v="0"/>
    <x v="0"/>
    <x v="0"/>
    <x v="0"/>
    <x v="84"/>
    <x v="0"/>
    <x v="1"/>
    <n v="94.197030721910082"/>
  </r>
  <r>
    <x v="0"/>
    <x v="0"/>
    <x v="0"/>
    <x v="0"/>
    <x v="84"/>
    <x v="0"/>
    <x v="2"/>
    <n v="139.84131880626575"/>
  </r>
  <r>
    <x v="0"/>
    <x v="0"/>
    <x v="0"/>
    <x v="0"/>
    <x v="84"/>
    <x v="0"/>
    <x v="3"/>
    <n v="230.42634271081312"/>
  </r>
  <r>
    <x v="0"/>
    <x v="0"/>
    <x v="0"/>
    <x v="0"/>
    <x v="84"/>
    <x v="0"/>
    <x v="4"/>
    <n v="292.3452941046873"/>
  </r>
  <r>
    <x v="0"/>
    <x v="0"/>
    <x v="0"/>
    <x v="0"/>
    <x v="84"/>
    <x v="0"/>
    <x v="5"/>
    <n v="407.45590910105557"/>
  </r>
  <r>
    <x v="0"/>
    <x v="0"/>
    <x v="0"/>
    <x v="0"/>
    <x v="84"/>
    <x v="0"/>
    <x v="6"/>
    <n v="507.26685759611843"/>
  </r>
  <r>
    <x v="0"/>
    <x v="1"/>
    <x v="0"/>
    <x v="0"/>
    <x v="84"/>
    <x v="0"/>
    <x v="0"/>
    <n v="0.15401853979807523"/>
  </r>
  <r>
    <x v="0"/>
    <x v="1"/>
    <x v="0"/>
    <x v="0"/>
    <x v="84"/>
    <x v="0"/>
    <x v="1"/>
    <n v="0.41384365818061342"/>
  </r>
  <r>
    <x v="0"/>
    <x v="1"/>
    <x v="0"/>
    <x v="0"/>
    <x v="84"/>
    <x v="0"/>
    <x v="2"/>
    <n v="0.97926446339271223"/>
  </r>
  <r>
    <x v="0"/>
    <x v="1"/>
    <x v="0"/>
    <x v="0"/>
    <x v="84"/>
    <x v="0"/>
    <x v="3"/>
    <n v="2.3096244289570325"/>
  </r>
  <r>
    <x v="0"/>
    <x v="1"/>
    <x v="0"/>
    <x v="0"/>
    <x v="84"/>
    <x v="0"/>
    <x v="4"/>
    <n v="5.4799983180223322"/>
  </r>
  <r>
    <x v="0"/>
    <x v="1"/>
    <x v="0"/>
    <x v="0"/>
    <x v="84"/>
    <x v="0"/>
    <x v="5"/>
    <n v="12.56683961585783"/>
  </r>
  <r>
    <x v="0"/>
    <x v="1"/>
    <x v="0"/>
    <x v="0"/>
    <x v="84"/>
    <x v="0"/>
    <x v="6"/>
    <n v="15.879875203992256"/>
  </r>
  <r>
    <x v="0"/>
    <x v="2"/>
    <x v="0"/>
    <x v="0"/>
    <x v="84"/>
    <x v="0"/>
    <x v="0"/>
    <n v="0"/>
  </r>
  <r>
    <x v="0"/>
    <x v="2"/>
    <x v="0"/>
    <x v="0"/>
    <x v="84"/>
    <x v="0"/>
    <x v="1"/>
    <n v="0"/>
  </r>
  <r>
    <x v="0"/>
    <x v="2"/>
    <x v="0"/>
    <x v="0"/>
    <x v="84"/>
    <x v="0"/>
    <x v="2"/>
    <n v="0"/>
  </r>
  <r>
    <x v="0"/>
    <x v="2"/>
    <x v="0"/>
    <x v="0"/>
    <x v="84"/>
    <x v="0"/>
    <x v="3"/>
    <n v="0"/>
  </r>
  <r>
    <x v="0"/>
    <x v="2"/>
    <x v="0"/>
    <x v="0"/>
    <x v="84"/>
    <x v="0"/>
    <x v="4"/>
    <n v="0"/>
  </r>
  <r>
    <x v="0"/>
    <x v="2"/>
    <x v="0"/>
    <x v="0"/>
    <x v="84"/>
    <x v="0"/>
    <x v="5"/>
    <n v="0"/>
  </r>
  <r>
    <x v="0"/>
    <x v="2"/>
    <x v="0"/>
    <x v="0"/>
    <x v="84"/>
    <x v="0"/>
    <x v="6"/>
    <n v="0"/>
  </r>
  <r>
    <x v="0"/>
    <x v="3"/>
    <x v="0"/>
    <x v="0"/>
    <x v="84"/>
    <x v="0"/>
    <x v="0"/>
    <n v="0.61303623522728612"/>
  </r>
  <r>
    <x v="0"/>
    <x v="3"/>
    <x v="0"/>
    <x v="0"/>
    <x v="84"/>
    <x v="0"/>
    <x v="1"/>
    <n v="1.0866504863470536"/>
  </r>
  <r>
    <x v="0"/>
    <x v="3"/>
    <x v="0"/>
    <x v="0"/>
    <x v="84"/>
    <x v="0"/>
    <x v="2"/>
    <n v="1.7027102539035419"/>
  </r>
  <r>
    <x v="0"/>
    <x v="3"/>
    <x v="0"/>
    <x v="0"/>
    <x v="84"/>
    <x v="0"/>
    <x v="3"/>
    <n v="1.9119851169349593"/>
  </r>
  <r>
    <x v="0"/>
    <x v="3"/>
    <x v="0"/>
    <x v="0"/>
    <x v="84"/>
    <x v="0"/>
    <x v="4"/>
    <n v="2.0849513807098465"/>
  </r>
  <r>
    <x v="0"/>
    <x v="3"/>
    <x v="0"/>
    <x v="0"/>
    <x v="84"/>
    <x v="0"/>
    <x v="5"/>
    <n v="2.6712838934962537"/>
  </r>
  <r>
    <x v="0"/>
    <x v="3"/>
    <x v="0"/>
    <x v="0"/>
    <x v="84"/>
    <x v="0"/>
    <x v="6"/>
    <n v="2.7912602007980536"/>
  </r>
  <r>
    <x v="0"/>
    <x v="4"/>
    <x v="0"/>
    <x v="0"/>
    <x v="84"/>
    <x v="0"/>
    <x v="0"/>
    <n v="0"/>
  </r>
  <r>
    <x v="0"/>
    <x v="4"/>
    <x v="0"/>
    <x v="0"/>
    <x v="84"/>
    <x v="0"/>
    <x v="1"/>
    <n v="0"/>
  </r>
  <r>
    <x v="0"/>
    <x v="4"/>
    <x v="0"/>
    <x v="0"/>
    <x v="84"/>
    <x v="0"/>
    <x v="2"/>
    <n v="0"/>
  </r>
  <r>
    <x v="0"/>
    <x v="4"/>
    <x v="0"/>
    <x v="0"/>
    <x v="84"/>
    <x v="0"/>
    <x v="3"/>
    <n v="0"/>
  </r>
  <r>
    <x v="0"/>
    <x v="4"/>
    <x v="0"/>
    <x v="0"/>
    <x v="84"/>
    <x v="0"/>
    <x v="4"/>
    <n v="0"/>
  </r>
  <r>
    <x v="0"/>
    <x v="4"/>
    <x v="0"/>
    <x v="0"/>
    <x v="84"/>
    <x v="0"/>
    <x v="5"/>
    <n v="0"/>
  </r>
  <r>
    <x v="0"/>
    <x v="4"/>
    <x v="0"/>
    <x v="0"/>
    <x v="84"/>
    <x v="0"/>
    <x v="6"/>
    <n v="0"/>
  </r>
  <r>
    <x v="0"/>
    <x v="5"/>
    <x v="0"/>
    <x v="0"/>
    <x v="84"/>
    <x v="0"/>
    <x v="0"/>
    <n v="3.3095181754577735E-2"/>
  </r>
  <r>
    <x v="0"/>
    <x v="5"/>
    <x v="0"/>
    <x v="0"/>
    <x v="84"/>
    <x v="0"/>
    <x v="1"/>
    <n v="0.12681260551838389"/>
  </r>
  <r>
    <x v="0"/>
    <x v="5"/>
    <x v="0"/>
    <x v="0"/>
    <x v="84"/>
    <x v="0"/>
    <x v="2"/>
    <n v="0.23342286113566726"/>
  </r>
  <r>
    <x v="0"/>
    <x v="5"/>
    <x v="0"/>
    <x v="0"/>
    <x v="84"/>
    <x v="0"/>
    <x v="3"/>
    <n v="0.42715100179343307"/>
  </r>
  <r>
    <x v="0"/>
    <x v="5"/>
    <x v="0"/>
    <x v="0"/>
    <x v="84"/>
    <x v="0"/>
    <x v="4"/>
    <n v="0.83350234589677985"/>
  </r>
  <r>
    <x v="0"/>
    <x v="5"/>
    <x v="0"/>
    <x v="0"/>
    <x v="84"/>
    <x v="0"/>
    <x v="5"/>
    <n v="1.4279206471924715"/>
  </r>
  <r>
    <x v="0"/>
    <x v="5"/>
    <x v="0"/>
    <x v="0"/>
    <x v="84"/>
    <x v="0"/>
    <x v="6"/>
    <n v="2.8055728495784882"/>
  </r>
  <r>
    <x v="0"/>
    <x v="6"/>
    <x v="0"/>
    <x v="0"/>
    <x v="84"/>
    <x v="0"/>
    <x v="0"/>
    <n v="0"/>
  </r>
  <r>
    <x v="0"/>
    <x v="6"/>
    <x v="0"/>
    <x v="0"/>
    <x v="84"/>
    <x v="0"/>
    <x v="1"/>
    <n v="0"/>
  </r>
  <r>
    <x v="0"/>
    <x v="6"/>
    <x v="0"/>
    <x v="0"/>
    <x v="84"/>
    <x v="0"/>
    <x v="2"/>
    <n v="0"/>
  </r>
  <r>
    <x v="0"/>
    <x v="6"/>
    <x v="0"/>
    <x v="0"/>
    <x v="84"/>
    <x v="0"/>
    <x v="3"/>
    <n v="0"/>
  </r>
  <r>
    <x v="0"/>
    <x v="6"/>
    <x v="0"/>
    <x v="0"/>
    <x v="84"/>
    <x v="0"/>
    <x v="4"/>
    <n v="0"/>
  </r>
  <r>
    <x v="0"/>
    <x v="6"/>
    <x v="0"/>
    <x v="0"/>
    <x v="84"/>
    <x v="0"/>
    <x v="5"/>
    <n v="0"/>
  </r>
  <r>
    <x v="0"/>
    <x v="6"/>
    <x v="0"/>
    <x v="0"/>
    <x v="84"/>
    <x v="0"/>
    <x v="6"/>
    <n v="0"/>
  </r>
  <r>
    <x v="0"/>
    <x v="7"/>
    <x v="0"/>
    <x v="0"/>
    <x v="84"/>
    <x v="0"/>
    <x v="0"/>
    <n v="1.8476275612710238"/>
  </r>
  <r>
    <x v="0"/>
    <x v="7"/>
    <x v="0"/>
    <x v="0"/>
    <x v="84"/>
    <x v="0"/>
    <x v="1"/>
    <n v="3.7876198610123497"/>
  </r>
  <r>
    <x v="0"/>
    <x v="7"/>
    <x v="0"/>
    <x v="0"/>
    <x v="84"/>
    <x v="0"/>
    <x v="2"/>
    <n v="7.1771344375482"/>
  </r>
  <r>
    <x v="0"/>
    <x v="7"/>
    <x v="0"/>
    <x v="0"/>
    <x v="84"/>
    <x v="0"/>
    <x v="3"/>
    <n v="13.375541239943873"/>
  </r>
  <r>
    <x v="0"/>
    <x v="7"/>
    <x v="0"/>
    <x v="0"/>
    <x v="84"/>
    <x v="0"/>
    <x v="4"/>
    <n v="20.030208462485756"/>
  </r>
  <r>
    <x v="0"/>
    <x v="7"/>
    <x v="0"/>
    <x v="0"/>
    <x v="84"/>
    <x v="0"/>
    <x v="5"/>
    <n v="32.040995952405133"/>
  </r>
  <r>
    <x v="0"/>
    <x v="7"/>
    <x v="0"/>
    <x v="0"/>
    <x v="84"/>
    <x v="0"/>
    <x v="6"/>
    <n v="49.874775409177204"/>
  </r>
  <r>
    <x v="0"/>
    <x v="8"/>
    <x v="0"/>
    <x v="0"/>
    <x v="84"/>
    <x v="0"/>
    <x v="0"/>
    <n v="4.4162049303827036E-4"/>
  </r>
  <r>
    <x v="0"/>
    <x v="8"/>
    <x v="0"/>
    <x v="0"/>
    <x v="84"/>
    <x v="0"/>
    <x v="1"/>
    <n v="1.1944271585433552E-2"/>
  </r>
  <r>
    <x v="0"/>
    <x v="8"/>
    <x v="0"/>
    <x v="0"/>
    <x v="84"/>
    <x v="0"/>
    <x v="2"/>
    <n v="0.17852098991055282"/>
  </r>
  <r>
    <x v="0"/>
    <x v="8"/>
    <x v="0"/>
    <x v="0"/>
    <x v="84"/>
    <x v="0"/>
    <x v="3"/>
    <n v="1.475190463619197"/>
  </r>
  <r>
    <x v="0"/>
    <x v="8"/>
    <x v="0"/>
    <x v="0"/>
    <x v="84"/>
    <x v="0"/>
    <x v="4"/>
    <n v="4.4732935092212767"/>
  </r>
  <r>
    <x v="0"/>
    <x v="8"/>
    <x v="0"/>
    <x v="0"/>
    <x v="84"/>
    <x v="0"/>
    <x v="5"/>
    <n v="8.1806369813171287"/>
  </r>
  <r>
    <x v="0"/>
    <x v="8"/>
    <x v="0"/>
    <x v="0"/>
    <x v="84"/>
    <x v="0"/>
    <x v="6"/>
    <n v="20.496415659891944"/>
  </r>
  <r>
    <x v="1"/>
    <x v="0"/>
    <x v="0"/>
    <x v="0"/>
    <x v="84"/>
    <x v="0"/>
    <x v="0"/>
    <n v="0"/>
  </r>
  <r>
    <x v="1"/>
    <x v="0"/>
    <x v="0"/>
    <x v="0"/>
    <x v="84"/>
    <x v="0"/>
    <x v="1"/>
    <n v="0"/>
  </r>
  <r>
    <x v="1"/>
    <x v="0"/>
    <x v="0"/>
    <x v="0"/>
    <x v="84"/>
    <x v="0"/>
    <x v="2"/>
    <n v="0"/>
  </r>
  <r>
    <x v="1"/>
    <x v="0"/>
    <x v="0"/>
    <x v="0"/>
    <x v="84"/>
    <x v="0"/>
    <x v="3"/>
    <n v="0"/>
  </r>
  <r>
    <x v="1"/>
    <x v="0"/>
    <x v="0"/>
    <x v="0"/>
    <x v="84"/>
    <x v="0"/>
    <x v="4"/>
    <n v="0"/>
  </r>
  <r>
    <x v="1"/>
    <x v="0"/>
    <x v="0"/>
    <x v="0"/>
    <x v="84"/>
    <x v="0"/>
    <x v="5"/>
    <n v="0"/>
  </r>
  <r>
    <x v="1"/>
    <x v="0"/>
    <x v="0"/>
    <x v="0"/>
    <x v="84"/>
    <x v="0"/>
    <x v="6"/>
    <n v="0"/>
  </r>
  <r>
    <x v="1"/>
    <x v="1"/>
    <x v="0"/>
    <x v="0"/>
    <x v="84"/>
    <x v="0"/>
    <x v="0"/>
    <n v="0"/>
  </r>
  <r>
    <x v="1"/>
    <x v="1"/>
    <x v="0"/>
    <x v="0"/>
    <x v="84"/>
    <x v="0"/>
    <x v="1"/>
    <n v="0"/>
  </r>
  <r>
    <x v="1"/>
    <x v="1"/>
    <x v="0"/>
    <x v="0"/>
    <x v="84"/>
    <x v="0"/>
    <x v="2"/>
    <n v="0"/>
  </r>
  <r>
    <x v="1"/>
    <x v="1"/>
    <x v="0"/>
    <x v="0"/>
    <x v="84"/>
    <x v="0"/>
    <x v="3"/>
    <n v="0"/>
  </r>
  <r>
    <x v="1"/>
    <x v="1"/>
    <x v="0"/>
    <x v="0"/>
    <x v="84"/>
    <x v="0"/>
    <x v="4"/>
    <n v="0"/>
  </r>
  <r>
    <x v="1"/>
    <x v="1"/>
    <x v="0"/>
    <x v="0"/>
    <x v="84"/>
    <x v="0"/>
    <x v="5"/>
    <n v="0"/>
  </r>
  <r>
    <x v="1"/>
    <x v="1"/>
    <x v="0"/>
    <x v="0"/>
    <x v="84"/>
    <x v="0"/>
    <x v="6"/>
    <n v="0"/>
  </r>
  <r>
    <x v="1"/>
    <x v="2"/>
    <x v="0"/>
    <x v="0"/>
    <x v="84"/>
    <x v="0"/>
    <x v="0"/>
    <n v="1.3451230097802429"/>
  </r>
  <r>
    <x v="1"/>
    <x v="2"/>
    <x v="0"/>
    <x v="0"/>
    <x v="84"/>
    <x v="0"/>
    <x v="1"/>
    <n v="5.3506416084188171"/>
  </r>
  <r>
    <x v="1"/>
    <x v="2"/>
    <x v="0"/>
    <x v="0"/>
    <x v="84"/>
    <x v="0"/>
    <x v="2"/>
    <n v="9.1878648776501777"/>
  </r>
  <r>
    <x v="1"/>
    <x v="2"/>
    <x v="0"/>
    <x v="0"/>
    <x v="84"/>
    <x v="0"/>
    <x v="3"/>
    <n v="19.048730709431894"/>
  </r>
  <r>
    <x v="1"/>
    <x v="2"/>
    <x v="0"/>
    <x v="0"/>
    <x v="84"/>
    <x v="0"/>
    <x v="4"/>
    <n v="28.697103456248012"/>
  </r>
  <r>
    <x v="1"/>
    <x v="2"/>
    <x v="0"/>
    <x v="0"/>
    <x v="84"/>
    <x v="0"/>
    <x v="5"/>
    <n v="38.108469900085034"/>
  </r>
  <r>
    <x v="1"/>
    <x v="2"/>
    <x v="0"/>
    <x v="0"/>
    <x v="84"/>
    <x v="0"/>
    <x v="6"/>
    <n v="48.482847103264703"/>
  </r>
  <r>
    <x v="1"/>
    <x v="3"/>
    <x v="0"/>
    <x v="0"/>
    <x v="84"/>
    <x v="0"/>
    <x v="0"/>
    <n v="0.61303623522728612"/>
  </r>
  <r>
    <x v="1"/>
    <x v="3"/>
    <x v="0"/>
    <x v="0"/>
    <x v="84"/>
    <x v="0"/>
    <x v="1"/>
    <n v="1.0866504863470536"/>
  </r>
  <r>
    <x v="1"/>
    <x v="3"/>
    <x v="0"/>
    <x v="0"/>
    <x v="84"/>
    <x v="0"/>
    <x v="2"/>
    <n v="1.7027102539035419"/>
  </r>
  <r>
    <x v="1"/>
    <x v="3"/>
    <x v="0"/>
    <x v="0"/>
    <x v="84"/>
    <x v="0"/>
    <x v="3"/>
    <n v="1.9119851169349593"/>
  </r>
  <r>
    <x v="1"/>
    <x v="3"/>
    <x v="0"/>
    <x v="0"/>
    <x v="84"/>
    <x v="0"/>
    <x v="4"/>
    <n v="2.0849513807098465"/>
  </r>
  <r>
    <x v="1"/>
    <x v="3"/>
    <x v="0"/>
    <x v="0"/>
    <x v="84"/>
    <x v="0"/>
    <x v="5"/>
    <n v="2.6712838934962537"/>
  </r>
  <r>
    <x v="1"/>
    <x v="3"/>
    <x v="0"/>
    <x v="0"/>
    <x v="84"/>
    <x v="0"/>
    <x v="6"/>
    <n v="2.7912602007980536"/>
  </r>
  <r>
    <x v="1"/>
    <x v="4"/>
    <x v="0"/>
    <x v="0"/>
    <x v="84"/>
    <x v="0"/>
    <x v="0"/>
    <n v="2.5413888214893703E-2"/>
  </r>
  <r>
    <x v="1"/>
    <x v="4"/>
    <x v="0"/>
    <x v="0"/>
    <x v="84"/>
    <x v="0"/>
    <x v="1"/>
    <n v="8.4121500420075546E-2"/>
  </r>
  <r>
    <x v="1"/>
    <x v="4"/>
    <x v="0"/>
    <x v="0"/>
    <x v="84"/>
    <x v="0"/>
    <x v="2"/>
    <n v="0.22702115247999746"/>
  </r>
  <r>
    <x v="1"/>
    <x v="4"/>
    <x v="0"/>
    <x v="0"/>
    <x v="84"/>
    <x v="0"/>
    <x v="3"/>
    <n v="0.53788281540185301"/>
  </r>
  <r>
    <x v="1"/>
    <x v="4"/>
    <x v="0"/>
    <x v="0"/>
    <x v="84"/>
    <x v="0"/>
    <x v="4"/>
    <n v="0.8414799139838135"/>
  </r>
  <r>
    <x v="1"/>
    <x v="4"/>
    <x v="0"/>
    <x v="0"/>
    <x v="84"/>
    <x v="0"/>
    <x v="5"/>
    <n v="1.3439346940415491"/>
  </r>
  <r>
    <x v="1"/>
    <x v="4"/>
    <x v="0"/>
    <x v="0"/>
    <x v="84"/>
    <x v="0"/>
    <x v="6"/>
    <n v="1.8096043541885554"/>
  </r>
  <r>
    <x v="1"/>
    <x v="5"/>
    <x v="0"/>
    <x v="0"/>
    <x v="84"/>
    <x v="0"/>
    <x v="0"/>
    <n v="0"/>
  </r>
  <r>
    <x v="1"/>
    <x v="5"/>
    <x v="0"/>
    <x v="0"/>
    <x v="84"/>
    <x v="0"/>
    <x v="1"/>
    <n v="0"/>
  </r>
  <r>
    <x v="1"/>
    <x v="5"/>
    <x v="0"/>
    <x v="0"/>
    <x v="84"/>
    <x v="0"/>
    <x v="2"/>
    <n v="0"/>
  </r>
  <r>
    <x v="1"/>
    <x v="5"/>
    <x v="0"/>
    <x v="0"/>
    <x v="84"/>
    <x v="0"/>
    <x v="3"/>
    <n v="0"/>
  </r>
  <r>
    <x v="1"/>
    <x v="5"/>
    <x v="0"/>
    <x v="0"/>
    <x v="84"/>
    <x v="0"/>
    <x v="4"/>
    <n v="0"/>
  </r>
  <r>
    <x v="1"/>
    <x v="5"/>
    <x v="0"/>
    <x v="0"/>
    <x v="84"/>
    <x v="0"/>
    <x v="5"/>
    <n v="0"/>
  </r>
  <r>
    <x v="1"/>
    <x v="5"/>
    <x v="0"/>
    <x v="0"/>
    <x v="84"/>
    <x v="0"/>
    <x v="6"/>
    <n v="0"/>
  </r>
  <r>
    <x v="1"/>
    <x v="6"/>
    <x v="0"/>
    <x v="0"/>
    <x v="84"/>
    <x v="0"/>
    <x v="0"/>
    <n v="0"/>
  </r>
  <r>
    <x v="1"/>
    <x v="6"/>
    <x v="0"/>
    <x v="0"/>
    <x v="84"/>
    <x v="0"/>
    <x v="1"/>
    <n v="0"/>
  </r>
  <r>
    <x v="1"/>
    <x v="6"/>
    <x v="0"/>
    <x v="0"/>
    <x v="84"/>
    <x v="0"/>
    <x v="2"/>
    <n v="0"/>
  </r>
  <r>
    <x v="1"/>
    <x v="6"/>
    <x v="0"/>
    <x v="0"/>
    <x v="84"/>
    <x v="0"/>
    <x v="3"/>
    <n v="0"/>
  </r>
  <r>
    <x v="1"/>
    <x v="6"/>
    <x v="0"/>
    <x v="0"/>
    <x v="84"/>
    <x v="0"/>
    <x v="4"/>
    <n v="0"/>
  </r>
  <r>
    <x v="1"/>
    <x v="6"/>
    <x v="0"/>
    <x v="0"/>
    <x v="84"/>
    <x v="0"/>
    <x v="5"/>
    <n v="0"/>
  </r>
  <r>
    <x v="1"/>
    <x v="6"/>
    <x v="0"/>
    <x v="0"/>
    <x v="84"/>
    <x v="0"/>
    <x v="6"/>
    <n v="0"/>
  </r>
  <r>
    <x v="1"/>
    <x v="7"/>
    <x v="0"/>
    <x v="0"/>
    <x v="84"/>
    <x v="0"/>
    <x v="0"/>
    <n v="0"/>
  </r>
  <r>
    <x v="1"/>
    <x v="7"/>
    <x v="0"/>
    <x v="0"/>
    <x v="84"/>
    <x v="0"/>
    <x v="1"/>
    <n v="0"/>
  </r>
  <r>
    <x v="1"/>
    <x v="7"/>
    <x v="0"/>
    <x v="0"/>
    <x v="84"/>
    <x v="0"/>
    <x v="2"/>
    <n v="0"/>
  </r>
  <r>
    <x v="1"/>
    <x v="7"/>
    <x v="0"/>
    <x v="0"/>
    <x v="84"/>
    <x v="0"/>
    <x v="3"/>
    <n v="0"/>
  </r>
  <r>
    <x v="1"/>
    <x v="7"/>
    <x v="0"/>
    <x v="0"/>
    <x v="84"/>
    <x v="0"/>
    <x v="4"/>
    <n v="0"/>
  </r>
  <r>
    <x v="1"/>
    <x v="7"/>
    <x v="0"/>
    <x v="0"/>
    <x v="84"/>
    <x v="0"/>
    <x v="5"/>
    <n v="0"/>
  </r>
  <r>
    <x v="1"/>
    <x v="7"/>
    <x v="0"/>
    <x v="0"/>
    <x v="84"/>
    <x v="0"/>
    <x v="6"/>
    <n v="0"/>
  </r>
  <r>
    <x v="1"/>
    <x v="8"/>
    <x v="0"/>
    <x v="0"/>
    <x v="84"/>
    <x v="0"/>
    <x v="0"/>
    <n v="0.42635147225248815"/>
  </r>
  <r>
    <x v="1"/>
    <x v="8"/>
    <x v="0"/>
    <x v="0"/>
    <x v="84"/>
    <x v="0"/>
    <x v="1"/>
    <n v="3.583102307077354"/>
  </r>
  <r>
    <x v="1"/>
    <x v="8"/>
    <x v="0"/>
    <x v="0"/>
    <x v="84"/>
    <x v="0"/>
    <x v="2"/>
    <n v="16.640631960641681"/>
  </r>
  <r>
    <x v="1"/>
    <x v="8"/>
    <x v="0"/>
    <x v="0"/>
    <x v="84"/>
    <x v="0"/>
    <x v="3"/>
    <n v="42.727709816837724"/>
  </r>
  <r>
    <x v="1"/>
    <x v="8"/>
    <x v="0"/>
    <x v="0"/>
    <x v="84"/>
    <x v="0"/>
    <x v="4"/>
    <n v="107.35904422131063"/>
  </r>
  <r>
    <x v="1"/>
    <x v="8"/>
    <x v="0"/>
    <x v="0"/>
    <x v="84"/>
    <x v="0"/>
    <x v="5"/>
    <n v="155.43210264502542"/>
  </r>
  <r>
    <x v="1"/>
    <x v="8"/>
    <x v="0"/>
    <x v="0"/>
    <x v="84"/>
    <x v="0"/>
    <x v="6"/>
    <n v="217.84797982913801"/>
  </r>
  <r>
    <x v="0"/>
    <x v="0"/>
    <x v="4"/>
    <x v="7"/>
    <x v="85"/>
    <x v="0"/>
    <x v="0"/>
    <n v="0"/>
  </r>
  <r>
    <x v="0"/>
    <x v="0"/>
    <x v="4"/>
    <x v="7"/>
    <x v="85"/>
    <x v="0"/>
    <x v="1"/>
    <n v="0"/>
  </r>
  <r>
    <x v="0"/>
    <x v="0"/>
    <x v="4"/>
    <x v="7"/>
    <x v="85"/>
    <x v="0"/>
    <x v="2"/>
    <n v="0"/>
  </r>
  <r>
    <x v="0"/>
    <x v="0"/>
    <x v="4"/>
    <x v="7"/>
    <x v="85"/>
    <x v="0"/>
    <x v="3"/>
    <n v="0"/>
  </r>
  <r>
    <x v="0"/>
    <x v="0"/>
    <x v="4"/>
    <x v="7"/>
    <x v="85"/>
    <x v="0"/>
    <x v="4"/>
    <n v="0"/>
  </r>
  <r>
    <x v="0"/>
    <x v="0"/>
    <x v="4"/>
    <x v="7"/>
    <x v="85"/>
    <x v="0"/>
    <x v="5"/>
    <n v="0"/>
  </r>
  <r>
    <x v="0"/>
    <x v="0"/>
    <x v="4"/>
    <x v="7"/>
    <x v="85"/>
    <x v="0"/>
    <x v="6"/>
    <n v="0"/>
  </r>
  <r>
    <x v="0"/>
    <x v="1"/>
    <x v="4"/>
    <x v="7"/>
    <x v="85"/>
    <x v="0"/>
    <x v="0"/>
    <n v="0"/>
  </r>
  <r>
    <x v="0"/>
    <x v="1"/>
    <x v="4"/>
    <x v="7"/>
    <x v="85"/>
    <x v="0"/>
    <x v="1"/>
    <n v="0"/>
  </r>
  <r>
    <x v="0"/>
    <x v="1"/>
    <x v="4"/>
    <x v="7"/>
    <x v="85"/>
    <x v="0"/>
    <x v="2"/>
    <n v="0"/>
  </r>
  <r>
    <x v="0"/>
    <x v="1"/>
    <x v="4"/>
    <x v="7"/>
    <x v="85"/>
    <x v="0"/>
    <x v="3"/>
    <n v="0"/>
  </r>
  <r>
    <x v="0"/>
    <x v="1"/>
    <x v="4"/>
    <x v="7"/>
    <x v="85"/>
    <x v="0"/>
    <x v="4"/>
    <n v="0"/>
  </r>
  <r>
    <x v="0"/>
    <x v="1"/>
    <x v="4"/>
    <x v="7"/>
    <x v="85"/>
    <x v="0"/>
    <x v="5"/>
    <n v="0"/>
  </r>
  <r>
    <x v="0"/>
    <x v="1"/>
    <x v="4"/>
    <x v="7"/>
    <x v="85"/>
    <x v="0"/>
    <x v="6"/>
    <n v="0"/>
  </r>
  <r>
    <x v="0"/>
    <x v="2"/>
    <x v="4"/>
    <x v="7"/>
    <x v="85"/>
    <x v="0"/>
    <x v="0"/>
    <n v="0"/>
  </r>
  <r>
    <x v="0"/>
    <x v="2"/>
    <x v="4"/>
    <x v="7"/>
    <x v="85"/>
    <x v="0"/>
    <x v="1"/>
    <n v="0"/>
  </r>
  <r>
    <x v="0"/>
    <x v="2"/>
    <x v="4"/>
    <x v="7"/>
    <x v="85"/>
    <x v="0"/>
    <x v="2"/>
    <n v="0"/>
  </r>
  <r>
    <x v="0"/>
    <x v="2"/>
    <x v="4"/>
    <x v="7"/>
    <x v="85"/>
    <x v="0"/>
    <x v="3"/>
    <n v="0"/>
  </r>
  <r>
    <x v="0"/>
    <x v="2"/>
    <x v="4"/>
    <x v="7"/>
    <x v="85"/>
    <x v="0"/>
    <x v="4"/>
    <n v="0"/>
  </r>
  <r>
    <x v="0"/>
    <x v="2"/>
    <x v="4"/>
    <x v="7"/>
    <x v="85"/>
    <x v="0"/>
    <x v="5"/>
    <n v="0"/>
  </r>
  <r>
    <x v="0"/>
    <x v="2"/>
    <x v="4"/>
    <x v="7"/>
    <x v="85"/>
    <x v="0"/>
    <x v="6"/>
    <n v="0"/>
  </r>
  <r>
    <x v="0"/>
    <x v="3"/>
    <x v="4"/>
    <x v="7"/>
    <x v="85"/>
    <x v="0"/>
    <x v="0"/>
    <n v="0"/>
  </r>
  <r>
    <x v="0"/>
    <x v="3"/>
    <x v="4"/>
    <x v="7"/>
    <x v="85"/>
    <x v="0"/>
    <x v="1"/>
    <n v="0"/>
  </r>
  <r>
    <x v="0"/>
    <x v="3"/>
    <x v="4"/>
    <x v="7"/>
    <x v="85"/>
    <x v="0"/>
    <x v="2"/>
    <n v="0"/>
  </r>
  <r>
    <x v="0"/>
    <x v="3"/>
    <x v="4"/>
    <x v="7"/>
    <x v="85"/>
    <x v="0"/>
    <x v="3"/>
    <n v="0"/>
  </r>
  <r>
    <x v="0"/>
    <x v="3"/>
    <x v="4"/>
    <x v="7"/>
    <x v="85"/>
    <x v="0"/>
    <x v="4"/>
    <n v="0"/>
  </r>
  <r>
    <x v="0"/>
    <x v="3"/>
    <x v="4"/>
    <x v="7"/>
    <x v="85"/>
    <x v="0"/>
    <x v="5"/>
    <n v="0"/>
  </r>
  <r>
    <x v="0"/>
    <x v="3"/>
    <x v="4"/>
    <x v="7"/>
    <x v="85"/>
    <x v="0"/>
    <x v="6"/>
    <n v="0"/>
  </r>
  <r>
    <x v="0"/>
    <x v="4"/>
    <x v="4"/>
    <x v="7"/>
    <x v="85"/>
    <x v="0"/>
    <x v="0"/>
    <n v="0"/>
  </r>
  <r>
    <x v="0"/>
    <x v="4"/>
    <x v="4"/>
    <x v="7"/>
    <x v="85"/>
    <x v="0"/>
    <x v="1"/>
    <n v="0"/>
  </r>
  <r>
    <x v="0"/>
    <x v="4"/>
    <x v="4"/>
    <x v="7"/>
    <x v="85"/>
    <x v="0"/>
    <x v="2"/>
    <n v="0"/>
  </r>
  <r>
    <x v="0"/>
    <x v="4"/>
    <x v="4"/>
    <x v="7"/>
    <x v="85"/>
    <x v="0"/>
    <x v="3"/>
    <n v="0"/>
  </r>
  <r>
    <x v="0"/>
    <x v="4"/>
    <x v="4"/>
    <x v="7"/>
    <x v="85"/>
    <x v="0"/>
    <x v="4"/>
    <n v="0"/>
  </r>
  <r>
    <x v="0"/>
    <x v="4"/>
    <x v="4"/>
    <x v="7"/>
    <x v="85"/>
    <x v="0"/>
    <x v="5"/>
    <n v="0"/>
  </r>
  <r>
    <x v="0"/>
    <x v="4"/>
    <x v="4"/>
    <x v="7"/>
    <x v="85"/>
    <x v="0"/>
    <x v="6"/>
    <n v="0"/>
  </r>
  <r>
    <x v="0"/>
    <x v="5"/>
    <x v="4"/>
    <x v="7"/>
    <x v="85"/>
    <x v="0"/>
    <x v="0"/>
    <n v="1.3592389992113355E-2"/>
  </r>
  <r>
    <x v="0"/>
    <x v="5"/>
    <x v="4"/>
    <x v="7"/>
    <x v="85"/>
    <x v="0"/>
    <x v="1"/>
    <n v="5.710108621612394E-2"/>
  </r>
  <r>
    <x v="0"/>
    <x v="5"/>
    <x v="4"/>
    <x v="7"/>
    <x v="85"/>
    <x v="0"/>
    <x v="2"/>
    <n v="0.19174637348038007"/>
  </r>
  <r>
    <x v="0"/>
    <x v="5"/>
    <x v="4"/>
    <x v="7"/>
    <x v="85"/>
    <x v="0"/>
    <x v="3"/>
    <n v="0.59006369487835331"/>
  </r>
  <r>
    <x v="0"/>
    <x v="5"/>
    <x v="4"/>
    <x v="7"/>
    <x v="85"/>
    <x v="0"/>
    <x v="4"/>
    <n v="1.6427531271261762"/>
  </r>
  <r>
    <x v="0"/>
    <x v="5"/>
    <x v="4"/>
    <x v="7"/>
    <x v="85"/>
    <x v="0"/>
    <x v="5"/>
    <n v="4.1090629912739622"/>
  </r>
  <r>
    <x v="0"/>
    <x v="5"/>
    <x v="4"/>
    <x v="7"/>
    <x v="85"/>
    <x v="0"/>
    <x v="6"/>
    <n v="8.7534746882327887"/>
  </r>
  <r>
    <x v="0"/>
    <x v="6"/>
    <x v="4"/>
    <x v="7"/>
    <x v="85"/>
    <x v="0"/>
    <x v="0"/>
    <n v="0"/>
  </r>
  <r>
    <x v="0"/>
    <x v="6"/>
    <x v="4"/>
    <x v="7"/>
    <x v="85"/>
    <x v="0"/>
    <x v="1"/>
    <n v="0"/>
  </r>
  <r>
    <x v="0"/>
    <x v="6"/>
    <x v="4"/>
    <x v="7"/>
    <x v="85"/>
    <x v="0"/>
    <x v="2"/>
    <n v="0"/>
  </r>
  <r>
    <x v="0"/>
    <x v="6"/>
    <x v="4"/>
    <x v="7"/>
    <x v="85"/>
    <x v="0"/>
    <x v="3"/>
    <n v="0"/>
  </r>
  <r>
    <x v="0"/>
    <x v="6"/>
    <x v="4"/>
    <x v="7"/>
    <x v="85"/>
    <x v="0"/>
    <x v="4"/>
    <n v="0"/>
  </r>
  <r>
    <x v="0"/>
    <x v="6"/>
    <x v="4"/>
    <x v="7"/>
    <x v="85"/>
    <x v="0"/>
    <x v="5"/>
    <n v="0"/>
  </r>
  <r>
    <x v="0"/>
    <x v="6"/>
    <x v="4"/>
    <x v="7"/>
    <x v="85"/>
    <x v="0"/>
    <x v="6"/>
    <n v="0"/>
  </r>
  <r>
    <x v="0"/>
    <x v="7"/>
    <x v="4"/>
    <x v="7"/>
    <x v="85"/>
    <x v="0"/>
    <x v="0"/>
    <n v="0.50238531353338134"/>
  </r>
  <r>
    <x v="0"/>
    <x v="7"/>
    <x v="4"/>
    <x v="7"/>
    <x v="85"/>
    <x v="0"/>
    <x v="1"/>
    <n v="3.1408338626484817"/>
  </r>
  <r>
    <x v="0"/>
    <x v="7"/>
    <x v="4"/>
    <x v="7"/>
    <x v="85"/>
    <x v="0"/>
    <x v="2"/>
    <n v="18.23422027334464"/>
  </r>
  <r>
    <x v="0"/>
    <x v="7"/>
    <x v="4"/>
    <x v="7"/>
    <x v="85"/>
    <x v="0"/>
    <x v="3"/>
    <n v="103.57483880189655"/>
  </r>
  <r>
    <x v="0"/>
    <x v="7"/>
    <x v="4"/>
    <x v="7"/>
    <x v="85"/>
    <x v="0"/>
    <x v="4"/>
    <n v="194.34737590667399"/>
  </r>
  <r>
    <x v="0"/>
    <x v="7"/>
    <x v="4"/>
    <x v="7"/>
    <x v="85"/>
    <x v="0"/>
    <x v="5"/>
    <n v="313.85096472053601"/>
  </r>
  <r>
    <x v="0"/>
    <x v="7"/>
    <x v="4"/>
    <x v="7"/>
    <x v="85"/>
    <x v="0"/>
    <x v="6"/>
    <n v="371.34595007066986"/>
  </r>
  <r>
    <x v="0"/>
    <x v="8"/>
    <x v="4"/>
    <x v="7"/>
    <x v="85"/>
    <x v="0"/>
    <x v="0"/>
    <n v="0.8253661970780416"/>
  </r>
  <r>
    <x v="0"/>
    <x v="8"/>
    <x v="4"/>
    <x v="7"/>
    <x v="85"/>
    <x v="0"/>
    <x v="1"/>
    <n v="1.9857121006498477"/>
  </r>
  <r>
    <x v="0"/>
    <x v="8"/>
    <x v="4"/>
    <x v="7"/>
    <x v="85"/>
    <x v="0"/>
    <x v="2"/>
    <n v="4.0902809516962169"/>
  </r>
  <r>
    <x v="0"/>
    <x v="8"/>
    <x v="4"/>
    <x v="7"/>
    <x v="85"/>
    <x v="0"/>
    <x v="3"/>
    <n v="8.3501538687224119"/>
  </r>
  <r>
    <x v="0"/>
    <x v="8"/>
    <x v="4"/>
    <x v="7"/>
    <x v="85"/>
    <x v="0"/>
    <x v="4"/>
    <n v="16.988849093419731"/>
  </r>
  <r>
    <x v="0"/>
    <x v="8"/>
    <x v="4"/>
    <x v="7"/>
    <x v="85"/>
    <x v="0"/>
    <x v="5"/>
    <n v="32.291143157151346"/>
  </r>
  <r>
    <x v="0"/>
    <x v="8"/>
    <x v="4"/>
    <x v="7"/>
    <x v="85"/>
    <x v="0"/>
    <x v="6"/>
    <n v="46.231353794802928"/>
  </r>
  <r>
    <x v="1"/>
    <x v="0"/>
    <x v="4"/>
    <x v="7"/>
    <x v="85"/>
    <x v="0"/>
    <x v="0"/>
    <n v="0"/>
  </r>
  <r>
    <x v="1"/>
    <x v="0"/>
    <x v="4"/>
    <x v="7"/>
    <x v="85"/>
    <x v="0"/>
    <x v="1"/>
    <n v="0"/>
  </r>
  <r>
    <x v="1"/>
    <x v="0"/>
    <x v="4"/>
    <x v="7"/>
    <x v="85"/>
    <x v="0"/>
    <x v="2"/>
    <n v="0"/>
  </r>
  <r>
    <x v="1"/>
    <x v="0"/>
    <x v="4"/>
    <x v="7"/>
    <x v="85"/>
    <x v="0"/>
    <x v="3"/>
    <n v="0"/>
  </r>
  <r>
    <x v="1"/>
    <x v="0"/>
    <x v="4"/>
    <x v="7"/>
    <x v="85"/>
    <x v="0"/>
    <x v="4"/>
    <n v="0"/>
  </r>
  <r>
    <x v="1"/>
    <x v="0"/>
    <x v="4"/>
    <x v="7"/>
    <x v="85"/>
    <x v="0"/>
    <x v="5"/>
    <n v="0"/>
  </r>
  <r>
    <x v="1"/>
    <x v="0"/>
    <x v="4"/>
    <x v="7"/>
    <x v="85"/>
    <x v="0"/>
    <x v="6"/>
    <n v="0"/>
  </r>
  <r>
    <x v="1"/>
    <x v="1"/>
    <x v="4"/>
    <x v="7"/>
    <x v="85"/>
    <x v="0"/>
    <x v="0"/>
    <n v="0"/>
  </r>
  <r>
    <x v="1"/>
    <x v="1"/>
    <x v="4"/>
    <x v="7"/>
    <x v="85"/>
    <x v="0"/>
    <x v="1"/>
    <n v="0"/>
  </r>
  <r>
    <x v="1"/>
    <x v="1"/>
    <x v="4"/>
    <x v="7"/>
    <x v="85"/>
    <x v="0"/>
    <x v="2"/>
    <n v="0"/>
  </r>
  <r>
    <x v="1"/>
    <x v="1"/>
    <x v="4"/>
    <x v="7"/>
    <x v="85"/>
    <x v="0"/>
    <x v="3"/>
    <n v="0"/>
  </r>
  <r>
    <x v="1"/>
    <x v="1"/>
    <x v="4"/>
    <x v="7"/>
    <x v="85"/>
    <x v="0"/>
    <x v="4"/>
    <n v="0"/>
  </r>
  <r>
    <x v="1"/>
    <x v="1"/>
    <x v="4"/>
    <x v="7"/>
    <x v="85"/>
    <x v="0"/>
    <x v="5"/>
    <n v="0"/>
  </r>
  <r>
    <x v="1"/>
    <x v="1"/>
    <x v="4"/>
    <x v="7"/>
    <x v="85"/>
    <x v="0"/>
    <x v="6"/>
    <n v="0"/>
  </r>
  <r>
    <x v="1"/>
    <x v="2"/>
    <x v="4"/>
    <x v="7"/>
    <x v="85"/>
    <x v="0"/>
    <x v="0"/>
    <n v="0"/>
  </r>
  <r>
    <x v="1"/>
    <x v="2"/>
    <x v="4"/>
    <x v="7"/>
    <x v="85"/>
    <x v="0"/>
    <x v="1"/>
    <n v="0"/>
  </r>
  <r>
    <x v="1"/>
    <x v="2"/>
    <x v="4"/>
    <x v="7"/>
    <x v="85"/>
    <x v="0"/>
    <x v="2"/>
    <n v="0"/>
  </r>
  <r>
    <x v="1"/>
    <x v="2"/>
    <x v="4"/>
    <x v="7"/>
    <x v="85"/>
    <x v="0"/>
    <x v="3"/>
    <n v="0"/>
  </r>
  <r>
    <x v="1"/>
    <x v="2"/>
    <x v="4"/>
    <x v="7"/>
    <x v="85"/>
    <x v="0"/>
    <x v="4"/>
    <n v="0"/>
  </r>
  <r>
    <x v="1"/>
    <x v="2"/>
    <x v="4"/>
    <x v="7"/>
    <x v="85"/>
    <x v="0"/>
    <x v="5"/>
    <n v="0"/>
  </r>
  <r>
    <x v="1"/>
    <x v="2"/>
    <x v="4"/>
    <x v="7"/>
    <x v="85"/>
    <x v="0"/>
    <x v="6"/>
    <n v="0"/>
  </r>
  <r>
    <x v="1"/>
    <x v="3"/>
    <x v="4"/>
    <x v="7"/>
    <x v="85"/>
    <x v="0"/>
    <x v="0"/>
    <n v="0"/>
  </r>
  <r>
    <x v="1"/>
    <x v="3"/>
    <x v="4"/>
    <x v="7"/>
    <x v="85"/>
    <x v="0"/>
    <x v="1"/>
    <n v="0"/>
  </r>
  <r>
    <x v="1"/>
    <x v="3"/>
    <x v="4"/>
    <x v="7"/>
    <x v="85"/>
    <x v="0"/>
    <x v="2"/>
    <n v="0"/>
  </r>
  <r>
    <x v="1"/>
    <x v="3"/>
    <x v="4"/>
    <x v="7"/>
    <x v="85"/>
    <x v="0"/>
    <x v="3"/>
    <n v="0"/>
  </r>
  <r>
    <x v="1"/>
    <x v="3"/>
    <x v="4"/>
    <x v="7"/>
    <x v="85"/>
    <x v="0"/>
    <x v="4"/>
    <n v="0"/>
  </r>
  <r>
    <x v="1"/>
    <x v="3"/>
    <x v="4"/>
    <x v="7"/>
    <x v="85"/>
    <x v="0"/>
    <x v="5"/>
    <n v="0"/>
  </r>
  <r>
    <x v="1"/>
    <x v="3"/>
    <x v="4"/>
    <x v="7"/>
    <x v="85"/>
    <x v="0"/>
    <x v="6"/>
    <n v="0"/>
  </r>
  <r>
    <x v="1"/>
    <x v="4"/>
    <x v="4"/>
    <x v="7"/>
    <x v="85"/>
    <x v="0"/>
    <x v="0"/>
    <n v="0"/>
  </r>
  <r>
    <x v="1"/>
    <x v="4"/>
    <x v="4"/>
    <x v="7"/>
    <x v="85"/>
    <x v="0"/>
    <x v="1"/>
    <n v="0"/>
  </r>
  <r>
    <x v="1"/>
    <x v="4"/>
    <x v="4"/>
    <x v="7"/>
    <x v="85"/>
    <x v="0"/>
    <x v="2"/>
    <n v="0"/>
  </r>
  <r>
    <x v="1"/>
    <x v="4"/>
    <x v="4"/>
    <x v="7"/>
    <x v="85"/>
    <x v="0"/>
    <x v="3"/>
    <n v="0"/>
  </r>
  <r>
    <x v="1"/>
    <x v="4"/>
    <x v="4"/>
    <x v="7"/>
    <x v="85"/>
    <x v="0"/>
    <x v="4"/>
    <n v="0"/>
  </r>
  <r>
    <x v="1"/>
    <x v="4"/>
    <x v="4"/>
    <x v="7"/>
    <x v="85"/>
    <x v="0"/>
    <x v="5"/>
    <n v="0"/>
  </r>
  <r>
    <x v="1"/>
    <x v="4"/>
    <x v="4"/>
    <x v="7"/>
    <x v="85"/>
    <x v="0"/>
    <x v="6"/>
    <n v="0"/>
  </r>
  <r>
    <x v="1"/>
    <x v="5"/>
    <x v="4"/>
    <x v="7"/>
    <x v="85"/>
    <x v="0"/>
    <x v="0"/>
    <n v="0"/>
  </r>
  <r>
    <x v="1"/>
    <x v="5"/>
    <x v="4"/>
    <x v="7"/>
    <x v="85"/>
    <x v="0"/>
    <x v="1"/>
    <n v="0"/>
  </r>
  <r>
    <x v="1"/>
    <x v="5"/>
    <x v="4"/>
    <x v="7"/>
    <x v="85"/>
    <x v="0"/>
    <x v="2"/>
    <n v="0"/>
  </r>
  <r>
    <x v="1"/>
    <x v="5"/>
    <x v="4"/>
    <x v="7"/>
    <x v="85"/>
    <x v="0"/>
    <x v="3"/>
    <n v="0"/>
  </r>
  <r>
    <x v="1"/>
    <x v="5"/>
    <x v="4"/>
    <x v="7"/>
    <x v="85"/>
    <x v="0"/>
    <x v="4"/>
    <n v="0"/>
  </r>
  <r>
    <x v="1"/>
    <x v="5"/>
    <x v="4"/>
    <x v="7"/>
    <x v="85"/>
    <x v="0"/>
    <x v="5"/>
    <n v="0"/>
  </r>
  <r>
    <x v="1"/>
    <x v="5"/>
    <x v="4"/>
    <x v="7"/>
    <x v="85"/>
    <x v="0"/>
    <x v="6"/>
    <n v="0"/>
  </r>
  <r>
    <x v="1"/>
    <x v="6"/>
    <x v="4"/>
    <x v="7"/>
    <x v="85"/>
    <x v="0"/>
    <x v="0"/>
    <n v="0"/>
  </r>
  <r>
    <x v="1"/>
    <x v="6"/>
    <x v="4"/>
    <x v="7"/>
    <x v="85"/>
    <x v="0"/>
    <x v="1"/>
    <n v="0"/>
  </r>
  <r>
    <x v="1"/>
    <x v="6"/>
    <x v="4"/>
    <x v="7"/>
    <x v="85"/>
    <x v="0"/>
    <x v="2"/>
    <n v="0"/>
  </r>
  <r>
    <x v="1"/>
    <x v="6"/>
    <x v="4"/>
    <x v="7"/>
    <x v="85"/>
    <x v="0"/>
    <x v="3"/>
    <n v="0"/>
  </r>
  <r>
    <x v="1"/>
    <x v="6"/>
    <x v="4"/>
    <x v="7"/>
    <x v="85"/>
    <x v="0"/>
    <x v="4"/>
    <n v="0"/>
  </r>
  <r>
    <x v="1"/>
    <x v="6"/>
    <x v="4"/>
    <x v="7"/>
    <x v="85"/>
    <x v="0"/>
    <x v="5"/>
    <n v="0"/>
  </r>
  <r>
    <x v="1"/>
    <x v="6"/>
    <x v="4"/>
    <x v="7"/>
    <x v="85"/>
    <x v="0"/>
    <x v="6"/>
    <n v="0"/>
  </r>
  <r>
    <x v="1"/>
    <x v="7"/>
    <x v="4"/>
    <x v="7"/>
    <x v="85"/>
    <x v="0"/>
    <x v="0"/>
    <n v="0"/>
  </r>
  <r>
    <x v="1"/>
    <x v="7"/>
    <x v="4"/>
    <x v="7"/>
    <x v="85"/>
    <x v="0"/>
    <x v="1"/>
    <n v="0"/>
  </r>
  <r>
    <x v="1"/>
    <x v="7"/>
    <x v="4"/>
    <x v="7"/>
    <x v="85"/>
    <x v="0"/>
    <x v="2"/>
    <n v="0"/>
  </r>
  <r>
    <x v="1"/>
    <x v="7"/>
    <x v="4"/>
    <x v="7"/>
    <x v="85"/>
    <x v="0"/>
    <x v="3"/>
    <n v="0"/>
  </r>
  <r>
    <x v="1"/>
    <x v="7"/>
    <x v="4"/>
    <x v="7"/>
    <x v="85"/>
    <x v="0"/>
    <x v="4"/>
    <n v="0"/>
  </r>
  <r>
    <x v="1"/>
    <x v="7"/>
    <x v="4"/>
    <x v="7"/>
    <x v="85"/>
    <x v="0"/>
    <x v="5"/>
    <n v="0"/>
  </r>
  <r>
    <x v="1"/>
    <x v="7"/>
    <x v="4"/>
    <x v="7"/>
    <x v="85"/>
    <x v="0"/>
    <x v="6"/>
    <n v="0"/>
  </r>
  <r>
    <x v="1"/>
    <x v="8"/>
    <x v="4"/>
    <x v="7"/>
    <x v="85"/>
    <x v="0"/>
    <x v="0"/>
    <n v="1.7902115681199184E-3"/>
  </r>
  <r>
    <x v="1"/>
    <x v="8"/>
    <x v="4"/>
    <x v="7"/>
    <x v="85"/>
    <x v="0"/>
    <x v="1"/>
    <n v="1.995815544642164E-3"/>
  </r>
  <r>
    <x v="1"/>
    <x v="8"/>
    <x v="4"/>
    <x v="7"/>
    <x v="85"/>
    <x v="0"/>
    <x v="2"/>
    <n v="1.9050382319863181E-3"/>
  </r>
  <r>
    <x v="1"/>
    <x v="8"/>
    <x v="4"/>
    <x v="7"/>
    <x v="85"/>
    <x v="0"/>
    <x v="3"/>
    <n v="1.8021522244527329E-3"/>
  </r>
  <r>
    <x v="1"/>
    <x v="8"/>
    <x v="4"/>
    <x v="7"/>
    <x v="85"/>
    <x v="0"/>
    <x v="4"/>
    <n v="1.6990548148232685E-3"/>
  </r>
  <r>
    <x v="1"/>
    <x v="8"/>
    <x v="4"/>
    <x v="7"/>
    <x v="85"/>
    <x v="0"/>
    <x v="5"/>
    <n v="3.2294372594407232E-3"/>
  </r>
  <r>
    <x v="1"/>
    <x v="8"/>
    <x v="4"/>
    <x v="7"/>
    <x v="85"/>
    <x v="0"/>
    <x v="6"/>
    <n v="-3.7404580810853883E-3"/>
  </r>
  <r>
    <x v="0"/>
    <x v="7"/>
    <x v="4"/>
    <x v="7"/>
    <x v="86"/>
    <x v="0"/>
    <x v="0"/>
    <n v="1.4582323031695901"/>
  </r>
  <r>
    <x v="0"/>
    <x v="7"/>
    <x v="4"/>
    <x v="7"/>
    <x v="86"/>
    <x v="0"/>
    <x v="1"/>
    <n v="2.9645077697368669"/>
  </r>
  <r>
    <x v="0"/>
    <x v="7"/>
    <x v="4"/>
    <x v="7"/>
    <x v="86"/>
    <x v="0"/>
    <x v="2"/>
    <n v="5.9571244688148424"/>
  </r>
  <r>
    <x v="0"/>
    <x v="7"/>
    <x v="4"/>
    <x v="7"/>
    <x v="86"/>
    <x v="0"/>
    <x v="3"/>
    <n v="6.2448643385008369"/>
  </r>
  <r>
    <x v="0"/>
    <x v="7"/>
    <x v="4"/>
    <x v="7"/>
    <x v="86"/>
    <x v="0"/>
    <x v="4"/>
    <n v="7.6902155454674448"/>
  </r>
  <r>
    <x v="0"/>
    <x v="7"/>
    <x v="4"/>
    <x v="7"/>
    <x v="86"/>
    <x v="0"/>
    <x v="5"/>
    <n v="8.2147560009523826"/>
  </r>
  <r>
    <x v="0"/>
    <x v="7"/>
    <x v="4"/>
    <x v="7"/>
    <x v="86"/>
    <x v="0"/>
    <x v="6"/>
    <n v="8.3137022437257695"/>
  </r>
  <r>
    <x v="1"/>
    <x v="7"/>
    <x v="4"/>
    <x v="7"/>
    <x v="86"/>
    <x v="0"/>
    <x v="0"/>
    <n v="0"/>
  </r>
  <r>
    <x v="1"/>
    <x v="7"/>
    <x v="4"/>
    <x v="7"/>
    <x v="86"/>
    <x v="0"/>
    <x v="0"/>
    <n v="0"/>
  </r>
  <r>
    <x v="1"/>
    <x v="7"/>
    <x v="4"/>
    <x v="7"/>
    <x v="86"/>
    <x v="0"/>
    <x v="1"/>
    <n v="0"/>
  </r>
  <r>
    <x v="1"/>
    <x v="7"/>
    <x v="4"/>
    <x v="7"/>
    <x v="86"/>
    <x v="0"/>
    <x v="2"/>
    <n v="0"/>
  </r>
  <r>
    <x v="1"/>
    <x v="7"/>
    <x v="4"/>
    <x v="7"/>
    <x v="86"/>
    <x v="0"/>
    <x v="3"/>
    <n v="0"/>
  </r>
  <r>
    <x v="1"/>
    <x v="7"/>
    <x v="4"/>
    <x v="7"/>
    <x v="86"/>
    <x v="0"/>
    <x v="4"/>
    <n v="0"/>
  </r>
  <r>
    <x v="1"/>
    <x v="7"/>
    <x v="4"/>
    <x v="7"/>
    <x v="86"/>
    <x v="0"/>
    <x v="5"/>
    <n v="0"/>
  </r>
  <r>
    <x v="0"/>
    <x v="1"/>
    <x v="4"/>
    <x v="7"/>
    <x v="86"/>
    <x v="0"/>
    <x v="0"/>
    <n v="2.5105901417384101E-4"/>
  </r>
  <r>
    <x v="0"/>
    <x v="1"/>
    <x v="4"/>
    <x v="7"/>
    <x v="86"/>
    <x v="0"/>
    <x v="0"/>
    <n v="2.5105901417384101E-4"/>
  </r>
  <r>
    <x v="0"/>
    <x v="1"/>
    <x v="4"/>
    <x v="7"/>
    <x v="86"/>
    <x v="0"/>
    <x v="1"/>
    <n v="1.1157045855060906E-3"/>
  </r>
  <r>
    <x v="0"/>
    <x v="1"/>
    <x v="4"/>
    <x v="7"/>
    <x v="86"/>
    <x v="0"/>
    <x v="2"/>
    <n v="4.8285996650387804E-3"/>
  </r>
  <r>
    <x v="0"/>
    <x v="1"/>
    <x v="4"/>
    <x v="7"/>
    <x v="86"/>
    <x v="0"/>
    <x v="3"/>
    <n v="2.1778103679124371E-2"/>
  </r>
  <r>
    <x v="0"/>
    <x v="1"/>
    <x v="4"/>
    <x v="7"/>
    <x v="86"/>
    <x v="0"/>
    <x v="4"/>
    <n v="9.6151912812240309E-2"/>
  </r>
  <r>
    <x v="0"/>
    <x v="1"/>
    <x v="4"/>
    <x v="7"/>
    <x v="86"/>
    <x v="0"/>
    <x v="5"/>
    <n v="0.13007017586698616"/>
  </r>
  <r>
    <x v="1"/>
    <x v="1"/>
    <x v="4"/>
    <x v="7"/>
    <x v="86"/>
    <x v="0"/>
    <x v="0"/>
    <n v="0"/>
  </r>
  <r>
    <x v="1"/>
    <x v="1"/>
    <x v="4"/>
    <x v="7"/>
    <x v="86"/>
    <x v="0"/>
    <x v="0"/>
    <n v="0"/>
  </r>
  <r>
    <x v="1"/>
    <x v="1"/>
    <x v="4"/>
    <x v="7"/>
    <x v="86"/>
    <x v="0"/>
    <x v="1"/>
    <n v="0"/>
  </r>
  <r>
    <x v="1"/>
    <x v="1"/>
    <x v="4"/>
    <x v="7"/>
    <x v="86"/>
    <x v="0"/>
    <x v="2"/>
    <n v="0"/>
  </r>
  <r>
    <x v="1"/>
    <x v="1"/>
    <x v="4"/>
    <x v="7"/>
    <x v="86"/>
    <x v="0"/>
    <x v="3"/>
    <n v="0"/>
  </r>
  <r>
    <x v="1"/>
    <x v="1"/>
    <x v="4"/>
    <x v="7"/>
    <x v="86"/>
    <x v="0"/>
    <x v="4"/>
    <n v="0"/>
  </r>
  <r>
    <x v="1"/>
    <x v="1"/>
    <x v="4"/>
    <x v="7"/>
    <x v="86"/>
    <x v="0"/>
    <x v="5"/>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2"/>
    <x v="1"/>
    <x v="0"/>
    <n v="175.58615027582218"/>
  </r>
  <r>
    <x v="0"/>
    <x v="0"/>
    <x v="0"/>
    <x v="1"/>
    <x v="2"/>
    <x v="1"/>
    <x v="1"/>
    <n v="646.86506215082989"/>
  </r>
  <r>
    <x v="0"/>
    <x v="0"/>
    <x v="0"/>
    <x v="1"/>
    <x v="2"/>
    <x v="1"/>
    <x v="2"/>
    <n v="1834.5799019395813"/>
  </r>
  <r>
    <x v="0"/>
    <x v="0"/>
    <x v="0"/>
    <x v="1"/>
    <x v="2"/>
    <x v="1"/>
    <x v="3"/>
    <n v="3436.2670621476013"/>
  </r>
  <r>
    <x v="0"/>
    <x v="0"/>
    <x v="0"/>
    <x v="1"/>
    <x v="2"/>
    <x v="1"/>
    <x v="4"/>
    <n v="5220.6433960110771"/>
  </r>
  <r>
    <x v="0"/>
    <x v="0"/>
    <x v="0"/>
    <x v="1"/>
    <x v="2"/>
    <x v="1"/>
    <x v="5"/>
    <n v="6400.4117928207424"/>
  </r>
  <r>
    <x v="0"/>
    <x v="0"/>
    <x v="0"/>
    <x v="1"/>
    <x v="2"/>
    <x v="1"/>
    <x v="6"/>
    <n v="7742.4929920285513"/>
  </r>
  <r>
    <x v="0"/>
    <x v="0"/>
    <x v="0"/>
    <x v="1"/>
    <x v="3"/>
    <x v="1"/>
    <x v="0"/>
    <n v="0"/>
  </r>
  <r>
    <x v="0"/>
    <x v="0"/>
    <x v="0"/>
    <x v="1"/>
    <x v="3"/>
    <x v="1"/>
    <x v="1"/>
    <n v="0"/>
  </r>
  <r>
    <x v="0"/>
    <x v="0"/>
    <x v="0"/>
    <x v="1"/>
    <x v="3"/>
    <x v="1"/>
    <x v="2"/>
    <n v="0"/>
  </r>
  <r>
    <x v="0"/>
    <x v="0"/>
    <x v="0"/>
    <x v="1"/>
    <x v="3"/>
    <x v="1"/>
    <x v="3"/>
    <n v="0"/>
  </r>
  <r>
    <x v="0"/>
    <x v="0"/>
    <x v="0"/>
    <x v="1"/>
    <x v="3"/>
    <x v="1"/>
    <x v="4"/>
    <n v="0"/>
  </r>
  <r>
    <x v="0"/>
    <x v="0"/>
    <x v="0"/>
    <x v="1"/>
    <x v="3"/>
    <x v="1"/>
    <x v="5"/>
    <n v="0"/>
  </r>
  <r>
    <x v="0"/>
    <x v="0"/>
    <x v="0"/>
    <x v="1"/>
    <x v="3"/>
    <x v="1"/>
    <x v="6"/>
    <n v="0"/>
  </r>
  <r>
    <x v="0"/>
    <x v="0"/>
    <x v="0"/>
    <x v="1"/>
    <x v="4"/>
    <x v="1"/>
    <x v="0"/>
    <n v="0"/>
  </r>
  <r>
    <x v="0"/>
    <x v="0"/>
    <x v="0"/>
    <x v="1"/>
    <x v="4"/>
    <x v="1"/>
    <x v="1"/>
    <n v="0"/>
  </r>
  <r>
    <x v="0"/>
    <x v="0"/>
    <x v="0"/>
    <x v="1"/>
    <x v="4"/>
    <x v="1"/>
    <x v="2"/>
    <n v="0"/>
  </r>
  <r>
    <x v="0"/>
    <x v="0"/>
    <x v="0"/>
    <x v="1"/>
    <x v="4"/>
    <x v="1"/>
    <x v="3"/>
    <n v="0"/>
  </r>
  <r>
    <x v="0"/>
    <x v="0"/>
    <x v="0"/>
    <x v="1"/>
    <x v="4"/>
    <x v="1"/>
    <x v="4"/>
    <n v="0"/>
  </r>
  <r>
    <x v="0"/>
    <x v="0"/>
    <x v="0"/>
    <x v="1"/>
    <x v="4"/>
    <x v="1"/>
    <x v="5"/>
    <n v="0"/>
  </r>
  <r>
    <x v="0"/>
    <x v="0"/>
    <x v="0"/>
    <x v="1"/>
    <x v="4"/>
    <x v="1"/>
    <x v="6"/>
    <n v="0"/>
  </r>
  <r>
    <x v="0"/>
    <x v="0"/>
    <x v="0"/>
    <x v="1"/>
    <x v="5"/>
    <x v="1"/>
    <x v="0"/>
    <n v="45.160609192300264"/>
  </r>
  <r>
    <x v="0"/>
    <x v="0"/>
    <x v="0"/>
    <x v="1"/>
    <x v="5"/>
    <x v="1"/>
    <x v="1"/>
    <n v="115.41413634985919"/>
  </r>
  <r>
    <x v="0"/>
    <x v="0"/>
    <x v="0"/>
    <x v="1"/>
    <x v="5"/>
    <x v="1"/>
    <x v="2"/>
    <n v="244.5643442304426"/>
  </r>
  <r>
    <x v="0"/>
    <x v="0"/>
    <x v="0"/>
    <x v="1"/>
    <x v="5"/>
    <x v="1"/>
    <x v="3"/>
    <n v="458.70724609511706"/>
  </r>
  <r>
    <x v="0"/>
    <x v="0"/>
    <x v="0"/>
    <x v="1"/>
    <x v="5"/>
    <x v="1"/>
    <x v="4"/>
    <n v="532.60638371897778"/>
  </r>
  <r>
    <x v="0"/>
    <x v="0"/>
    <x v="0"/>
    <x v="1"/>
    <x v="5"/>
    <x v="1"/>
    <x v="5"/>
    <n v="682.05391107906496"/>
  </r>
  <r>
    <x v="0"/>
    <x v="0"/>
    <x v="0"/>
    <x v="1"/>
    <x v="5"/>
    <x v="1"/>
    <x v="6"/>
    <n v="901.79461347341407"/>
  </r>
  <r>
    <x v="0"/>
    <x v="0"/>
    <x v="0"/>
    <x v="1"/>
    <x v="6"/>
    <x v="1"/>
    <x v="0"/>
    <n v="261.50762351663593"/>
  </r>
  <r>
    <x v="0"/>
    <x v="0"/>
    <x v="0"/>
    <x v="1"/>
    <x v="6"/>
    <x v="1"/>
    <x v="1"/>
    <n v="393.71772601076384"/>
  </r>
  <r>
    <x v="0"/>
    <x v="0"/>
    <x v="0"/>
    <x v="1"/>
    <x v="6"/>
    <x v="1"/>
    <x v="2"/>
    <n v="609.22899423155786"/>
  </r>
  <r>
    <x v="0"/>
    <x v="0"/>
    <x v="0"/>
    <x v="1"/>
    <x v="6"/>
    <x v="1"/>
    <x v="3"/>
    <n v="1053.208481120316"/>
  </r>
  <r>
    <x v="0"/>
    <x v="0"/>
    <x v="0"/>
    <x v="1"/>
    <x v="6"/>
    <x v="1"/>
    <x v="4"/>
    <n v="1413.1688778550335"/>
  </r>
  <r>
    <x v="0"/>
    <x v="0"/>
    <x v="0"/>
    <x v="1"/>
    <x v="6"/>
    <x v="1"/>
    <x v="5"/>
    <n v="2112.1343708121426"/>
  </r>
  <r>
    <x v="0"/>
    <x v="0"/>
    <x v="0"/>
    <x v="1"/>
    <x v="6"/>
    <x v="1"/>
    <x v="6"/>
    <n v="3105.6469362045614"/>
  </r>
  <r>
    <x v="0"/>
    <x v="0"/>
    <x v="0"/>
    <x v="1"/>
    <x v="7"/>
    <x v="1"/>
    <x v="0"/>
    <n v="862.59514553744225"/>
  </r>
  <r>
    <x v="0"/>
    <x v="0"/>
    <x v="0"/>
    <x v="1"/>
    <x v="7"/>
    <x v="1"/>
    <x v="1"/>
    <n v="2118.0603660363768"/>
  </r>
  <r>
    <x v="0"/>
    <x v="0"/>
    <x v="0"/>
    <x v="1"/>
    <x v="7"/>
    <x v="1"/>
    <x v="2"/>
    <n v="4306.0953541737172"/>
  </r>
  <r>
    <x v="0"/>
    <x v="0"/>
    <x v="0"/>
    <x v="1"/>
    <x v="7"/>
    <x v="1"/>
    <x v="3"/>
    <n v="8492.9349133032047"/>
  </r>
  <r>
    <x v="0"/>
    <x v="0"/>
    <x v="0"/>
    <x v="1"/>
    <x v="7"/>
    <x v="1"/>
    <x v="4"/>
    <n v="11642.019765320225"/>
  </r>
  <r>
    <x v="0"/>
    <x v="0"/>
    <x v="0"/>
    <x v="1"/>
    <x v="7"/>
    <x v="1"/>
    <x v="5"/>
    <n v="14586.920888426075"/>
  </r>
  <r>
    <x v="0"/>
    <x v="0"/>
    <x v="0"/>
    <x v="1"/>
    <x v="7"/>
    <x v="1"/>
    <x v="6"/>
    <n v="17046.143816981443"/>
  </r>
  <r>
    <x v="0"/>
    <x v="0"/>
    <x v="0"/>
    <x v="1"/>
    <x v="8"/>
    <x v="1"/>
    <x v="0"/>
    <n v="0"/>
  </r>
  <r>
    <x v="0"/>
    <x v="0"/>
    <x v="0"/>
    <x v="1"/>
    <x v="8"/>
    <x v="1"/>
    <x v="1"/>
    <n v="0"/>
  </r>
  <r>
    <x v="0"/>
    <x v="0"/>
    <x v="0"/>
    <x v="1"/>
    <x v="8"/>
    <x v="1"/>
    <x v="2"/>
    <n v="0"/>
  </r>
  <r>
    <x v="0"/>
    <x v="0"/>
    <x v="0"/>
    <x v="1"/>
    <x v="8"/>
    <x v="1"/>
    <x v="3"/>
    <n v="0"/>
  </r>
  <r>
    <x v="0"/>
    <x v="0"/>
    <x v="0"/>
    <x v="1"/>
    <x v="8"/>
    <x v="1"/>
    <x v="4"/>
    <n v="0"/>
  </r>
  <r>
    <x v="0"/>
    <x v="0"/>
    <x v="0"/>
    <x v="1"/>
    <x v="8"/>
    <x v="1"/>
    <x v="5"/>
    <n v="0"/>
  </r>
  <r>
    <x v="0"/>
    <x v="0"/>
    <x v="0"/>
    <x v="1"/>
    <x v="8"/>
    <x v="1"/>
    <x v="6"/>
    <n v="0"/>
  </r>
  <r>
    <x v="0"/>
    <x v="0"/>
    <x v="0"/>
    <x v="1"/>
    <x v="9"/>
    <x v="1"/>
    <x v="0"/>
    <n v="292.49008391620487"/>
  </r>
  <r>
    <x v="0"/>
    <x v="0"/>
    <x v="0"/>
    <x v="1"/>
    <x v="9"/>
    <x v="1"/>
    <x v="1"/>
    <n v="568.80974008855208"/>
  </r>
  <r>
    <x v="0"/>
    <x v="0"/>
    <x v="0"/>
    <x v="1"/>
    <x v="9"/>
    <x v="1"/>
    <x v="2"/>
    <n v="1201.4105122986873"/>
  </r>
  <r>
    <x v="0"/>
    <x v="0"/>
    <x v="0"/>
    <x v="1"/>
    <x v="9"/>
    <x v="1"/>
    <x v="3"/>
    <n v="2182.2272690513064"/>
  </r>
  <r>
    <x v="0"/>
    <x v="0"/>
    <x v="0"/>
    <x v="1"/>
    <x v="9"/>
    <x v="1"/>
    <x v="4"/>
    <n v="2453.1143679513093"/>
  </r>
  <r>
    <x v="0"/>
    <x v="0"/>
    <x v="0"/>
    <x v="1"/>
    <x v="9"/>
    <x v="1"/>
    <x v="5"/>
    <n v="3001.5047971863705"/>
  </r>
  <r>
    <x v="0"/>
    <x v="0"/>
    <x v="0"/>
    <x v="1"/>
    <x v="9"/>
    <x v="1"/>
    <x v="6"/>
    <n v="3276.6516830642281"/>
  </r>
  <r>
    <x v="0"/>
    <x v="0"/>
    <x v="0"/>
    <x v="1"/>
    <x v="10"/>
    <x v="1"/>
    <x v="0"/>
    <n v="136.50841925541087"/>
  </r>
  <r>
    <x v="0"/>
    <x v="0"/>
    <x v="0"/>
    <x v="1"/>
    <x v="10"/>
    <x v="1"/>
    <x v="1"/>
    <n v="351.65435042036148"/>
  </r>
  <r>
    <x v="0"/>
    <x v="0"/>
    <x v="0"/>
    <x v="1"/>
    <x v="10"/>
    <x v="1"/>
    <x v="2"/>
    <n v="786.41255567543692"/>
  </r>
  <r>
    <x v="0"/>
    <x v="0"/>
    <x v="0"/>
    <x v="1"/>
    <x v="10"/>
    <x v="1"/>
    <x v="3"/>
    <n v="1857.294562084091"/>
  </r>
  <r>
    <x v="0"/>
    <x v="0"/>
    <x v="0"/>
    <x v="1"/>
    <x v="10"/>
    <x v="1"/>
    <x v="4"/>
    <n v="2890.5444272264867"/>
  </r>
  <r>
    <x v="0"/>
    <x v="0"/>
    <x v="0"/>
    <x v="1"/>
    <x v="10"/>
    <x v="1"/>
    <x v="5"/>
    <n v="3675.3631238318189"/>
  </r>
  <r>
    <x v="0"/>
    <x v="0"/>
    <x v="0"/>
    <x v="1"/>
    <x v="10"/>
    <x v="1"/>
    <x v="6"/>
    <n v="4401.9457130153914"/>
  </r>
  <r>
    <x v="0"/>
    <x v="0"/>
    <x v="0"/>
    <x v="0"/>
    <x v="11"/>
    <x v="1"/>
    <x v="0"/>
    <n v="0"/>
  </r>
  <r>
    <x v="0"/>
    <x v="0"/>
    <x v="0"/>
    <x v="0"/>
    <x v="11"/>
    <x v="1"/>
    <x v="1"/>
    <n v="0"/>
  </r>
  <r>
    <x v="0"/>
    <x v="0"/>
    <x v="0"/>
    <x v="0"/>
    <x v="11"/>
    <x v="1"/>
    <x v="2"/>
    <n v="0"/>
  </r>
  <r>
    <x v="0"/>
    <x v="0"/>
    <x v="0"/>
    <x v="0"/>
    <x v="11"/>
    <x v="1"/>
    <x v="3"/>
    <n v="0"/>
  </r>
  <r>
    <x v="0"/>
    <x v="0"/>
    <x v="0"/>
    <x v="0"/>
    <x v="11"/>
    <x v="1"/>
    <x v="4"/>
    <n v="0"/>
  </r>
  <r>
    <x v="0"/>
    <x v="0"/>
    <x v="0"/>
    <x v="0"/>
    <x v="11"/>
    <x v="1"/>
    <x v="5"/>
    <n v="0"/>
  </r>
  <r>
    <x v="0"/>
    <x v="0"/>
    <x v="0"/>
    <x v="0"/>
    <x v="11"/>
    <x v="1"/>
    <x v="6"/>
    <n v="0"/>
  </r>
  <r>
    <x v="0"/>
    <x v="0"/>
    <x v="0"/>
    <x v="0"/>
    <x v="12"/>
    <x v="1"/>
    <x v="0"/>
    <n v="0"/>
  </r>
  <r>
    <x v="0"/>
    <x v="0"/>
    <x v="0"/>
    <x v="0"/>
    <x v="12"/>
    <x v="1"/>
    <x v="1"/>
    <n v="0"/>
  </r>
  <r>
    <x v="0"/>
    <x v="0"/>
    <x v="0"/>
    <x v="0"/>
    <x v="12"/>
    <x v="1"/>
    <x v="2"/>
    <n v="0"/>
  </r>
  <r>
    <x v="0"/>
    <x v="0"/>
    <x v="0"/>
    <x v="0"/>
    <x v="12"/>
    <x v="1"/>
    <x v="3"/>
    <n v="0"/>
  </r>
  <r>
    <x v="0"/>
    <x v="0"/>
    <x v="0"/>
    <x v="0"/>
    <x v="12"/>
    <x v="1"/>
    <x v="4"/>
    <n v="0"/>
  </r>
  <r>
    <x v="0"/>
    <x v="0"/>
    <x v="0"/>
    <x v="0"/>
    <x v="12"/>
    <x v="1"/>
    <x v="5"/>
    <n v="0"/>
  </r>
  <r>
    <x v="0"/>
    <x v="0"/>
    <x v="0"/>
    <x v="0"/>
    <x v="12"/>
    <x v="1"/>
    <x v="6"/>
    <n v="0"/>
  </r>
  <r>
    <x v="0"/>
    <x v="0"/>
    <x v="0"/>
    <x v="0"/>
    <x v="13"/>
    <x v="1"/>
    <x v="0"/>
    <n v="0"/>
  </r>
  <r>
    <x v="0"/>
    <x v="0"/>
    <x v="0"/>
    <x v="0"/>
    <x v="13"/>
    <x v="1"/>
    <x v="1"/>
    <n v="0"/>
  </r>
  <r>
    <x v="0"/>
    <x v="0"/>
    <x v="0"/>
    <x v="0"/>
    <x v="13"/>
    <x v="1"/>
    <x v="2"/>
    <n v="0"/>
  </r>
  <r>
    <x v="0"/>
    <x v="0"/>
    <x v="0"/>
    <x v="0"/>
    <x v="13"/>
    <x v="1"/>
    <x v="3"/>
    <n v="0"/>
  </r>
  <r>
    <x v="0"/>
    <x v="0"/>
    <x v="0"/>
    <x v="0"/>
    <x v="13"/>
    <x v="1"/>
    <x v="4"/>
    <n v="0"/>
  </r>
  <r>
    <x v="0"/>
    <x v="0"/>
    <x v="0"/>
    <x v="0"/>
    <x v="13"/>
    <x v="1"/>
    <x v="5"/>
    <n v="0"/>
  </r>
  <r>
    <x v="0"/>
    <x v="0"/>
    <x v="0"/>
    <x v="0"/>
    <x v="13"/>
    <x v="1"/>
    <x v="6"/>
    <n v="0"/>
  </r>
  <r>
    <x v="0"/>
    <x v="0"/>
    <x v="0"/>
    <x v="2"/>
    <x v="14"/>
    <x v="1"/>
    <x v="0"/>
    <n v="23.230061497875663"/>
  </r>
  <r>
    <x v="0"/>
    <x v="0"/>
    <x v="0"/>
    <x v="2"/>
    <x v="14"/>
    <x v="1"/>
    <x v="1"/>
    <n v="37.765166618978974"/>
  </r>
  <r>
    <x v="0"/>
    <x v="0"/>
    <x v="0"/>
    <x v="2"/>
    <x v="14"/>
    <x v="1"/>
    <x v="2"/>
    <n v="61.386917888191881"/>
  </r>
  <r>
    <x v="0"/>
    <x v="0"/>
    <x v="0"/>
    <x v="2"/>
    <x v="14"/>
    <x v="1"/>
    <x v="3"/>
    <n v="98.337781799743112"/>
  </r>
  <r>
    <x v="0"/>
    <x v="0"/>
    <x v="0"/>
    <x v="2"/>
    <x v="14"/>
    <x v="1"/>
    <x v="4"/>
    <n v="106.4549705707868"/>
  </r>
  <r>
    <x v="0"/>
    <x v="0"/>
    <x v="0"/>
    <x v="2"/>
    <x v="14"/>
    <x v="1"/>
    <x v="5"/>
    <n v="140.28707259305534"/>
  </r>
  <r>
    <x v="0"/>
    <x v="0"/>
    <x v="0"/>
    <x v="2"/>
    <x v="14"/>
    <x v="1"/>
    <x v="6"/>
    <n v="155.11361083267187"/>
  </r>
  <r>
    <x v="0"/>
    <x v="0"/>
    <x v="0"/>
    <x v="2"/>
    <x v="15"/>
    <x v="1"/>
    <x v="0"/>
    <n v="302.32700404033875"/>
  </r>
  <r>
    <x v="0"/>
    <x v="0"/>
    <x v="0"/>
    <x v="2"/>
    <x v="15"/>
    <x v="1"/>
    <x v="1"/>
    <n v="438.37871619512987"/>
  </r>
  <r>
    <x v="0"/>
    <x v="0"/>
    <x v="0"/>
    <x v="2"/>
    <x v="15"/>
    <x v="1"/>
    <x v="2"/>
    <n v="626.64014629168526"/>
  </r>
  <r>
    <x v="0"/>
    <x v="0"/>
    <x v="0"/>
    <x v="2"/>
    <x v="15"/>
    <x v="1"/>
    <x v="3"/>
    <n v="899.01842082503629"/>
  </r>
  <r>
    <x v="0"/>
    <x v="0"/>
    <x v="0"/>
    <x v="2"/>
    <x v="15"/>
    <x v="1"/>
    <x v="4"/>
    <n v="1076.1069639198711"/>
  </r>
  <r>
    <x v="0"/>
    <x v="0"/>
    <x v="0"/>
    <x v="2"/>
    <x v="15"/>
    <x v="1"/>
    <x v="5"/>
    <n v="1317.9281435339303"/>
  </r>
  <r>
    <x v="0"/>
    <x v="0"/>
    <x v="0"/>
    <x v="2"/>
    <x v="15"/>
    <x v="1"/>
    <x v="6"/>
    <n v="1645.1879676270612"/>
  </r>
  <r>
    <x v="0"/>
    <x v="0"/>
    <x v="0"/>
    <x v="2"/>
    <x v="16"/>
    <x v="1"/>
    <x v="0"/>
    <n v="10.076232596053703"/>
  </r>
  <r>
    <x v="0"/>
    <x v="0"/>
    <x v="0"/>
    <x v="2"/>
    <x v="16"/>
    <x v="1"/>
    <x v="1"/>
    <n v="24.309255486826572"/>
  </r>
  <r>
    <x v="0"/>
    <x v="0"/>
    <x v="0"/>
    <x v="2"/>
    <x v="16"/>
    <x v="1"/>
    <x v="2"/>
    <n v="35.619966628208452"/>
  </r>
  <r>
    <x v="0"/>
    <x v="0"/>
    <x v="0"/>
    <x v="2"/>
    <x v="16"/>
    <x v="1"/>
    <x v="3"/>
    <n v="65.631640277892998"/>
  </r>
  <r>
    <x v="0"/>
    <x v="0"/>
    <x v="0"/>
    <x v="2"/>
    <x v="16"/>
    <x v="1"/>
    <x v="4"/>
    <n v="104.84237871088901"/>
  </r>
  <r>
    <x v="0"/>
    <x v="0"/>
    <x v="0"/>
    <x v="2"/>
    <x v="16"/>
    <x v="1"/>
    <x v="5"/>
    <n v="153.6307423893048"/>
  </r>
  <r>
    <x v="0"/>
    <x v="0"/>
    <x v="0"/>
    <x v="2"/>
    <x v="16"/>
    <x v="1"/>
    <x v="6"/>
    <n v="251.98563637539579"/>
  </r>
  <r>
    <x v="0"/>
    <x v="0"/>
    <x v="0"/>
    <x v="0"/>
    <x v="17"/>
    <x v="1"/>
    <x v="0"/>
    <n v="0"/>
  </r>
  <r>
    <x v="0"/>
    <x v="0"/>
    <x v="0"/>
    <x v="0"/>
    <x v="17"/>
    <x v="1"/>
    <x v="1"/>
    <n v="0"/>
  </r>
  <r>
    <x v="0"/>
    <x v="0"/>
    <x v="0"/>
    <x v="0"/>
    <x v="17"/>
    <x v="1"/>
    <x v="2"/>
    <n v="0"/>
  </r>
  <r>
    <x v="0"/>
    <x v="0"/>
    <x v="0"/>
    <x v="0"/>
    <x v="17"/>
    <x v="1"/>
    <x v="3"/>
    <n v="0"/>
  </r>
  <r>
    <x v="0"/>
    <x v="0"/>
    <x v="0"/>
    <x v="0"/>
    <x v="17"/>
    <x v="1"/>
    <x v="4"/>
    <n v="0"/>
  </r>
  <r>
    <x v="0"/>
    <x v="0"/>
    <x v="0"/>
    <x v="0"/>
    <x v="17"/>
    <x v="1"/>
    <x v="5"/>
    <n v="0"/>
  </r>
  <r>
    <x v="0"/>
    <x v="0"/>
    <x v="0"/>
    <x v="0"/>
    <x v="17"/>
    <x v="1"/>
    <x v="6"/>
    <n v="0"/>
  </r>
  <r>
    <x v="0"/>
    <x v="0"/>
    <x v="0"/>
    <x v="2"/>
    <x v="18"/>
    <x v="1"/>
    <x v="0"/>
    <n v="0"/>
  </r>
  <r>
    <x v="0"/>
    <x v="0"/>
    <x v="0"/>
    <x v="2"/>
    <x v="18"/>
    <x v="1"/>
    <x v="1"/>
    <n v="0"/>
  </r>
  <r>
    <x v="0"/>
    <x v="0"/>
    <x v="0"/>
    <x v="2"/>
    <x v="18"/>
    <x v="1"/>
    <x v="2"/>
    <n v="0"/>
  </r>
  <r>
    <x v="0"/>
    <x v="0"/>
    <x v="0"/>
    <x v="2"/>
    <x v="18"/>
    <x v="1"/>
    <x v="3"/>
    <n v="0"/>
  </r>
  <r>
    <x v="0"/>
    <x v="0"/>
    <x v="0"/>
    <x v="2"/>
    <x v="18"/>
    <x v="1"/>
    <x v="4"/>
    <n v="0"/>
  </r>
  <r>
    <x v="0"/>
    <x v="0"/>
    <x v="0"/>
    <x v="2"/>
    <x v="18"/>
    <x v="1"/>
    <x v="5"/>
    <n v="0"/>
  </r>
  <r>
    <x v="0"/>
    <x v="0"/>
    <x v="0"/>
    <x v="2"/>
    <x v="18"/>
    <x v="1"/>
    <x v="6"/>
    <n v="0"/>
  </r>
  <r>
    <x v="0"/>
    <x v="0"/>
    <x v="1"/>
    <x v="3"/>
    <x v="19"/>
    <x v="1"/>
    <x v="0"/>
    <n v="5.1726241317533294E-3"/>
  </r>
  <r>
    <x v="0"/>
    <x v="0"/>
    <x v="1"/>
    <x v="3"/>
    <x v="19"/>
    <x v="1"/>
    <x v="1"/>
    <n v="2.6537801434796022E-2"/>
  </r>
  <r>
    <x v="0"/>
    <x v="0"/>
    <x v="1"/>
    <x v="3"/>
    <x v="19"/>
    <x v="1"/>
    <x v="2"/>
    <n v="0.15550744221533666"/>
  </r>
  <r>
    <x v="0"/>
    <x v="0"/>
    <x v="1"/>
    <x v="3"/>
    <x v="19"/>
    <x v="1"/>
    <x v="3"/>
    <n v="0.89387749433194552"/>
  </r>
  <r>
    <x v="0"/>
    <x v="0"/>
    <x v="1"/>
    <x v="3"/>
    <x v="19"/>
    <x v="1"/>
    <x v="4"/>
    <n v="2.4878085904773148"/>
  </r>
  <r>
    <x v="0"/>
    <x v="0"/>
    <x v="1"/>
    <x v="3"/>
    <x v="19"/>
    <x v="1"/>
    <x v="5"/>
    <n v="3.9229221078855825"/>
  </r>
  <r>
    <x v="0"/>
    <x v="0"/>
    <x v="1"/>
    <x v="3"/>
    <x v="19"/>
    <x v="1"/>
    <x v="6"/>
    <n v="10.592588662523076"/>
  </r>
  <r>
    <x v="0"/>
    <x v="0"/>
    <x v="1"/>
    <x v="3"/>
    <x v="20"/>
    <x v="1"/>
    <x v="0"/>
    <n v="3.2654897236917904E-2"/>
  </r>
  <r>
    <x v="0"/>
    <x v="0"/>
    <x v="1"/>
    <x v="3"/>
    <x v="20"/>
    <x v="1"/>
    <x v="1"/>
    <n v="0.16352263849967488"/>
  </r>
  <r>
    <x v="0"/>
    <x v="0"/>
    <x v="1"/>
    <x v="3"/>
    <x v="20"/>
    <x v="1"/>
    <x v="2"/>
    <n v="0.89355878028837621"/>
  </r>
  <r>
    <x v="0"/>
    <x v="0"/>
    <x v="1"/>
    <x v="3"/>
    <x v="20"/>
    <x v="1"/>
    <x v="3"/>
    <n v="4.4890819864450577"/>
  </r>
  <r>
    <x v="0"/>
    <x v="0"/>
    <x v="1"/>
    <x v="3"/>
    <x v="20"/>
    <x v="1"/>
    <x v="4"/>
    <n v="11.848664288228818"/>
  </r>
  <r>
    <x v="0"/>
    <x v="0"/>
    <x v="1"/>
    <x v="3"/>
    <x v="20"/>
    <x v="1"/>
    <x v="5"/>
    <n v="18.320033604400773"/>
  </r>
  <r>
    <x v="0"/>
    <x v="0"/>
    <x v="1"/>
    <x v="3"/>
    <x v="20"/>
    <x v="1"/>
    <x v="6"/>
    <n v="48.042498372472885"/>
  </r>
  <r>
    <x v="0"/>
    <x v="0"/>
    <x v="1"/>
    <x v="3"/>
    <x v="21"/>
    <x v="1"/>
    <x v="0"/>
    <n v="0"/>
  </r>
  <r>
    <x v="0"/>
    <x v="0"/>
    <x v="1"/>
    <x v="3"/>
    <x v="21"/>
    <x v="1"/>
    <x v="1"/>
    <n v="0"/>
  </r>
  <r>
    <x v="0"/>
    <x v="0"/>
    <x v="1"/>
    <x v="3"/>
    <x v="21"/>
    <x v="1"/>
    <x v="2"/>
    <n v="0"/>
  </r>
  <r>
    <x v="0"/>
    <x v="0"/>
    <x v="1"/>
    <x v="3"/>
    <x v="21"/>
    <x v="1"/>
    <x v="3"/>
    <n v="0"/>
  </r>
  <r>
    <x v="0"/>
    <x v="0"/>
    <x v="1"/>
    <x v="3"/>
    <x v="21"/>
    <x v="1"/>
    <x v="4"/>
    <n v="0"/>
  </r>
  <r>
    <x v="0"/>
    <x v="0"/>
    <x v="1"/>
    <x v="3"/>
    <x v="21"/>
    <x v="1"/>
    <x v="5"/>
    <n v="0"/>
  </r>
  <r>
    <x v="0"/>
    <x v="0"/>
    <x v="1"/>
    <x v="3"/>
    <x v="21"/>
    <x v="1"/>
    <x v="6"/>
    <n v="0"/>
  </r>
  <r>
    <x v="0"/>
    <x v="0"/>
    <x v="1"/>
    <x v="3"/>
    <x v="22"/>
    <x v="1"/>
    <x v="0"/>
    <n v="0"/>
  </r>
  <r>
    <x v="0"/>
    <x v="0"/>
    <x v="1"/>
    <x v="3"/>
    <x v="22"/>
    <x v="1"/>
    <x v="1"/>
    <n v="0"/>
  </r>
  <r>
    <x v="0"/>
    <x v="0"/>
    <x v="1"/>
    <x v="3"/>
    <x v="22"/>
    <x v="1"/>
    <x v="2"/>
    <n v="0"/>
  </r>
  <r>
    <x v="0"/>
    <x v="0"/>
    <x v="1"/>
    <x v="3"/>
    <x v="22"/>
    <x v="1"/>
    <x v="3"/>
    <n v="0"/>
  </r>
  <r>
    <x v="0"/>
    <x v="0"/>
    <x v="1"/>
    <x v="3"/>
    <x v="22"/>
    <x v="1"/>
    <x v="4"/>
    <n v="0"/>
  </r>
  <r>
    <x v="0"/>
    <x v="0"/>
    <x v="1"/>
    <x v="3"/>
    <x v="22"/>
    <x v="1"/>
    <x v="5"/>
    <n v="0"/>
  </r>
  <r>
    <x v="0"/>
    <x v="0"/>
    <x v="1"/>
    <x v="3"/>
    <x v="22"/>
    <x v="1"/>
    <x v="6"/>
    <n v="0"/>
  </r>
  <r>
    <x v="0"/>
    <x v="0"/>
    <x v="1"/>
    <x v="3"/>
    <x v="23"/>
    <x v="1"/>
    <x v="0"/>
    <n v="0"/>
  </r>
  <r>
    <x v="0"/>
    <x v="0"/>
    <x v="1"/>
    <x v="3"/>
    <x v="23"/>
    <x v="1"/>
    <x v="1"/>
    <n v="0"/>
  </r>
  <r>
    <x v="0"/>
    <x v="0"/>
    <x v="1"/>
    <x v="3"/>
    <x v="23"/>
    <x v="1"/>
    <x v="2"/>
    <n v="0"/>
  </r>
  <r>
    <x v="0"/>
    <x v="0"/>
    <x v="1"/>
    <x v="3"/>
    <x v="23"/>
    <x v="1"/>
    <x v="3"/>
    <n v="0"/>
  </r>
  <r>
    <x v="0"/>
    <x v="0"/>
    <x v="1"/>
    <x v="3"/>
    <x v="23"/>
    <x v="1"/>
    <x v="4"/>
    <n v="0"/>
  </r>
  <r>
    <x v="0"/>
    <x v="0"/>
    <x v="1"/>
    <x v="3"/>
    <x v="23"/>
    <x v="1"/>
    <x v="5"/>
    <n v="0"/>
  </r>
  <r>
    <x v="0"/>
    <x v="0"/>
    <x v="1"/>
    <x v="3"/>
    <x v="23"/>
    <x v="1"/>
    <x v="6"/>
    <n v="0"/>
  </r>
  <r>
    <x v="0"/>
    <x v="0"/>
    <x v="1"/>
    <x v="3"/>
    <x v="24"/>
    <x v="1"/>
    <x v="0"/>
    <n v="0"/>
  </r>
  <r>
    <x v="0"/>
    <x v="0"/>
    <x v="1"/>
    <x v="3"/>
    <x v="24"/>
    <x v="1"/>
    <x v="1"/>
    <n v="0"/>
  </r>
  <r>
    <x v="0"/>
    <x v="0"/>
    <x v="1"/>
    <x v="3"/>
    <x v="24"/>
    <x v="1"/>
    <x v="2"/>
    <n v="0"/>
  </r>
  <r>
    <x v="0"/>
    <x v="0"/>
    <x v="1"/>
    <x v="3"/>
    <x v="24"/>
    <x v="1"/>
    <x v="3"/>
    <n v="0"/>
  </r>
  <r>
    <x v="0"/>
    <x v="0"/>
    <x v="1"/>
    <x v="3"/>
    <x v="24"/>
    <x v="1"/>
    <x v="4"/>
    <n v="0"/>
  </r>
  <r>
    <x v="0"/>
    <x v="0"/>
    <x v="1"/>
    <x v="3"/>
    <x v="24"/>
    <x v="1"/>
    <x v="5"/>
    <n v="0"/>
  </r>
  <r>
    <x v="0"/>
    <x v="0"/>
    <x v="1"/>
    <x v="3"/>
    <x v="24"/>
    <x v="1"/>
    <x v="6"/>
    <n v="0"/>
  </r>
  <r>
    <x v="0"/>
    <x v="0"/>
    <x v="1"/>
    <x v="3"/>
    <x v="25"/>
    <x v="1"/>
    <x v="0"/>
    <n v="0"/>
  </r>
  <r>
    <x v="0"/>
    <x v="0"/>
    <x v="1"/>
    <x v="3"/>
    <x v="25"/>
    <x v="1"/>
    <x v="1"/>
    <n v="0"/>
  </r>
  <r>
    <x v="0"/>
    <x v="0"/>
    <x v="1"/>
    <x v="3"/>
    <x v="25"/>
    <x v="1"/>
    <x v="2"/>
    <n v="0"/>
  </r>
  <r>
    <x v="0"/>
    <x v="0"/>
    <x v="1"/>
    <x v="3"/>
    <x v="25"/>
    <x v="1"/>
    <x v="3"/>
    <n v="0"/>
  </r>
  <r>
    <x v="0"/>
    <x v="0"/>
    <x v="1"/>
    <x v="3"/>
    <x v="25"/>
    <x v="1"/>
    <x v="4"/>
    <n v="0"/>
  </r>
  <r>
    <x v="0"/>
    <x v="0"/>
    <x v="1"/>
    <x v="3"/>
    <x v="25"/>
    <x v="1"/>
    <x v="5"/>
    <n v="0"/>
  </r>
  <r>
    <x v="0"/>
    <x v="0"/>
    <x v="1"/>
    <x v="3"/>
    <x v="25"/>
    <x v="1"/>
    <x v="6"/>
    <n v="0"/>
  </r>
  <r>
    <x v="0"/>
    <x v="0"/>
    <x v="2"/>
    <x v="4"/>
    <x v="26"/>
    <x v="1"/>
    <x v="0"/>
    <n v="0"/>
  </r>
  <r>
    <x v="0"/>
    <x v="0"/>
    <x v="2"/>
    <x v="4"/>
    <x v="26"/>
    <x v="1"/>
    <x v="1"/>
    <n v="0"/>
  </r>
  <r>
    <x v="0"/>
    <x v="0"/>
    <x v="2"/>
    <x v="4"/>
    <x v="26"/>
    <x v="1"/>
    <x v="2"/>
    <n v="0"/>
  </r>
  <r>
    <x v="0"/>
    <x v="0"/>
    <x v="2"/>
    <x v="4"/>
    <x v="26"/>
    <x v="1"/>
    <x v="3"/>
    <n v="0"/>
  </r>
  <r>
    <x v="0"/>
    <x v="0"/>
    <x v="2"/>
    <x v="4"/>
    <x v="26"/>
    <x v="1"/>
    <x v="4"/>
    <n v="0"/>
  </r>
  <r>
    <x v="0"/>
    <x v="0"/>
    <x v="2"/>
    <x v="4"/>
    <x v="26"/>
    <x v="1"/>
    <x v="5"/>
    <n v="0"/>
  </r>
  <r>
    <x v="0"/>
    <x v="0"/>
    <x v="2"/>
    <x v="4"/>
    <x v="26"/>
    <x v="1"/>
    <x v="6"/>
    <n v="0"/>
  </r>
  <r>
    <x v="0"/>
    <x v="0"/>
    <x v="2"/>
    <x v="4"/>
    <x v="27"/>
    <x v="1"/>
    <x v="0"/>
    <n v="0"/>
  </r>
  <r>
    <x v="0"/>
    <x v="0"/>
    <x v="2"/>
    <x v="4"/>
    <x v="27"/>
    <x v="1"/>
    <x v="1"/>
    <n v="0"/>
  </r>
  <r>
    <x v="0"/>
    <x v="0"/>
    <x v="2"/>
    <x v="4"/>
    <x v="27"/>
    <x v="1"/>
    <x v="2"/>
    <n v="0"/>
  </r>
  <r>
    <x v="0"/>
    <x v="0"/>
    <x v="2"/>
    <x v="4"/>
    <x v="27"/>
    <x v="1"/>
    <x v="3"/>
    <n v="0"/>
  </r>
  <r>
    <x v="0"/>
    <x v="0"/>
    <x v="2"/>
    <x v="4"/>
    <x v="27"/>
    <x v="1"/>
    <x v="4"/>
    <n v="0"/>
  </r>
  <r>
    <x v="0"/>
    <x v="0"/>
    <x v="2"/>
    <x v="4"/>
    <x v="27"/>
    <x v="1"/>
    <x v="5"/>
    <n v="0"/>
  </r>
  <r>
    <x v="0"/>
    <x v="0"/>
    <x v="2"/>
    <x v="4"/>
    <x v="27"/>
    <x v="1"/>
    <x v="6"/>
    <n v="0"/>
  </r>
  <r>
    <x v="0"/>
    <x v="0"/>
    <x v="2"/>
    <x v="4"/>
    <x v="28"/>
    <x v="1"/>
    <x v="0"/>
    <n v="0"/>
  </r>
  <r>
    <x v="0"/>
    <x v="0"/>
    <x v="2"/>
    <x v="4"/>
    <x v="28"/>
    <x v="1"/>
    <x v="1"/>
    <n v="0"/>
  </r>
  <r>
    <x v="0"/>
    <x v="0"/>
    <x v="2"/>
    <x v="4"/>
    <x v="28"/>
    <x v="1"/>
    <x v="2"/>
    <n v="0"/>
  </r>
  <r>
    <x v="0"/>
    <x v="0"/>
    <x v="2"/>
    <x v="4"/>
    <x v="28"/>
    <x v="1"/>
    <x v="3"/>
    <n v="0"/>
  </r>
  <r>
    <x v="0"/>
    <x v="0"/>
    <x v="2"/>
    <x v="4"/>
    <x v="28"/>
    <x v="1"/>
    <x v="4"/>
    <n v="0"/>
  </r>
  <r>
    <x v="0"/>
    <x v="0"/>
    <x v="2"/>
    <x v="4"/>
    <x v="28"/>
    <x v="1"/>
    <x v="5"/>
    <n v="0"/>
  </r>
  <r>
    <x v="0"/>
    <x v="0"/>
    <x v="2"/>
    <x v="4"/>
    <x v="28"/>
    <x v="1"/>
    <x v="6"/>
    <n v="0"/>
  </r>
  <r>
    <x v="0"/>
    <x v="0"/>
    <x v="2"/>
    <x v="4"/>
    <x v="29"/>
    <x v="1"/>
    <x v="0"/>
    <n v="0"/>
  </r>
  <r>
    <x v="0"/>
    <x v="0"/>
    <x v="2"/>
    <x v="4"/>
    <x v="29"/>
    <x v="1"/>
    <x v="1"/>
    <n v="0"/>
  </r>
  <r>
    <x v="0"/>
    <x v="0"/>
    <x v="2"/>
    <x v="4"/>
    <x v="29"/>
    <x v="1"/>
    <x v="2"/>
    <n v="0"/>
  </r>
  <r>
    <x v="0"/>
    <x v="0"/>
    <x v="2"/>
    <x v="4"/>
    <x v="29"/>
    <x v="1"/>
    <x v="3"/>
    <n v="0"/>
  </r>
  <r>
    <x v="0"/>
    <x v="0"/>
    <x v="2"/>
    <x v="4"/>
    <x v="29"/>
    <x v="1"/>
    <x v="4"/>
    <n v="0"/>
  </r>
  <r>
    <x v="0"/>
    <x v="0"/>
    <x v="2"/>
    <x v="4"/>
    <x v="29"/>
    <x v="1"/>
    <x v="5"/>
    <n v="0"/>
  </r>
  <r>
    <x v="0"/>
    <x v="0"/>
    <x v="2"/>
    <x v="4"/>
    <x v="29"/>
    <x v="1"/>
    <x v="6"/>
    <n v="0"/>
  </r>
  <r>
    <x v="0"/>
    <x v="0"/>
    <x v="3"/>
    <x v="5"/>
    <x v="30"/>
    <x v="1"/>
    <x v="0"/>
    <n v="0"/>
  </r>
  <r>
    <x v="0"/>
    <x v="0"/>
    <x v="3"/>
    <x v="5"/>
    <x v="30"/>
    <x v="1"/>
    <x v="1"/>
    <n v="0"/>
  </r>
  <r>
    <x v="0"/>
    <x v="0"/>
    <x v="3"/>
    <x v="5"/>
    <x v="30"/>
    <x v="1"/>
    <x v="2"/>
    <n v="0"/>
  </r>
  <r>
    <x v="0"/>
    <x v="0"/>
    <x v="3"/>
    <x v="5"/>
    <x v="30"/>
    <x v="1"/>
    <x v="3"/>
    <n v="0"/>
  </r>
  <r>
    <x v="0"/>
    <x v="0"/>
    <x v="3"/>
    <x v="5"/>
    <x v="30"/>
    <x v="1"/>
    <x v="4"/>
    <n v="0"/>
  </r>
  <r>
    <x v="0"/>
    <x v="0"/>
    <x v="3"/>
    <x v="5"/>
    <x v="30"/>
    <x v="1"/>
    <x v="5"/>
    <n v="0"/>
  </r>
  <r>
    <x v="0"/>
    <x v="0"/>
    <x v="3"/>
    <x v="5"/>
    <x v="30"/>
    <x v="1"/>
    <x v="6"/>
    <n v="0"/>
  </r>
  <r>
    <x v="0"/>
    <x v="0"/>
    <x v="2"/>
    <x v="4"/>
    <x v="31"/>
    <x v="1"/>
    <x v="0"/>
    <n v="0"/>
  </r>
  <r>
    <x v="0"/>
    <x v="0"/>
    <x v="2"/>
    <x v="4"/>
    <x v="31"/>
    <x v="1"/>
    <x v="1"/>
    <n v="0"/>
  </r>
  <r>
    <x v="0"/>
    <x v="0"/>
    <x v="2"/>
    <x v="4"/>
    <x v="31"/>
    <x v="1"/>
    <x v="2"/>
    <n v="0"/>
  </r>
  <r>
    <x v="0"/>
    <x v="0"/>
    <x v="2"/>
    <x v="4"/>
    <x v="31"/>
    <x v="1"/>
    <x v="3"/>
    <n v="0"/>
  </r>
  <r>
    <x v="0"/>
    <x v="0"/>
    <x v="2"/>
    <x v="4"/>
    <x v="31"/>
    <x v="1"/>
    <x v="4"/>
    <n v="0"/>
  </r>
  <r>
    <x v="0"/>
    <x v="0"/>
    <x v="2"/>
    <x v="4"/>
    <x v="31"/>
    <x v="1"/>
    <x v="5"/>
    <n v="0"/>
  </r>
  <r>
    <x v="0"/>
    <x v="0"/>
    <x v="2"/>
    <x v="4"/>
    <x v="31"/>
    <x v="1"/>
    <x v="6"/>
    <n v="0"/>
  </r>
  <r>
    <x v="0"/>
    <x v="0"/>
    <x v="2"/>
    <x v="4"/>
    <x v="32"/>
    <x v="1"/>
    <x v="0"/>
    <n v="0"/>
  </r>
  <r>
    <x v="0"/>
    <x v="0"/>
    <x v="2"/>
    <x v="4"/>
    <x v="32"/>
    <x v="1"/>
    <x v="1"/>
    <n v="0"/>
  </r>
  <r>
    <x v="0"/>
    <x v="0"/>
    <x v="2"/>
    <x v="4"/>
    <x v="32"/>
    <x v="1"/>
    <x v="2"/>
    <n v="0"/>
  </r>
  <r>
    <x v="0"/>
    <x v="0"/>
    <x v="2"/>
    <x v="4"/>
    <x v="32"/>
    <x v="1"/>
    <x v="3"/>
    <n v="0"/>
  </r>
  <r>
    <x v="0"/>
    <x v="0"/>
    <x v="2"/>
    <x v="4"/>
    <x v="32"/>
    <x v="1"/>
    <x v="4"/>
    <n v="0"/>
  </r>
  <r>
    <x v="0"/>
    <x v="0"/>
    <x v="2"/>
    <x v="4"/>
    <x v="32"/>
    <x v="1"/>
    <x v="5"/>
    <n v="0"/>
  </r>
  <r>
    <x v="0"/>
    <x v="0"/>
    <x v="2"/>
    <x v="4"/>
    <x v="32"/>
    <x v="1"/>
    <x v="6"/>
    <n v="0"/>
  </r>
  <r>
    <x v="0"/>
    <x v="0"/>
    <x v="2"/>
    <x v="4"/>
    <x v="33"/>
    <x v="1"/>
    <x v="0"/>
    <n v="0"/>
  </r>
  <r>
    <x v="0"/>
    <x v="0"/>
    <x v="2"/>
    <x v="4"/>
    <x v="33"/>
    <x v="1"/>
    <x v="1"/>
    <n v="0"/>
  </r>
  <r>
    <x v="0"/>
    <x v="0"/>
    <x v="2"/>
    <x v="4"/>
    <x v="33"/>
    <x v="1"/>
    <x v="2"/>
    <n v="0"/>
  </r>
  <r>
    <x v="0"/>
    <x v="0"/>
    <x v="2"/>
    <x v="4"/>
    <x v="33"/>
    <x v="1"/>
    <x v="3"/>
    <n v="0"/>
  </r>
  <r>
    <x v="0"/>
    <x v="0"/>
    <x v="2"/>
    <x v="4"/>
    <x v="33"/>
    <x v="1"/>
    <x v="4"/>
    <n v="0"/>
  </r>
  <r>
    <x v="0"/>
    <x v="0"/>
    <x v="2"/>
    <x v="4"/>
    <x v="33"/>
    <x v="1"/>
    <x v="5"/>
    <n v="0"/>
  </r>
  <r>
    <x v="0"/>
    <x v="0"/>
    <x v="2"/>
    <x v="4"/>
    <x v="33"/>
    <x v="1"/>
    <x v="6"/>
    <n v="0"/>
  </r>
  <r>
    <x v="0"/>
    <x v="0"/>
    <x v="2"/>
    <x v="4"/>
    <x v="34"/>
    <x v="1"/>
    <x v="0"/>
    <n v="0"/>
  </r>
  <r>
    <x v="0"/>
    <x v="0"/>
    <x v="2"/>
    <x v="4"/>
    <x v="34"/>
    <x v="1"/>
    <x v="1"/>
    <n v="0"/>
  </r>
  <r>
    <x v="0"/>
    <x v="0"/>
    <x v="2"/>
    <x v="4"/>
    <x v="34"/>
    <x v="1"/>
    <x v="2"/>
    <n v="0"/>
  </r>
  <r>
    <x v="0"/>
    <x v="0"/>
    <x v="2"/>
    <x v="4"/>
    <x v="34"/>
    <x v="1"/>
    <x v="3"/>
    <n v="0"/>
  </r>
  <r>
    <x v="0"/>
    <x v="0"/>
    <x v="2"/>
    <x v="4"/>
    <x v="34"/>
    <x v="1"/>
    <x v="4"/>
    <n v="0"/>
  </r>
  <r>
    <x v="0"/>
    <x v="0"/>
    <x v="2"/>
    <x v="4"/>
    <x v="34"/>
    <x v="1"/>
    <x v="5"/>
    <n v="0"/>
  </r>
  <r>
    <x v="0"/>
    <x v="0"/>
    <x v="2"/>
    <x v="4"/>
    <x v="34"/>
    <x v="1"/>
    <x v="6"/>
    <n v="0"/>
  </r>
  <r>
    <x v="0"/>
    <x v="0"/>
    <x v="2"/>
    <x v="6"/>
    <x v="35"/>
    <x v="1"/>
    <x v="0"/>
    <n v="0"/>
  </r>
  <r>
    <x v="0"/>
    <x v="0"/>
    <x v="2"/>
    <x v="6"/>
    <x v="35"/>
    <x v="1"/>
    <x v="1"/>
    <n v="0"/>
  </r>
  <r>
    <x v="0"/>
    <x v="0"/>
    <x v="2"/>
    <x v="6"/>
    <x v="35"/>
    <x v="1"/>
    <x v="2"/>
    <n v="0"/>
  </r>
  <r>
    <x v="0"/>
    <x v="0"/>
    <x v="2"/>
    <x v="6"/>
    <x v="35"/>
    <x v="1"/>
    <x v="3"/>
    <n v="0"/>
  </r>
  <r>
    <x v="0"/>
    <x v="0"/>
    <x v="2"/>
    <x v="6"/>
    <x v="35"/>
    <x v="1"/>
    <x v="4"/>
    <n v="0"/>
  </r>
  <r>
    <x v="0"/>
    <x v="0"/>
    <x v="2"/>
    <x v="6"/>
    <x v="35"/>
    <x v="1"/>
    <x v="5"/>
    <n v="0"/>
  </r>
  <r>
    <x v="0"/>
    <x v="0"/>
    <x v="2"/>
    <x v="6"/>
    <x v="35"/>
    <x v="1"/>
    <x v="6"/>
    <n v="0"/>
  </r>
  <r>
    <x v="0"/>
    <x v="0"/>
    <x v="2"/>
    <x v="6"/>
    <x v="36"/>
    <x v="1"/>
    <x v="0"/>
    <n v="0"/>
  </r>
  <r>
    <x v="0"/>
    <x v="0"/>
    <x v="2"/>
    <x v="6"/>
    <x v="36"/>
    <x v="1"/>
    <x v="1"/>
    <n v="0"/>
  </r>
  <r>
    <x v="0"/>
    <x v="0"/>
    <x v="2"/>
    <x v="6"/>
    <x v="36"/>
    <x v="1"/>
    <x v="2"/>
    <n v="0"/>
  </r>
  <r>
    <x v="0"/>
    <x v="0"/>
    <x v="2"/>
    <x v="6"/>
    <x v="36"/>
    <x v="1"/>
    <x v="3"/>
    <n v="0"/>
  </r>
  <r>
    <x v="0"/>
    <x v="0"/>
    <x v="2"/>
    <x v="6"/>
    <x v="36"/>
    <x v="1"/>
    <x v="4"/>
    <n v="0"/>
  </r>
  <r>
    <x v="0"/>
    <x v="0"/>
    <x v="2"/>
    <x v="6"/>
    <x v="36"/>
    <x v="1"/>
    <x v="5"/>
    <n v="0"/>
  </r>
  <r>
    <x v="0"/>
    <x v="0"/>
    <x v="2"/>
    <x v="6"/>
    <x v="36"/>
    <x v="1"/>
    <x v="6"/>
    <n v="0"/>
  </r>
  <r>
    <x v="0"/>
    <x v="0"/>
    <x v="2"/>
    <x v="6"/>
    <x v="37"/>
    <x v="1"/>
    <x v="0"/>
    <n v="0"/>
  </r>
  <r>
    <x v="0"/>
    <x v="0"/>
    <x v="2"/>
    <x v="6"/>
    <x v="37"/>
    <x v="1"/>
    <x v="1"/>
    <n v="0"/>
  </r>
  <r>
    <x v="0"/>
    <x v="0"/>
    <x v="2"/>
    <x v="6"/>
    <x v="37"/>
    <x v="1"/>
    <x v="2"/>
    <n v="0"/>
  </r>
  <r>
    <x v="0"/>
    <x v="0"/>
    <x v="2"/>
    <x v="6"/>
    <x v="37"/>
    <x v="1"/>
    <x v="3"/>
    <n v="0"/>
  </r>
  <r>
    <x v="0"/>
    <x v="0"/>
    <x v="2"/>
    <x v="6"/>
    <x v="37"/>
    <x v="1"/>
    <x v="4"/>
    <n v="0"/>
  </r>
  <r>
    <x v="0"/>
    <x v="0"/>
    <x v="2"/>
    <x v="6"/>
    <x v="37"/>
    <x v="1"/>
    <x v="5"/>
    <n v="0"/>
  </r>
  <r>
    <x v="0"/>
    <x v="0"/>
    <x v="2"/>
    <x v="6"/>
    <x v="37"/>
    <x v="1"/>
    <x v="6"/>
    <n v="0"/>
  </r>
  <r>
    <x v="0"/>
    <x v="0"/>
    <x v="2"/>
    <x v="6"/>
    <x v="38"/>
    <x v="1"/>
    <x v="0"/>
    <n v="0"/>
  </r>
  <r>
    <x v="0"/>
    <x v="0"/>
    <x v="2"/>
    <x v="6"/>
    <x v="38"/>
    <x v="1"/>
    <x v="1"/>
    <n v="0"/>
  </r>
  <r>
    <x v="0"/>
    <x v="0"/>
    <x v="2"/>
    <x v="6"/>
    <x v="38"/>
    <x v="1"/>
    <x v="2"/>
    <n v="0"/>
  </r>
  <r>
    <x v="0"/>
    <x v="0"/>
    <x v="2"/>
    <x v="6"/>
    <x v="38"/>
    <x v="1"/>
    <x v="3"/>
    <n v="0"/>
  </r>
  <r>
    <x v="0"/>
    <x v="0"/>
    <x v="2"/>
    <x v="6"/>
    <x v="38"/>
    <x v="1"/>
    <x v="4"/>
    <n v="0"/>
  </r>
  <r>
    <x v="0"/>
    <x v="0"/>
    <x v="2"/>
    <x v="6"/>
    <x v="38"/>
    <x v="1"/>
    <x v="5"/>
    <n v="0"/>
  </r>
  <r>
    <x v="0"/>
    <x v="0"/>
    <x v="2"/>
    <x v="6"/>
    <x v="38"/>
    <x v="1"/>
    <x v="6"/>
    <n v="0"/>
  </r>
  <r>
    <x v="0"/>
    <x v="0"/>
    <x v="3"/>
    <x v="5"/>
    <x v="39"/>
    <x v="1"/>
    <x v="0"/>
    <n v="0"/>
  </r>
  <r>
    <x v="0"/>
    <x v="0"/>
    <x v="3"/>
    <x v="5"/>
    <x v="39"/>
    <x v="1"/>
    <x v="1"/>
    <n v="0"/>
  </r>
  <r>
    <x v="0"/>
    <x v="0"/>
    <x v="3"/>
    <x v="5"/>
    <x v="39"/>
    <x v="1"/>
    <x v="2"/>
    <n v="0"/>
  </r>
  <r>
    <x v="0"/>
    <x v="0"/>
    <x v="3"/>
    <x v="5"/>
    <x v="39"/>
    <x v="1"/>
    <x v="3"/>
    <n v="0"/>
  </r>
  <r>
    <x v="0"/>
    <x v="0"/>
    <x v="3"/>
    <x v="5"/>
    <x v="39"/>
    <x v="1"/>
    <x v="4"/>
    <n v="0"/>
  </r>
  <r>
    <x v="0"/>
    <x v="0"/>
    <x v="3"/>
    <x v="5"/>
    <x v="39"/>
    <x v="1"/>
    <x v="5"/>
    <n v="0"/>
  </r>
  <r>
    <x v="0"/>
    <x v="0"/>
    <x v="3"/>
    <x v="5"/>
    <x v="39"/>
    <x v="1"/>
    <x v="6"/>
    <n v="0"/>
  </r>
  <r>
    <x v="0"/>
    <x v="0"/>
    <x v="2"/>
    <x v="6"/>
    <x v="40"/>
    <x v="1"/>
    <x v="0"/>
    <n v="0"/>
  </r>
  <r>
    <x v="0"/>
    <x v="0"/>
    <x v="2"/>
    <x v="6"/>
    <x v="40"/>
    <x v="1"/>
    <x v="1"/>
    <n v="0"/>
  </r>
  <r>
    <x v="0"/>
    <x v="0"/>
    <x v="2"/>
    <x v="6"/>
    <x v="40"/>
    <x v="1"/>
    <x v="2"/>
    <n v="0"/>
  </r>
  <r>
    <x v="0"/>
    <x v="0"/>
    <x v="2"/>
    <x v="6"/>
    <x v="40"/>
    <x v="1"/>
    <x v="3"/>
    <n v="0"/>
  </r>
  <r>
    <x v="0"/>
    <x v="0"/>
    <x v="2"/>
    <x v="6"/>
    <x v="40"/>
    <x v="1"/>
    <x v="4"/>
    <n v="0"/>
  </r>
  <r>
    <x v="0"/>
    <x v="0"/>
    <x v="2"/>
    <x v="6"/>
    <x v="40"/>
    <x v="1"/>
    <x v="5"/>
    <n v="0"/>
  </r>
  <r>
    <x v="0"/>
    <x v="0"/>
    <x v="2"/>
    <x v="6"/>
    <x v="40"/>
    <x v="1"/>
    <x v="6"/>
    <n v="0"/>
  </r>
  <r>
    <x v="0"/>
    <x v="0"/>
    <x v="2"/>
    <x v="6"/>
    <x v="41"/>
    <x v="1"/>
    <x v="0"/>
    <n v="0"/>
  </r>
  <r>
    <x v="0"/>
    <x v="0"/>
    <x v="2"/>
    <x v="6"/>
    <x v="41"/>
    <x v="1"/>
    <x v="1"/>
    <n v="0"/>
  </r>
  <r>
    <x v="0"/>
    <x v="0"/>
    <x v="2"/>
    <x v="6"/>
    <x v="41"/>
    <x v="1"/>
    <x v="2"/>
    <n v="0"/>
  </r>
  <r>
    <x v="0"/>
    <x v="0"/>
    <x v="2"/>
    <x v="6"/>
    <x v="41"/>
    <x v="1"/>
    <x v="3"/>
    <n v="0"/>
  </r>
  <r>
    <x v="0"/>
    <x v="0"/>
    <x v="2"/>
    <x v="6"/>
    <x v="41"/>
    <x v="1"/>
    <x v="4"/>
    <n v="0"/>
  </r>
  <r>
    <x v="0"/>
    <x v="0"/>
    <x v="2"/>
    <x v="6"/>
    <x v="41"/>
    <x v="1"/>
    <x v="5"/>
    <n v="0"/>
  </r>
  <r>
    <x v="0"/>
    <x v="0"/>
    <x v="2"/>
    <x v="6"/>
    <x v="41"/>
    <x v="1"/>
    <x v="6"/>
    <n v="0"/>
  </r>
  <r>
    <x v="0"/>
    <x v="0"/>
    <x v="2"/>
    <x v="6"/>
    <x v="42"/>
    <x v="1"/>
    <x v="0"/>
    <n v="0"/>
  </r>
  <r>
    <x v="0"/>
    <x v="0"/>
    <x v="2"/>
    <x v="6"/>
    <x v="42"/>
    <x v="1"/>
    <x v="1"/>
    <n v="0"/>
  </r>
  <r>
    <x v="0"/>
    <x v="0"/>
    <x v="2"/>
    <x v="6"/>
    <x v="42"/>
    <x v="1"/>
    <x v="2"/>
    <n v="0"/>
  </r>
  <r>
    <x v="0"/>
    <x v="0"/>
    <x v="2"/>
    <x v="6"/>
    <x v="42"/>
    <x v="1"/>
    <x v="3"/>
    <n v="0"/>
  </r>
  <r>
    <x v="0"/>
    <x v="0"/>
    <x v="2"/>
    <x v="6"/>
    <x v="42"/>
    <x v="1"/>
    <x v="4"/>
    <n v="0"/>
  </r>
  <r>
    <x v="0"/>
    <x v="0"/>
    <x v="2"/>
    <x v="6"/>
    <x v="42"/>
    <x v="1"/>
    <x v="5"/>
    <n v="0"/>
  </r>
  <r>
    <x v="0"/>
    <x v="0"/>
    <x v="2"/>
    <x v="6"/>
    <x v="42"/>
    <x v="1"/>
    <x v="6"/>
    <n v="0"/>
  </r>
  <r>
    <x v="0"/>
    <x v="0"/>
    <x v="2"/>
    <x v="6"/>
    <x v="43"/>
    <x v="1"/>
    <x v="0"/>
    <n v="0"/>
  </r>
  <r>
    <x v="0"/>
    <x v="0"/>
    <x v="2"/>
    <x v="6"/>
    <x v="43"/>
    <x v="1"/>
    <x v="1"/>
    <n v="0"/>
  </r>
  <r>
    <x v="0"/>
    <x v="0"/>
    <x v="2"/>
    <x v="6"/>
    <x v="43"/>
    <x v="1"/>
    <x v="2"/>
    <n v="0"/>
  </r>
  <r>
    <x v="0"/>
    <x v="0"/>
    <x v="2"/>
    <x v="6"/>
    <x v="43"/>
    <x v="1"/>
    <x v="3"/>
    <n v="0"/>
  </r>
  <r>
    <x v="0"/>
    <x v="0"/>
    <x v="2"/>
    <x v="6"/>
    <x v="43"/>
    <x v="1"/>
    <x v="4"/>
    <n v="0"/>
  </r>
  <r>
    <x v="0"/>
    <x v="0"/>
    <x v="2"/>
    <x v="6"/>
    <x v="43"/>
    <x v="1"/>
    <x v="5"/>
    <n v="0"/>
  </r>
  <r>
    <x v="0"/>
    <x v="0"/>
    <x v="2"/>
    <x v="6"/>
    <x v="43"/>
    <x v="1"/>
    <x v="6"/>
    <n v="0"/>
  </r>
  <r>
    <x v="0"/>
    <x v="0"/>
    <x v="4"/>
    <x v="7"/>
    <x v="44"/>
    <x v="1"/>
    <x v="0"/>
    <n v="0"/>
  </r>
  <r>
    <x v="0"/>
    <x v="0"/>
    <x v="4"/>
    <x v="7"/>
    <x v="44"/>
    <x v="1"/>
    <x v="1"/>
    <n v="0"/>
  </r>
  <r>
    <x v="0"/>
    <x v="0"/>
    <x v="4"/>
    <x v="7"/>
    <x v="44"/>
    <x v="1"/>
    <x v="2"/>
    <n v="0"/>
  </r>
  <r>
    <x v="0"/>
    <x v="0"/>
    <x v="4"/>
    <x v="7"/>
    <x v="44"/>
    <x v="1"/>
    <x v="3"/>
    <n v="0"/>
  </r>
  <r>
    <x v="0"/>
    <x v="0"/>
    <x v="4"/>
    <x v="7"/>
    <x v="44"/>
    <x v="1"/>
    <x v="4"/>
    <n v="0"/>
  </r>
  <r>
    <x v="0"/>
    <x v="0"/>
    <x v="4"/>
    <x v="7"/>
    <x v="44"/>
    <x v="1"/>
    <x v="5"/>
    <n v="0"/>
  </r>
  <r>
    <x v="0"/>
    <x v="0"/>
    <x v="4"/>
    <x v="7"/>
    <x v="44"/>
    <x v="1"/>
    <x v="6"/>
    <n v="0"/>
  </r>
  <r>
    <x v="0"/>
    <x v="0"/>
    <x v="4"/>
    <x v="7"/>
    <x v="45"/>
    <x v="1"/>
    <x v="0"/>
    <n v="0"/>
  </r>
  <r>
    <x v="0"/>
    <x v="0"/>
    <x v="4"/>
    <x v="7"/>
    <x v="45"/>
    <x v="1"/>
    <x v="1"/>
    <n v="0"/>
  </r>
  <r>
    <x v="0"/>
    <x v="0"/>
    <x v="4"/>
    <x v="7"/>
    <x v="45"/>
    <x v="1"/>
    <x v="2"/>
    <n v="0"/>
  </r>
  <r>
    <x v="0"/>
    <x v="0"/>
    <x v="4"/>
    <x v="7"/>
    <x v="45"/>
    <x v="1"/>
    <x v="3"/>
    <n v="0"/>
  </r>
  <r>
    <x v="0"/>
    <x v="0"/>
    <x v="4"/>
    <x v="7"/>
    <x v="45"/>
    <x v="1"/>
    <x v="4"/>
    <n v="0"/>
  </r>
  <r>
    <x v="0"/>
    <x v="0"/>
    <x v="4"/>
    <x v="7"/>
    <x v="45"/>
    <x v="1"/>
    <x v="5"/>
    <n v="0"/>
  </r>
  <r>
    <x v="0"/>
    <x v="0"/>
    <x v="4"/>
    <x v="7"/>
    <x v="45"/>
    <x v="1"/>
    <x v="6"/>
    <n v="0"/>
  </r>
  <r>
    <x v="0"/>
    <x v="0"/>
    <x v="4"/>
    <x v="7"/>
    <x v="46"/>
    <x v="1"/>
    <x v="0"/>
    <n v="0"/>
  </r>
  <r>
    <x v="0"/>
    <x v="0"/>
    <x v="4"/>
    <x v="7"/>
    <x v="46"/>
    <x v="1"/>
    <x v="1"/>
    <n v="0"/>
  </r>
  <r>
    <x v="0"/>
    <x v="0"/>
    <x v="4"/>
    <x v="7"/>
    <x v="46"/>
    <x v="1"/>
    <x v="2"/>
    <n v="0"/>
  </r>
  <r>
    <x v="0"/>
    <x v="0"/>
    <x v="4"/>
    <x v="7"/>
    <x v="46"/>
    <x v="1"/>
    <x v="3"/>
    <n v="0"/>
  </r>
  <r>
    <x v="0"/>
    <x v="0"/>
    <x v="4"/>
    <x v="7"/>
    <x v="46"/>
    <x v="1"/>
    <x v="4"/>
    <n v="0"/>
  </r>
  <r>
    <x v="0"/>
    <x v="0"/>
    <x v="4"/>
    <x v="7"/>
    <x v="46"/>
    <x v="1"/>
    <x v="5"/>
    <n v="0"/>
  </r>
  <r>
    <x v="0"/>
    <x v="0"/>
    <x v="4"/>
    <x v="7"/>
    <x v="46"/>
    <x v="1"/>
    <x v="6"/>
    <n v="0"/>
  </r>
  <r>
    <x v="0"/>
    <x v="0"/>
    <x v="5"/>
    <x v="8"/>
    <x v="51"/>
    <x v="1"/>
    <x v="0"/>
    <n v="0"/>
  </r>
  <r>
    <x v="0"/>
    <x v="0"/>
    <x v="5"/>
    <x v="8"/>
    <x v="51"/>
    <x v="1"/>
    <x v="1"/>
    <n v="0"/>
  </r>
  <r>
    <x v="0"/>
    <x v="0"/>
    <x v="5"/>
    <x v="8"/>
    <x v="51"/>
    <x v="1"/>
    <x v="2"/>
    <n v="0"/>
  </r>
  <r>
    <x v="0"/>
    <x v="0"/>
    <x v="5"/>
    <x v="8"/>
    <x v="51"/>
    <x v="1"/>
    <x v="3"/>
    <n v="0"/>
  </r>
  <r>
    <x v="0"/>
    <x v="0"/>
    <x v="5"/>
    <x v="8"/>
    <x v="51"/>
    <x v="1"/>
    <x v="4"/>
    <n v="0"/>
  </r>
  <r>
    <x v="0"/>
    <x v="0"/>
    <x v="5"/>
    <x v="8"/>
    <x v="51"/>
    <x v="1"/>
    <x v="5"/>
    <n v="0"/>
  </r>
  <r>
    <x v="0"/>
    <x v="0"/>
    <x v="5"/>
    <x v="8"/>
    <x v="51"/>
    <x v="1"/>
    <x v="6"/>
    <n v="0"/>
  </r>
  <r>
    <x v="0"/>
    <x v="0"/>
    <x v="3"/>
    <x v="5"/>
    <x v="52"/>
    <x v="1"/>
    <x v="0"/>
    <n v="0"/>
  </r>
  <r>
    <x v="0"/>
    <x v="0"/>
    <x v="3"/>
    <x v="5"/>
    <x v="52"/>
    <x v="1"/>
    <x v="1"/>
    <n v="0"/>
  </r>
  <r>
    <x v="0"/>
    <x v="0"/>
    <x v="3"/>
    <x v="5"/>
    <x v="52"/>
    <x v="1"/>
    <x v="2"/>
    <n v="0"/>
  </r>
  <r>
    <x v="0"/>
    <x v="0"/>
    <x v="3"/>
    <x v="5"/>
    <x v="52"/>
    <x v="1"/>
    <x v="3"/>
    <n v="0"/>
  </r>
  <r>
    <x v="0"/>
    <x v="0"/>
    <x v="3"/>
    <x v="5"/>
    <x v="52"/>
    <x v="1"/>
    <x v="4"/>
    <n v="0"/>
  </r>
  <r>
    <x v="0"/>
    <x v="0"/>
    <x v="3"/>
    <x v="5"/>
    <x v="52"/>
    <x v="1"/>
    <x v="5"/>
    <n v="0"/>
  </r>
  <r>
    <x v="0"/>
    <x v="0"/>
    <x v="3"/>
    <x v="5"/>
    <x v="52"/>
    <x v="1"/>
    <x v="6"/>
    <n v="0"/>
  </r>
  <r>
    <x v="0"/>
    <x v="0"/>
    <x v="5"/>
    <x v="8"/>
    <x v="53"/>
    <x v="1"/>
    <x v="0"/>
    <n v="0"/>
  </r>
  <r>
    <x v="0"/>
    <x v="0"/>
    <x v="5"/>
    <x v="8"/>
    <x v="53"/>
    <x v="1"/>
    <x v="1"/>
    <n v="0"/>
  </r>
  <r>
    <x v="0"/>
    <x v="0"/>
    <x v="5"/>
    <x v="8"/>
    <x v="53"/>
    <x v="1"/>
    <x v="2"/>
    <n v="0"/>
  </r>
  <r>
    <x v="0"/>
    <x v="0"/>
    <x v="5"/>
    <x v="8"/>
    <x v="53"/>
    <x v="1"/>
    <x v="3"/>
    <n v="0"/>
  </r>
  <r>
    <x v="0"/>
    <x v="0"/>
    <x v="5"/>
    <x v="8"/>
    <x v="53"/>
    <x v="1"/>
    <x v="4"/>
    <n v="0"/>
  </r>
  <r>
    <x v="0"/>
    <x v="0"/>
    <x v="5"/>
    <x v="8"/>
    <x v="53"/>
    <x v="1"/>
    <x v="5"/>
    <n v="0"/>
  </r>
  <r>
    <x v="0"/>
    <x v="0"/>
    <x v="5"/>
    <x v="8"/>
    <x v="53"/>
    <x v="1"/>
    <x v="6"/>
    <n v="0"/>
  </r>
  <r>
    <x v="0"/>
    <x v="0"/>
    <x v="4"/>
    <x v="7"/>
    <x v="47"/>
    <x v="1"/>
    <x v="0"/>
    <n v="0"/>
  </r>
  <r>
    <x v="0"/>
    <x v="0"/>
    <x v="4"/>
    <x v="7"/>
    <x v="47"/>
    <x v="1"/>
    <x v="1"/>
    <n v="0"/>
  </r>
  <r>
    <x v="0"/>
    <x v="0"/>
    <x v="4"/>
    <x v="7"/>
    <x v="47"/>
    <x v="1"/>
    <x v="2"/>
    <n v="0"/>
  </r>
  <r>
    <x v="0"/>
    <x v="0"/>
    <x v="4"/>
    <x v="7"/>
    <x v="47"/>
    <x v="1"/>
    <x v="3"/>
    <n v="0"/>
  </r>
  <r>
    <x v="0"/>
    <x v="0"/>
    <x v="4"/>
    <x v="7"/>
    <x v="47"/>
    <x v="1"/>
    <x v="4"/>
    <n v="0"/>
  </r>
  <r>
    <x v="0"/>
    <x v="0"/>
    <x v="4"/>
    <x v="7"/>
    <x v="47"/>
    <x v="1"/>
    <x v="5"/>
    <n v="0"/>
  </r>
  <r>
    <x v="0"/>
    <x v="0"/>
    <x v="4"/>
    <x v="7"/>
    <x v="47"/>
    <x v="1"/>
    <x v="6"/>
    <n v="0"/>
  </r>
  <r>
    <x v="0"/>
    <x v="0"/>
    <x v="4"/>
    <x v="7"/>
    <x v="48"/>
    <x v="1"/>
    <x v="0"/>
    <n v="0"/>
  </r>
  <r>
    <x v="0"/>
    <x v="0"/>
    <x v="4"/>
    <x v="7"/>
    <x v="48"/>
    <x v="1"/>
    <x v="1"/>
    <n v="0"/>
  </r>
  <r>
    <x v="0"/>
    <x v="0"/>
    <x v="4"/>
    <x v="7"/>
    <x v="48"/>
    <x v="1"/>
    <x v="2"/>
    <n v="0"/>
  </r>
  <r>
    <x v="0"/>
    <x v="0"/>
    <x v="4"/>
    <x v="7"/>
    <x v="48"/>
    <x v="1"/>
    <x v="3"/>
    <n v="0"/>
  </r>
  <r>
    <x v="0"/>
    <x v="0"/>
    <x v="4"/>
    <x v="7"/>
    <x v="48"/>
    <x v="1"/>
    <x v="4"/>
    <n v="0"/>
  </r>
  <r>
    <x v="0"/>
    <x v="0"/>
    <x v="4"/>
    <x v="7"/>
    <x v="48"/>
    <x v="1"/>
    <x v="5"/>
    <n v="0"/>
  </r>
  <r>
    <x v="0"/>
    <x v="0"/>
    <x v="4"/>
    <x v="7"/>
    <x v="48"/>
    <x v="1"/>
    <x v="6"/>
    <n v="0"/>
  </r>
  <r>
    <x v="0"/>
    <x v="0"/>
    <x v="4"/>
    <x v="7"/>
    <x v="49"/>
    <x v="1"/>
    <x v="0"/>
    <n v="0"/>
  </r>
  <r>
    <x v="0"/>
    <x v="0"/>
    <x v="4"/>
    <x v="7"/>
    <x v="49"/>
    <x v="1"/>
    <x v="1"/>
    <n v="0"/>
  </r>
  <r>
    <x v="0"/>
    <x v="0"/>
    <x v="4"/>
    <x v="7"/>
    <x v="49"/>
    <x v="1"/>
    <x v="2"/>
    <n v="0"/>
  </r>
  <r>
    <x v="0"/>
    <x v="0"/>
    <x v="4"/>
    <x v="7"/>
    <x v="49"/>
    <x v="1"/>
    <x v="3"/>
    <n v="0"/>
  </r>
  <r>
    <x v="0"/>
    <x v="0"/>
    <x v="4"/>
    <x v="7"/>
    <x v="49"/>
    <x v="1"/>
    <x v="4"/>
    <n v="0"/>
  </r>
  <r>
    <x v="0"/>
    <x v="0"/>
    <x v="4"/>
    <x v="7"/>
    <x v="49"/>
    <x v="1"/>
    <x v="5"/>
    <n v="0"/>
  </r>
  <r>
    <x v="0"/>
    <x v="0"/>
    <x v="4"/>
    <x v="7"/>
    <x v="49"/>
    <x v="1"/>
    <x v="6"/>
    <n v="0"/>
  </r>
  <r>
    <x v="0"/>
    <x v="0"/>
    <x v="4"/>
    <x v="7"/>
    <x v="50"/>
    <x v="1"/>
    <x v="0"/>
    <n v="0"/>
  </r>
  <r>
    <x v="0"/>
    <x v="0"/>
    <x v="4"/>
    <x v="7"/>
    <x v="50"/>
    <x v="1"/>
    <x v="1"/>
    <n v="0"/>
  </r>
  <r>
    <x v="0"/>
    <x v="0"/>
    <x v="4"/>
    <x v="7"/>
    <x v="50"/>
    <x v="1"/>
    <x v="2"/>
    <n v="0"/>
  </r>
  <r>
    <x v="0"/>
    <x v="0"/>
    <x v="4"/>
    <x v="7"/>
    <x v="50"/>
    <x v="1"/>
    <x v="3"/>
    <n v="0"/>
  </r>
  <r>
    <x v="0"/>
    <x v="0"/>
    <x v="4"/>
    <x v="7"/>
    <x v="50"/>
    <x v="1"/>
    <x v="4"/>
    <n v="0"/>
  </r>
  <r>
    <x v="0"/>
    <x v="0"/>
    <x v="4"/>
    <x v="7"/>
    <x v="50"/>
    <x v="1"/>
    <x v="5"/>
    <n v="0"/>
  </r>
  <r>
    <x v="0"/>
    <x v="0"/>
    <x v="4"/>
    <x v="7"/>
    <x v="50"/>
    <x v="1"/>
    <x v="6"/>
    <n v="0"/>
  </r>
  <r>
    <x v="0"/>
    <x v="0"/>
    <x v="4"/>
    <x v="7"/>
    <x v="54"/>
    <x v="1"/>
    <x v="0"/>
    <n v="0"/>
  </r>
  <r>
    <x v="0"/>
    <x v="0"/>
    <x v="4"/>
    <x v="7"/>
    <x v="54"/>
    <x v="1"/>
    <x v="1"/>
    <n v="0"/>
  </r>
  <r>
    <x v="0"/>
    <x v="0"/>
    <x v="4"/>
    <x v="7"/>
    <x v="54"/>
    <x v="1"/>
    <x v="2"/>
    <n v="0"/>
  </r>
  <r>
    <x v="0"/>
    <x v="0"/>
    <x v="4"/>
    <x v="7"/>
    <x v="54"/>
    <x v="1"/>
    <x v="3"/>
    <n v="0"/>
  </r>
  <r>
    <x v="0"/>
    <x v="0"/>
    <x v="4"/>
    <x v="7"/>
    <x v="54"/>
    <x v="1"/>
    <x v="4"/>
    <n v="0"/>
  </r>
  <r>
    <x v="0"/>
    <x v="0"/>
    <x v="4"/>
    <x v="7"/>
    <x v="54"/>
    <x v="1"/>
    <x v="5"/>
    <n v="0"/>
  </r>
  <r>
    <x v="0"/>
    <x v="0"/>
    <x v="4"/>
    <x v="7"/>
    <x v="54"/>
    <x v="1"/>
    <x v="6"/>
    <n v="0"/>
  </r>
  <r>
    <x v="0"/>
    <x v="0"/>
    <x v="4"/>
    <x v="7"/>
    <x v="55"/>
    <x v="1"/>
    <x v="0"/>
    <n v="0"/>
  </r>
  <r>
    <x v="0"/>
    <x v="0"/>
    <x v="4"/>
    <x v="7"/>
    <x v="55"/>
    <x v="1"/>
    <x v="1"/>
    <n v="0"/>
  </r>
  <r>
    <x v="0"/>
    <x v="0"/>
    <x v="4"/>
    <x v="7"/>
    <x v="55"/>
    <x v="1"/>
    <x v="2"/>
    <n v="0"/>
  </r>
  <r>
    <x v="0"/>
    <x v="0"/>
    <x v="4"/>
    <x v="7"/>
    <x v="55"/>
    <x v="1"/>
    <x v="3"/>
    <n v="0"/>
  </r>
  <r>
    <x v="0"/>
    <x v="0"/>
    <x v="4"/>
    <x v="7"/>
    <x v="55"/>
    <x v="1"/>
    <x v="4"/>
    <n v="0"/>
  </r>
  <r>
    <x v="0"/>
    <x v="0"/>
    <x v="4"/>
    <x v="7"/>
    <x v="55"/>
    <x v="1"/>
    <x v="5"/>
    <n v="0"/>
  </r>
  <r>
    <x v="0"/>
    <x v="0"/>
    <x v="4"/>
    <x v="7"/>
    <x v="55"/>
    <x v="1"/>
    <x v="6"/>
    <n v="0"/>
  </r>
  <r>
    <x v="0"/>
    <x v="0"/>
    <x v="4"/>
    <x v="7"/>
    <x v="56"/>
    <x v="1"/>
    <x v="0"/>
    <n v="0"/>
  </r>
  <r>
    <x v="0"/>
    <x v="0"/>
    <x v="4"/>
    <x v="7"/>
    <x v="56"/>
    <x v="1"/>
    <x v="1"/>
    <n v="0"/>
  </r>
  <r>
    <x v="0"/>
    <x v="0"/>
    <x v="4"/>
    <x v="7"/>
    <x v="56"/>
    <x v="1"/>
    <x v="2"/>
    <n v="0"/>
  </r>
  <r>
    <x v="0"/>
    <x v="0"/>
    <x v="4"/>
    <x v="7"/>
    <x v="56"/>
    <x v="1"/>
    <x v="3"/>
    <n v="0"/>
  </r>
  <r>
    <x v="0"/>
    <x v="0"/>
    <x v="4"/>
    <x v="7"/>
    <x v="56"/>
    <x v="1"/>
    <x v="4"/>
    <n v="0"/>
  </r>
  <r>
    <x v="0"/>
    <x v="0"/>
    <x v="4"/>
    <x v="7"/>
    <x v="56"/>
    <x v="1"/>
    <x v="5"/>
    <n v="0"/>
  </r>
  <r>
    <x v="0"/>
    <x v="0"/>
    <x v="4"/>
    <x v="7"/>
    <x v="56"/>
    <x v="1"/>
    <x v="6"/>
    <n v="0"/>
  </r>
  <r>
    <x v="0"/>
    <x v="0"/>
    <x v="4"/>
    <x v="7"/>
    <x v="57"/>
    <x v="1"/>
    <x v="0"/>
    <n v="0"/>
  </r>
  <r>
    <x v="0"/>
    <x v="0"/>
    <x v="4"/>
    <x v="7"/>
    <x v="57"/>
    <x v="1"/>
    <x v="1"/>
    <n v="0"/>
  </r>
  <r>
    <x v="0"/>
    <x v="0"/>
    <x v="4"/>
    <x v="7"/>
    <x v="57"/>
    <x v="1"/>
    <x v="2"/>
    <n v="0"/>
  </r>
  <r>
    <x v="0"/>
    <x v="0"/>
    <x v="4"/>
    <x v="7"/>
    <x v="57"/>
    <x v="1"/>
    <x v="3"/>
    <n v="0"/>
  </r>
  <r>
    <x v="0"/>
    <x v="0"/>
    <x v="4"/>
    <x v="7"/>
    <x v="57"/>
    <x v="1"/>
    <x v="4"/>
    <n v="0"/>
  </r>
  <r>
    <x v="0"/>
    <x v="0"/>
    <x v="4"/>
    <x v="7"/>
    <x v="57"/>
    <x v="1"/>
    <x v="5"/>
    <n v="0"/>
  </r>
  <r>
    <x v="0"/>
    <x v="0"/>
    <x v="4"/>
    <x v="7"/>
    <x v="57"/>
    <x v="1"/>
    <x v="6"/>
    <n v="0"/>
  </r>
  <r>
    <x v="0"/>
    <x v="0"/>
    <x v="4"/>
    <x v="7"/>
    <x v="58"/>
    <x v="1"/>
    <x v="0"/>
    <n v="0"/>
  </r>
  <r>
    <x v="0"/>
    <x v="0"/>
    <x v="4"/>
    <x v="7"/>
    <x v="58"/>
    <x v="1"/>
    <x v="1"/>
    <n v="0"/>
  </r>
  <r>
    <x v="0"/>
    <x v="0"/>
    <x v="4"/>
    <x v="7"/>
    <x v="58"/>
    <x v="1"/>
    <x v="2"/>
    <n v="0"/>
  </r>
  <r>
    <x v="0"/>
    <x v="0"/>
    <x v="4"/>
    <x v="7"/>
    <x v="58"/>
    <x v="1"/>
    <x v="3"/>
    <n v="0"/>
  </r>
  <r>
    <x v="0"/>
    <x v="0"/>
    <x v="4"/>
    <x v="7"/>
    <x v="58"/>
    <x v="1"/>
    <x v="4"/>
    <n v="0"/>
  </r>
  <r>
    <x v="0"/>
    <x v="0"/>
    <x v="4"/>
    <x v="7"/>
    <x v="58"/>
    <x v="1"/>
    <x v="5"/>
    <n v="0"/>
  </r>
  <r>
    <x v="0"/>
    <x v="0"/>
    <x v="4"/>
    <x v="7"/>
    <x v="58"/>
    <x v="1"/>
    <x v="6"/>
    <n v="0"/>
  </r>
  <r>
    <x v="0"/>
    <x v="0"/>
    <x v="4"/>
    <x v="7"/>
    <x v="59"/>
    <x v="1"/>
    <x v="0"/>
    <n v="0"/>
  </r>
  <r>
    <x v="0"/>
    <x v="0"/>
    <x v="4"/>
    <x v="7"/>
    <x v="59"/>
    <x v="1"/>
    <x v="1"/>
    <n v="0"/>
  </r>
  <r>
    <x v="0"/>
    <x v="0"/>
    <x v="4"/>
    <x v="7"/>
    <x v="59"/>
    <x v="1"/>
    <x v="2"/>
    <n v="0"/>
  </r>
  <r>
    <x v="0"/>
    <x v="0"/>
    <x v="4"/>
    <x v="7"/>
    <x v="59"/>
    <x v="1"/>
    <x v="3"/>
    <n v="0"/>
  </r>
  <r>
    <x v="0"/>
    <x v="0"/>
    <x v="4"/>
    <x v="7"/>
    <x v="59"/>
    <x v="1"/>
    <x v="4"/>
    <n v="0"/>
  </r>
  <r>
    <x v="0"/>
    <x v="0"/>
    <x v="4"/>
    <x v="7"/>
    <x v="59"/>
    <x v="1"/>
    <x v="5"/>
    <n v="0"/>
  </r>
  <r>
    <x v="0"/>
    <x v="0"/>
    <x v="4"/>
    <x v="7"/>
    <x v="59"/>
    <x v="1"/>
    <x v="6"/>
    <n v="0"/>
  </r>
  <r>
    <x v="0"/>
    <x v="0"/>
    <x v="4"/>
    <x v="7"/>
    <x v="60"/>
    <x v="1"/>
    <x v="0"/>
    <n v="0"/>
  </r>
  <r>
    <x v="0"/>
    <x v="0"/>
    <x v="4"/>
    <x v="7"/>
    <x v="60"/>
    <x v="1"/>
    <x v="1"/>
    <n v="0"/>
  </r>
  <r>
    <x v="0"/>
    <x v="0"/>
    <x v="4"/>
    <x v="7"/>
    <x v="60"/>
    <x v="1"/>
    <x v="2"/>
    <n v="0"/>
  </r>
  <r>
    <x v="0"/>
    <x v="0"/>
    <x v="4"/>
    <x v="7"/>
    <x v="60"/>
    <x v="1"/>
    <x v="3"/>
    <n v="0"/>
  </r>
  <r>
    <x v="0"/>
    <x v="0"/>
    <x v="4"/>
    <x v="7"/>
    <x v="60"/>
    <x v="1"/>
    <x v="4"/>
    <n v="0"/>
  </r>
  <r>
    <x v="0"/>
    <x v="0"/>
    <x v="4"/>
    <x v="7"/>
    <x v="60"/>
    <x v="1"/>
    <x v="5"/>
    <n v="0"/>
  </r>
  <r>
    <x v="0"/>
    <x v="0"/>
    <x v="4"/>
    <x v="7"/>
    <x v="60"/>
    <x v="1"/>
    <x v="6"/>
    <n v="0"/>
  </r>
  <r>
    <x v="0"/>
    <x v="0"/>
    <x v="3"/>
    <x v="5"/>
    <x v="65"/>
    <x v="1"/>
    <x v="0"/>
    <n v="0"/>
  </r>
  <r>
    <x v="0"/>
    <x v="0"/>
    <x v="3"/>
    <x v="5"/>
    <x v="65"/>
    <x v="1"/>
    <x v="1"/>
    <n v="0"/>
  </r>
  <r>
    <x v="0"/>
    <x v="0"/>
    <x v="3"/>
    <x v="5"/>
    <x v="65"/>
    <x v="1"/>
    <x v="2"/>
    <n v="0"/>
  </r>
  <r>
    <x v="0"/>
    <x v="0"/>
    <x v="3"/>
    <x v="5"/>
    <x v="65"/>
    <x v="1"/>
    <x v="3"/>
    <n v="0"/>
  </r>
  <r>
    <x v="0"/>
    <x v="0"/>
    <x v="3"/>
    <x v="5"/>
    <x v="65"/>
    <x v="1"/>
    <x v="4"/>
    <n v="0"/>
  </r>
  <r>
    <x v="0"/>
    <x v="0"/>
    <x v="3"/>
    <x v="5"/>
    <x v="65"/>
    <x v="1"/>
    <x v="5"/>
    <n v="0"/>
  </r>
  <r>
    <x v="0"/>
    <x v="0"/>
    <x v="3"/>
    <x v="5"/>
    <x v="65"/>
    <x v="1"/>
    <x v="6"/>
    <n v="0"/>
  </r>
  <r>
    <x v="0"/>
    <x v="0"/>
    <x v="3"/>
    <x v="5"/>
    <x v="66"/>
    <x v="1"/>
    <x v="0"/>
    <n v="0"/>
  </r>
  <r>
    <x v="0"/>
    <x v="0"/>
    <x v="3"/>
    <x v="5"/>
    <x v="66"/>
    <x v="1"/>
    <x v="1"/>
    <n v="0"/>
  </r>
  <r>
    <x v="0"/>
    <x v="0"/>
    <x v="3"/>
    <x v="5"/>
    <x v="66"/>
    <x v="1"/>
    <x v="2"/>
    <n v="0"/>
  </r>
  <r>
    <x v="0"/>
    <x v="0"/>
    <x v="3"/>
    <x v="5"/>
    <x v="66"/>
    <x v="1"/>
    <x v="3"/>
    <n v="0"/>
  </r>
  <r>
    <x v="0"/>
    <x v="0"/>
    <x v="3"/>
    <x v="5"/>
    <x v="66"/>
    <x v="1"/>
    <x v="4"/>
    <n v="0"/>
  </r>
  <r>
    <x v="0"/>
    <x v="0"/>
    <x v="3"/>
    <x v="5"/>
    <x v="66"/>
    <x v="1"/>
    <x v="5"/>
    <n v="0"/>
  </r>
  <r>
    <x v="0"/>
    <x v="0"/>
    <x v="3"/>
    <x v="5"/>
    <x v="66"/>
    <x v="1"/>
    <x v="6"/>
    <n v="0"/>
  </r>
  <r>
    <x v="0"/>
    <x v="0"/>
    <x v="3"/>
    <x v="5"/>
    <x v="67"/>
    <x v="1"/>
    <x v="0"/>
    <n v="0"/>
  </r>
  <r>
    <x v="0"/>
    <x v="0"/>
    <x v="3"/>
    <x v="5"/>
    <x v="67"/>
    <x v="1"/>
    <x v="1"/>
    <n v="0"/>
  </r>
  <r>
    <x v="0"/>
    <x v="0"/>
    <x v="3"/>
    <x v="5"/>
    <x v="67"/>
    <x v="1"/>
    <x v="2"/>
    <n v="0"/>
  </r>
  <r>
    <x v="0"/>
    <x v="0"/>
    <x v="3"/>
    <x v="5"/>
    <x v="67"/>
    <x v="1"/>
    <x v="3"/>
    <n v="0"/>
  </r>
  <r>
    <x v="0"/>
    <x v="0"/>
    <x v="3"/>
    <x v="5"/>
    <x v="67"/>
    <x v="1"/>
    <x v="4"/>
    <n v="0"/>
  </r>
  <r>
    <x v="0"/>
    <x v="0"/>
    <x v="3"/>
    <x v="5"/>
    <x v="67"/>
    <x v="1"/>
    <x v="5"/>
    <n v="0"/>
  </r>
  <r>
    <x v="0"/>
    <x v="0"/>
    <x v="3"/>
    <x v="5"/>
    <x v="67"/>
    <x v="1"/>
    <x v="6"/>
    <n v="0"/>
  </r>
  <r>
    <x v="0"/>
    <x v="0"/>
    <x v="3"/>
    <x v="5"/>
    <x v="68"/>
    <x v="1"/>
    <x v="0"/>
    <n v="0"/>
  </r>
  <r>
    <x v="0"/>
    <x v="0"/>
    <x v="3"/>
    <x v="5"/>
    <x v="68"/>
    <x v="1"/>
    <x v="1"/>
    <n v="0"/>
  </r>
  <r>
    <x v="0"/>
    <x v="0"/>
    <x v="3"/>
    <x v="5"/>
    <x v="68"/>
    <x v="1"/>
    <x v="2"/>
    <n v="0"/>
  </r>
  <r>
    <x v="0"/>
    <x v="0"/>
    <x v="3"/>
    <x v="5"/>
    <x v="68"/>
    <x v="1"/>
    <x v="3"/>
    <n v="0"/>
  </r>
  <r>
    <x v="0"/>
    <x v="0"/>
    <x v="3"/>
    <x v="5"/>
    <x v="68"/>
    <x v="1"/>
    <x v="4"/>
    <n v="0"/>
  </r>
  <r>
    <x v="0"/>
    <x v="0"/>
    <x v="3"/>
    <x v="5"/>
    <x v="68"/>
    <x v="1"/>
    <x v="5"/>
    <n v="0"/>
  </r>
  <r>
    <x v="0"/>
    <x v="0"/>
    <x v="3"/>
    <x v="5"/>
    <x v="68"/>
    <x v="1"/>
    <x v="6"/>
    <n v="0"/>
  </r>
  <r>
    <x v="0"/>
    <x v="0"/>
    <x v="3"/>
    <x v="5"/>
    <x v="69"/>
    <x v="1"/>
    <x v="0"/>
    <n v="0"/>
  </r>
  <r>
    <x v="0"/>
    <x v="0"/>
    <x v="3"/>
    <x v="5"/>
    <x v="69"/>
    <x v="1"/>
    <x v="1"/>
    <n v="0"/>
  </r>
  <r>
    <x v="0"/>
    <x v="0"/>
    <x v="3"/>
    <x v="5"/>
    <x v="69"/>
    <x v="1"/>
    <x v="2"/>
    <n v="0"/>
  </r>
  <r>
    <x v="0"/>
    <x v="0"/>
    <x v="3"/>
    <x v="5"/>
    <x v="69"/>
    <x v="1"/>
    <x v="3"/>
    <n v="0"/>
  </r>
  <r>
    <x v="0"/>
    <x v="0"/>
    <x v="3"/>
    <x v="5"/>
    <x v="69"/>
    <x v="1"/>
    <x v="4"/>
    <n v="0"/>
  </r>
  <r>
    <x v="0"/>
    <x v="0"/>
    <x v="3"/>
    <x v="5"/>
    <x v="69"/>
    <x v="1"/>
    <x v="5"/>
    <n v="0"/>
  </r>
  <r>
    <x v="0"/>
    <x v="0"/>
    <x v="3"/>
    <x v="5"/>
    <x v="69"/>
    <x v="1"/>
    <x v="6"/>
    <n v="0"/>
  </r>
  <r>
    <x v="0"/>
    <x v="0"/>
    <x v="3"/>
    <x v="5"/>
    <x v="70"/>
    <x v="1"/>
    <x v="0"/>
    <n v="0"/>
  </r>
  <r>
    <x v="0"/>
    <x v="0"/>
    <x v="3"/>
    <x v="5"/>
    <x v="70"/>
    <x v="1"/>
    <x v="1"/>
    <n v="0"/>
  </r>
  <r>
    <x v="0"/>
    <x v="0"/>
    <x v="3"/>
    <x v="5"/>
    <x v="70"/>
    <x v="1"/>
    <x v="2"/>
    <n v="0"/>
  </r>
  <r>
    <x v="0"/>
    <x v="0"/>
    <x v="3"/>
    <x v="5"/>
    <x v="70"/>
    <x v="1"/>
    <x v="3"/>
    <n v="0"/>
  </r>
  <r>
    <x v="0"/>
    <x v="0"/>
    <x v="3"/>
    <x v="5"/>
    <x v="70"/>
    <x v="1"/>
    <x v="4"/>
    <n v="0"/>
  </r>
  <r>
    <x v="0"/>
    <x v="0"/>
    <x v="3"/>
    <x v="5"/>
    <x v="70"/>
    <x v="1"/>
    <x v="5"/>
    <n v="0"/>
  </r>
  <r>
    <x v="0"/>
    <x v="0"/>
    <x v="3"/>
    <x v="5"/>
    <x v="70"/>
    <x v="1"/>
    <x v="6"/>
    <n v="0"/>
  </r>
  <r>
    <x v="0"/>
    <x v="0"/>
    <x v="3"/>
    <x v="5"/>
    <x v="71"/>
    <x v="1"/>
    <x v="0"/>
    <n v="0"/>
  </r>
  <r>
    <x v="0"/>
    <x v="0"/>
    <x v="3"/>
    <x v="5"/>
    <x v="71"/>
    <x v="1"/>
    <x v="1"/>
    <n v="0"/>
  </r>
  <r>
    <x v="0"/>
    <x v="0"/>
    <x v="3"/>
    <x v="5"/>
    <x v="71"/>
    <x v="1"/>
    <x v="2"/>
    <n v="0"/>
  </r>
  <r>
    <x v="0"/>
    <x v="0"/>
    <x v="3"/>
    <x v="5"/>
    <x v="71"/>
    <x v="1"/>
    <x v="3"/>
    <n v="0"/>
  </r>
  <r>
    <x v="0"/>
    <x v="0"/>
    <x v="3"/>
    <x v="5"/>
    <x v="71"/>
    <x v="1"/>
    <x v="4"/>
    <n v="0"/>
  </r>
  <r>
    <x v="0"/>
    <x v="0"/>
    <x v="3"/>
    <x v="5"/>
    <x v="71"/>
    <x v="1"/>
    <x v="5"/>
    <n v="0"/>
  </r>
  <r>
    <x v="0"/>
    <x v="0"/>
    <x v="3"/>
    <x v="5"/>
    <x v="71"/>
    <x v="1"/>
    <x v="6"/>
    <n v="0"/>
  </r>
  <r>
    <x v="0"/>
    <x v="0"/>
    <x v="3"/>
    <x v="5"/>
    <x v="72"/>
    <x v="1"/>
    <x v="0"/>
    <n v="0"/>
  </r>
  <r>
    <x v="0"/>
    <x v="0"/>
    <x v="3"/>
    <x v="5"/>
    <x v="72"/>
    <x v="1"/>
    <x v="1"/>
    <n v="0"/>
  </r>
  <r>
    <x v="0"/>
    <x v="0"/>
    <x v="3"/>
    <x v="5"/>
    <x v="72"/>
    <x v="1"/>
    <x v="2"/>
    <n v="0"/>
  </r>
  <r>
    <x v="0"/>
    <x v="0"/>
    <x v="3"/>
    <x v="5"/>
    <x v="72"/>
    <x v="1"/>
    <x v="3"/>
    <n v="0"/>
  </r>
  <r>
    <x v="0"/>
    <x v="0"/>
    <x v="3"/>
    <x v="5"/>
    <x v="72"/>
    <x v="1"/>
    <x v="4"/>
    <n v="0"/>
  </r>
  <r>
    <x v="0"/>
    <x v="0"/>
    <x v="3"/>
    <x v="5"/>
    <x v="72"/>
    <x v="1"/>
    <x v="5"/>
    <n v="0"/>
  </r>
  <r>
    <x v="0"/>
    <x v="0"/>
    <x v="3"/>
    <x v="5"/>
    <x v="72"/>
    <x v="1"/>
    <x v="6"/>
    <n v="0"/>
  </r>
  <r>
    <x v="0"/>
    <x v="0"/>
    <x v="3"/>
    <x v="5"/>
    <x v="73"/>
    <x v="1"/>
    <x v="0"/>
    <n v="0"/>
  </r>
  <r>
    <x v="0"/>
    <x v="0"/>
    <x v="3"/>
    <x v="5"/>
    <x v="73"/>
    <x v="1"/>
    <x v="1"/>
    <n v="0"/>
  </r>
  <r>
    <x v="0"/>
    <x v="0"/>
    <x v="3"/>
    <x v="5"/>
    <x v="73"/>
    <x v="1"/>
    <x v="2"/>
    <n v="0"/>
  </r>
  <r>
    <x v="0"/>
    <x v="0"/>
    <x v="3"/>
    <x v="5"/>
    <x v="73"/>
    <x v="1"/>
    <x v="3"/>
    <n v="0"/>
  </r>
  <r>
    <x v="0"/>
    <x v="0"/>
    <x v="3"/>
    <x v="5"/>
    <x v="73"/>
    <x v="1"/>
    <x v="4"/>
    <n v="0"/>
  </r>
  <r>
    <x v="0"/>
    <x v="0"/>
    <x v="3"/>
    <x v="5"/>
    <x v="73"/>
    <x v="1"/>
    <x v="5"/>
    <n v="0"/>
  </r>
  <r>
    <x v="0"/>
    <x v="0"/>
    <x v="3"/>
    <x v="5"/>
    <x v="73"/>
    <x v="1"/>
    <x v="6"/>
    <n v="0"/>
  </r>
  <r>
    <x v="0"/>
    <x v="0"/>
    <x v="5"/>
    <x v="8"/>
    <x v="74"/>
    <x v="1"/>
    <x v="0"/>
    <n v="0"/>
  </r>
  <r>
    <x v="0"/>
    <x v="0"/>
    <x v="5"/>
    <x v="8"/>
    <x v="74"/>
    <x v="1"/>
    <x v="1"/>
    <n v="0"/>
  </r>
  <r>
    <x v="0"/>
    <x v="0"/>
    <x v="5"/>
    <x v="8"/>
    <x v="74"/>
    <x v="1"/>
    <x v="2"/>
    <n v="0"/>
  </r>
  <r>
    <x v="0"/>
    <x v="0"/>
    <x v="5"/>
    <x v="8"/>
    <x v="74"/>
    <x v="1"/>
    <x v="3"/>
    <n v="0"/>
  </r>
  <r>
    <x v="0"/>
    <x v="0"/>
    <x v="5"/>
    <x v="8"/>
    <x v="74"/>
    <x v="1"/>
    <x v="4"/>
    <n v="0"/>
  </r>
  <r>
    <x v="0"/>
    <x v="0"/>
    <x v="5"/>
    <x v="8"/>
    <x v="74"/>
    <x v="1"/>
    <x v="5"/>
    <n v="0"/>
  </r>
  <r>
    <x v="0"/>
    <x v="0"/>
    <x v="5"/>
    <x v="8"/>
    <x v="74"/>
    <x v="1"/>
    <x v="6"/>
    <n v="0"/>
  </r>
  <r>
    <x v="0"/>
    <x v="0"/>
    <x v="5"/>
    <x v="8"/>
    <x v="75"/>
    <x v="1"/>
    <x v="0"/>
    <n v="0"/>
  </r>
  <r>
    <x v="0"/>
    <x v="0"/>
    <x v="5"/>
    <x v="8"/>
    <x v="75"/>
    <x v="1"/>
    <x v="1"/>
    <n v="0"/>
  </r>
  <r>
    <x v="0"/>
    <x v="0"/>
    <x v="5"/>
    <x v="8"/>
    <x v="75"/>
    <x v="1"/>
    <x v="2"/>
    <n v="0"/>
  </r>
  <r>
    <x v="0"/>
    <x v="0"/>
    <x v="5"/>
    <x v="8"/>
    <x v="75"/>
    <x v="1"/>
    <x v="3"/>
    <n v="0"/>
  </r>
  <r>
    <x v="0"/>
    <x v="0"/>
    <x v="5"/>
    <x v="8"/>
    <x v="75"/>
    <x v="1"/>
    <x v="4"/>
    <n v="0"/>
  </r>
  <r>
    <x v="0"/>
    <x v="0"/>
    <x v="5"/>
    <x v="8"/>
    <x v="75"/>
    <x v="1"/>
    <x v="5"/>
    <n v="0"/>
  </r>
  <r>
    <x v="0"/>
    <x v="0"/>
    <x v="5"/>
    <x v="8"/>
    <x v="75"/>
    <x v="1"/>
    <x v="6"/>
    <n v="0"/>
  </r>
  <r>
    <x v="0"/>
    <x v="0"/>
    <x v="5"/>
    <x v="8"/>
    <x v="76"/>
    <x v="1"/>
    <x v="0"/>
    <n v="0"/>
  </r>
  <r>
    <x v="0"/>
    <x v="0"/>
    <x v="5"/>
    <x v="8"/>
    <x v="76"/>
    <x v="1"/>
    <x v="1"/>
    <n v="0"/>
  </r>
  <r>
    <x v="0"/>
    <x v="0"/>
    <x v="5"/>
    <x v="8"/>
    <x v="76"/>
    <x v="1"/>
    <x v="2"/>
    <n v="0"/>
  </r>
  <r>
    <x v="0"/>
    <x v="0"/>
    <x v="5"/>
    <x v="8"/>
    <x v="76"/>
    <x v="1"/>
    <x v="3"/>
    <n v="0"/>
  </r>
  <r>
    <x v="0"/>
    <x v="0"/>
    <x v="5"/>
    <x v="8"/>
    <x v="76"/>
    <x v="1"/>
    <x v="4"/>
    <n v="0"/>
  </r>
  <r>
    <x v="0"/>
    <x v="0"/>
    <x v="5"/>
    <x v="8"/>
    <x v="76"/>
    <x v="1"/>
    <x v="5"/>
    <n v="0"/>
  </r>
  <r>
    <x v="0"/>
    <x v="0"/>
    <x v="5"/>
    <x v="8"/>
    <x v="76"/>
    <x v="1"/>
    <x v="6"/>
    <n v="0"/>
  </r>
  <r>
    <x v="0"/>
    <x v="0"/>
    <x v="5"/>
    <x v="8"/>
    <x v="77"/>
    <x v="1"/>
    <x v="0"/>
    <n v="0"/>
  </r>
  <r>
    <x v="0"/>
    <x v="0"/>
    <x v="5"/>
    <x v="8"/>
    <x v="77"/>
    <x v="1"/>
    <x v="1"/>
    <n v="0"/>
  </r>
  <r>
    <x v="0"/>
    <x v="0"/>
    <x v="5"/>
    <x v="8"/>
    <x v="77"/>
    <x v="1"/>
    <x v="2"/>
    <n v="0"/>
  </r>
  <r>
    <x v="0"/>
    <x v="0"/>
    <x v="5"/>
    <x v="8"/>
    <x v="77"/>
    <x v="1"/>
    <x v="3"/>
    <n v="0"/>
  </r>
  <r>
    <x v="0"/>
    <x v="0"/>
    <x v="5"/>
    <x v="8"/>
    <x v="77"/>
    <x v="1"/>
    <x v="4"/>
    <n v="0"/>
  </r>
  <r>
    <x v="0"/>
    <x v="0"/>
    <x v="5"/>
    <x v="8"/>
    <x v="77"/>
    <x v="1"/>
    <x v="5"/>
    <n v="0"/>
  </r>
  <r>
    <x v="0"/>
    <x v="0"/>
    <x v="5"/>
    <x v="8"/>
    <x v="77"/>
    <x v="1"/>
    <x v="6"/>
    <n v="0"/>
  </r>
  <r>
    <x v="0"/>
    <x v="0"/>
    <x v="5"/>
    <x v="8"/>
    <x v="78"/>
    <x v="1"/>
    <x v="0"/>
    <n v="0"/>
  </r>
  <r>
    <x v="0"/>
    <x v="0"/>
    <x v="5"/>
    <x v="8"/>
    <x v="78"/>
    <x v="1"/>
    <x v="1"/>
    <n v="0"/>
  </r>
  <r>
    <x v="0"/>
    <x v="0"/>
    <x v="5"/>
    <x v="8"/>
    <x v="78"/>
    <x v="1"/>
    <x v="2"/>
    <n v="0"/>
  </r>
  <r>
    <x v="0"/>
    <x v="0"/>
    <x v="5"/>
    <x v="8"/>
    <x v="78"/>
    <x v="1"/>
    <x v="3"/>
    <n v="0"/>
  </r>
  <r>
    <x v="0"/>
    <x v="0"/>
    <x v="5"/>
    <x v="8"/>
    <x v="78"/>
    <x v="1"/>
    <x v="4"/>
    <n v="0"/>
  </r>
  <r>
    <x v="0"/>
    <x v="0"/>
    <x v="5"/>
    <x v="8"/>
    <x v="78"/>
    <x v="1"/>
    <x v="5"/>
    <n v="0"/>
  </r>
  <r>
    <x v="0"/>
    <x v="0"/>
    <x v="5"/>
    <x v="8"/>
    <x v="78"/>
    <x v="1"/>
    <x v="6"/>
    <n v="0"/>
  </r>
  <r>
    <x v="0"/>
    <x v="0"/>
    <x v="5"/>
    <x v="8"/>
    <x v="79"/>
    <x v="1"/>
    <x v="0"/>
    <n v="0"/>
  </r>
  <r>
    <x v="0"/>
    <x v="0"/>
    <x v="5"/>
    <x v="8"/>
    <x v="79"/>
    <x v="1"/>
    <x v="1"/>
    <n v="0"/>
  </r>
  <r>
    <x v="0"/>
    <x v="0"/>
    <x v="5"/>
    <x v="8"/>
    <x v="79"/>
    <x v="1"/>
    <x v="2"/>
    <n v="0"/>
  </r>
  <r>
    <x v="0"/>
    <x v="0"/>
    <x v="5"/>
    <x v="8"/>
    <x v="79"/>
    <x v="1"/>
    <x v="3"/>
    <n v="0"/>
  </r>
  <r>
    <x v="0"/>
    <x v="0"/>
    <x v="5"/>
    <x v="8"/>
    <x v="79"/>
    <x v="1"/>
    <x v="4"/>
    <n v="0"/>
  </r>
  <r>
    <x v="0"/>
    <x v="0"/>
    <x v="5"/>
    <x v="8"/>
    <x v="79"/>
    <x v="1"/>
    <x v="5"/>
    <n v="0"/>
  </r>
  <r>
    <x v="0"/>
    <x v="0"/>
    <x v="5"/>
    <x v="8"/>
    <x v="79"/>
    <x v="1"/>
    <x v="6"/>
    <n v="0"/>
  </r>
  <r>
    <x v="0"/>
    <x v="0"/>
    <x v="5"/>
    <x v="8"/>
    <x v="80"/>
    <x v="1"/>
    <x v="0"/>
    <n v="0"/>
  </r>
  <r>
    <x v="0"/>
    <x v="0"/>
    <x v="5"/>
    <x v="8"/>
    <x v="80"/>
    <x v="1"/>
    <x v="1"/>
    <n v="0"/>
  </r>
  <r>
    <x v="0"/>
    <x v="0"/>
    <x v="5"/>
    <x v="8"/>
    <x v="80"/>
    <x v="1"/>
    <x v="2"/>
    <n v="0"/>
  </r>
  <r>
    <x v="0"/>
    <x v="0"/>
    <x v="5"/>
    <x v="8"/>
    <x v="80"/>
    <x v="1"/>
    <x v="3"/>
    <n v="0"/>
  </r>
  <r>
    <x v="0"/>
    <x v="0"/>
    <x v="5"/>
    <x v="8"/>
    <x v="80"/>
    <x v="1"/>
    <x v="4"/>
    <n v="0"/>
  </r>
  <r>
    <x v="0"/>
    <x v="0"/>
    <x v="5"/>
    <x v="8"/>
    <x v="80"/>
    <x v="1"/>
    <x v="5"/>
    <n v="0"/>
  </r>
  <r>
    <x v="0"/>
    <x v="0"/>
    <x v="5"/>
    <x v="8"/>
    <x v="80"/>
    <x v="1"/>
    <x v="6"/>
    <n v="0"/>
  </r>
  <r>
    <x v="0"/>
    <x v="0"/>
    <x v="5"/>
    <x v="8"/>
    <x v="81"/>
    <x v="1"/>
    <x v="0"/>
    <n v="0"/>
  </r>
  <r>
    <x v="0"/>
    <x v="0"/>
    <x v="5"/>
    <x v="8"/>
    <x v="81"/>
    <x v="1"/>
    <x v="1"/>
    <n v="0"/>
  </r>
  <r>
    <x v="0"/>
    <x v="0"/>
    <x v="5"/>
    <x v="8"/>
    <x v="81"/>
    <x v="1"/>
    <x v="2"/>
    <n v="0"/>
  </r>
  <r>
    <x v="0"/>
    <x v="0"/>
    <x v="5"/>
    <x v="8"/>
    <x v="81"/>
    <x v="1"/>
    <x v="3"/>
    <n v="0"/>
  </r>
  <r>
    <x v="0"/>
    <x v="0"/>
    <x v="5"/>
    <x v="8"/>
    <x v="81"/>
    <x v="1"/>
    <x v="4"/>
    <n v="0"/>
  </r>
  <r>
    <x v="0"/>
    <x v="0"/>
    <x v="5"/>
    <x v="8"/>
    <x v="81"/>
    <x v="1"/>
    <x v="5"/>
    <n v="0"/>
  </r>
  <r>
    <x v="0"/>
    <x v="0"/>
    <x v="5"/>
    <x v="8"/>
    <x v="81"/>
    <x v="1"/>
    <x v="6"/>
    <n v="0"/>
  </r>
  <r>
    <x v="0"/>
    <x v="0"/>
    <x v="5"/>
    <x v="8"/>
    <x v="82"/>
    <x v="1"/>
    <x v="0"/>
    <n v="0"/>
  </r>
  <r>
    <x v="0"/>
    <x v="0"/>
    <x v="5"/>
    <x v="8"/>
    <x v="82"/>
    <x v="1"/>
    <x v="1"/>
    <n v="0"/>
  </r>
  <r>
    <x v="0"/>
    <x v="0"/>
    <x v="5"/>
    <x v="8"/>
    <x v="82"/>
    <x v="1"/>
    <x v="2"/>
    <n v="0"/>
  </r>
  <r>
    <x v="0"/>
    <x v="0"/>
    <x v="5"/>
    <x v="8"/>
    <x v="82"/>
    <x v="1"/>
    <x v="3"/>
    <n v="0"/>
  </r>
  <r>
    <x v="0"/>
    <x v="0"/>
    <x v="5"/>
    <x v="8"/>
    <x v="82"/>
    <x v="1"/>
    <x v="4"/>
    <n v="0"/>
  </r>
  <r>
    <x v="0"/>
    <x v="0"/>
    <x v="5"/>
    <x v="8"/>
    <x v="82"/>
    <x v="1"/>
    <x v="5"/>
    <n v="0"/>
  </r>
  <r>
    <x v="0"/>
    <x v="0"/>
    <x v="5"/>
    <x v="8"/>
    <x v="82"/>
    <x v="1"/>
    <x v="6"/>
    <n v="0"/>
  </r>
  <r>
    <x v="0"/>
    <x v="0"/>
    <x v="5"/>
    <x v="8"/>
    <x v="83"/>
    <x v="1"/>
    <x v="0"/>
    <n v="0"/>
  </r>
  <r>
    <x v="0"/>
    <x v="0"/>
    <x v="5"/>
    <x v="8"/>
    <x v="83"/>
    <x v="1"/>
    <x v="1"/>
    <n v="0"/>
  </r>
  <r>
    <x v="0"/>
    <x v="0"/>
    <x v="5"/>
    <x v="8"/>
    <x v="83"/>
    <x v="1"/>
    <x v="2"/>
    <n v="0"/>
  </r>
  <r>
    <x v="0"/>
    <x v="0"/>
    <x v="5"/>
    <x v="8"/>
    <x v="83"/>
    <x v="1"/>
    <x v="3"/>
    <n v="0"/>
  </r>
  <r>
    <x v="0"/>
    <x v="0"/>
    <x v="5"/>
    <x v="8"/>
    <x v="83"/>
    <x v="1"/>
    <x v="4"/>
    <n v="0"/>
  </r>
  <r>
    <x v="0"/>
    <x v="0"/>
    <x v="5"/>
    <x v="8"/>
    <x v="83"/>
    <x v="1"/>
    <x v="5"/>
    <n v="0"/>
  </r>
  <r>
    <x v="0"/>
    <x v="0"/>
    <x v="5"/>
    <x v="8"/>
    <x v="83"/>
    <x v="1"/>
    <x v="6"/>
    <n v="0"/>
  </r>
  <r>
    <x v="0"/>
    <x v="1"/>
    <x v="0"/>
    <x v="0"/>
    <x v="0"/>
    <x v="1"/>
    <x v="0"/>
    <n v="0"/>
  </r>
  <r>
    <x v="0"/>
    <x v="1"/>
    <x v="0"/>
    <x v="0"/>
    <x v="0"/>
    <x v="1"/>
    <x v="1"/>
    <n v="0"/>
  </r>
  <r>
    <x v="0"/>
    <x v="1"/>
    <x v="0"/>
    <x v="0"/>
    <x v="0"/>
    <x v="1"/>
    <x v="2"/>
    <n v="0"/>
  </r>
  <r>
    <x v="0"/>
    <x v="1"/>
    <x v="0"/>
    <x v="0"/>
    <x v="0"/>
    <x v="1"/>
    <x v="3"/>
    <n v="0"/>
  </r>
  <r>
    <x v="0"/>
    <x v="1"/>
    <x v="0"/>
    <x v="0"/>
    <x v="0"/>
    <x v="1"/>
    <x v="4"/>
    <n v="0"/>
  </r>
  <r>
    <x v="0"/>
    <x v="1"/>
    <x v="0"/>
    <x v="0"/>
    <x v="0"/>
    <x v="1"/>
    <x v="5"/>
    <n v="0"/>
  </r>
  <r>
    <x v="0"/>
    <x v="1"/>
    <x v="0"/>
    <x v="0"/>
    <x v="0"/>
    <x v="1"/>
    <x v="6"/>
    <n v="0"/>
  </r>
  <r>
    <x v="0"/>
    <x v="1"/>
    <x v="0"/>
    <x v="1"/>
    <x v="1"/>
    <x v="1"/>
    <x v="0"/>
    <n v="0"/>
  </r>
  <r>
    <x v="0"/>
    <x v="1"/>
    <x v="0"/>
    <x v="1"/>
    <x v="1"/>
    <x v="1"/>
    <x v="1"/>
    <n v="0"/>
  </r>
  <r>
    <x v="0"/>
    <x v="1"/>
    <x v="0"/>
    <x v="1"/>
    <x v="1"/>
    <x v="1"/>
    <x v="2"/>
    <n v="0"/>
  </r>
  <r>
    <x v="0"/>
    <x v="1"/>
    <x v="0"/>
    <x v="1"/>
    <x v="1"/>
    <x v="1"/>
    <x v="3"/>
    <n v="0"/>
  </r>
  <r>
    <x v="0"/>
    <x v="1"/>
    <x v="0"/>
    <x v="1"/>
    <x v="1"/>
    <x v="1"/>
    <x v="4"/>
    <n v="0"/>
  </r>
  <r>
    <x v="0"/>
    <x v="1"/>
    <x v="0"/>
    <x v="1"/>
    <x v="1"/>
    <x v="1"/>
    <x v="5"/>
    <n v="0"/>
  </r>
  <r>
    <x v="0"/>
    <x v="1"/>
    <x v="0"/>
    <x v="1"/>
    <x v="1"/>
    <x v="1"/>
    <x v="6"/>
    <n v="0"/>
  </r>
  <r>
    <x v="0"/>
    <x v="1"/>
    <x v="0"/>
    <x v="1"/>
    <x v="2"/>
    <x v="1"/>
    <x v="0"/>
    <n v="0"/>
  </r>
  <r>
    <x v="0"/>
    <x v="1"/>
    <x v="0"/>
    <x v="1"/>
    <x v="2"/>
    <x v="1"/>
    <x v="1"/>
    <n v="0"/>
  </r>
  <r>
    <x v="0"/>
    <x v="1"/>
    <x v="0"/>
    <x v="1"/>
    <x v="2"/>
    <x v="1"/>
    <x v="2"/>
    <n v="0"/>
  </r>
  <r>
    <x v="0"/>
    <x v="1"/>
    <x v="0"/>
    <x v="1"/>
    <x v="2"/>
    <x v="1"/>
    <x v="3"/>
    <n v="0"/>
  </r>
  <r>
    <x v="0"/>
    <x v="1"/>
    <x v="0"/>
    <x v="1"/>
    <x v="2"/>
    <x v="1"/>
    <x v="4"/>
    <n v="0"/>
  </r>
  <r>
    <x v="0"/>
    <x v="1"/>
    <x v="0"/>
    <x v="1"/>
    <x v="2"/>
    <x v="1"/>
    <x v="5"/>
    <n v="0"/>
  </r>
  <r>
    <x v="0"/>
    <x v="1"/>
    <x v="0"/>
    <x v="1"/>
    <x v="2"/>
    <x v="1"/>
    <x v="6"/>
    <n v="0"/>
  </r>
  <r>
    <x v="0"/>
    <x v="1"/>
    <x v="0"/>
    <x v="1"/>
    <x v="3"/>
    <x v="1"/>
    <x v="0"/>
    <n v="0"/>
  </r>
  <r>
    <x v="0"/>
    <x v="1"/>
    <x v="0"/>
    <x v="1"/>
    <x v="3"/>
    <x v="1"/>
    <x v="1"/>
    <n v="0"/>
  </r>
  <r>
    <x v="0"/>
    <x v="1"/>
    <x v="0"/>
    <x v="1"/>
    <x v="3"/>
    <x v="1"/>
    <x v="2"/>
    <n v="0"/>
  </r>
  <r>
    <x v="0"/>
    <x v="1"/>
    <x v="0"/>
    <x v="1"/>
    <x v="3"/>
    <x v="1"/>
    <x v="3"/>
    <n v="0"/>
  </r>
  <r>
    <x v="0"/>
    <x v="1"/>
    <x v="0"/>
    <x v="1"/>
    <x v="3"/>
    <x v="1"/>
    <x v="4"/>
    <n v="0"/>
  </r>
  <r>
    <x v="0"/>
    <x v="1"/>
    <x v="0"/>
    <x v="1"/>
    <x v="3"/>
    <x v="1"/>
    <x v="5"/>
    <n v="0"/>
  </r>
  <r>
    <x v="0"/>
    <x v="1"/>
    <x v="0"/>
    <x v="1"/>
    <x v="3"/>
    <x v="1"/>
    <x v="6"/>
    <n v="0"/>
  </r>
  <r>
    <x v="0"/>
    <x v="1"/>
    <x v="0"/>
    <x v="1"/>
    <x v="4"/>
    <x v="1"/>
    <x v="0"/>
    <n v="0"/>
  </r>
  <r>
    <x v="0"/>
    <x v="1"/>
    <x v="0"/>
    <x v="1"/>
    <x v="4"/>
    <x v="1"/>
    <x v="1"/>
    <n v="0"/>
  </r>
  <r>
    <x v="0"/>
    <x v="1"/>
    <x v="0"/>
    <x v="1"/>
    <x v="4"/>
    <x v="1"/>
    <x v="2"/>
    <n v="0"/>
  </r>
  <r>
    <x v="0"/>
    <x v="1"/>
    <x v="0"/>
    <x v="1"/>
    <x v="4"/>
    <x v="1"/>
    <x v="3"/>
    <n v="0"/>
  </r>
  <r>
    <x v="0"/>
    <x v="1"/>
    <x v="0"/>
    <x v="1"/>
    <x v="4"/>
    <x v="1"/>
    <x v="4"/>
    <n v="0"/>
  </r>
  <r>
    <x v="0"/>
    <x v="1"/>
    <x v="0"/>
    <x v="1"/>
    <x v="4"/>
    <x v="1"/>
    <x v="5"/>
    <n v="0"/>
  </r>
  <r>
    <x v="0"/>
    <x v="1"/>
    <x v="0"/>
    <x v="1"/>
    <x v="4"/>
    <x v="1"/>
    <x v="6"/>
    <n v="0"/>
  </r>
  <r>
    <x v="0"/>
    <x v="1"/>
    <x v="0"/>
    <x v="1"/>
    <x v="5"/>
    <x v="1"/>
    <x v="0"/>
    <n v="0"/>
  </r>
  <r>
    <x v="0"/>
    <x v="1"/>
    <x v="0"/>
    <x v="1"/>
    <x v="5"/>
    <x v="1"/>
    <x v="1"/>
    <n v="0"/>
  </r>
  <r>
    <x v="0"/>
    <x v="1"/>
    <x v="0"/>
    <x v="1"/>
    <x v="5"/>
    <x v="1"/>
    <x v="2"/>
    <n v="0"/>
  </r>
  <r>
    <x v="0"/>
    <x v="1"/>
    <x v="0"/>
    <x v="1"/>
    <x v="5"/>
    <x v="1"/>
    <x v="3"/>
    <n v="0"/>
  </r>
  <r>
    <x v="0"/>
    <x v="1"/>
    <x v="0"/>
    <x v="1"/>
    <x v="5"/>
    <x v="1"/>
    <x v="4"/>
    <n v="0"/>
  </r>
  <r>
    <x v="0"/>
    <x v="1"/>
    <x v="0"/>
    <x v="1"/>
    <x v="5"/>
    <x v="1"/>
    <x v="5"/>
    <n v="0"/>
  </r>
  <r>
    <x v="0"/>
    <x v="1"/>
    <x v="0"/>
    <x v="1"/>
    <x v="5"/>
    <x v="1"/>
    <x v="6"/>
    <n v="0"/>
  </r>
  <r>
    <x v="0"/>
    <x v="1"/>
    <x v="0"/>
    <x v="1"/>
    <x v="6"/>
    <x v="1"/>
    <x v="0"/>
    <n v="0"/>
  </r>
  <r>
    <x v="0"/>
    <x v="1"/>
    <x v="0"/>
    <x v="1"/>
    <x v="6"/>
    <x v="1"/>
    <x v="1"/>
    <n v="0"/>
  </r>
  <r>
    <x v="0"/>
    <x v="1"/>
    <x v="0"/>
    <x v="1"/>
    <x v="6"/>
    <x v="1"/>
    <x v="2"/>
    <n v="0"/>
  </r>
  <r>
    <x v="0"/>
    <x v="1"/>
    <x v="0"/>
    <x v="1"/>
    <x v="6"/>
    <x v="1"/>
    <x v="3"/>
    <n v="0"/>
  </r>
  <r>
    <x v="0"/>
    <x v="1"/>
    <x v="0"/>
    <x v="1"/>
    <x v="6"/>
    <x v="1"/>
    <x v="4"/>
    <n v="0"/>
  </r>
  <r>
    <x v="0"/>
    <x v="1"/>
    <x v="0"/>
    <x v="1"/>
    <x v="6"/>
    <x v="1"/>
    <x v="5"/>
    <n v="0"/>
  </r>
  <r>
    <x v="0"/>
    <x v="1"/>
    <x v="0"/>
    <x v="1"/>
    <x v="6"/>
    <x v="1"/>
    <x v="6"/>
    <n v="0"/>
  </r>
  <r>
    <x v="0"/>
    <x v="1"/>
    <x v="0"/>
    <x v="1"/>
    <x v="7"/>
    <x v="1"/>
    <x v="0"/>
    <n v="0"/>
  </r>
  <r>
    <x v="0"/>
    <x v="1"/>
    <x v="0"/>
    <x v="1"/>
    <x v="7"/>
    <x v="1"/>
    <x v="1"/>
    <n v="0"/>
  </r>
  <r>
    <x v="0"/>
    <x v="1"/>
    <x v="0"/>
    <x v="1"/>
    <x v="7"/>
    <x v="1"/>
    <x v="2"/>
    <n v="0"/>
  </r>
  <r>
    <x v="0"/>
    <x v="1"/>
    <x v="0"/>
    <x v="1"/>
    <x v="7"/>
    <x v="1"/>
    <x v="3"/>
    <n v="0"/>
  </r>
  <r>
    <x v="0"/>
    <x v="1"/>
    <x v="0"/>
    <x v="1"/>
    <x v="7"/>
    <x v="1"/>
    <x v="4"/>
    <n v="0"/>
  </r>
  <r>
    <x v="0"/>
    <x v="1"/>
    <x v="0"/>
    <x v="1"/>
    <x v="7"/>
    <x v="1"/>
    <x v="5"/>
    <n v="0"/>
  </r>
  <r>
    <x v="0"/>
    <x v="1"/>
    <x v="0"/>
    <x v="1"/>
    <x v="7"/>
    <x v="1"/>
    <x v="6"/>
    <n v="0"/>
  </r>
  <r>
    <x v="0"/>
    <x v="1"/>
    <x v="0"/>
    <x v="1"/>
    <x v="8"/>
    <x v="1"/>
    <x v="0"/>
    <n v="0"/>
  </r>
  <r>
    <x v="0"/>
    <x v="1"/>
    <x v="0"/>
    <x v="1"/>
    <x v="8"/>
    <x v="1"/>
    <x v="1"/>
    <n v="0"/>
  </r>
  <r>
    <x v="0"/>
    <x v="1"/>
    <x v="0"/>
    <x v="1"/>
    <x v="8"/>
    <x v="1"/>
    <x v="2"/>
    <n v="0"/>
  </r>
  <r>
    <x v="0"/>
    <x v="1"/>
    <x v="0"/>
    <x v="1"/>
    <x v="8"/>
    <x v="1"/>
    <x v="3"/>
    <n v="0"/>
  </r>
  <r>
    <x v="0"/>
    <x v="1"/>
    <x v="0"/>
    <x v="1"/>
    <x v="8"/>
    <x v="1"/>
    <x v="4"/>
    <n v="0"/>
  </r>
  <r>
    <x v="0"/>
    <x v="1"/>
    <x v="0"/>
    <x v="1"/>
    <x v="8"/>
    <x v="1"/>
    <x v="5"/>
    <n v="0"/>
  </r>
  <r>
    <x v="0"/>
    <x v="1"/>
    <x v="0"/>
    <x v="1"/>
    <x v="8"/>
    <x v="1"/>
    <x v="6"/>
    <n v="0"/>
  </r>
  <r>
    <x v="0"/>
    <x v="1"/>
    <x v="0"/>
    <x v="1"/>
    <x v="9"/>
    <x v="1"/>
    <x v="0"/>
    <n v="0"/>
  </r>
  <r>
    <x v="0"/>
    <x v="1"/>
    <x v="0"/>
    <x v="1"/>
    <x v="9"/>
    <x v="1"/>
    <x v="1"/>
    <n v="0"/>
  </r>
  <r>
    <x v="0"/>
    <x v="1"/>
    <x v="0"/>
    <x v="1"/>
    <x v="9"/>
    <x v="1"/>
    <x v="2"/>
    <n v="0"/>
  </r>
  <r>
    <x v="0"/>
    <x v="1"/>
    <x v="0"/>
    <x v="1"/>
    <x v="9"/>
    <x v="1"/>
    <x v="3"/>
    <n v="0"/>
  </r>
  <r>
    <x v="0"/>
    <x v="1"/>
    <x v="0"/>
    <x v="1"/>
    <x v="9"/>
    <x v="1"/>
    <x v="4"/>
    <n v="0"/>
  </r>
  <r>
    <x v="0"/>
    <x v="1"/>
    <x v="0"/>
    <x v="1"/>
    <x v="9"/>
    <x v="1"/>
    <x v="5"/>
    <n v="0"/>
  </r>
  <r>
    <x v="0"/>
    <x v="1"/>
    <x v="0"/>
    <x v="1"/>
    <x v="9"/>
    <x v="1"/>
    <x v="6"/>
    <n v="0"/>
  </r>
  <r>
    <x v="0"/>
    <x v="1"/>
    <x v="0"/>
    <x v="1"/>
    <x v="10"/>
    <x v="1"/>
    <x v="0"/>
    <n v="0"/>
  </r>
  <r>
    <x v="0"/>
    <x v="1"/>
    <x v="0"/>
    <x v="1"/>
    <x v="10"/>
    <x v="1"/>
    <x v="1"/>
    <n v="0"/>
  </r>
  <r>
    <x v="0"/>
    <x v="1"/>
    <x v="0"/>
    <x v="1"/>
    <x v="10"/>
    <x v="1"/>
    <x v="2"/>
    <n v="0"/>
  </r>
  <r>
    <x v="0"/>
    <x v="1"/>
    <x v="0"/>
    <x v="1"/>
    <x v="10"/>
    <x v="1"/>
    <x v="3"/>
    <n v="0"/>
  </r>
  <r>
    <x v="0"/>
    <x v="1"/>
    <x v="0"/>
    <x v="1"/>
    <x v="10"/>
    <x v="1"/>
    <x v="4"/>
    <n v="0"/>
  </r>
  <r>
    <x v="0"/>
    <x v="1"/>
    <x v="0"/>
    <x v="1"/>
    <x v="10"/>
    <x v="1"/>
    <x v="5"/>
    <n v="0"/>
  </r>
  <r>
    <x v="0"/>
    <x v="1"/>
    <x v="0"/>
    <x v="1"/>
    <x v="10"/>
    <x v="1"/>
    <x v="6"/>
    <n v="0"/>
  </r>
  <r>
    <x v="0"/>
    <x v="1"/>
    <x v="0"/>
    <x v="0"/>
    <x v="11"/>
    <x v="1"/>
    <x v="0"/>
    <n v="0.18358458816299422"/>
  </r>
  <r>
    <x v="0"/>
    <x v="1"/>
    <x v="0"/>
    <x v="0"/>
    <x v="11"/>
    <x v="1"/>
    <x v="1"/>
    <n v="0.62989553201137682"/>
  </r>
  <r>
    <x v="0"/>
    <x v="1"/>
    <x v="0"/>
    <x v="0"/>
    <x v="11"/>
    <x v="1"/>
    <x v="2"/>
    <n v="1.9214334332303826"/>
  </r>
  <r>
    <x v="0"/>
    <x v="1"/>
    <x v="0"/>
    <x v="0"/>
    <x v="11"/>
    <x v="1"/>
    <x v="3"/>
    <n v="5.7949647357587635"/>
  </r>
  <r>
    <x v="0"/>
    <x v="1"/>
    <x v="0"/>
    <x v="0"/>
    <x v="11"/>
    <x v="1"/>
    <x v="4"/>
    <n v="17.869428139481002"/>
  </r>
  <r>
    <x v="0"/>
    <x v="1"/>
    <x v="0"/>
    <x v="0"/>
    <x v="11"/>
    <x v="1"/>
    <x v="5"/>
    <n v="43.663276912952618"/>
  </r>
  <r>
    <x v="0"/>
    <x v="1"/>
    <x v="0"/>
    <x v="0"/>
    <x v="11"/>
    <x v="1"/>
    <x v="6"/>
    <n v="68.805560496711507"/>
  </r>
  <r>
    <x v="0"/>
    <x v="1"/>
    <x v="0"/>
    <x v="0"/>
    <x v="12"/>
    <x v="1"/>
    <x v="0"/>
    <n v="0"/>
  </r>
  <r>
    <x v="0"/>
    <x v="1"/>
    <x v="0"/>
    <x v="0"/>
    <x v="12"/>
    <x v="1"/>
    <x v="1"/>
    <n v="0"/>
  </r>
  <r>
    <x v="0"/>
    <x v="1"/>
    <x v="0"/>
    <x v="0"/>
    <x v="12"/>
    <x v="1"/>
    <x v="2"/>
    <n v="0"/>
  </r>
  <r>
    <x v="0"/>
    <x v="1"/>
    <x v="0"/>
    <x v="0"/>
    <x v="12"/>
    <x v="1"/>
    <x v="3"/>
    <n v="0"/>
  </r>
  <r>
    <x v="0"/>
    <x v="1"/>
    <x v="0"/>
    <x v="0"/>
    <x v="12"/>
    <x v="1"/>
    <x v="4"/>
    <n v="0"/>
  </r>
  <r>
    <x v="0"/>
    <x v="1"/>
    <x v="0"/>
    <x v="0"/>
    <x v="12"/>
    <x v="1"/>
    <x v="5"/>
    <n v="0"/>
  </r>
  <r>
    <x v="0"/>
    <x v="1"/>
    <x v="0"/>
    <x v="0"/>
    <x v="12"/>
    <x v="1"/>
    <x v="6"/>
    <n v="0"/>
  </r>
  <r>
    <x v="0"/>
    <x v="1"/>
    <x v="0"/>
    <x v="0"/>
    <x v="13"/>
    <x v="1"/>
    <x v="0"/>
    <n v="0"/>
  </r>
  <r>
    <x v="0"/>
    <x v="1"/>
    <x v="0"/>
    <x v="0"/>
    <x v="13"/>
    <x v="1"/>
    <x v="1"/>
    <n v="0"/>
  </r>
  <r>
    <x v="0"/>
    <x v="1"/>
    <x v="0"/>
    <x v="0"/>
    <x v="13"/>
    <x v="1"/>
    <x v="2"/>
    <n v="0"/>
  </r>
  <r>
    <x v="0"/>
    <x v="1"/>
    <x v="0"/>
    <x v="0"/>
    <x v="13"/>
    <x v="1"/>
    <x v="3"/>
    <n v="0"/>
  </r>
  <r>
    <x v="0"/>
    <x v="1"/>
    <x v="0"/>
    <x v="0"/>
    <x v="13"/>
    <x v="1"/>
    <x v="4"/>
    <n v="0"/>
  </r>
  <r>
    <x v="0"/>
    <x v="1"/>
    <x v="0"/>
    <x v="0"/>
    <x v="13"/>
    <x v="1"/>
    <x v="5"/>
    <n v="0"/>
  </r>
  <r>
    <x v="0"/>
    <x v="1"/>
    <x v="0"/>
    <x v="0"/>
    <x v="13"/>
    <x v="1"/>
    <x v="6"/>
    <n v="0"/>
  </r>
  <r>
    <x v="0"/>
    <x v="1"/>
    <x v="0"/>
    <x v="2"/>
    <x v="14"/>
    <x v="1"/>
    <x v="0"/>
    <n v="0"/>
  </r>
  <r>
    <x v="0"/>
    <x v="1"/>
    <x v="0"/>
    <x v="2"/>
    <x v="14"/>
    <x v="1"/>
    <x v="1"/>
    <n v="0"/>
  </r>
  <r>
    <x v="0"/>
    <x v="1"/>
    <x v="0"/>
    <x v="2"/>
    <x v="14"/>
    <x v="1"/>
    <x v="2"/>
    <n v="0"/>
  </r>
  <r>
    <x v="0"/>
    <x v="1"/>
    <x v="0"/>
    <x v="2"/>
    <x v="14"/>
    <x v="1"/>
    <x v="3"/>
    <n v="0"/>
  </r>
  <r>
    <x v="0"/>
    <x v="1"/>
    <x v="0"/>
    <x v="2"/>
    <x v="14"/>
    <x v="1"/>
    <x v="4"/>
    <n v="0"/>
  </r>
  <r>
    <x v="0"/>
    <x v="1"/>
    <x v="0"/>
    <x v="2"/>
    <x v="14"/>
    <x v="1"/>
    <x v="5"/>
    <n v="0"/>
  </r>
  <r>
    <x v="0"/>
    <x v="1"/>
    <x v="0"/>
    <x v="2"/>
    <x v="14"/>
    <x v="1"/>
    <x v="6"/>
    <n v="0"/>
  </r>
  <r>
    <x v="0"/>
    <x v="1"/>
    <x v="0"/>
    <x v="2"/>
    <x v="15"/>
    <x v="1"/>
    <x v="0"/>
    <n v="0"/>
  </r>
  <r>
    <x v="0"/>
    <x v="1"/>
    <x v="0"/>
    <x v="2"/>
    <x v="15"/>
    <x v="1"/>
    <x v="1"/>
    <n v="0"/>
  </r>
  <r>
    <x v="0"/>
    <x v="1"/>
    <x v="0"/>
    <x v="2"/>
    <x v="15"/>
    <x v="1"/>
    <x v="2"/>
    <n v="0"/>
  </r>
  <r>
    <x v="0"/>
    <x v="1"/>
    <x v="0"/>
    <x v="2"/>
    <x v="15"/>
    <x v="1"/>
    <x v="3"/>
    <n v="0"/>
  </r>
  <r>
    <x v="0"/>
    <x v="1"/>
    <x v="0"/>
    <x v="2"/>
    <x v="15"/>
    <x v="1"/>
    <x v="4"/>
    <n v="0"/>
  </r>
  <r>
    <x v="0"/>
    <x v="1"/>
    <x v="0"/>
    <x v="2"/>
    <x v="15"/>
    <x v="1"/>
    <x v="5"/>
    <n v="0"/>
  </r>
  <r>
    <x v="0"/>
    <x v="1"/>
    <x v="0"/>
    <x v="2"/>
    <x v="15"/>
    <x v="1"/>
    <x v="6"/>
    <n v="0"/>
  </r>
  <r>
    <x v="0"/>
    <x v="1"/>
    <x v="0"/>
    <x v="2"/>
    <x v="16"/>
    <x v="1"/>
    <x v="0"/>
    <n v="0"/>
  </r>
  <r>
    <x v="0"/>
    <x v="1"/>
    <x v="0"/>
    <x v="2"/>
    <x v="16"/>
    <x v="1"/>
    <x v="1"/>
    <n v="0"/>
  </r>
  <r>
    <x v="0"/>
    <x v="1"/>
    <x v="0"/>
    <x v="2"/>
    <x v="16"/>
    <x v="1"/>
    <x v="2"/>
    <n v="0"/>
  </r>
  <r>
    <x v="0"/>
    <x v="1"/>
    <x v="0"/>
    <x v="2"/>
    <x v="16"/>
    <x v="1"/>
    <x v="3"/>
    <n v="0"/>
  </r>
  <r>
    <x v="0"/>
    <x v="1"/>
    <x v="0"/>
    <x v="2"/>
    <x v="16"/>
    <x v="1"/>
    <x v="4"/>
    <n v="0"/>
  </r>
  <r>
    <x v="0"/>
    <x v="1"/>
    <x v="0"/>
    <x v="2"/>
    <x v="16"/>
    <x v="1"/>
    <x v="5"/>
    <n v="0"/>
  </r>
  <r>
    <x v="0"/>
    <x v="1"/>
    <x v="0"/>
    <x v="2"/>
    <x v="16"/>
    <x v="1"/>
    <x v="6"/>
    <n v="0"/>
  </r>
  <r>
    <x v="0"/>
    <x v="1"/>
    <x v="0"/>
    <x v="0"/>
    <x v="17"/>
    <x v="1"/>
    <x v="0"/>
    <n v="0"/>
  </r>
  <r>
    <x v="0"/>
    <x v="1"/>
    <x v="0"/>
    <x v="0"/>
    <x v="17"/>
    <x v="1"/>
    <x v="1"/>
    <n v="0"/>
  </r>
  <r>
    <x v="0"/>
    <x v="1"/>
    <x v="0"/>
    <x v="0"/>
    <x v="17"/>
    <x v="1"/>
    <x v="2"/>
    <n v="0"/>
  </r>
  <r>
    <x v="0"/>
    <x v="1"/>
    <x v="0"/>
    <x v="0"/>
    <x v="17"/>
    <x v="1"/>
    <x v="3"/>
    <n v="0"/>
  </r>
  <r>
    <x v="0"/>
    <x v="1"/>
    <x v="0"/>
    <x v="0"/>
    <x v="17"/>
    <x v="1"/>
    <x v="4"/>
    <n v="0"/>
  </r>
  <r>
    <x v="0"/>
    <x v="1"/>
    <x v="0"/>
    <x v="0"/>
    <x v="17"/>
    <x v="1"/>
    <x v="5"/>
    <n v="0"/>
  </r>
  <r>
    <x v="0"/>
    <x v="1"/>
    <x v="0"/>
    <x v="0"/>
    <x v="17"/>
    <x v="1"/>
    <x v="6"/>
    <n v="0"/>
  </r>
  <r>
    <x v="0"/>
    <x v="1"/>
    <x v="0"/>
    <x v="2"/>
    <x v="18"/>
    <x v="1"/>
    <x v="0"/>
    <n v="0"/>
  </r>
  <r>
    <x v="0"/>
    <x v="1"/>
    <x v="0"/>
    <x v="2"/>
    <x v="18"/>
    <x v="1"/>
    <x v="1"/>
    <n v="0"/>
  </r>
  <r>
    <x v="0"/>
    <x v="1"/>
    <x v="0"/>
    <x v="2"/>
    <x v="18"/>
    <x v="1"/>
    <x v="2"/>
    <n v="0"/>
  </r>
  <r>
    <x v="0"/>
    <x v="1"/>
    <x v="0"/>
    <x v="2"/>
    <x v="18"/>
    <x v="1"/>
    <x v="3"/>
    <n v="0"/>
  </r>
  <r>
    <x v="0"/>
    <x v="1"/>
    <x v="0"/>
    <x v="2"/>
    <x v="18"/>
    <x v="1"/>
    <x v="4"/>
    <n v="0"/>
  </r>
  <r>
    <x v="0"/>
    <x v="1"/>
    <x v="0"/>
    <x v="2"/>
    <x v="18"/>
    <x v="1"/>
    <x v="5"/>
    <n v="0"/>
  </r>
  <r>
    <x v="0"/>
    <x v="1"/>
    <x v="0"/>
    <x v="2"/>
    <x v="18"/>
    <x v="1"/>
    <x v="6"/>
    <n v="0"/>
  </r>
  <r>
    <x v="0"/>
    <x v="1"/>
    <x v="1"/>
    <x v="3"/>
    <x v="19"/>
    <x v="1"/>
    <x v="0"/>
    <n v="0.10299121214909111"/>
  </r>
  <r>
    <x v="0"/>
    <x v="1"/>
    <x v="1"/>
    <x v="3"/>
    <x v="19"/>
    <x v="1"/>
    <x v="1"/>
    <n v="0.17322527776171884"/>
  </r>
  <r>
    <x v="0"/>
    <x v="1"/>
    <x v="1"/>
    <x v="3"/>
    <x v="19"/>
    <x v="1"/>
    <x v="2"/>
    <n v="0.32607258734138717"/>
  </r>
  <r>
    <x v="0"/>
    <x v="1"/>
    <x v="1"/>
    <x v="3"/>
    <x v="19"/>
    <x v="1"/>
    <x v="3"/>
    <n v="0.67054160065805135"/>
  </r>
  <r>
    <x v="0"/>
    <x v="1"/>
    <x v="1"/>
    <x v="3"/>
    <x v="19"/>
    <x v="1"/>
    <x v="4"/>
    <n v="1.3469245865910109"/>
  </r>
  <r>
    <x v="0"/>
    <x v="1"/>
    <x v="1"/>
    <x v="3"/>
    <x v="19"/>
    <x v="1"/>
    <x v="5"/>
    <n v="2.241889544992171"/>
  </r>
  <r>
    <x v="0"/>
    <x v="1"/>
    <x v="1"/>
    <x v="3"/>
    <x v="19"/>
    <x v="1"/>
    <x v="6"/>
    <n v="2.7093210660803297"/>
  </r>
  <r>
    <x v="0"/>
    <x v="1"/>
    <x v="1"/>
    <x v="3"/>
    <x v="20"/>
    <x v="1"/>
    <x v="0"/>
    <n v="0.6173360228108713"/>
  </r>
  <r>
    <x v="0"/>
    <x v="1"/>
    <x v="1"/>
    <x v="3"/>
    <x v="20"/>
    <x v="1"/>
    <x v="1"/>
    <n v="1.1692618789543932"/>
  </r>
  <r>
    <x v="0"/>
    <x v="1"/>
    <x v="1"/>
    <x v="3"/>
    <x v="20"/>
    <x v="1"/>
    <x v="2"/>
    <n v="2.2431028836843518"/>
  </r>
  <r>
    <x v="0"/>
    <x v="1"/>
    <x v="1"/>
    <x v="3"/>
    <x v="20"/>
    <x v="1"/>
    <x v="3"/>
    <n v="4.3315872765469878"/>
  </r>
  <r>
    <x v="0"/>
    <x v="1"/>
    <x v="1"/>
    <x v="3"/>
    <x v="20"/>
    <x v="1"/>
    <x v="4"/>
    <n v="8.2282160910886351"/>
  </r>
  <r>
    <x v="0"/>
    <x v="1"/>
    <x v="1"/>
    <x v="3"/>
    <x v="20"/>
    <x v="1"/>
    <x v="5"/>
    <n v="14.261524574271546"/>
  </r>
  <r>
    <x v="0"/>
    <x v="1"/>
    <x v="1"/>
    <x v="3"/>
    <x v="20"/>
    <x v="1"/>
    <x v="6"/>
    <n v="17.484315265203072"/>
  </r>
  <r>
    <x v="0"/>
    <x v="1"/>
    <x v="1"/>
    <x v="3"/>
    <x v="21"/>
    <x v="1"/>
    <x v="0"/>
    <n v="0"/>
  </r>
  <r>
    <x v="0"/>
    <x v="1"/>
    <x v="1"/>
    <x v="3"/>
    <x v="21"/>
    <x v="1"/>
    <x v="1"/>
    <n v="0"/>
  </r>
  <r>
    <x v="0"/>
    <x v="1"/>
    <x v="1"/>
    <x v="3"/>
    <x v="21"/>
    <x v="1"/>
    <x v="2"/>
    <n v="0"/>
  </r>
  <r>
    <x v="0"/>
    <x v="1"/>
    <x v="1"/>
    <x v="3"/>
    <x v="21"/>
    <x v="1"/>
    <x v="3"/>
    <n v="0"/>
  </r>
  <r>
    <x v="0"/>
    <x v="1"/>
    <x v="1"/>
    <x v="3"/>
    <x v="21"/>
    <x v="1"/>
    <x v="4"/>
    <n v="0"/>
  </r>
  <r>
    <x v="0"/>
    <x v="1"/>
    <x v="1"/>
    <x v="3"/>
    <x v="21"/>
    <x v="1"/>
    <x v="5"/>
    <n v="0"/>
  </r>
  <r>
    <x v="0"/>
    <x v="1"/>
    <x v="1"/>
    <x v="3"/>
    <x v="21"/>
    <x v="1"/>
    <x v="6"/>
    <n v="0"/>
  </r>
  <r>
    <x v="0"/>
    <x v="1"/>
    <x v="1"/>
    <x v="3"/>
    <x v="22"/>
    <x v="1"/>
    <x v="0"/>
    <n v="0"/>
  </r>
  <r>
    <x v="0"/>
    <x v="1"/>
    <x v="1"/>
    <x v="3"/>
    <x v="22"/>
    <x v="1"/>
    <x v="1"/>
    <n v="0"/>
  </r>
  <r>
    <x v="0"/>
    <x v="1"/>
    <x v="1"/>
    <x v="3"/>
    <x v="22"/>
    <x v="1"/>
    <x v="2"/>
    <n v="0"/>
  </r>
  <r>
    <x v="0"/>
    <x v="1"/>
    <x v="1"/>
    <x v="3"/>
    <x v="22"/>
    <x v="1"/>
    <x v="3"/>
    <n v="0"/>
  </r>
  <r>
    <x v="0"/>
    <x v="1"/>
    <x v="1"/>
    <x v="3"/>
    <x v="22"/>
    <x v="1"/>
    <x v="4"/>
    <n v="0"/>
  </r>
  <r>
    <x v="0"/>
    <x v="1"/>
    <x v="1"/>
    <x v="3"/>
    <x v="22"/>
    <x v="1"/>
    <x v="5"/>
    <n v="0"/>
  </r>
  <r>
    <x v="0"/>
    <x v="1"/>
    <x v="1"/>
    <x v="3"/>
    <x v="22"/>
    <x v="1"/>
    <x v="6"/>
    <n v="0"/>
  </r>
  <r>
    <x v="0"/>
    <x v="1"/>
    <x v="1"/>
    <x v="3"/>
    <x v="23"/>
    <x v="1"/>
    <x v="0"/>
    <n v="0"/>
  </r>
  <r>
    <x v="0"/>
    <x v="1"/>
    <x v="1"/>
    <x v="3"/>
    <x v="23"/>
    <x v="1"/>
    <x v="1"/>
    <n v="0"/>
  </r>
  <r>
    <x v="0"/>
    <x v="1"/>
    <x v="1"/>
    <x v="3"/>
    <x v="23"/>
    <x v="1"/>
    <x v="2"/>
    <n v="0"/>
  </r>
  <r>
    <x v="0"/>
    <x v="1"/>
    <x v="1"/>
    <x v="3"/>
    <x v="23"/>
    <x v="1"/>
    <x v="3"/>
    <n v="0"/>
  </r>
  <r>
    <x v="0"/>
    <x v="1"/>
    <x v="1"/>
    <x v="3"/>
    <x v="23"/>
    <x v="1"/>
    <x v="4"/>
    <n v="0"/>
  </r>
  <r>
    <x v="0"/>
    <x v="1"/>
    <x v="1"/>
    <x v="3"/>
    <x v="23"/>
    <x v="1"/>
    <x v="5"/>
    <n v="0"/>
  </r>
  <r>
    <x v="0"/>
    <x v="1"/>
    <x v="1"/>
    <x v="3"/>
    <x v="23"/>
    <x v="1"/>
    <x v="6"/>
    <n v="0"/>
  </r>
  <r>
    <x v="0"/>
    <x v="1"/>
    <x v="1"/>
    <x v="3"/>
    <x v="24"/>
    <x v="1"/>
    <x v="0"/>
    <n v="0"/>
  </r>
  <r>
    <x v="0"/>
    <x v="1"/>
    <x v="1"/>
    <x v="3"/>
    <x v="24"/>
    <x v="1"/>
    <x v="1"/>
    <n v="0"/>
  </r>
  <r>
    <x v="0"/>
    <x v="1"/>
    <x v="1"/>
    <x v="3"/>
    <x v="24"/>
    <x v="1"/>
    <x v="2"/>
    <n v="0"/>
  </r>
  <r>
    <x v="0"/>
    <x v="1"/>
    <x v="1"/>
    <x v="3"/>
    <x v="24"/>
    <x v="1"/>
    <x v="3"/>
    <n v="0"/>
  </r>
  <r>
    <x v="0"/>
    <x v="1"/>
    <x v="1"/>
    <x v="3"/>
    <x v="24"/>
    <x v="1"/>
    <x v="4"/>
    <n v="0"/>
  </r>
  <r>
    <x v="0"/>
    <x v="1"/>
    <x v="1"/>
    <x v="3"/>
    <x v="24"/>
    <x v="1"/>
    <x v="5"/>
    <n v="0"/>
  </r>
  <r>
    <x v="0"/>
    <x v="1"/>
    <x v="1"/>
    <x v="3"/>
    <x v="24"/>
    <x v="1"/>
    <x v="6"/>
    <n v="0"/>
  </r>
  <r>
    <x v="0"/>
    <x v="1"/>
    <x v="1"/>
    <x v="3"/>
    <x v="25"/>
    <x v="1"/>
    <x v="0"/>
    <n v="4.2605817082026505"/>
  </r>
  <r>
    <x v="0"/>
    <x v="1"/>
    <x v="1"/>
    <x v="3"/>
    <x v="25"/>
    <x v="1"/>
    <x v="1"/>
    <n v="8.682519166148813"/>
  </r>
  <r>
    <x v="0"/>
    <x v="1"/>
    <x v="1"/>
    <x v="3"/>
    <x v="25"/>
    <x v="1"/>
    <x v="2"/>
    <n v="16.760429495345786"/>
  </r>
  <r>
    <x v="0"/>
    <x v="1"/>
    <x v="1"/>
    <x v="3"/>
    <x v="25"/>
    <x v="1"/>
    <x v="3"/>
    <n v="32.087085898889626"/>
  </r>
  <r>
    <x v="0"/>
    <x v="1"/>
    <x v="1"/>
    <x v="3"/>
    <x v="25"/>
    <x v="1"/>
    <x v="4"/>
    <n v="60.727400222879211"/>
  </r>
  <r>
    <x v="0"/>
    <x v="1"/>
    <x v="1"/>
    <x v="3"/>
    <x v="25"/>
    <x v="1"/>
    <x v="5"/>
    <n v="102.55687103463906"/>
  </r>
  <r>
    <x v="0"/>
    <x v="1"/>
    <x v="1"/>
    <x v="3"/>
    <x v="25"/>
    <x v="1"/>
    <x v="6"/>
    <n v="122.413908292402"/>
  </r>
  <r>
    <x v="0"/>
    <x v="1"/>
    <x v="2"/>
    <x v="4"/>
    <x v="26"/>
    <x v="1"/>
    <x v="0"/>
    <n v="0"/>
  </r>
  <r>
    <x v="0"/>
    <x v="1"/>
    <x v="2"/>
    <x v="4"/>
    <x v="26"/>
    <x v="1"/>
    <x v="1"/>
    <n v="0"/>
  </r>
  <r>
    <x v="0"/>
    <x v="1"/>
    <x v="2"/>
    <x v="4"/>
    <x v="26"/>
    <x v="1"/>
    <x v="2"/>
    <n v="0"/>
  </r>
  <r>
    <x v="0"/>
    <x v="1"/>
    <x v="2"/>
    <x v="4"/>
    <x v="26"/>
    <x v="1"/>
    <x v="3"/>
    <n v="0"/>
  </r>
  <r>
    <x v="0"/>
    <x v="1"/>
    <x v="2"/>
    <x v="4"/>
    <x v="26"/>
    <x v="1"/>
    <x v="4"/>
    <n v="0"/>
  </r>
  <r>
    <x v="0"/>
    <x v="1"/>
    <x v="2"/>
    <x v="4"/>
    <x v="26"/>
    <x v="1"/>
    <x v="5"/>
    <n v="0"/>
  </r>
  <r>
    <x v="0"/>
    <x v="1"/>
    <x v="2"/>
    <x v="4"/>
    <x v="26"/>
    <x v="1"/>
    <x v="6"/>
    <n v="0"/>
  </r>
  <r>
    <x v="0"/>
    <x v="1"/>
    <x v="2"/>
    <x v="4"/>
    <x v="27"/>
    <x v="1"/>
    <x v="0"/>
    <n v="0"/>
  </r>
  <r>
    <x v="0"/>
    <x v="1"/>
    <x v="2"/>
    <x v="4"/>
    <x v="27"/>
    <x v="1"/>
    <x v="1"/>
    <n v="0"/>
  </r>
  <r>
    <x v="0"/>
    <x v="1"/>
    <x v="2"/>
    <x v="4"/>
    <x v="27"/>
    <x v="1"/>
    <x v="2"/>
    <n v="0"/>
  </r>
  <r>
    <x v="0"/>
    <x v="1"/>
    <x v="2"/>
    <x v="4"/>
    <x v="27"/>
    <x v="1"/>
    <x v="3"/>
    <n v="0"/>
  </r>
  <r>
    <x v="0"/>
    <x v="1"/>
    <x v="2"/>
    <x v="4"/>
    <x v="27"/>
    <x v="1"/>
    <x v="4"/>
    <n v="0"/>
  </r>
  <r>
    <x v="0"/>
    <x v="1"/>
    <x v="2"/>
    <x v="4"/>
    <x v="27"/>
    <x v="1"/>
    <x v="5"/>
    <n v="0"/>
  </r>
  <r>
    <x v="0"/>
    <x v="1"/>
    <x v="2"/>
    <x v="4"/>
    <x v="27"/>
    <x v="1"/>
    <x v="6"/>
    <n v="0"/>
  </r>
  <r>
    <x v="0"/>
    <x v="1"/>
    <x v="2"/>
    <x v="4"/>
    <x v="28"/>
    <x v="1"/>
    <x v="0"/>
    <n v="0"/>
  </r>
  <r>
    <x v="0"/>
    <x v="1"/>
    <x v="2"/>
    <x v="4"/>
    <x v="28"/>
    <x v="1"/>
    <x v="1"/>
    <n v="0"/>
  </r>
  <r>
    <x v="0"/>
    <x v="1"/>
    <x v="2"/>
    <x v="4"/>
    <x v="28"/>
    <x v="1"/>
    <x v="2"/>
    <n v="0"/>
  </r>
  <r>
    <x v="0"/>
    <x v="1"/>
    <x v="2"/>
    <x v="4"/>
    <x v="28"/>
    <x v="1"/>
    <x v="3"/>
    <n v="0"/>
  </r>
  <r>
    <x v="0"/>
    <x v="1"/>
    <x v="2"/>
    <x v="4"/>
    <x v="28"/>
    <x v="1"/>
    <x v="4"/>
    <n v="0"/>
  </r>
  <r>
    <x v="0"/>
    <x v="1"/>
    <x v="2"/>
    <x v="4"/>
    <x v="28"/>
    <x v="1"/>
    <x v="5"/>
    <n v="0"/>
  </r>
  <r>
    <x v="0"/>
    <x v="1"/>
    <x v="2"/>
    <x v="4"/>
    <x v="28"/>
    <x v="1"/>
    <x v="6"/>
    <n v="0"/>
  </r>
  <r>
    <x v="0"/>
    <x v="1"/>
    <x v="2"/>
    <x v="4"/>
    <x v="29"/>
    <x v="1"/>
    <x v="0"/>
    <n v="0"/>
  </r>
  <r>
    <x v="0"/>
    <x v="1"/>
    <x v="2"/>
    <x v="4"/>
    <x v="29"/>
    <x v="1"/>
    <x v="1"/>
    <n v="0"/>
  </r>
  <r>
    <x v="0"/>
    <x v="1"/>
    <x v="2"/>
    <x v="4"/>
    <x v="29"/>
    <x v="1"/>
    <x v="2"/>
    <n v="0"/>
  </r>
  <r>
    <x v="0"/>
    <x v="1"/>
    <x v="2"/>
    <x v="4"/>
    <x v="29"/>
    <x v="1"/>
    <x v="3"/>
    <n v="0"/>
  </r>
  <r>
    <x v="0"/>
    <x v="1"/>
    <x v="2"/>
    <x v="4"/>
    <x v="29"/>
    <x v="1"/>
    <x v="4"/>
    <n v="0"/>
  </r>
  <r>
    <x v="0"/>
    <x v="1"/>
    <x v="2"/>
    <x v="4"/>
    <x v="29"/>
    <x v="1"/>
    <x v="5"/>
    <n v="0"/>
  </r>
  <r>
    <x v="0"/>
    <x v="1"/>
    <x v="2"/>
    <x v="4"/>
    <x v="29"/>
    <x v="1"/>
    <x v="6"/>
    <n v="0"/>
  </r>
  <r>
    <x v="0"/>
    <x v="1"/>
    <x v="3"/>
    <x v="5"/>
    <x v="30"/>
    <x v="1"/>
    <x v="0"/>
    <n v="1.4790139930588049"/>
  </r>
  <r>
    <x v="0"/>
    <x v="1"/>
    <x v="3"/>
    <x v="5"/>
    <x v="30"/>
    <x v="1"/>
    <x v="1"/>
    <n v="4.1237675770837248"/>
  </r>
  <r>
    <x v="0"/>
    <x v="1"/>
    <x v="3"/>
    <x v="5"/>
    <x v="30"/>
    <x v="1"/>
    <x v="2"/>
    <n v="14.495857531358315"/>
  </r>
  <r>
    <x v="0"/>
    <x v="1"/>
    <x v="3"/>
    <x v="5"/>
    <x v="30"/>
    <x v="1"/>
    <x v="3"/>
    <n v="27.745774151782737"/>
  </r>
  <r>
    <x v="0"/>
    <x v="1"/>
    <x v="3"/>
    <x v="5"/>
    <x v="30"/>
    <x v="1"/>
    <x v="4"/>
    <n v="27.862280622921968"/>
  </r>
  <r>
    <x v="0"/>
    <x v="1"/>
    <x v="3"/>
    <x v="5"/>
    <x v="30"/>
    <x v="1"/>
    <x v="5"/>
    <n v="48.071274145118565"/>
  </r>
  <r>
    <x v="0"/>
    <x v="1"/>
    <x v="3"/>
    <x v="5"/>
    <x v="30"/>
    <x v="1"/>
    <x v="6"/>
    <n v="65.202016565091284"/>
  </r>
  <r>
    <x v="0"/>
    <x v="1"/>
    <x v="2"/>
    <x v="4"/>
    <x v="31"/>
    <x v="1"/>
    <x v="0"/>
    <n v="43.370023152231383"/>
  </r>
  <r>
    <x v="0"/>
    <x v="1"/>
    <x v="2"/>
    <x v="4"/>
    <x v="31"/>
    <x v="1"/>
    <x v="1"/>
    <n v="87.828835849758022"/>
  </r>
  <r>
    <x v="0"/>
    <x v="1"/>
    <x v="2"/>
    <x v="4"/>
    <x v="31"/>
    <x v="1"/>
    <x v="2"/>
    <n v="160.51656941530572"/>
  </r>
  <r>
    <x v="0"/>
    <x v="1"/>
    <x v="2"/>
    <x v="4"/>
    <x v="31"/>
    <x v="1"/>
    <x v="3"/>
    <n v="312.39312375594005"/>
  </r>
  <r>
    <x v="0"/>
    <x v="1"/>
    <x v="2"/>
    <x v="4"/>
    <x v="31"/>
    <x v="1"/>
    <x v="4"/>
    <n v="458.33238310079952"/>
  </r>
  <r>
    <x v="0"/>
    <x v="1"/>
    <x v="2"/>
    <x v="4"/>
    <x v="31"/>
    <x v="1"/>
    <x v="5"/>
    <n v="578.79468741399603"/>
  </r>
  <r>
    <x v="0"/>
    <x v="1"/>
    <x v="2"/>
    <x v="4"/>
    <x v="31"/>
    <x v="1"/>
    <x v="6"/>
    <n v="720.82045647771884"/>
  </r>
  <r>
    <x v="0"/>
    <x v="1"/>
    <x v="2"/>
    <x v="4"/>
    <x v="32"/>
    <x v="1"/>
    <x v="0"/>
    <n v="0"/>
  </r>
  <r>
    <x v="0"/>
    <x v="1"/>
    <x v="2"/>
    <x v="4"/>
    <x v="32"/>
    <x v="1"/>
    <x v="1"/>
    <n v="0"/>
  </r>
  <r>
    <x v="0"/>
    <x v="1"/>
    <x v="2"/>
    <x v="4"/>
    <x v="32"/>
    <x v="1"/>
    <x v="2"/>
    <n v="0"/>
  </r>
  <r>
    <x v="0"/>
    <x v="1"/>
    <x v="2"/>
    <x v="4"/>
    <x v="32"/>
    <x v="1"/>
    <x v="3"/>
    <n v="0"/>
  </r>
  <r>
    <x v="0"/>
    <x v="1"/>
    <x v="2"/>
    <x v="4"/>
    <x v="32"/>
    <x v="1"/>
    <x v="4"/>
    <n v="0"/>
  </r>
  <r>
    <x v="0"/>
    <x v="1"/>
    <x v="2"/>
    <x v="4"/>
    <x v="32"/>
    <x v="1"/>
    <x v="5"/>
    <n v="0"/>
  </r>
  <r>
    <x v="0"/>
    <x v="1"/>
    <x v="2"/>
    <x v="4"/>
    <x v="32"/>
    <x v="1"/>
    <x v="6"/>
    <n v="0"/>
  </r>
  <r>
    <x v="0"/>
    <x v="1"/>
    <x v="2"/>
    <x v="4"/>
    <x v="33"/>
    <x v="1"/>
    <x v="0"/>
    <n v="0"/>
  </r>
  <r>
    <x v="0"/>
    <x v="1"/>
    <x v="2"/>
    <x v="4"/>
    <x v="33"/>
    <x v="1"/>
    <x v="1"/>
    <n v="0"/>
  </r>
  <r>
    <x v="0"/>
    <x v="1"/>
    <x v="2"/>
    <x v="4"/>
    <x v="33"/>
    <x v="1"/>
    <x v="2"/>
    <n v="0"/>
  </r>
  <r>
    <x v="0"/>
    <x v="1"/>
    <x v="2"/>
    <x v="4"/>
    <x v="33"/>
    <x v="1"/>
    <x v="3"/>
    <n v="0"/>
  </r>
  <r>
    <x v="0"/>
    <x v="1"/>
    <x v="2"/>
    <x v="4"/>
    <x v="33"/>
    <x v="1"/>
    <x v="4"/>
    <n v="0"/>
  </r>
  <r>
    <x v="0"/>
    <x v="1"/>
    <x v="2"/>
    <x v="4"/>
    <x v="33"/>
    <x v="1"/>
    <x v="5"/>
    <n v="0"/>
  </r>
  <r>
    <x v="0"/>
    <x v="1"/>
    <x v="2"/>
    <x v="4"/>
    <x v="33"/>
    <x v="1"/>
    <x v="6"/>
    <n v="0"/>
  </r>
  <r>
    <x v="0"/>
    <x v="1"/>
    <x v="2"/>
    <x v="4"/>
    <x v="34"/>
    <x v="1"/>
    <x v="0"/>
    <n v="1.3851651649880767"/>
  </r>
  <r>
    <x v="0"/>
    <x v="1"/>
    <x v="2"/>
    <x v="4"/>
    <x v="34"/>
    <x v="1"/>
    <x v="1"/>
    <n v="3.4419255645232774"/>
  </r>
  <r>
    <x v="0"/>
    <x v="1"/>
    <x v="2"/>
    <x v="4"/>
    <x v="34"/>
    <x v="1"/>
    <x v="2"/>
    <n v="7.6575976889201476"/>
  </r>
  <r>
    <x v="0"/>
    <x v="1"/>
    <x v="2"/>
    <x v="4"/>
    <x v="34"/>
    <x v="1"/>
    <x v="3"/>
    <n v="16.752329895281964"/>
  </r>
  <r>
    <x v="0"/>
    <x v="1"/>
    <x v="2"/>
    <x v="4"/>
    <x v="34"/>
    <x v="1"/>
    <x v="4"/>
    <n v="23.712758599744994"/>
  </r>
  <r>
    <x v="0"/>
    <x v="1"/>
    <x v="2"/>
    <x v="4"/>
    <x v="34"/>
    <x v="1"/>
    <x v="5"/>
    <n v="33.716441244944932"/>
  </r>
  <r>
    <x v="0"/>
    <x v="1"/>
    <x v="2"/>
    <x v="4"/>
    <x v="34"/>
    <x v="1"/>
    <x v="6"/>
    <n v="46.598931147269134"/>
  </r>
  <r>
    <x v="0"/>
    <x v="1"/>
    <x v="2"/>
    <x v="6"/>
    <x v="35"/>
    <x v="1"/>
    <x v="0"/>
    <n v="0"/>
  </r>
  <r>
    <x v="0"/>
    <x v="1"/>
    <x v="2"/>
    <x v="6"/>
    <x v="35"/>
    <x v="1"/>
    <x v="1"/>
    <n v="0"/>
  </r>
  <r>
    <x v="0"/>
    <x v="1"/>
    <x v="2"/>
    <x v="6"/>
    <x v="35"/>
    <x v="1"/>
    <x v="2"/>
    <n v="0"/>
  </r>
  <r>
    <x v="0"/>
    <x v="1"/>
    <x v="2"/>
    <x v="6"/>
    <x v="35"/>
    <x v="1"/>
    <x v="3"/>
    <n v="0"/>
  </r>
  <r>
    <x v="0"/>
    <x v="1"/>
    <x v="2"/>
    <x v="6"/>
    <x v="35"/>
    <x v="1"/>
    <x v="4"/>
    <n v="0"/>
  </r>
  <r>
    <x v="0"/>
    <x v="1"/>
    <x v="2"/>
    <x v="6"/>
    <x v="35"/>
    <x v="1"/>
    <x v="5"/>
    <n v="0"/>
  </r>
  <r>
    <x v="0"/>
    <x v="1"/>
    <x v="2"/>
    <x v="6"/>
    <x v="35"/>
    <x v="1"/>
    <x v="6"/>
    <n v="0"/>
  </r>
  <r>
    <x v="0"/>
    <x v="1"/>
    <x v="2"/>
    <x v="6"/>
    <x v="36"/>
    <x v="1"/>
    <x v="0"/>
    <n v="0"/>
  </r>
  <r>
    <x v="0"/>
    <x v="1"/>
    <x v="2"/>
    <x v="6"/>
    <x v="36"/>
    <x v="1"/>
    <x v="1"/>
    <n v="0"/>
  </r>
  <r>
    <x v="0"/>
    <x v="1"/>
    <x v="2"/>
    <x v="6"/>
    <x v="36"/>
    <x v="1"/>
    <x v="2"/>
    <n v="0"/>
  </r>
  <r>
    <x v="0"/>
    <x v="1"/>
    <x v="2"/>
    <x v="6"/>
    <x v="36"/>
    <x v="1"/>
    <x v="3"/>
    <n v="0"/>
  </r>
  <r>
    <x v="0"/>
    <x v="1"/>
    <x v="2"/>
    <x v="6"/>
    <x v="36"/>
    <x v="1"/>
    <x v="4"/>
    <n v="0"/>
  </r>
  <r>
    <x v="0"/>
    <x v="1"/>
    <x v="2"/>
    <x v="6"/>
    <x v="36"/>
    <x v="1"/>
    <x v="5"/>
    <n v="0"/>
  </r>
  <r>
    <x v="0"/>
    <x v="1"/>
    <x v="2"/>
    <x v="6"/>
    <x v="36"/>
    <x v="1"/>
    <x v="6"/>
    <n v="0"/>
  </r>
  <r>
    <x v="0"/>
    <x v="1"/>
    <x v="2"/>
    <x v="6"/>
    <x v="37"/>
    <x v="1"/>
    <x v="0"/>
    <n v="0"/>
  </r>
  <r>
    <x v="0"/>
    <x v="1"/>
    <x v="2"/>
    <x v="6"/>
    <x v="37"/>
    <x v="1"/>
    <x v="1"/>
    <n v="0"/>
  </r>
  <r>
    <x v="0"/>
    <x v="1"/>
    <x v="2"/>
    <x v="6"/>
    <x v="37"/>
    <x v="1"/>
    <x v="2"/>
    <n v="0"/>
  </r>
  <r>
    <x v="0"/>
    <x v="1"/>
    <x v="2"/>
    <x v="6"/>
    <x v="37"/>
    <x v="1"/>
    <x v="3"/>
    <n v="0"/>
  </r>
  <r>
    <x v="0"/>
    <x v="1"/>
    <x v="2"/>
    <x v="6"/>
    <x v="37"/>
    <x v="1"/>
    <x v="4"/>
    <n v="0"/>
  </r>
  <r>
    <x v="0"/>
    <x v="1"/>
    <x v="2"/>
    <x v="6"/>
    <x v="37"/>
    <x v="1"/>
    <x v="5"/>
    <n v="0"/>
  </r>
  <r>
    <x v="0"/>
    <x v="1"/>
    <x v="2"/>
    <x v="6"/>
    <x v="37"/>
    <x v="1"/>
    <x v="6"/>
    <n v="0"/>
  </r>
  <r>
    <x v="0"/>
    <x v="1"/>
    <x v="2"/>
    <x v="6"/>
    <x v="38"/>
    <x v="1"/>
    <x v="0"/>
    <n v="0.16982297204527841"/>
  </r>
  <r>
    <x v="0"/>
    <x v="1"/>
    <x v="2"/>
    <x v="6"/>
    <x v="38"/>
    <x v="1"/>
    <x v="1"/>
    <n v="0.86288123333336997"/>
  </r>
  <r>
    <x v="0"/>
    <x v="1"/>
    <x v="2"/>
    <x v="6"/>
    <x v="38"/>
    <x v="1"/>
    <x v="2"/>
    <n v="4.1108407407559895"/>
  </r>
  <r>
    <x v="0"/>
    <x v="1"/>
    <x v="2"/>
    <x v="6"/>
    <x v="38"/>
    <x v="1"/>
    <x v="3"/>
    <n v="20.502245006335325"/>
  </r>
  <r>
    <x v="0"/>
    <x v="1"/>
    <x v="2"/>
    <x v="6"/>
    <x v="38"/>
    <x v="1"/>
    <x v="4"/>
    <n v="99.799474492979641"/>
  </r>
  <r>
    <x v="0"/>
    <x v="1"/>
    <x v="2"/>
    <x v="6"/>
    <x v="38"/>
    <x v="1"/>
    <x v="5"/>
    <n v="349.81925338548933"/>
  </r>
  <r>
    <x v="0"/>
    <x v="1"/>
    <x v="2"/>
    <x v="6"/>
    <x v="38"/>
    <x v="1"/>
    <x v="6"/>
    <n v="410.703530164379"/>
  </r>
  <r>
    <x v="0"/>
    <x v="1"/>
    <x v="3"/>
    <x v="5"/>
    <x v="39"/>
    <x v="1"/>
    <x v="0"/>
    <n v="0"/>
  </r>
  <r>
    <x v="0"/>
    <x v="1"/>
    <x v="3"/>
    <x v="5"/>
    <x v="39"/>
    <x v="1"/>
    <x v="1"/>
    <n v="0"/>
  </r>
  <r>
    <x v="0"/>
    <x v="1"/>
    <x v="3"/>
    <x v="5"/>
    <x v="39"/>
    <x v="1"/>
    <x v="2"/>
    <n v="0"/>
  </r>
  <r>
    <x v="0"/>
    <x v="1"/>
    <x v="3"/>
    <x v="5"/>
    <x v="39"/>
    <x v="1"/>
    <x v="3"/>
    <n v="0"/>
  </r>
  <r>
    <x v="0"/>
    <x v="1"/>
    <x v="3"/>
    <x v="5"/>
    <x v="39"/>
    <x v="1"/>
    <x v="4"/>
    <n v="0"/>
  </r>
  <r>
    <x v="0"/>
    <x v="1"/>
    <x v="3"/>
    <x v="5"/>
    <x v="39"/>
    <x v="1"/>
    <x v="5"/>
    <n v="0"/>
  </r>
  <r>
    <x v="0"/>
    <x v="1"/>
    <x v="3"/>
    <x v="5"/>
    <x v="39"/>
    <x v="1"/>
    <x v="6"/>
    <n v="0"/>
  </r>
  <r>
    <x v="0"/>
    <x v="1"/>
    <x v="2"/>
    <x v="6"/>
    <x v="40"/>
    <x v="1"/>
    <x v="0"/>
    <n v="0"/>
  </r>
  <r>
    <x v="0"/>
    <x v="1"/>
    <x v="2"/>
    <x v="6"/>
    <x v="40"/>
    <x v="1"/>
    <x v="1"/>
    <n v="0"/>
  </r>
  <r>
    <x v="0"/>
    <x v="1"/>
    <x v="2"/>
    <x v="6"/>
    <x v="40"/>
    <x v="1"/>
    <x v="2"/>
    <n v="0"/>
  </r>
  <r>
    <x v="0"/>
    <x v="1"/>
    <x v="2"/>
    <x v="6"/>
    <x v="40"/>
    <x v="1"/>
    <x v="3"/>
    <n v="0"/>
  </r>
  <r>
    <x v="0"/>
    <x v="1"/>
    <x v="2"/>
    <x v="6"/>
    <x v="40"/>
    <x v="1"/>
    <x v="4"/>
    <n v="0"/>
  </r>
  <r>
    <x v="0"/>
    <x v="1"/>
    <x v="2"/>
    <x v="6"/>
    <x v="40"/>
    <x v="1"/>
    <x v="5"/>
    <n v="0"/>
  </r>
  <r>
    <x v="0"/>
    <x v="1"/>
    <x v="2"/>
    <x v="6"/>
    <x v="40"/>
    <x v="1"/>
    <x v="6"/>
    <n v="0"/>
  </r>
  <r>
    <x v="0"/>
    <x v="1"/>
    <x v="2"/>
    <x v="6"/>
    <x v="41"/>
    <x v="1"/>
    <x v="0"/>
    <n v="0.17234573359868846"/>
  </r>
  <r>
    <x v="0"/>
    <x v="1"/>
    <x v="2"/>
    <x v="6"/>
    <x v="41"/>
    <x v="1"/>
    <x v="1"/>
    <n v="0.59214469926178781"/>
  </r>
  <r>
    <x v="0"/>
    <x v="1"/>
    <x v="2"/>
    <x v="6"/>
    <x v="41"/>
    <x v="1"/>
    <x v="2"/>
    <n v="2.150671228041003"/>
  </r>
  <r>
    <x v="0"/>
    <x v="1"/>
    <x v="2"/>
    <x v="6"/>
    <x v="41"/>
    <x v="1"/>
    <x v="3"/>
    <n v="7.6888362039669653"/>
  </r>
  <r>
    <x v="0"/>
    <x v="1"/>
    <x v="2"/>
    <x v="6"/>
    <x v="41"/>
    <x v="1"/>
    <x v="4"/>
    <n v="26.450022376642281"/>
  </r>
  <r>
    <x v="0"/>
    <x v="1"/>
    <x v="2"/>
    <x v="6"/>
    <x v="41"/>
    <x v="1"/>
    <x v="5"/>
    <n v="71.209939441746599"/>
  </r>
  <r>
    <x v="0"/>
    <x v="1"/>
    <x v="2"/>
    <x v="6"/>
    <x v="41"/>
    <x v="1"/>
    <x v="6"/>
    <n v="149.72447306493908"/>
  </r>
  <r>
    <x v="0"/>
    <x v="1"/>
    <x v="2"/>
    <x v="6"/>
    <x v="42"/>
    <x v="1"/>
    <x v="0"/>
    <n v="0"/>
  </r>
  <r>
    <x v="0"/>
    <x v="1"/>
    <x v="2"/>
    <x v="6"/>
    <x v="42"/>
    <x v="1"/>
    <x v="1"/>
    <n v="0"/>
  </r>
  <r>
    <x v="0"/>
    <x v="1"/>
    <x v="2"/>
    <x v="6"/>
    <x v="42"/>
    <x v="1"/>
    <x v="2"/>
    <n v="0"/>
  </r>
  <r>
    <x v="0"/>
    <x v="1"/>
    <x v="2"/>
    <x v="6"/>
    <x v="42"/>
    <x v="1"/>
    <x v="3"/>
    <n v="0"/>
  </r>
  <r>
    <x v="0"/>
    <x v="1"/>
    <x v="2"/>
    <x v="6"/>
    <x v="42"/>
    <x v="1"/>
    <x v="4"/>
    <n v="0"/>
  </r>
  <r>
    <x v="0"/>
    <x v="1"/>
    <x v="2"/>
    <x v="6"/>
    <x v="42"/>
    <x v="1"/>
    <x v="5"/>
    <n v="0"/>
  </r>
  <r>
    <x v="0"/>
    <x v="1"/>
    <x v="2"/>
    <x v="6"/>
    <x v="42"/>
    <x v="1"/>
    <x v="6"/>
    <n v="0"/>
  </r>
  <r>
    <x v="0"/>
    <x v="1"/>
    <x v="2"/>
    <x v="6"/>
    <x v="43"/>
    <x v="1"/>
    <x v="0"/>
    <n v="0.1837822479103409"/>
  </r>
  <r>
    <x v="0"/>
    <x v="1"/>
    <x v="2"/>
    <x v="6"/>
    <x v="43"/>
    <x v="1"/>
    <x v="1"/>
    <n v="1.0790851368237317"/>
  </r>
  <r>
    <x v="0"/>
    <x v="1"/>
    <x v="2"/>
    <x v="6"/>
    <x v="43"/>
    <x v="1"/>
    <x v="2"/>
    <n v="5.0653523916931631"/>
  </r>
  <r>
    <x v="0"/>
    <x v="1"/>
    <x v="2"/>
    <x v="6"/>
    <x v="43"/>
    <x v="1"/>
    <x v="3"/>
    <n v="25.468184810635346"/>
  </r>
  <r>
    <x v="0"/>
    <x v="1"/>
    <x v="2"/>
    <x v="6"/>
    <x v="43"/>
    <x v="1"/>
    <x v="4"/>
    <n v="127.18438843833002"/>
  </r>
  <r>
    <x v="0"/>
    <x v="1"/>
    <x v="2"/>
    <x v="6"/>
    <x v="43"/>
    <x v="1"/>
    <x v="5"/>
    <n v="458.87739414255742"/>
  </r>
  <r>
    <x v="0"/>
    <x v="1"/>
    <x v="2"/>
    <x v="6"/>
    <x v="43"/>
    <x v="1"/>
    <x v="6"/>
    <n v="562.67761875143606"/>
  </r>
  <r>
    <x v="0"/>
    <x v="0"/>
    <x v="4"/>
    <x v="7"/>
    <x v="61"/>
    <x v="1"/>
    <x v="0"/>
    <n v="0"/>
  </r>
  <r>
    <x v="0"/>
    <x v="0"/>
    <x v="4"/>
    <x v="7"/>
    <x v="61"/>
    <x v="1"/>
    <x v="1"/>
    <n v="0"/>
  </r>
  <r>
    <x v="0"/>
    <x v="0"/>
    <x v="4"/>
    <x v="7"/>
    <x v="61"/>
    <x v="1"/>
    <x v="2"/>
    <n v="0"/>
  </r>
  <r>
    <x v="0"/>
    <x v="0"/>
    <x v="4"/>
    <x v="7"/>
    <x v="61"/>
    <x v="1"/>
    <x v="3"/>
    <n v="0"/>
  </r>
  <r>
    <x v="0"/>
    <x v="0"/>
    <x v="4"/>
    <x v="7"/>
    <x v="61"/>
    <x v="1"/>
    <x v="4"/>
    <n v="0"/>
  </r>
  <r>
    <x v="0"/>
    <x v="0"/>
    <x v="4"/>
    <x v="7"/>
    <x v="61"/>
    <x v="1"/>
    <x v="5"/>
    <n v="0"/>
  </r>
  <r>
    <x v="0"/>
    <x v="0"/>
    <x v="4"/>
    <x v="7"/>
    <x v="61"/>
    <x v="1"/>
    <x v="6"/>
    <n v="0"/>
  </r>
  <r>
    <x v="0"/>
    <x v="0"/>
    <x v="4"/>
    <x v="7"/>
    <x v="62"/>
    <x v="1"/>
    <x v="0"/>
    <n v="0"/>
  </r>
  <r>
    <x v="0"/>
    <x v="0"/>
    <x v="4"/>
    <x v="7"/>
    <x v="62"/>
    <x v="1"/>
    <x v="1"/>
    <n v="0"/>
  </r>
  <r>
    <x v="0"/>
    <x v="0"/>
    <x v="4"/>
    <x v="7"/>
    <x v="62"/>
    <x v="1"/>
    <x v="2"/>
    <n v="0"/>
  </r>
  <r>
    <x v="0"/>
    <x v="0"/>
    <x v="4"/>
    <x v="7"/>
    <x v="62"/>
    <x v="1"/>
    <x v="3"/>
    <n v="0"/>
  </r>
  <r>
    <x v="0"/>
    <x v="0"/>
    <x v="4"/>
    <x v="7"/>
    <x v="62"/>
    <x v="1"/>
    <x v="4"/>
    <n v="0"/>
  </r>
  <r>
    <x v="0"/>
    <x v="0"/>
    <x v="4"/>
    <x v="7"/>
    <x v="62"/>
    <x v="1"/>
    <x v="5"/>
    <n v="0"/>
  </r>
  <r>
    <x v="0"/>
    <x v="0"/>
    <x v="4"/>
    <x v="7"/>
    <x v="62"/>
    <x v="1"/>
    <x v="6"/>
    <n v="0"/>
  </r>
  <r>
    <x v="0"/>
    <x v="0"/>
    <x v="4"/>
    <x v="7"/>
    <x v="63"/>
    <x v="1"/>
    <x v="0"/>
    <n v="0"/>
  </r>
  <r>
    <x v="0"/>
    <x v="0"/>
    <x v="4"/>
    <x v="7"/>
    <x v="63"/>
    <x v="1"/>
    <x v="1"/>
    <n v="0"/>
  </r>
  <r>
    <x v="0"/>
    <x v="0"/>
    <x v="4"/>
    <x v="7"/>
    <x v="63"/>
    <x v="1"/>
    <x v="2"/>
    <n v="0"/>
  </r>
  <r>
    <x v="0"/>
    <x v="0"/>
    <x v="4"/>
    <x v="7"/>
    <x v="63"/>
    <x v="1"/>
    <x v="3"/>
    <n v="0"/>
  </r>
  <r>
    <x v="0"/>
    <x v="0"/>
    <x v="4"/>
    <x v="7"/>
    <x v="63"/>
    <x v="1"/>
    <x v="4"/>
    <n v="0"/>
  </r>
  <r>
    <x v="0"/>
    <x v="0"/>
    <x v="4"/>
    <x v="7"/>
    <x v="63"/>
    <x v="1"/>
    <x v="5"/>
    <n v="0"/>
  </r>
  <r>
    <x v="0"/>
    <x v="0"/>
    <x v="4"/>
    <x v="7"/>
    <x v="63"/>
    <x v="1"/>
    <x v="6"/>
    <n v="0"/>
  </r>
  <r>
    <x v="0"/>
    <x v="0"/>
    <x v="4"/>
    <x v="7"/>
    <x v="64"/>
    <x v="1"/>
    <x v="0"/>
    <n v="0"/>
  </r>
  <r>
    <x v="0"/>
    <x v="0"/>
    <x v="4"/>
    <x v="7"/>
    <x v="64"/>
    <x v="1"/>
    <x v="1"/>
    <n v="0"/>
  </r>
  <r>
    <x v="0"/>
    <x v="0"/>
    <x v="4"/>
    <x v="7"/>
    <x v="64"/>
    <x v="1"/>
    <x v="2"/>
    <n v="0"/>
  </r>
  <r>
    <x v="0"/>
    <x v="0"/>
    <x v="4"/>
    <x v="7"/>
    <x v="64"/>
    <x v="1"/>
    <x v="3"/>
    <n v="0"/>
  </r>
  <r>
    <x v="0"/>
    <x v="0"/>
    <x v="4"/>
    <x v="7"/>
    <x v="64"/>
    <x v="1"/>
    <x v="4"/>
    <n v="0"/>
  </r>
  <r>
    <x v="0"/>
    <x v="0"/>
    <x v="4"/>
    <x v="7"/>
    <x v="64"/>
    <x v="1"/>
    <x v="5"/>
    <n v="0"/>
  </r>
  <r>
    <x v="0"/>
    <x v="0"/>
    <x v="4"/>
    <x v="7"/>
    <x v="64"/>
    <x v="1"/>
    <x v="6"/>
    <n v="0"/>
  </r>
  <r>
    <x v="0"/>
    <x v="1"/>
    <x v="4"/>
    <x v="7"/>
    <x v="44"/>
    <x v="1"/>
    <x v="0"/>
    <n v="0"/>
  </r>
  <r>
    <x v="0"/>
    <x v="1"/>
    <x v="4"/>
    <x v="7"/>
    <x v="44"/>
    <x v="1"/>
    <x v="1"/>
    <n v="0"/>
  </r>
  <r>
    <x v="0"/>
    <x v="1"/>
    <x v="4"/>
    <x v="7"/>
    <x v="44"/>
    <x v="1"/>
    <x v="2"/>
    <n v="0"/>
  </r>
  <r>
    <x v="0"/>
    <x v="1"/>
    <x v="4"/>
    <x v="7"/>
    <x v="44"/>
    <x v="1"/>
    <x v="3"/>
    <n v="0"/>
  </r>
  <r>
    <x v="0"/>
    <x v="1"/>
    <x v="4"/>
    <x v="7"/>
    <x v="44"/>
    <x v="1"/>
    <x v="4"/>
    <n v="0"/>
  </r>
  <r>
    <x v="0"/>
    <x v="1"/>
    <x v="4"/>
    <x v="7"/>
    <x v="44"/>
    <x v="1"/>
    <x v="5"/>
    <n v="0"/>
  </r>
  <r>
    <x v="0"/>
    <x v="1"/>
    <x v="4"/>
    <x v="7"/>
    <x v="44"/>
    <x v="1"/>
    <x v="6"/>
    <n v="0"/>
  </r>
  <r>
    <x v="0"/>
    <x v="1"/>
    <x v="4"/>
    <x v="7"/>
    <x v="45"/>
    <x v="1"/>
    <x v="0"/>
    <n v="0"/>
  </r>
  <r>
    <x v="0"/>
    <x v="1"/>
    <x v="4"/>
    <x v="7"/>
    <x v="45"/>
    <x v="1"/>
    <x v="1"/>
    <n v="0"/>
  </r>
  <r>
    <x v="0"/>
    <x v="1"/>
    <x v="4"/>
    <x v="7"/>
    <x v="45"/>
    <x v="1"/>
    <x v="2"/>
    <n v="0"/>
  </r>
  <r>
    <x v="0"/>
    <x v="1"/>
    <x v="4"/>
    <x v="7"/>
    <x v="45"/>
    <x v="1"/>
    <x v="3"/>
    <n v="0"/>
  </r>
  <r>
    <x v="0"/>
    <x v="1"/>
    <x v="4"/>
    <x v="7"/>
    <x v="45"/>
    <x v="1"/>
    <x v="4"/>
    <n v="0"/>
  </r>
  <r>
    <x v="0"/>
    <x v="1"/>
    <x v="4"/>
    <x v="7"/>
    <x v="45"/>
    <x v="1"/>
    <x v="5"/>
    <n v="0"/>
  </r>
  <r>
    <x v="0"/>
    <x v="1"/>
    <x v="4"/>
    <x v="7"/>
    <x v="45"/>
    <x v="1"/>
    <x v="6"/>
    <n v="0"/>
  </r>
  <r>
    <x v="0"/>
    <x v="1"/>
    <x v="4"/>
    <x v="7"/>
    <x v="46"/>
    <x v="1"/>
    <x v="0"/>
    <n v="0"/>
  </r>
  <r>
    <x v="0"/>
    <x v="1"/>
    <x v="4"/>
    <x v="7"/>
    <x v="46"/>
    <x v="1"/>
    <x v="1"/>
    <n v="0"/>
  </r>
  <r>
    <x v="0"/>
    <x v="1"/>
    <x v="4"/>
    <x v="7"/>
    <x v="46"/>
    <x v="1"/>
    <x v="2"/>
    <n v="0"/>
  </r>
  <r>
    <x v="0"/>
    <x v="1"/>
    <x v="4"/>
    <x v="7"/>
    <x v="46"/>
    <x v="1"/>
    <x v="3"/>
    <n v="0"/>
  </r>
  <r>
    <x v="0"/>
    <x v="1"/>
    <x v="4"/>
    <x v="7"/>
    <x v="46"/>
    <x v="1"/>
    <x v="4"/>
    <n v="0"/>
  </r>
  <r>
    <x v="0"/>
    <x v="1"/>
    <x v="4"/>
    <x v="7"/>
    <x v="46"/>
    <x v="1"/>
    <x v="5"/>
    <n v="0"/>
  </r>
  <r>
    <x v="0"/>
    <x v="1"/>
    <x v="4"/>
    <x v="7"/>
    <x v="46"/>
    <x v="1"/>
    <x v="6"/>
    <n v="0"/>
  </r>
  <r>
    <x v="0"/>
    <x v="1"/>
    <x v="5"/>
    <x v="8"/>
    <x v="51"/>
    <x v="1"/>
    <x v="0"/>
    <n v="0"/>
  </r>
  <r>
    <x v="0"/>
    <x v="1"/>
    <x v="5"/>
    <x v="8"/>
    <x v="51"/>
    <x v="1"/>
    <x v="1"/>
    <n v="0"/>
  </r>
  <r>
    <x v="0"/>
    <x v="1"/>
    <x v="5"/>
    <x v="8"/>
    <x v="51"/>
    <x v="1"/>
    <x v="2"/>
    <n v="0"/>
  </r>
  <r>
    <x v="0"/>
    <x v="1"/>
    <x v="5"/>
    <x v="8"/>
    <x v="51"/>
    <x v="1"/>
    <x v="3"/>
    <n v="0"/>
  </r>
  <r>
    <x v="0"/>
    <x v="1"/>
    <x v="5"/>
    <x v="8"/>
    <x v="51"/>
    <x v="1"/>
    <x v="4"/>
    <n v="0"/>
  </r>
  <r>
    <x v="0"/>
    <x v="1"/>
    <x v="5"/>
    <x v="8"/>
    <x v="51"/>
    <x v="1"/>
    <x v="5"/>
    <n v="0"/>
  </r>
  <r>
    <x v="0"/>
    <x v="1"/>
    <x v="5"/>
    <x v="8"/>
    <x v="51"/>
    <x v="1"/>
    <x v="6"/>
    <n v="0"/>
  </r>
  <r>
    <x v="0"/>
    <x v="1"/>
    <x v="3"/>
    <x v="5"/>
    <x v="52"/>
    <x v="1"/>
    <x v="0"/>
    <n v="0"/>
  </r>
  <r>
    <x v="0"/>
    <x v="1"/>
    <x v="3"/>
    <x v="5"/>
    <x v="52"/>
    <x v="1"/>
    <x v="1"/>
    <n v="0"/>
  </r>
  <r>
    <x v="0"/>
    <x v="1"/>
    <x v="3"/>
    <x v="5"/>
    <x v="52"/>
    <x v="1"/>
    <x v="2"/>
    <n v="0"/>
  </r>
  <r>
    <x v="0"/>
    <x v="1"/>
    <x v="3"/>
    <x v="5"/>
    <x v="52"/>
    <x v="1"/>
    <x v="3"/>
    <n v="0"/>
  </r>
  <r>
    <x v="0"/>
    <x v="1"/>
    <x v="3"/>
    <x v="5"/>
    <x v="52"/>
    <x v="1"/>
    <x v="4"/>
    <n v="0"/>
  </r>
  <r>
    <x v="0"/>
    <x v="1"/>
    <x v="3"/>
    <x v="5"/>
    <x v="52"/>
    <x v="1"/>
    <x v="5"/>
    <n v="0"/>
  </r>
  <r>
    <x v="0"/>
    <x v="1"/>
    <x v="3"/>
    <x v="5"/>
    <x v="52"/>
    <x v="1"/>
    <x v="6"/>
    <n v="0"/>
  </r>
  <r>
    <x v="0"/>
    <x v="1"/>
    <x v="5"/>
    <x v="8"/>
    <x v="53"/>
    <x v="1"/>
    <x v="0"/>
    <n v="5.6879779900378118"/>
  </r>
  <r>
    <x v="0"/>
    <x v="1"/>
    <x v="5"/>
    <x v="8"/>
    <x v="53"/>
    <x v="1"/>
    <x v="1"/>
    <n v="19.288678935242125"/>
  </r>
  <r>
    <x v="0"/>
    <x v="1"/>
    <x v="5"/>
    <x v="8"/>
    <x v="53"/>
    <x v="1"/>
    <x v="2"/>
    <n v="62.013437371184111"/>
  </r>
  <r>
    <x v="0"/>
    <x v="1"/>
    <x v="5"/>
    <x v="8"/>
    <x v="53"/>
    <x v="1"/>
    <x v="3"/>
    <n v="187.97130151937645"/>
  </r>
  <r>
    <x v="0"/>
    <x v="1"/>
    <x v="5"/>
    <x v="8"/>
    <x v="53"/>
    <x v="1"/>
    <x v="4"/>
    <n v="427.59339433475589"/>
  </r>
  <r>
    <x v="0"/>
    <x v="1"/>
    <x v="5"/>
    <x v="8"/>
    <x v="53"/>
    <x v="1"/>
    <x v="5"/>
    <n v="754.13056674770019"/>
  </r>
  <r>
    <x v="0"/>
    <x v="1"/>
    <x v="5"/>
    <x v="8"/>
    <x v="53"/>
    <x v="1"/>
    <x v="6"/>
    <n v="1218.5097335668363"/>
  </r>
  <r>
    <x v="0"/>
    <x v="1"/>
    <x v="4"/>
    <x v="7"/>
    <x v="47"/>
    <x v="1"/>
    <x v="0"/>
    <n v="0"/>
  </r>
  <r>
    <x v="0"/>
    <x v="1"/>
    <x v="4"/>
    <x v="7"/>
    <x v="47"/>
    <x v="1"/>
    <x v="1"/>
    <n v="0"/>
  </r>
  <r>
    <x v="0"/>
    <x v="1"/>
    <x v="4"/>
    <x v="7"/>
    <x v="47"/>
    <x v="1"/>
    <x v="2"/>
    <n v="0"/>
  </r>
  <r>
    <x v="0"/>
    <x v="1"/>
    <x v="4"/>
    <x v="7"/>
    <x v="47"/>
    <x v="1"/>
    <x v="3"/>
    <n v="0"/>
  </r>
  <r>
    <x v="0"/>
    <x v="1"/>
    <x v="4"/>
    <x v="7"/>
    <x v="47"/>
    <x v="1"/>
    <x v="4"/>
    <n v="0"/>
  </r>
  <r>
    <x v="0"/>
    <x v="1"/>
    <x v="4"/>
    <x v="7"/>
    <x v="47"/>
    <x v="1"/>
    <x v="5"/>
    <n v="0"/>
  </r>
  <r>
    <x v="0"/>
    <x v="1"/>
    <x v="4"/>
    <x v="7"/>
    <x v="47"/>
    <x v="1"/>
    <x v="6"/>
    <n v="0"/>
  </r>
  <r>
    <x v="0"/>
    <x v="1"/>
    <x v="4"/>
    <x v="7"/>
    <x v="48"/>
    <x v="1"/>
    <x v="0"/>
    <n v="0"/>
  </r>
  <r>
    <x v="0"/>
    <x v="1"/>
    <x v="4"/>
    <x v="7"/>
    <x v="48"/>
    <x v="1"/>
    <x v="1"/>
    <n v="0"/>
  </r>
  <r>
    <x v="0"/>
    <x v="1"/>
    <x v="4"/>
    <x v="7"/>
    <x v="48"/>
    <x v="1"/>
    <x v="2"/>
    <n v="0"/>
  </r>
  <r>
    <x v="0"/>
    <x v="1"/>
    <x v="4"/>
    <x v="7"/>
    <x v="48"/>
    <x v="1"/>
    <x v="3"/>
    <n v="0"/>
  </r>
  <r>
    <x v="0"/>
    <x v="1"/>
    <x v="4"/>
    <x v="7"/>
    <x v="48"/>
    <x v="1"/>
    <x v="4"/>
    <n v="0"/>
  </r>
  <r>
    <x v="0"/>
    <x v="1"/>
    <x v="4"/>
    <x v="7"/>
    <x v="48"/>
    <x v="1"/>
    <x v="5"/>
    <n v="0"/>
  </r>
  <r>
    <x v="0"/>
    <x v="1"/>
    <x v="4"/>
    <x v="7"/>
    <x v="48"/>
    <x v="1"/>
    <x v="6"/>
    <n v="0"/>
  </r>
  <r>
    <x v="0"/>
    <x v="1"/>
    <x v="4"/>
    <x v="7"/>
    <x v="49"/>
    <x v="1"/>
    <x v="0"/>
    <n v="0.10770492058510749"/>
  </r>
  <r>
    <x v="0"/>
    <x v="1"/>
    <x v="4"/>
    <x v="7"/>
    <x v="49"/>
    <x v="1"/>
    <x v="1"/>
    <n v="0.5088494478011254"/>
  </r>
  <r>
    <x v="0"/>
    <x v="1"/>
    <x v="4"/>
    <x v="7"/>
    <x v="49"/>
    <x v="1"/>
    <x v="2"/>
    <n v="2.4161807394153234"/>
  </r>
  <r>
    <x v="0"/>
    <x v="1"/>
    <x v="4"/>
    <x v="7"/>
    <x v="49"/>
    <x v="1"/>
    <x v="3"/>
    <n v="11.751131369096155"/>
  </r>
  <r>
    <x v="0"/>
    <x v="1"/>
    <x v="4"/>
    <x v="7"/>
    <x v="49"/>
    <x v="1"/>
    <x v="4"/>
    <n v="55.292981988550189"/>
  </r>
  <r>
    <x v="0"/>
    <x v="1"/>
    <x v="4"/>
    <x v="7"/>
    <x v="49"/>
    <x v="1"/>
    <x v="5"/>
    <n v="112.9961096234445"/>
  </r>
  <r>
    <x v="0"/>
    <x v="1"/>
    <x v="4"/>
    <x v="7"/>
    <x v="49"/>
    <x v="1"/>
    <x v="6"/>
    <n v="172.40337687999403"/>
  </r>
  <r>
    <x v="0"/>
    <x v="1"/>
    <x v="4"/>
    <x v="7"/>
    <x v="50"/>
    <x v="1"/>
    <x v="0"/>
    <n v="0"/>
  </r>
  <r>
    <x v="0"/>
    <x v="1"/>
    <x v="4"/>
    <x v="7"/>
    <x v="50"/>
    <x v="1"/>
    <x v="1"/>
    <n v="0"/>
  </r>
  <r>
    <x v="0"/>
    <x v="1"/>
    <x v="4"/>
    <x v="7"/>
    <x v="50"/>
    <x v="1"/>
    <x v="2"/>
    <n v="0"/>
  </r>
  <r>
    <x v="0"/>
    <x v="1"/>
    <x v="4"/>
    <x v="7"/>
    <x v="50"/>
    <x v="1"/>
    <x v="3"/>
    <n v="0"/>
  </r>
  <r>
    <x v="0"/>
    <x v="1"/>
    <x v="4"/>
    <x v="7"/>
    <x v="50"/>
    <x v="1"/>
    <x v="4"/>
    <n v="0"/>
  </r>
  <r>
    <x v="0"/>
    <x v="1"/>
    <x v="4"/>
    <x v="7"/>
    <x v="50"/>
    <x v="1"/>
    <x v="5"/>
    <n v="0"/>
  </r>
  <r>
    <x v="0"/>
    <x v="1"/>
    <x v="4"/>
    <x v="7"/>
    <x v="50"/>
    <x v="1"/>
    <x v="6"/>
    <n v="0"/>
  </r>
  <r>
    <x v="0"/>
    <x v="1"/>
    <x v="4"/>
    <x v="7"/>
    <x v="54"/>
    <x v="1"/>
    <x v="0"/>
    <n v="0"/>
  </r>
  <r>
    <x v="0"/>
    <x v="1"/>
    <x v="4"/>
    <x v="7"/>
    <x v="54"/>
    <x v="1"/>
    <x v="1"/>
    <n v="0"/>
  </r>
  <r>
    <x v="0"/>
    <x v="1"/>
    <x v="4"/>
    <x v="7"/>
    <x v="54"/>
    <x v="1"/>
    <x v="2"/>
    <n v="0"/>
  </r>
  <r>
    <x v="0"/>
    <x v="1"/>
    <x v="4"/>
    <x v="7"/>
    <x v="54"/>
    <x v="1"/>
    <x v="3"/>
    <n v="0"/>
  </r>
  <r>
    <x v="0"/>
    <x v="1"/>
    <x v="4"/>
    <x v="7"/>
    <x v="54"/>
    <x v="1"/>
    <x v="4"/>
    <n v="0"/>
  </r>
  <r>
    <x v="0"/>
    <x v="1"/>
    <x v="4"/>
    <x v="7"/>
    <x v="54"/>
    <x v="1"/>
    <x v="5"/>
    <n v="0"/>
  </r>
  <r>
    <x v="0"/>
    <x v="1"/>
    <x v="4"/>
    <x v="7"/>
    <x v="54"/>
    <x v="1"/>
    <x v="6"/>
    <n v="0"/>
  </r>
  <r>
    <x v="0"/>
    <x v="1"/>
    <x v="4"/>
    <x v="7"/>
    <x v="55"/>
    <x v="1"/>
    <x v="0"/>
    <n v="0"/>
  </r>
  <r>
    <x v="0"/>
    <x v="1"/>
    <x v="4"/>
    <x v="7"/>
    <x v="55"/>
    <x v="1"/>
    <x v="1"/>
    <n v="0"/>
  </r>
  <r>
    <x v="0"/>
    <x v="1"/>
    <x v="4"/>
    <x v="7"/>
    <x v="55"/>
    <x v="1"/>
    <x v="2"/>
    <n v="0"/>
  </r>
  <r>
    <x v="0"/>
    <x v="1"/>
    <x v="4"/>
    <x v="7"/>
    <x v="55"/>
    <x v="1"/>
    <x v="3"/>
    <n v="0"/>
  </r>
  <r>
    <x v="0"/>
    <x v="1"/>
    <x v="4"/>
    <x v="7"/>
    <x v="55"/>
    <x v="1"/>
    <x v="4"/>
    <n v="0"/>
  </r>
  <r>
    <x v="0"/>
    <x v="1"/>
    <x v="4"/>
    <x v="7"/>
    <x v="55"/>
    <x v="1"/>
    <x v="5"/>
    <n v="0"/>
  </r>
  <r>
    <x v="0"/>
    <x v="1"/>
    <x v="4"/>
    <x v="7"/>
    <x v="55"/>
    <x v="1"/>
    <x v="6"/>
    <n v="0"/>
  </r>
  <r>
    <x v="0"/>
    <x v="1"/>
    <x v="4"/>
    <x v="7"/>
    <x v="56"/>
    <x v="1"/>
    <x v="0"/>
    <n v="0"/>
  </r>
  <r>
    <x v="0"/>
    <x v="1"/>
    <x v="4"/>
    <x v="7"/>
    <x v="56"/>
    <x v="1"/>
    <x v="1"/>
    <n v="0"/>
  </r>
  <r>
    <x v="0"/>
    <x v="1"/>
    <x v="4"/>
    <x v="7"/>
    <x v="56"/>
    <x v="1"/>
    <x v="2"/>
    <n v="0"/>
  </r>
  <r>
    <x v="0"/>
    <x v="1"/>
    <x v="4"/>
    <x v="7"/>
    <x v="56"/>
    <x v="1"/>
    <x v="3"/>
    <n v="0"/>
  </r>
  <r>
    <x v="0"/>
    <x v="1"/>
    <x v="4"/>
    <x v="7"/>
    <x v="56"/>
    <x v="1"/>
    <x v="4"/>
    <n v="0"/>
  </r>
  <r>
    <x v="0"/>
    <x v="1"/>
    <x v="4"/>
    <x v="7"/>
    <x v="56"/>
    <x v="1"/>
    <x v="5"/>
    <n v="0"/>
  </r>
  <r>
    <x v="0"/>
    <x v="1"/>
    <x v="4"/>
    <x v="7"/>
    <x v="56"/>
    <x v="1"/>
    <x v="6"/>
    <n v="0"/>
  </r>
  <r>
    <x v="0"/>
    <x v="1"/>
    <x v="4"/>
    <x v="7"/>
    <x v="57"/>
    <x v="1"/>
    <x v="0"/>
    <n v="0.10030160433898891"/>
  </r>
  <r>
    <x v="0"/>
    <x v="1"/>
    <x v="4"/>
    <x v="7"/>
    <x v="57"/>
    <x v="1"/>
    <x v="1"/>
    <n v="0.48164260568278044"/>
  </r>
  <r>
    <x v="0"/>
    <x v="1"/>
    <x v="4"/>
    <x v="7"/>
    <x v="57"/>
    <x v="1"/>
    <x v="2"/>
    <n v="2.363860097662783"/>
  </r>
  <r>
    <x v="0"/>
    <x v="1"/>
    <x v="4"/>
    <x v="7"/>
    <x v="57"/>
    <x v="1"/>
    <x v="3"/>
    <n v="11.204179587058231"/>
  </r>
  <r>
    <x v="0"/>
    <x v="1"/>
    <x v="4"/>
    <x v="7"/>
    <x v="57"/>
    <x v="1"/>
    <x v="4"/>
    <n v="53.641029997196433"/>
  </r>
  <r>
    <x v="0"/>
    <x v="1"/>
    <x v="4"/>
    <x v="7"/>
    <x v="57"/>
    <x v="1"/>
    <x v="5"/>
    <n v="109.71517235823035"/>
  </r>
  <r>
    <x v="0"/>
    <x v="1"/>
    <x v="4"/>
    <x v="7"/>
    <x v="57"/>
    <x v="1"/>
    <x v="6"/>
    <n v="166.04665134006095"/>
  </r>
  <r>
    <x v="0"/>
    <x v="1"/>
    <x v="4"/>
    <x v="7"/>
    <x v="58"/>
    <x v="1"/>
    <x v="0"/>
    <n v="0"/>
  </r>
  <r>
    <x v="0"/>
    <x v="1"/>
    <x v="4"/>
    <x v="7"/>
    <x v="58"/>
    <x v="1"/>
    <x v="1"/>
    <n v="0"/>
  </r>
  <r>
    <x v="0"/>
    <x v="1"/>
    <x v="4"/>
    <x v="7"/>
    <x v="58"/>
    <x v="1"/>
    <x v="2"/>
    <n v="0"/>
  </r>
  <r>
    <x v="0"/>
    <x v="1"/>
    <x v="4"/>
    <x v="7"/>
    <x v="58"/>
    <x v="1"/>
    <x v="3"/>
    <n v="0"/>
  </r>
  <r>
    <x v="0"/>
    <x v="1"/>
    <x v="4"/>
    <x v="7"/>
    <x v="58"/>
    <x v="1"/>
    <x v="4"/>
    <n v="0"/>
  </r>
  <r>
    <x v="0"/>
    <x v="1"/>
    <x v="4"/>
    <x v="7"/>
    <x v="58"/>
    <x v="1"/>
    <x v="5"/>
    <n v="0"/>
  </r>
  <r>
    <x v="0"/>
    <x v="1"/>
    <x v="4"/>
    <x v="7"/>
    <x v="58"/>
    <x v="1"/>
    <x v="6"/>
    <n v="0"/>
  </r>
  <r>
    <x v="0"/>
    <x v="1"/>
    <x v="4"/>
    <x v="7"/>
    <x v="59"/>
    <x v="1"/>
    <x v="0"/>
    <n v="0"/>
  </r>
  <r>
    <x v="0"/>
    <x v="1"/>
    <x v="4"/>
    <x v="7"/>
    <x v="59"/>
    <x v="1"/>
    <x v="1"/>
    <n v="0"/>
  </r>
  <r>
    <x v="0"/>
    <x v="1"/>
    <x v="4"/>
    <x v="7"/>
    <x v="59"/>
    <x v="1"/>
    <x v="2"/>
    <n v="0"/>
  </r>
  <r>
    <x v="0"/>
    <x v="1"/>
    <x v="4"/>
    <x v="7"/>
    <x v="59"/>
    <x v="1"/>
    <x v="3"/>
    <n v="0"/>
  </r>
  <r>
    <x v="0"/>
    <x v="1"/>
    <x v="4"/>
    <x v="7"/>
    <x v="59"/>
    <x v="1"/>
    <x v="4"/>
    <n v="0"/>
  </r>
  <r>
    <x v="0"/>
    <x v="1"/>
    <x v="4"/>
    <x v="7"/>
    <x v="59"/>
    <x v="1"/>
    <x v="5"/>
    <n v="0"/>
  </r>
  <r>
    <x v="0"/>
    <x v="1"/>
    <x v="4"/>
    <x v="7"/>
    <x v="59"/>
    <x v="1"/>
    <x v="6"/>
    <n v="0"/>
  </r>
  <r>
    <x v="0"/>
    <x v="1"/>
    <x v="4"/>
    <x v="7"/>
    <x v="60"/>
    <x v="1"/>
    <x v="0"/>
    <n v="0"/>
  </r>
  <r>
    <x v="0"/>
    <x v="1"/>
    <x v="4"/>
    <x v="7"/>
    <x v="60"/>
    <x v="1"/>
    <x v="1"/>
    <n v="0"/>
  </r>
  <r>
    <x v="0"/>
    <x v="1"/>
    <x v="4"/>
    <x v="7"/>
    <x v="60"/>
    <x v="1"/>
    <x v="2"/>
    <n v="0"/>
  </r>
  <r>
    <x v="0"/>
    <x v="1"/>
    <x v="4"/>
    <x v="7"/>
    <x v="60"/>
    <x v="1"/>
    <x v="3"/>
    <n v="0"/>
  </r>
  <r>
    <x v="0"/>
    <x v="1"/>
    <x v="4"/>
    <x v="7"/>
    <x v="60"/>
    <x v="1"/>
    <x v="4"/>
    <n v="0"/>
  </r>
  <r>
    <x v="0"/>
    <x v="1"/>
    <x v="4"/>
    <x v="7"/>
    <x v="60"/>
    <x v="1"/>
    <x v="5"/>
    <n v="0"/>
  </r>
  <r>
    <x v="0"/>
    <x v="1"/>
    <x v="4"/>
    <x v="7"/>
    <x v="60"/>
    <x v="1"/>
    <x v="6"/>
    <n v="0"/>
  </r>
  <r>
    <x v="0"/>
    <x v="1"/>
    <x v="3"/>
    <x v="5"/>
    <x v="65"/>
    <x v="1"/>
    <x v="0"/>
    <n v="0"/>
  </r>
  <r>
    <x v="0"/>
    <x v="1"/>
    <x v="3"/>
    <x v="5"/>
    <x v="65"/>
    <x v="1"/>
    <x v="1"/>
    <n v="0"/>
  </r>
  <r>
    <x v="0"/>
    <x v="1"/>
    <x v="3"/>
    <x v="5"/>
    <x v="65"/>
    <x v="1"/>
    <x v="2"/>
    <n v="0"/>
  </r>
  <r>
    <x v="0"/>
    <x v="1"/>
    <x v="3"/>
    <x v="5"/>
    <x v="65"/>
    <x v="1"/>
    <x v="3"/>
    <n v="0"/>
  </r>
  <r>
    <x v="0"/>
    <x v="1"/>
    <x v="3"/>
    <x v="5"/>
    <x v="65"/>
    <x v="1"/>
    <x v="4"/>
    <n v="0"/>
  </r>
  <r>
    <x v="0"/>
    <x v="1"/>
    <x v="3"/>
    <x v="5"/>
    <x v="65"/>
    <x v="1"/>
    <x v="5"/>
    <n v="0"/>
  </r>
  <r>
    <x v="0"/>
    <x v="1"/>
    <x v="3"/>
    <x v="5"/>
    <x v="65"/>
    <x v="1"/>
    <x v="6"/>
    <n v="0"/>
  </r>
  <r>
    <x v="0"/>
    <x v="1"/>
    <x v="3"/>
    <x v="5"/>
    <x v="66"/>
    <x v="1"/>
    <x v="0"/>
    <n v="0"/>
  </r>
  <r>
    <x v="0"/>
    <x v="1"/>
    <x v="3"/>
    <x v="5"/>
    <x v="66"/>
    <x v="1"/>
    <x v="1"/>
    <n v="0"/>
  </r>
  <r>
    <x v="0"/>
    <x v="1"/>
    <x v="3"/>
    <x v="5"/>
    <x v="66"/>
    <x v="1"/>
    <x v="2"/>
    <n v="0"/>
  </r>
  <r>
    <x v="0"/>
    <x v="1"/>
    <x v="3"/>
    <x v="5"/>
    <x v="66"/>
    <x v="1"/>
    <x v="3"/>
    <n v="0"/>
  </r>
  <r>
    <x v="0"/>
    <x v="1"/>
    <x v="3"/>
    <x v="5"/>
    <x v="66"/>
    <x v="1"/>
    <x v="4"/>
    <n v="0"/>
  </r>
  <r>
    <x v="0"/>
    <x v="1"/>
    <x v="3"/>
    <x v="5"/>
    <x v="66"/>
    <x v="1"/>
    <x v="5"/>
    <n v="0"/>
  </r>
  <r>
    <x v="0"/>
    <x v="1"/>
    <x v="3"/>
    <x v="5"/>
    <x v="66"/>
    <x v="1"/>
    <x v="6"/>
    <n v="0"/>
  </r>
  <r>
    <x v="0"/>
    <x v="1"/>
    <x v="3"/>
    <x v="5"/>
    <x v="67"/>
    <x v="1"/>
    <x v="0"/>
    <n v="0"/>
  </r>
  <r>
    <x v="0"/>
    <x v="1"/>
    <x v="3"/>
    <x v="5"/>
    <x v="67"/>
    <x v="1"/>
    <x v="1"/>
    <n v="0"/>
  </r>
  <r>
    <x v="0"/>
    <x v="1"/>
    <x v="3"/>
    <x v="5"/>
    <x v="67"/>
    <x v="1"/>
    <x v="2"/>
    <n v="0"/>
  </r>
  <r>
    <x v="0"/>
    <x v="1"/>
    <x v="3"/>
    <x v="5"/>
    <x v="67"/>
    <x v="1"/>
    <x v="3"/>
    <n v="0"/>
  </r>
  <r>
    <x v="0"/>
    <x v="1"/>
    <x v="3"/>
    <x v="5"/>
    <x v="67"/>
    <x v="1"/>
    <x v="4"/>
    <n v="0"/>
  </r>
  <r>
    <x v="0"/>
    <x v="1"/>
    <x v="3"/>
    <x v="5"/>
    <x v="67"/>
    <x v="1"/>
    <x v="5"/>
    <n v="0"/>
  </r>
  <r>
    <x v="0"/>
    <x v="1"/>
    <x v="3"/>
    <x v="5"/>
    <x v="67"/>
    <x v="1"/>
    <x v="6"/>
    <n v="0"/>
  </r>
  <r>
    <x v="0"/>
    <x v="1"/>
    <x v="3"/>
    <x v="5"/>
    <x v="68"/>
    <x v="1"/>
    <x v="0"/>
    <n v="0"/>
  </r>
  <r>
    <x v="0"/>
    <x v="1"/>
    <x v="3"/>
    <x v="5"/>
    <x v="68"/>
    <x v="1"/>
    <x v="1"/>
    <n v="0"/>
  </r>
  <r>
    <x v="0"/>
    <x v="1"/>
    <x v="3"/>
    <x v="5"/>
    <x v="68"/>
    <x v="1"/>
    <x v="2"/>
    <n v="0"/>
  </r>
  <r>
    <x v="0"/>
    <x v="1"/>
    <x v="3"/>
    <x v="5"/>
    <x v="68"/>
    <x v="1"/>
    <x v="3"/>
    <n v="0"/>
  </r>
  <r>
    <x v="0"/>
    <x v="1"/>
    <x v="3"/>
    <x v="5"/>
    <x v="68"/>
    <x v="1"/>
    <x v="4"/>
    <n v="0"/>
  </r>
  <r>
    <x v="0"/>
    <x v="1"/>
    <x v="3"/>
    <x v="5"/>
    <x v="68"/>
    <x v="1"/>
    <x v="5"/>
    <n v="0"/>
  </r>
  <r>
    <x v="0"/>
    <x v="1"/>
    <x v="3"/>
    <x v="5"/>
    <x v="68"/>
    <x v="1"/>
    <x v="6"/>
    <n v="0"/>
  </r>
  <r>
    <x v="0"/>
    <x v="1"/>
    <x v="3"/>
    <x v="5"/>
    <x v="69"/>
    <x v="1"/>
    <x v="0"/>
    <n v="0.14436965112896552"/>
  </r>
  <r>
    <x v="0"/>
    <x v="1"/>
    <x v="3"/>
    <x v="5"/>
    <x v="69"/>
    <x v="1"/>
    <x v="1"/>
    <n v="0.53176813454141958"/>
  </r>
  <r>
    <x v="0"/>
    <x v="1"/>
    <x v="3"/>
    <x v="5"/>
    <x v="69"/>
    <x v="1"/>
    <x v="2"/>
    <n v="2.1740550038349951"/>
  </r>
  <r>
    <x v="0"/>
    <x v="1"/>
    <x v="3"/>
    <x v="5"/>
    <x v="69"/>
    <x v="1"/>
    <x v="3"/>
    <n v="8.3000883388732483"/>
  </r>
  <r>
    <x v="0"/>
    <x v="1"/>
    <x v="3"/>
    <x v="5"/>
    <x v="69"/>
    <x v="1"/>
    <x v="4"/>
    <n v="30.725985941125774"/>
  </r>
  <r>
    <x v="0"/>
    <x v="1"/>
    <x v="3"/>
    <x v="5"/>
    <x v="69"/>
    <x v="1"/>
    <x v="5"/>
    <n v="46.696178506781926"/>
  </r>
  <r>
    <x v="0"/>
    <x v="1"/>
    <x v="3"/>
    <x v="5"/>
    <x v="69"/>
    <x v="1"/>
    <x v="6"/>
    <n v="62.812088135850601"/>
  </r>
  <r>
    <x v="0"/>
    <x v="1"/>
    <x v="3"/>
    <x v="5"/>
    <x v="70"/>
    <x v="1"/>
    <x v="0"/>
    <n v="0"/>
  </r>
  <r>
    <x v="0"/>
    <x v="1"/>
    <x v="3"/>
    <x v="5"/>
    <x v="70"/>
    <x v="1"/>
    <x v="1"/>
    <n v="0"/>
  </r>
  <r>
    <x v="0"/>
    <x v="1"/>
    <x v="3"/>
    <x v="5"/>
    <x v="70"/>
    <x v="1"/>
    <x v="2"/>
    <n v="0"/>
  </r>
  <r>
    <x v="0"/>
    <x v="1"/>
    <x v="3"/>
    <x v="5"/>
    <x v="70"/>
    <x v="1"/>
    <x v="3"/>
    <n v="0"/>
  </r>
  <r>
    <x v="0"/>
    <x v="1"/>
    <x v="3"/>
    <x v="5"/>
    <x v="70"/>
    <x v="1"/>
    <x v="4"/>
    <n v="0"/>
  </r>
  <r>
    <x v="0"/>
    <x v="1"/>
    <x v="3"/>
    <x v="5"/>
    <x v="70"/>
    <x v="1"/>
    <x v="5"/>
    <n v="0"/>
  </r>
  <r>
    <x v="0"/>
    <x v="1"/>
    <x v="3"/>
    <x v="5"/>
    <x v="70"/>
    <x v="1"/>
    <x v="6"/>
    <n v="0"/>
  </r>
  <r>
    <x v="0"/>
    <x v="1"/>
    <x v="3"/>
    <x v="5"/>
    <x v="71"/>
    <x v="1"/>
    <x v="0"/>
    <n v="9.1332603897079749E-3"/>
  </r>
  <r>
    <x v="0"/>
    <x v="1"/>
    <x v="3"/>
    <x v="5"/>
    <x v="71"/>
    <x v="1"/>
    <x v="1"/>
    <n v="2.9478356994900777E-2"/>
  </r>
  <r>
    <x v="0"/>
    <x v="1"/>
    <x v="3"/>
    <x v="5"/>
    <x v="71"/>
    <x v="1"/>
    <x v="2"/>
    <n v="0.10401254233335303"/>
  </r>
  <r>
    <x v="0"/>
    <x v="1"/>
    <x v="3"/>
    <x v="5"/>
    <x v="71"/>
    <x v="1"/>
    <x v="3"/>
    <n v="0.34311778427980766"/>
  </r>
  <r>
    <x v="0"/>
    <x v="1"/>
    <x v="3"/>
    <x v="5"/>
    <x v="71"/>
    <x v="1"/>
    <x v="4"/>
    <n v="1.1053825643823607"/>
  </r>
  <r>
    <x v="0"/>
    <x v="1"/>
    <x v="3"/>
    <x v="5"/>
    <x v="71"/>
    <x v="1"/>
    <x v="5"/>
    <n v="2.7113983346383494"/>
  </r>
  <r>
    <x v="0"/>
    <x v="1"/>
    <x v="3"/>
    <x v="5"/>
    <x v="71"/>
    <x v="1"/>
    <x v="6"/>
    <n v="6.3118509908459473"/>
  </r>
  <r>
    <x v="0"/>
    <x v="1"/>
    <x v="3"/>
    <x v="5"/>
    <x v="72"/>
    <x v="1"/>
    <x v="0"/>
    <n v="0"/>
  </r>
  <r>
    <x v="0"/>
    <x v="1"/>
    <x v="3"/>
    <x v="5"/>
    <x v="72"/>
    <x v="1"/>
    <x v="1"/>
    <n v="0"/>
  </r>
  <r>
    <x v="0"/>
    <x v="1"/>
    <x v="3"/>
    <x v="5"/>
    <x v="72"/>
    <x v="1"/>
    <x v="2"/>
    <n v="0"/>
  </r>
  <r>
    <x v="0"/>
    <x v="1"/>
    <x v="3"/>
    <x v="5"/>
    <x v="72"/>
    <x v="1"/>
    <x v="3"/>
    <n v="0"/>
  </r>
  <r>
    <x v="0"/>
    <x v="1"/>
    <x v="3"/>
    <x v="5"/>
    <x v="72"/>
    <x v="1"/>
    <x v="4"/>
    <n v="0"/>
  </r>
  <r>
    <x v="0"/>
    <x v="1"/>
    <x v="3"/>
    <x v="5"/>
    <x v="72"/>
    <x v="1"/>
    <x v="5"/>
    <n v="0"/>
  </r>
  <r>
    <x v="0"/>
    <x v="1"/>
    <x v="3"/>
    <x v="5"/>
    <x v="72"/>
    <x v="1"/>
    <x v="6"/>
    <n v="0"/>
  </r>
  <r>
    <x v="0"/>
    <x v="1"/>
    <x v="3"/>
    <x v="5"/>
    <x v="73"/>
    <x v="1"/>
    <x v="0"/>
    <n v="5.1531110682762248E-2"/>
  </r>
  <r>
    <x v="0"/>
    <x v="1"/>
    <x v="3"/>
    <x v="5"/>
    <x v="73"/>
    <x v="1"/>
    <x v="1"/>
    <n v="0.20001374397448757"/>
  </r>
  <r>
    <x v="0"/>
    <x v="1"/>
    <x v="3"/>
    <x v="5"/>
    <x v="73"/>
    <x v="1"/>
    <x v="2"/>
    <n v="0.79322378719707465"/>
  </r>
  <r>
    <x v="0"/>
    <x v="1"/>
    <x v="3"/>
    <x v="5"/>
    <x v="73"/>
    <x v="1"/>
    <x v="3"/>
    <n v="2.9867908595727801"/>
  </r>
  <r>
    <x v="0"/>
    <x v="1"/>
    <x v="3"/>
    <x v="5"/>
    <x v="73"/>
    <x v="1"/>
    <x v="4"/>
    <n v="11.209081618963042"/>
  </r>
  <r>
    <x v="0"/>
    <x v="1"/>
    <x v="3"/>
    <x v="5"/>
    <x v="73"/>
    <x v="1"/>
    <x v="5"/>
    <n v="17.955858368562694"/>
  </r>
  <r>
    <x v="0"/>
    <x v="1"/>
    <x v="3"/>
    <x v="5"/>
    <x v="73"/>
    <x v="1"/>
    <x v="6"/>
    <n v="25.404265969608204"/>
  </r>
  <r>
    <x v="0"/>
    <x v="1"/>
    <x v="5"/>
    <x v="8"/>
    <x v="74"/>
    <x v="1"/>
    <x v="0"/>
    <n v="5.1784026629613411"/>
  </r>
  <r>
    <x v="0"/>
    <x v="1"/>
    <x v="5"/>
    <x v="8"/>
    <x v="74"/>
    <x v="1"/>
    <x v="1"/>
    <n v="12.140344777442369"/>
  </r>
  <r>
    <x v="0"/>
    <x v="1"/>
    <x v="5"/>
    <x v="8"/>
    <x v="74"/>
    <x v="1"/>
    <x v="2"/>
    <n v="29.884620462737697"/>
  </r>
  <r>
    <x v="0"/>
    <x v="1"/>
    <x v="5"/>
    <x v="8"/>
    <x v="74"/>
    <x v="1"/>
    <x v="3"/>
    <n v="71.118626719461432"/>
  </r>
  <r>
    <x v="0"/>
    <x v="1"/>
    <x v="5"/>
    <x v="8"/>
    <x v="74"/>
    <x v="1"/>
    <x v="4"/>
    <n v="135.23937228369931"/>
  </r>
  <r>
    <x v="0"/>
    <x v="1"/>
    <x v="5"/>
    <x v="8"/>
    <x v="74"/>
    <x v="1"/>
    <x v="5"/>
    <n v="261.07566233182484"/>
  </r>
  <r>
    <x v="0"/>
    <x v="1"/>
    <x v="5"/>
    <x v="8"/>
    <x v="74"/>
    <x v="1"/>
    <x v="6"/>
    <n v="425.51863065069494"/>
  </r>
  <r>
    <x v="0"/>
    <x v="1"/>
    <x v="5"/>
    <x v="8"/>
    <x v="75"/>
    <x v="1"/>
    <x v="0"/>
    <n v="50.845012978162693"/>
  </r>
  <r>
    <x v="0"/>
    <x v="1"/>
    <x v="5"/>
    <x v="8"/>
    <x v="75"/>
    <x v="1"/>
    <x v="1"/>
    <n v="97.853709003203903"/>
  </r>
  <r>
    <x v="0"/>
    <x v="1"/>
    <x v="5"/>
    <x v="8"/>
    <x v="75"/>
    <x v="1"/>
    <x v="2"/>
    <n v="209.89793382891659"/>
  </r>
  <r>
    <x v="0"/>
    <x v="1"/>
    <x v="5"/>
    <x v="8"/>
    <x v="75"/>
    <x v="1"/>
    <x v="3"/>
    <n v="441.51184533617669"/>
  </r>
  <r>
    <x v="0"/>
    <x v="1"/>
    <x v="5"/>
    <x v="8"/>
    <x v="75"/>
    <x v="1"/>
    <x v="4"/>
    <n v="868.30173479169457"/>
  </r>
  <r>
    <x v="0"/>
    <x v="1"/>
    <x v="5"/>
    <x v="8"/>
    <x v="75"/>
    <x v="1"/>
    <x v="5"/>
    <n v="1321.7468355302508"/>
  </r>
  <r>
    <x v="0"/>
    <x v="1"/>
    <x v="5"/>
    <x v="8"/>
    <x v="75"/>
    <x v="1"/>
    <x v="6"/>
    <n v="1867.3698004698917"/>
  </r>
  <r>
    <x v="0"/>
    <x v="1"/>
    <x v="5"/>
    <x v="8"/>
    <x v="76"/>
    <x v="1"/>
    <x v="0"/>
    <n v="1.4581686371423228"/>
  </r>
  <r>
    <x v="0"/>
    <x v="1"/>
    <x v="5"/>
    <x v="8"/>
    <x v="76"/>
    <x v="1"/>
    <x v="1"/>
    <n v="3.6413210196859325"/>
  </r>
  <r>
    <x v="0"/>
    <x v="1"/>
    <x v="5"/>
    <x v="8"/>
    <x v="76"/>
    <x v="1"/>
    <x v="2"/>
    <n v="9.1580525590483202"/>
  </r>
  <r>
    <x v="0"/>
    <x v="1"/>
    <x v="5"/>
    <x v="8"/>
    <x v="76"/>
    <x v="1"/>
    <x v="3"/>
    <n v="23.095760283823253"/>
  </r>
  <r>
    <x v="0"/>
    <x v="1"/>
    <x v="5"/>
    <x v="8"/>
    <x v="76"/>
    <x v="1"/>
    <x v="4"/>
    <n v="44.656714908466292"/>
  </r>
  <r>
    <x v="0"/>
    <x v="1"/>
    <x v="5"/>
    <x v="8"/>
    <x v="76"/>
    <x v="1"/>
    <x v="5"/>
    <n v="89.655611339220656"/>
  </r>
  <r>
    <x v="0"/>
    <x v="1"/>
    <x v="5"/>
    <x v="8"/>
    <x v="76"/>
    <x v="1"/>
    <x v="6"/>
    <n v="168.92189195624417"/>
  </r>
  <r>
    <x v="0"/>
    <x v="1"/>
    <x v="5"/>
    <x v="8"/>
    <x v="77"/>
    <x v="1"/>
    <x v="0"/>
    <n v="0"/>
  </r>
  <r>
    <x v="0"/>
    <x v="1"/>
    <x v="5"/>
    <x v="8"/>
    <x v="77"/>
    <x v="1"/>
    <x v="1"/>
    <n v="0"/>
  </r>
  <r>
    <x v="0"/>
    <x v="1"/>
    <x v="5"/>
    <x v="8"/>
    <x v="77"/>
    <x v="1"/>
    <x v="2"/>
    <n v="0"/>
  </r>
  <r>
    <x v="0"/>
    <x v="1"/>
    <x v="5"/>
    <x v="8"/>
    <x v="77"/>
    <x v="1"/>
    <x v="3"/>
    <n v="0"/>
  </r>
  <r>
    <x v="0"/>
    <x v="1"/>
    <x v="5"/>
    <x v="8"/>
    <x v="77"/>
    <x v="1"/>
    <x v="4"/>
    <n v="0"/>
  </r>
  <r>
    <x v="0"/>
    <x v="1"/>
    <x v="5"/>
    <x v="8"/>
    <x v="77"/>
    <x v="1"/>
    <x v="5"/>
    <n v="0"/>
  </r>
  <r>
    <x v="0"/>
    <x v="1"/>
    <x v="5"/>
    <x v="8"/>
    <x v="77"/>
    <x v="1"/>
    <x v="6"/>
    <n v="0"/>
  </r>
  <r>
    <x v="0"/>
    <x v="1"/>
    <x v="5"/>
    <x v="8"/>
    <x v="78"/>
    <x v="1"/>
    <x v="0"/>
    <n v="21.788670758837487"/>
  </r>
  <r>
    <x v="0"/>
    <x v="1"/>
    <x v="5"/>
    <x v="8"/>
    <x v="78"/>
    <x v="1"/>
    <x v="1"/>
    <n v="47.35043060939406"/>
  </r>
  <r>
    <x v="0"/>
    <x v="1"/>
    <x v="5"/>
    <x v="8"/>
    <x v="78"/>
    <x v="1"/>
    <x v="2"/>
    <n v="100.9986078946115"/>
  </r>
  <r>
    <x v="0"/>
    <x v="1"/>
    <x v="5"/>
    <x v="8"/>
    <x v="78"/>
    <x v="1"/>
    <x v="3"/>
    <n v="214.19996626789927"/>
  </r>
  <r>
    <x v="0"/>
    <x v="1"/>
    <x v="5"/>
    <x v="8"/>
    <x v="78"/>
    <x v="1"/>
    <x v="4"/>
    <n v="337.9892027016021"/>
  </r>
  <r>
    <x v="0"/>
    <x v="1"/>
    <x v="5"/>
    <x v="8"/>
    <x v="78"/>
    <x v="1"/>
    <x v="5"/>
    <n v="583.01564276506429"/>
  </r>
  <r>
    <x v="0"/>
    <x v="1"/>
    <x v="5"/>
    <x v="8"/>
    <x v="78"/>
    <x v="1"/>
    <x v="6"/>
    <n v="955.62984121178158"/>
  </r>
  <r>
    <x v="0"/>
    <x v="1"/>
    <x v="5"/>
    <x v="8"/>
    <x v="79"/>
    <x v="1"/>
    <x v="0"/>
    <n v="0.86742236891773394"/>
  </r>
  <r>
    <x v="0"/>
    <x v="1"/>
    <x v="5"/>
    <x v="8"/>
    <x v="79"/>
    <x v="1"/>
    <x v="1"/>
    <n v="2.2877362412461713"/>
  </r>
  <r>
    <x v="0"/>
    <x v="1"/>
    <x v="5"/>
    <x v="8"/>
    <x v="79"/>
    <x v="1"/>
    <x v="2"/>
    <n v="5.4788317890678231"/>
  </r>
  <r>
    <x v="0"/>
    <x v="1"/>
    <x v="5"/>
    <x v="8"/>
    <x v="79"/>
    <x v="1"/>
    <x v="3"/>
    <n v="12.823199823296129"/>
  </r>
  <r>
    <x v="0"/>
    <x v="1"/>
    <x v="5"/>
    <x v="8"/>
    <x v="79"/>
    <x v="1"/>
    <x v="4"/>
    <n v="23.498968910753021"/>
  </r>
  <r>
    <x v="0"/>
    <x v="1"/>
    <x v="5"/>
    <x v="8"/>
    <x v="79"/>
    <x v="1"/>
    <x v="5"/>
    <n v="45.118709211792911"/>
  </r>
  <r>
    <x v="0"/>
    <x v="1"/>
    <x v="5"/>
    <x v="8"/>
    <x v="79"/>
    <x v="1"/>
    <x v="6"/>
    <n v="66.144048147546187"/>
  </r>
  <r>
    <x v="0"/>
    <x v="1"/>
    <x v="5"/>
    <x v="8"/>
    <x v="80"/>
    <x v="1"/>
    <x v="0"/>
    <n v="0.40691587573836807"/>
  </r>
  <r>
    <x v="0"/>
    <x v="1"/>
    <x v="5"/>
    <x v="8"/>
    <x v="80"/>
    <x v="1"/>
    <x v="1"/>
    <n v="1.0860283109529372"/>
  </r>
  <r>
    <x v="0"/>
    <x v="1"/>
    <x v="5"/>
    <x v="8"/>
    <x v="80"/>
    <x v="1"/>
    <x v="2"/>
    <n v="2.4518708365013437"/>
  </r>
  <r>
    <x v="0"/>
    <x v="1"/>
    <x v="5"/>
    <x v="8"/>
    <x v="80"/>
    <x v="1"/>
    <x v="3"/>
    <n v="5.8635430316248964"/>
  </r>
  <r>
    <x v="0"/>
    <x v="1"/>
    <x v="5"/>
    <x v="8"/>
    <x v="80"/>
    <x v="1"/>
    <x v="4"/>
    <n v="11.869458238333989"/>
  </r>
  <r>
    <x v="0"/>
    <x v="1"/>
    <x v="5"/>
    <x v="8"/>
    <x v="80"/>
    <x v="1"/>
    <x v="5"/>
    <n v="19.848568784195116"/>
  </r>
  <r>
    <x v="0"/>
    <x v="1"/>
    <x v="5"/>
    <x v="8"/>
    <x v="80"/>
    <x v="1"/>
    <x v="6"/>
    <n v="27.517721985941108"/>
  </r>
  <r>
    <x v="0"/>
    <x v="1"/>
    <x v="5"/>
    <x v="8"/>
    <x v="81"/>
    <x v="1"/>
    <x v="0"/>
    <n v="4.6040646060510646"/>
  </r>
  <r>
    <x v="0"/>
    <x v="1"/>
    <x v="5"/>
    <x v="8"/>
    <x v="81"/>
    <x v="1"/>
    <x v="1"/>
    <n v="9.1793820448011338"/>
  </r>
  <r>
    <x v="0"/>
    <x v="1"/>
    <x v="5"/>
    <x v="8"/>
    <x v="81"/>
    <x v="1"/>
    <x v="2"/>
    <n v="16.159043659216895"/>
  </r>
  <r>
    <x v="0"/>
    <x v="1"/>
    <x v="5"/>
    <x v="8"/>
    <x v="81"/>
    <x v="1"/>
    <x v="3"/>
    <n v="28.285705263176276"/>
  </r>
  <r>
    <x v="0"/>
    <x v="1"/>
    <x v="5"/>
    <x v="8"/>
    <x v="81"/>
    <x v="1"/>
    <x v="4"/>
    <n v="39.733917367196334"/>
  </r>
  <r>
    <x v="0"/>
    <x v="1"/>
    <x v="5"/>
    <x v="8"/>
    <x v="81"/>
    <x v="1"/>
    <x v="5"/>
    <n v="62.230941354365768"/>
  </r>
  <r>
    <x v="0"/>
    <x v="1"/>
    <x v="5"/>
    <x v="8"/>
    <x v="81"/>
    <x v="1"/>
    <x v="6"/>
    <n v="91.685217152979291"/>
  </r>
  <r>
    <x v="0"/>
    <x v="1"/>
    <x v="5"/>
    <x v="8"/>
    <x v="82"/>
    <x v="1"/>
    <x v="0"/>
    <n v="12.108621976812408"/>
  </r>
  <r>
    <x v="0"/>
    <x v="1"/>
    <x v="5"/>
    <x v="8"/>
    <x v="82"/>
    <x v="1"/>
    <x v="1"/>
    <n v="21.798975401423725"/>
  </r>
  <r>
    <x v="0"/>
    <x v="1"/>
    <x v="5"/>
    <x v="8"/>
    <x v="82"/>
    <x v="1"/>
    <x v="2"/>
    <n v="42.412962532307461"/>
  </r>
  <r>
    <x v="0"/>
    <x v="1"/>
    <x v="5"/>
    <x v="8"/>
    <x v="82"/>
    <x v="1"/>
    <x v="3"/>
    <n v="80.921080368877156"/>
  </r>
  <r>
    <x v="0"/>
    <x v="1"/>
    <x v="5"/>
    <x v="8"/>
    <x v="82"/>
    <x v="1"/>
    <x v="4"/>
    <n v="149.02013977812109"/>
  </r>
  <r>
    <x v="0"/>
    <x v="1"/>
    <x v="5"/>
    <x v="8"/>
    <x v="82"/>
    <x v="1"/>
    <x v="5"/>
    <n v="237.69291205545647"/>
  </r>
  <r>
    <x v="0"/>
    <x v="1"/>
    <x v="5"/>
    <x v="8"/>
    <x v="82"/>
    <x v="1"/>
    <x v="6"/>
    <n v="304.45694539589158"/>
  </r>
  <r>
    <x v="0"/>
    <x v="1"/>
    <x v="5"/>
    <x v="8"/>
    <x v="83"/>
    <x v="1"/>
    <x v="0"/>
    <n v="9.1804214771870818"/>
  </r>
  <r>
    <x v="0"/>
    <x v="1"/>
    <x v="5"/>
    <x v="8"/>
    <x v="83"/>
    <x v="1"/>
    <x v="1"/>
    <n v="18.759981375015883"/>
  </r>
  <r>
    <x v="0"/>
    <x v="1"/>
    <x v="5"/>
    <x v="8"/>
    <x v="83"/>
    <x v="1"/>
    <x v="2"/>
    <n v="34.564351279791552"/>
  </r>
  <r>
    <x v="0"/>
    <x v="1"/>
    <x v="5"/>
    <x v="8"/>
    <x v="83"/>
    <x v="1"/>
    <x v="3"/>
    <n v="63.394386761971596"/>
  </r>
  <r>
    <x v="0"/>
    <x v="1"/>
    <x v="5"/>
    <x v="8"/>
    <x v="83"/>
    <x v="1"/>
    <x v="4"/>
    <n v="91.048102910839546"/>
  </r>
  <r>
    <x v="0"/>
    <x v="1"/>
    <x v="5"/>
    <x v="8"/>
    <x v="83"/>
    <x v="1"/>
    <x v="5"/>
    <n v="117.86140577696574"/>
  </r>
  <r>
    <x v="0"/>
    <x v="1"/>
    <x v="5"/>
    <x v="8"/>
    <x v="83"/>
    <x v="1"/>
    <x v="6"/>
    <n v="141.27091001331721"/>
  </r>
  <r>
    <x v="0"/>
    <x v="3"/>
    <x v="0"/>
    <x v="0"/>
    <x v="0"/>
    <x v="1"/>
    <x v="0"/>
    <n v="0"/>
  </r>
  <r>
    <x v="0"/>
    <x v="3"/>
    <x v="0"/>
    <x v="0"/>
    <x v="0"/>
    <x v="1"/>
    <x v="1"/>
    <n v="0"/>
  </r>
  <r>
    <x v="0"/>
    <x v="3"/>
    <x v="0"/>
    <x v="0"/>
    <x v="0"/>
    <x v="1"/>
    <x v="2"/>
    <n v="0"/>
  </r>
  <r>
    <x v="0"/>
    <x v="3"/>
    <x v="0"/>
    <x v="0"/>
    <x v="0"/>
    <x v="1"/>
    <x v="3"/>
    <n v="0"/>
  </r>
  <r>
    <x v="0"/>
    <x v="3"/>
    <x v="0"/>
    <x v="0"/>
    <x v="0"/>
    <x v="1"/>
    <x v="4"/>
    <n v="0"/>
  </r>
  <r>
    <x v="0"/>
    <x v="3"/>
    <x v="0"/>
    <x v="0"/>
    <x v="0"/>
    <x v="1"/>
    <x v="5"/>
    <n v="0"/>
  </r>
  <r>
    <x v="0"/>
    <x v="3"/>
    <x v="0"/>
    <x v="0"/>
    <x v="0"/>
    <x v="1"/>
    <x v="6"/>
    <n v="0"/>
  </r>
  <r>
    <x v="0"/>
    <x v="3"/>
    <x v="0"/>
    <x v="1"/>
    <x v="1"/>
    <x v="1"/>
    <x v="0"/>
    <n v="0"/>
  </r>
  <r>
    <x v="0"/>
    <x v="3"/>
    <x v="0"/>
    <x v="1"/>
    <x v="1"/>
    <x v="1"/>
    <x v="1"/>
    <n v="0"/>
  </r>
  <r>
    <x v="0"/>
    <x v="3"/>
    <x v="0"/>
    <x v="1"/>
    <x v="1"/>
    <x v="1"/>
    <x v="2"/>
    <n v="0"/>
  </r>
  <r>
    <x v="0"/>
    <x v="3"/>
    <x v="0"/>
    <x v="1"/>
    <x v="1"/>
    <x v="1"/>
    <x v="3"/>
    <n v="0"/>
  </r>
  <r>
    <x v="0"/>
    <x v="3"/>
    <x v="0"/>
    <x v="1"/>
    <x v="1"/>
    <x v="1"/>
    <x v="4"/>
    <n v="0"/>
  </r>
  <r>
    <x v="0"/>
    <x v="3"/>
    <x v="0"/>
    <x v="1"/>
    <x v="1"/>
    <x v="1"/>
    <x v="5"/>
    <n v="0"/>
  </r>
  <r>
    <x v="0"/>
    <x v="3"/>
    <x v="0"/>
    <x v="1"/>
    <x v="1"/>
    <x v="1"/>
    <x v="6"/>
    <n v="0"/>
  </r>
  <r>
    <x v="0"/>
    <x v="3"/>
    <x v="0"/>
    <x v="1"/>
    <x v="2"/>
    <x v="1"/>
    <x v="0"/>
    <n v="0"/>
  </r>
  <r>
    <x v="0"/>
    <x v="3"/>
    <x v="0"/>
    <x v="1"/>
    <x v="2"/>
    <x v="1"/>
    <x v="1"/>
    <n v="0"/>
  </r>
  <r>
    <x v="0"/>
    <x v="3"/>
    <x v="0"/>
    <x v="1"/>
    <x v="2"/>
    <x v="1"/>
    <x v="2"/>
    <n v="0"/>
  </r>
  <r>
    <x v="0"/>
    <x v="3"/>
    <x v="0"/>
    <x v="1"/>
    <x v="2"/>
    <x v="1"/>
    <x v="3"/>
    <n v="0"/>
  </r>
  <r>
    <x v="0"/>
    <x v="3"/>
    <x v="0"/>
    <x v="1"/>
    <x v="2"/>
    <x v="1"/>
    <x v="4"/>
    <n v="0"/>
  </r>
  <r>
    <x v="0"/>
    <x v="3"/>
    <x v="0"/>
    <x v="1"/>
    <x v="2"/>
    <x v="1"/>
    <x v="5"/>
    <n v="0"/>
  </r>
  <r>
    <x v="0"/>
    <x v="3"/>
    <x v="0"/>
    <x v="1"/>
    <x v="2"/>
    <x v="1"/>
    <x v="6"/>
    <n v="0"/>
  </r>
  <r>
    <x v="0"/>
    <x v="3"/>
    <x v="0"/>
    <x v="1"/>
    <x v="3"/>
    <x v="1"/>
    <x v="0"/>
    <n v="0"/>
  </r>
  <r>
    <x v="0"/>
    <x v="3"/>
    <x v="0"/>
    <x v="1"/>
    <x v="3"/>
    <x v="1"/>
    <x v="1"/>
    <n v="0"/>
  </r>
  <r>
    <x v="0"/>
    <x v="3"/>
    <x v="0"/>
    <x v="1"/>
    <x v="3"/>
    <x v="1"/>
    <x v="2"/>
    <n v="0"/>
  </r>
  <r>
    <x v="0"/>
    <x v="3"/>
    <x v="0"/>
    <x v="1"/>
    <x v="3"/>
    <x v="1"/>
    <x v="3"/>
    <n v="0"/>
  </r>
  <r>
    <x v="0"/>
    <x v="3"/>
    <x v="0"/>
    <x v="1"/>
    <x v="3"/>
    <x v="1"/>
    <x v="4"/>
    <n v="0"/>
  </r>
  <r>
    <x v="0"/>
    <x v="3"/>
    <x v="0"/>
    <x v="1"/>
    <x v="3"/>
    <x v="1"/>
    <x v="5"/>
    <n v="0"/>
  </r>
  <r>
    <x v="0"/>
    <x v="3"/>
    <x v="0"/>
    <x v="1"/>
    <x v="3"/>
    <x v="1"/>
    <x v="6"/>
    <n v="0"/>
  </r>
  <r>
    <x v="0"/>
    <x v="3"/>
    <x v="0"/>
    <x v="1"/>
    <x v="4"/>
    <x v="1"/>
    <x v="0"/>
    <n v="0"/>
  </r>
  <r>
    <x v="0"/>
    <x v="3"/>
    <x v="0"/>
    <x v="1"/>
    <x v="4"/>
    <x v="1"/>
    <x v="1"/>
    <n v="0"/>
  </r>
  <r>
    <x v="0"/>
    <x v="3"/>
    <x v="0"/>
    <x v="1"/>
    <x v="4"/>
    <x v="1"/>
    <x v="2"/>
    <n v="0"/>
  </r>
  <r>
    <x v="0"/>
    <x v="3"/>
    <x v="0"/>
    <x v="1"/>
    <x v="4"/>
    <x v="1"/>
    <x v="3"/>
    <n v="0"/>
  </r>
  <r>
    <x v="0"/>
    <x v="3"/>
    <x v="0"/>
    <x v="1"/>
    <x v="4"/>
    <x v="1"/>
    <x v="4"/>
    <n v="0"/>
  </r>
  <r>
    <x v="0"/>
    <x v="3"/>
    <x v="0"/>
    <x v="1"/>
    <x v="4"/>
    <x v="1"/>
    <x v="5"/>
    <n v="0"/>
  </r>
  <r>
    <x v="0"/>
    <x v="3"/>
    <x v="0"/>
    <x v="1"/>
    <x v="4"/>
    <x v="1"/>
    <x v="6"/>
    <n v="0"/>
  </r>
  <r>
    <x v="0"/>
    <x v="3"/>
    <x v="0"/>
    <x v="1"/>
    <x v="5"/>
    <x v="1"/>
    <x v="0"/>
    <n v="0"/>
  </r>
  <r>
    <x v="0"/>
    <x v="3"/>
    <x v="0"/>
    <x v="1"/>
    <x v="5"/>
    <x v="1"/>
    <x v="1"/>
    <n v="0"/>
  </r>
  <r>
    <x v="0"/>
    <x v="3"/>
    <x v="0"/>
    <x v="1"/>
    <x v="5"/>
    <x v="1"/>
    <x v="2"/>
    <n v="0"/>
  </r>
  <r>
    <x v="0"/>
    <x v="3"/>
    <x v="0"/>
    <x v="1"/>
    <x v="5"/>
    <x v="1"/>
    <x v="3"/>
    <n v="0"/>
  </r>
  <r>
    <x v="0"/>
    <x v="3"/>
    <x v="0"/>
    <x v="1"/>
    <x v="5"/>
    <x v="1"/>
    <x v="4"/>
    <n v="0"/>
  </r>
  <r>
    <x v="0"/>
    <x v="3"/>
    <x v="0"/>
    <x v="1"/>
    <x v="5"/>
    <x v="1"/>
    <x v="5"/>
    <n v="0"/>
  </r>
  <r>
    <x v="0"/>
    <x v="3"/>
    <x v="0"/>
    <x v="1"/>
    <x v="5"/>
    <x v="1"/>
    <x v="6"/>
    <n v="0"/>
  </r>
  <r>
    <x v="0"/>
    <x v="3"/>
    <x v="0"/>
    <x v="1"/>
    <x v="6"/>
    <x v="1"/>
    <x v="0"/>
    <n v="0"/>
  </r>
  <r>
    <x v="0"/>
    <x v="3"/>
    <x v="0"/>
    <x v="1"/>
    <x v="6"/>
    <x v="1"/>
    <x v="1"/>
    <n v="0"/>
  </r>
  <r>
    <x v="0"/>
    <x v="3"/>
    <x v="0"/>
    <x v="1"/>
    <x v="6"/>
    <x v="1"/>
    <x v="2"/>
    <n v="0"/>
  </r>
  <r>
    <x v="0"/>
    <x v="3"/>
    <x v="0"/>
    <x v="1"/>
    <x v="6"/>
    <x v="1"/>
    <x v="3"/>
    <n v="0"/>
  </r>
  <r>
    <x v="0"/>
    <x v="3"/>
    <x v="0"/>
    <x v="1"/>
    <x v="6"/>
    <x v="1"/>
    <x v="4"/>
    <n v="0"/>
  </r>
  <r>
    <x v="0"/>
    <x v="3"/>
    <x v="0"/>
    <x v="1"/>
    <x v="6"/>
    <x v="1"/>
    <x v="5"/>
    <n v="0"/>
  </r>
  <r>
    <x v="0"/>
    <x v="3"/>
    <x v="0"/>
    <x v="1"/>
    <x v="6"/>
    <x v="1"/>
    <x v="6"/>
    <n v="0"/>
  </r>
  <r>
    <x v="0"/>
    <x v="3"/>
    <x v="0"/>
    <x v="1"/>
    <x v="7"/>
    <x v="1"/>
    <x v="0"/>
    <n v="0"/>
  </r>
  <r>
    <x v="0"/>
    <x v="3"/>
    <x v="0"/>
    <x v="1"/>
    <x v="7"/>
    <x v="1"/>
    <x v="1"/>
    <n v="0"/>
  </r>
  <r>
    <x v="0"/>
    <x v="3"/>
    <x v="0"/>
    <x v="1"/>
    <x v="7"/>
    <x v="1"/>
    <x v="2"/>
    <n v="0"/>
  </r>
  <r>
    <x v="0"/>
    <x v="3"/>
    <x v="0"/>
    <x v="1"/>
    <x v="7"/>
    <x v="1"/>
    <x v="3"/>
    <n v="0"/>
  </r>
  <r>
    <x v="0"/>
    <x v="3"/>
    <x v="0"/>
    <x v="1"/>
    <x v="7"/>
    <x v="1"/>
    <x v="4"/>
    <n v="0"/>
  </r>
  <r>
    <x v="0"/>
    <x v="3"/>
    <x v="0"/>
    <x v="1"/>
    <x v="7"/>
    <x v="1"/>
    <x v="5"/>
    <n v="0"/>
  </r>
  <r>
    <x v="0"/>
    <x v="3"/>
    <x v="0"/>
    <x v="1"/>
    <x v="7"/>
    <x v="1"/>
    <x v="6"/>
    <n v="0"/>
  </r>
  <r>
    <x v="0"/>
    <x v="3"/>
    <x v="0"/>
    <x v="1"/>
    <x v="8"/>
    <x v="1"/>
    <x v="0"/>
    <n v="0"/>
  </r>
  <r>
    <x v="0"/>
    <x v="3"/>
    <x v="0"/>
    <x v="1"/>
    <x v="8"/>
    <x v="1"/>
    <x v="1"/>
    <n v="0"/>
  </r>
  <r>
    <x v="0"/>
    <x v="3"/>
    <x v="0"/>
    <x v="1"/>
    <x v="8"/>
    <x v="1"/>
    <x v="2"/>
    <n v="0"/>
  </r>
  <r>
    <x v="0"/>
    <x v="3"/>
    <x v="0"/>
    <x v="1"/>
    <x v="8"/>
    <x v="1"/>
    <x v="3"/>
    <n v="0"/>
  </r>
  <r>
    <x v="0"/>
    <x v="3"/>
    <x v="0"/>
    <x v="1"/>
    <x v="8"/>
    <x v="1"/>
    <x v="4"/>
    <n v="0"/>
  </r>
  <r>
    <x v="0"/>
    <x v="3"/>
    <x v="0"/>
    <x v="1"/>
    <x v="8"/>
    <x v="1"/>
    <x v="5"/>
    <n v="0"/>
  </r>
  <r>
    <x v="0"/>
    <x v="3"/>
    <x v="0"/>
    <x v="1"/>
    <x v="8"/>
    <x v="1"/>
    <x v="6"/>
    <n v="0"/>
  </r>
  <r>
    <x v="0"/>
    <x v="3"/>
    <x v="0"/>
    <x v="1"/>
    <x v="9"/>
    <x v="1"/>
    <x v="0"/>
    <n v="0"/>
  </r>
  <r>
    <x v="0"/>
    <x v="3"/>
    <x v="0"/>
    <x v="1"/>
    <x v="9"/>
    <x v="1"/>
    <x v="1"/>
    <n v="0"/>
  </r>
  <r>
    <x v="0"/>
    <x v="3"/>
    <x v="0"/>
    <x v="1"/>
    <x v="9"/>
    <x v="1"/>
    <x v="2"/>
    <n v="0"/>
  </r>
  <r>
    <x v="0"/>
    <x v="3"/>
    <x v="0"/>
    <x v="1"/>
    <x v="9"/>
    <x v="1"/>
    <x v="3"/>
    <n v="0"/>
  </r>
  <r>
    <x v="0"/>
    <x v="3"/>
    <x v="0"/>
    <x v="1"/>
    <x v="9"/>
    <x v="1"/>
    <x v="4"/>
    <n v="0"/>
  </r>
  <r>
    <x v="0"/>
    <x v="3"/>
    <x v="0"/>
    <x v="1"/>
    <x v="9"/>
    <x v="1"/>
    <x v="5"/>
    <n v="0"/>
  </r>
  <r>
    <x v="0"/>
    <x v="3"/>
    <x v="0"/>
    <x v="1"/>
    <x v="9"/>
    <x v="1"/>
    <x v="6"/>
    <n v="0"/>
  </r>
  <r>
    <x v="0"/>
    <x v="3"/>
    <x v="0"/>
    <x v="1"/>
    <x v="10"/>
    <x v="1"/>
    <x v="0"/>
    <n v="0"/>
  </r>
  <r>
    <x v="0"/>
    <x v="3"/>
    <x v="0"/>
    <x v="1"/>
    <x v="10"/>
    <x v="1"/>
    <x v="1"/>
    <n v="0"/>
  </r>
  <r>
    <x v="0"/>
    <x v="3"/>
    <x v="0"/>
    <x v="1"/>
    <x v="10"/>
    <x v="1"/>
    <x v="2"/>
    <n v="0"/>
  </r>
  <r>
    <x v="0"/>
    <x v="3"/>
    <x v="0"/>
    <x v="1"/>
    <x v="10"/>
    <x v="1"/>
    <x v="3"/>
    <n v="0"/>
  </r>
  <r>
    <x v="0"/>
    <x v="3"/>
    <x v="0"/>
    <x v="1"/>
    <x v="10"/>
    <x v="1"/>
    <x v="4"/>
    <n v="0"/>
  </r>
  <r>
    <x v="0"/>
    <x v="3"/>
    <x v="0"/>
    <x v="1"/>
    <x v="10"/>
    <x v="1"/>
    <x v="5"/>
    <n v="0"/>
  </r>
  <r>
    <x v="0"/>
    <x v="3"/>
    <x v="0"/>
    <x v="1"/>
    <x v="10"/>
    <x v="1"/>
    <x v="6"/>
    <n v="0"/>
  </r>
  <r>
    <x v="0"/>
    <x v="3"/>
    <x v="0"/>
    <x v="0"/>
    <x v="11"/>
    <x v="1"/>
    <x v="0"/>
    <n v="6.8851468164053548E-2"/>
  </r>
  <r>
    <x v="0"/>
    <x v="3"/>
    <x v="0"/>
    <x v="0"/>
    <x v="11"/>
    <x v="1"/>
    <x v="1"/>
    <n v="0.32178311608117288"/>
  </r>
  <r>
    <x v="0"/>
    <x v="3"/>
    <x v="0"/>
    <x v="0"/>
    <x v="11"/>
    <x v="1"/>
    <x v="2"/>
    <n v="1.422505217052207"/>
  </r>
  <r>
    <x v="0"/>
    <x v="3"/>
    <x v="0"/>
    <x v="0"/>
    <x v="11"/>
    <x v="1"/>
    <x v="3"/>
    <n v="5.8845961495829648"/>
  </r>
  <r>
    <x v="0"/>
    <x v="3"/>
    <x v="0"/>
    <x v="0"/>
    <x v="11"/>
    <x v="1"/>
    <x v="4"/>
    <n v="25.107239719286987"/>
  </r>
  <r>
    <x v="0"/>
    <x v="3"/>
    <x v="0"/>
    <x v="0"/>
    <x v="11"/>
    <x v="1"/>
    <x v="5"/>
    <n v="79.791478613949764"/>
  </r>
  <r>
    <x v="0"/>
    <x v="3"/>
    <x v="0"/>
    <x v="0"/>
    <x v="11"/>
    <x v="1"/>
    <x v="6"/>
    <n v="89.165916218055415"/>
  </r>
  <r>
    <x v="0"/>
    <x v="3"/>
    <x v="0"/>
    <x v="0"/>
    <x v="12"/>
    <x v="1"/>
    <x v="0"/>
    <n v="0"/>
  </r>
  <r>
    <x v="0"/>
    <x v="3"/>
    <x v="0"/>
    <x v="0"/>
    <x v="12"/>
    <x v="1"/>
    <x v="1"/>
    <n v="0"/>
  </r>
  <r>
    <x v="0"/>
    <x v="3"/>
    <x v="0"/>
    <x v="0"/>
    <x v="12"/>
    <x v="1"/>
    <x v="2"/>
    <n v="0"/>
  </r>
  <r>
    <x v="0"/>
    <x v="3"/>
    <x v="0"/>
    <x v="0"/>
    <x v="12"/>
    <x v="1"/>
    <x v="3"/>
    <n v="0"/>
  </r>
  <r>
    <x v="0"/>
    <x v="3"/>
    <x v="0"/>
    <x v="0"/>
    <x v="12"/>
    <x v="1"/>
    <x v="4"/>
    <n v="0"/>
  </r>
  <r>
    <x v="0"/>
    <x v="3"/>
    <x v="0"/>
    <x v="0"/>
    <x v="12"/>
    <x v="1"/>
    <x v="5"/>
    <n v="0"/>
  </r>
  <r>
    <x v="0"/>
    <x v="3"/>
    <x v="0"/>
    <x v="0"/>
    <x v="12"/>
    <x v="1"/>
    <x v="6"/>
    <n v="0"/>
  </r>
  <r>
    <x v="0"/>
    <x v="3"/>
    <x v="0"/>
    <x v="0"/>
    <x v="13"/>
    <x v="1"/>
    <x v="0"/>
    <n v="0"/>
  </r>
  <r>
    <x v="0"/>
    <x v="3"/>
    <x v="0"/>
    <x v="0"/>
    <x v="13"/>
    <x v="1"/>
    <x v="1"/>
    <n v="0"/>
  </r>
  <r>
    <x v="0"/>
    <x v="3"/>
    <x v="0"/>
    <x v="0"/>
    <x v="13"/>
    <x v="1"/>
    <x v="2"/>
    <n v="0"/>
  </r>
  <r>
    <x v="0"/>
    <x v="3"/>
    <x v="0"/>
    <x v="0"/>
    <x v="13"/>
    <x v="1"/>
    <x v="3"/>
    <n v="0"/>
  </r>
  <r>
    <x v="0"/>
    <x v="3"/>
    <x v="0"/>
    <x v="0"/>
    <x v="13"/>
    <x v="1"/>
    <x v="4"/>
    <n v="0"/>
  </r>
  <r>
    <x v="0"/>
    <x v="3"/>
    <x v="0"/>
    <x v="0"/>
    <x v="13"/>
    <x v="1"/>
    <x v="5"/>
    <n v="0"/>
  </r>
  <r>
    <x v="0"/>
    <x v="3"/>
    <x v="0"/>
    <x v="0"/>
    <x v="13"/>
    <x v="1"/>
    <x v="6"/>
    <n v="0"/>
  </r>
  <r>
    <x v="0"/>
    <x v="3"/>
    <x v="0"/>
    <x v="2"/>
    <x v="14"/>
    <x v="1"/>
    <x v="0"/>
    <n v="2.8795913678610645E-9"/>
  </r>
  <r>
    <x v="0"/>
    <x v="3"/>
    <x v="0"/>
    <x v="2"/>
    <x v="14"/>
    <x v="1"/>
    <x v="1"/>
    <n v="6.8255729187859348E-9"/>
  </r>
  <r>
    <x v="0"/>
    <x v="3"/>
    <x v="0"/>
    <x v="2"/>
    <x v="14"/>
    <x v="1"/>
    <x v="2"/>
    <n v="1.602073898043448E-8"/>
  </r>
  <r>
    <x v="0"/>
    <x v="3"/>
    <x v="0"/>
    <x v="2"/>
    <x v="14"/>
    <x v="1"/>
    <x v="3"/>
    <n v="3.6829211207640482E-8"/>
  </r>
  <r>
    <x v="0"/>
    <x v="3"/>
    <x v="0"/>
    <x v="2"/>
    <x v="14"/>
    <x v="1"/>
    <x v="4"/>
    <n v="8.9468221505500169E-8"/>
  </r>
  <r>
    <x v="0"/>
    <x v="3"/>
    <x v="0"/>
    <x v="2"/>
    <x v="14"/>
    <x v="1"/>
    <x v="5"/>
    <n v="1.8668019185852936E-7"/>
  </r>
  <r>
    <x v="0"/>
    <x v="3"/>
    <x v="0"/>
    <x v="2"/>
    <x v="14"/>
    <x v="1"/>
    <x v="6"/>
    <n v="3.2595813169068182E-7"/>
  </r>
  <r>
    <x v="0"/>
    <x v="3"/>
    <x v="0"/>
    <x v="2"/>
    <x v="15"/>
    <x v="1"/>
    <x v="0"/>
    <n v="6.4609018098470697E-6"/>
  </r>
  <r>
    <x v="0"/>
    <x v="3"/>
    <x v="0"/>
    <x v="2"/>
    <x v="15"/>
    <x v="1"/>
    <x v="1"/>
    <n v="2.4890818909550021E-5"/>
  </r>
  <r>
    <x v="0"/>
    <x v="3"/>
    <x v="0"/>
    <x v="2"/>
    <x v="15"/>
    <x v="1"/>
    <x v="2"/>
    <n v="9.550937626703715E-5"/>
  </r>
  <r>
    <x v="0"/>
    <x v="3"/>
    <x v="0"/>
    <x v="2"/>
    <x v="15"/>
    <x v="1"/>
    <x v="3"/>
    <n v="3.9094714513585309E-4"/>
  </r>
  <r>
    <x v="0"/>
    <x v="3"/>
    <x v="0"/>
    <x v="2"/>
    <x v="15"/>
    <x v="1"/>
    <x v="4"/>
    <n v="1.2056439475561873E-3"/>
  </r>
  <r>
    <x v="0"/>
    <x v="3"/>
    <x v="0"/>
    <x v="2"/>
    <x v="15"/>
    <x v="1"/>
    <x v="5"/>
    <n v="3.011380489228496E-3"/>
  </r>
  <r>
    <x v="0"/>
    <x v="3"/>
    <x v="0"/>
    <x v="2"/>
    <x v="15"/>
    <x v="1"/>
    <x v="6"/>
    <n v="6.5351236037464811E-3"/>
  </r>
  <r>
    <x v="0"/>
    <x v="3"/>
    <x v="0"/>
    <x v="2"/>
    <x v="16"/>
    <x v="1"/>
    <x v="0"/>
    <n v="4.3897838461052683E-7"/>
  </r>
  <r>
    <x v="0"/>
    <x v="3"/>
    <x v="0"/>
    <x v="2"/>
    <x v="16"/>
    <x v="1"/>
    <x v="1"/>
    <n v="1.4353289053780128E-6"/>
  </r>
  <r>
    <x v="0"/>
    <x v="3"/>
    <x v="0"/>
    <x v="2"/>
    <x v="16"/>
    <x v="1"/>
    <x v="2"/>
    <n v="4.7786100148598142E-6"/>
  </r>
  <r>
    <x v="0"/>
    <x v="3"/>
    <x v="0"/>
    <x v="2"/>
    <x v="16"/>
    <x v="1"/>
    <x v="3"/>
    <n v="1.5590634169570798E-5"/>
  </r>
  <r>
    <x v="0"/>
    <x v="3"/>
    <x v="0"/>
    <x v="2"/>
    <x v="16"/>
    <x v="1"/>
    <x v="4"/>
    <n v="3.6370514683085755E-5"/>
  </r>
  <r>
    <x v="0"/>
    <x v="3"/>
    <x v="0"/>
    <x v="2"/>
    <x v="16"/>
    <x v="1"/>
    <x v="5"/>
    <n v="7.2259637794742422E-5"/>
  </r>
  <r>
    <x v="0"/>
    <x v="3"/>
    <x v="0"/>
    <x v="2"/>
    <x v="16"/>
    <x v="1"/>
    <x v="6"/>
    <n v="1.3010974317535697E-4"/>
  </r>
  <r>
    <x v="0"/>
    <x v="3"/>
    <x v="0"/>
    <x v="0"/>
    <x v="17"/>
    <x v="1"/>
    <x v="0"/>
    <n v="0"/>
  </r>
  <r>
    <x v="0"/>
    <x v="3"/>
    <x v="0"/>
    <x v="0"/>
    <x v="17"/>
    <x v="1"/>
    <x v="1"/>
    <n v="0"/>
  </r>
  <r>
    <x v="0"/>
    <x v="3"/>
    <x v="0"/>
    <x v="0"/>
    <x v="17"/>
    <x v="1"/>
    <x v="2"/>
    <n v="0"/>
  </r>
  <r>
    <x v="0"/>
    <x v="3"/>
    <x v="0"/>
    <x v="0"/>
    <x v="17"/>
    <x v="1"/>
    <x v="3"/>
    <n v="0"/>
  </r>
  <r>
    <x v="0"/>
    <x v="3"/>
    <x v="0"/>
    <x v="0"/>
    <x v="17"/>
    <x v="1"/>
    <x v="4"/>
    <n v="0"/>
  </r>
  <r>
    <x v="0"/>
    <x v="3"/>
    <x v="0"/>
    <x v="0"/>
    <x v="17"/>
    <x v="1"/>
    <x v="5"/>
    <n v="0"/>
  </r>
  <r>
    <x v="0"/>
    <x v="3"/>
    <x v="0"/>
    <x v="0"/>
    <x v="17"/>
    <x v="1"/>
    <x v="6"/>
    <n v="0"/>
  </r>
  <r>
    <x v="0"/>
    <x v="3"/>
    <x v="0"/>
    <x v="2"/>
    <x v="18"/>
    <x v="1"/>
    <x v="0"/>
    <n v="2.1803954494069441E-6"/>
  </r>
  <r>
    <x v="0"/>
    <x v="3"/>
    <x v="0"/>
    <x v="2"/>
    <x v="18"/>
    <x v="1"/>
    <x v="1"/>
    <n v="8.1010948098185899E-6"/>
  </r>
  <r>
    <x v="0"/>
    <x v="3"/>
    <x v="0"/>
    <x v="2"/>
    <x v="18"/>
    <x v="1"/>
    <x v="2"/>
    <n v="1.6455628241327027E-5"/>
  </r>
  <r>
    <x v="0"/>
    <x v="3"/>
    <x v="0"/>
    <x v="2"/>
    <x v="18"/>
    <x v="1"/>
    <x v="3"/>
    <n v="4.7960521428041703E-5"/>
  </r>
  <r>
    <x v="0"/>
    <x v="3"/>
    <x v="0"/>
    <x v="2"/>
    <x v="18"/>
    <x v="1"/>
    <x v="4"/>
    <n v="9.0515958586640468E-5"/>
  </r>
  <r>
    <x v="0"/>
    <x v="3"/>
    <x v="0"/>
    <x v="2"/>
    <x v="18"/>
    <x v="1"/>
    <x v="5"/>
    <n v="1.3483342596219873E-4"/>
  </r>
  <r>
    <x v="0"/>
    <x v="3"/>
    <x v="0"/>
    <x v="2"/>
    <x v="18"/>
    <x v="1"/>
    <x v="6"/>
    <n v="2.2676301728046265E-4"/>
  </r>
  <r>
    <x v="0"/>
    <x v="3"/>
    <x v="1"/>
    <x v="3"/>
    <x v="19"/>
    <x v="1"/>
    <x v="0"/>
    <n v="1.4026698112750171E-2"/>
  </r>
  <r>
    <x v="0"/>
    <x v="3"/>
    <x v="1"/>
    <x v="3"/>
    <x v="19"/>
    <x v="1"/>
    <x v="1"/>
    <n v="4.2366626566299984E-2"/>
  </r>
  <r>
    <x v="0"/>
    <x v="3"/>
    <x v="1"/>
    <x v="3"/>
    <x v="19"/>
    <x v="1"/>
    <x v="2"/>
    <n v="0.12570957078852329"/>
  </r>
  <r>
    <x v="0"/>
    <x v="3"/>
    <x v="1"/>
    <x v="3"/>
    <x v="19"/>
    <x v="1"/>
    <x v="3"/>
    <n v="0.35267857593874624"/>
  </r>
  <r>
    <x v="0"/>
    <x v="3"/>
    <x v="1"/>
    <x v="3"/>
    <x v="19"/>
    <x v="1"/>
    <x v="4"/>
    <n v="0.9093080751781526"/>
  </r>
  <r>
    <x v="0"/>
    <x v="3"/>
    <x v="1"/>
    <x v="3"/>
    <x v="19"/>
    <x v="1"/>
    <x v="5"/>
    <n v="1.4499735165494896"/>
  </r>
  <r>
    <x v="0"/>
    <x v="3"/>
    <x v="1"/>
    <x v="3"/>
    <x v="19"/>
    <x v="1"/>
    <x v="6"/>
    <n v="2.1715343641150056"/>
  </r>
  <r>
    <x v="0"/>
    <x v="3"/>
    <x v="1"/>
    <x v="3"/>
    <x v="20"/>
    <x v="1"/>
    <x v="0"/>
    <n v="1.8249808905134994E-2"/>
  </r>
  <r>
    <x v="0"/>
    <x v="3"/>
    <x v="1"/>
    <x v="3"/>
    <x v="20"/>
    <x v="1"/>
    <x v="1"/>
    <n v="7.8851336933725272E-2"/>
  </r>
  <r>
    <x v="0"/>
    <x v="3"/>
    <x v="1"/>
    <x v="3"/>
    <x v="20"/>
    <x v="1"/>
    <x v="2"/>
    <n v="0.30880607257561388"/>
  </r>
  <r>
    <x v="0"/>
    <x v="3"/>
    <x v="1"/>
    <x v="3"/>
    <x v="20"/>
    <x v="1"/>
    <x v="3"/>
    <n v="1.1870564802492596"/>
  </r>
  <r>
    <x v="0"/>
    <x v="3"/>
    <x v="1"/>
    <x v="3"/>
    <x v="20"/>
    <x v="1"/>
    <x v="4"/>
    <n v="4.2208176043433694"/>
  </r>
  <r>
    <x v="0"/>
    <x v="3"/>
    <x v="1"/>
    <x v="3"/>
    <x v="20"/>
    <x v="1"/>
    <x v="5"/>
    <n v="6.6283393397383898"/>
  </r>
  <r>
    <x v="0"/>
    <x v="3"/>
    <x v="1"/>
    <x v="3"/>
    <x v="20"/>
    <x v="1"/>
    <x v="6"/>
    <n v="9.7013573107839211"/>
  </r>
  <r>
    <x v="0"/>
    <x v="3"/>
    <x v="1"/>
    <x v="3"/>
    <x v="21"/>
    <x v="1"/>
    <x v="0"/>
    <n v="0.15611284023252148"/>
  </r>
  <r>
    <x v="0"/>
    <x v="3"/>
    <x v="1"/>
    <x v="3"/>
    <x v="21"/>
    <x v="1"/>
    <x v="1"/>
    <n v="0.48512973530950537"/>
  </r>
  <r>
    <x v="0"/>
    <x v="3"/>
    <x v="1"/>
    <x v="3"/>
    <x v="21"/>
    <x v="1"/>
    <x v="2"/>
    <n v="1.4540711712659857"/>
  </r>
  <r>
    <x v="0"/>
    <x v="3"/>
    <x v="1"/>
    <x v="3"/>
    <x v="21"/>
    <x v="1"/>
    <x v="3"/>
    <n v="4.0892376177773144"/>
  </r>
  <r>
    <x v="0"/>
    <x v="3"/>
    <x v="1"/>
    <x v="3"/>
    <x v="21"/>
    <x v="1"/>
    <x v="4"/>
    <n v="10.846712861200682"/>
  </r>
  <r>
    <x v="0"/>
    <x v="3"/>
    <x v="1"/>
    <x v="3"/>
    <x v="21"/>
    <x v="1"/>
    <x v="5"/>
    <n v="17.575260768887954"/>
  </r>
  <r>
    <x v="0"/>
    <x v="3"/>
    <x v="1"/>
    <x v="3"/>
    <x v="21"/>
    <x v="1"/>
    <x v="6"/>
    <n v="26.705407004321525"/>
  </r>
  <r>
    <x v="0"/>
    <x v="3"/>
    <x v="1"/>
    <x v="3"/>
    <x v="22"/>
    <x v="1"/>
    <x v="0"/>
    <n v="0"/>
  </r>
  <r>
    <x v="0"/>
    <x v="3"/>
    <x v="1"/>
    <x v="3"/>
    <x v="22"/>
    <x v="1"/>
    <x v="1"/>
    <n v="0"/>
  </r>
  <r>
    <x v="0"/>
    <x v="3"/>
    <x v="1"/>
    <x v="3"/>
    <x v="22"/>
    <x v="1"/>
    <x v="2"/>
    <n v="0"/>
  </r>
  <r>
    <x v="0"/>
    <x v="3"/>
    <x v="1"/>
    <x v="3"/>
    <x v="22"/>
    <x v="1"/>
    <x v="3"/>
    <n v="0"/>
  </r>
  <r>
    <x v="0"/>
    <x v="3"/>
    <x v="1"/>
    <x v="3"/>
    <x v="22"/>
    <x v="1"/>
    <x v="4"/>
    <n v="0"/>
  </r>
  <r>
    <x v="0"/>
    <x v="3"/>
    <x v="1"/>
    <x v="3"/>
    <x v="22"/>
    <x v="1"/>
    <x v="5"/>
    <n v="0"/>
  </r>
  <r>
    <x v="0"/>
    <x v="3"/>
    <x v="1"/>
    <x v="3"/>
    <x v="22"/>
    <x v="1"/>
    <x v="6"/>
    <n v="0"/>
  </r>
  <r>
    <x v="0"/>
    <x v="3"/>
    <x v="1"/>
    <x v="3"/>
    <x v="23"/>
    <x v="1"/>
    <x v="0"/>
    <n v="0"/>
  </r>
  <r>
    <x v="0"/>
    <x v="3"/>
    <x v="1"/>
    <x v="3"/>
    <x v="23"/>
    <x v="1"/>
    <x v="1"/>
    <n v="0"/>
  </r>
  <r>
    <x v="0"/>
    <x v="3"/>
    <x v="1"/>
    <x v="3"/>
    <x v="23"/>
    <x v="1"/>
    <x v="2"/>
    <n v="0"/>
  </r>
  <r>
    <x v="0"/>
    <x v="3"/>
    <x v="1"/>
    <x v="3"/>
    <x v="23"/>
    <x v="1"/>
    <x v="3"/>
    <n v="0"/>
  </r>
  <r>
    <x v="0"/>
    <x v="3"/>
    <x v="1"/>
    <x v="3"/>
    <x v="23"/>
    <x v="1"/>
    <x v="4"/>
    <n v="0"/>
  </r>
  <r>
    <x v="0"/>
    <x v="3"/>
    <x v="1"/>
    <x v="3"/>
    <x v="23"/>
    <x v="1"/>
    <x v="5"/>
    <n v="0"/>
  </r>
  <r>
    <x v="0"/>
    <x v="3"/>
    <x v="1"/>
    <x v="3"/>
    <x v="23"/>
    <x v="1"/>
    <x v="6"/>
    <n v="0"/>
  </r>
  <r>
    <x v="0"/>
    <x v="3"/>
    <x v="1"/>
    <x v="3"/>
    <x v="24"/>
    <x v="1"/>
    <x v="0"/>
    <n v="0"/>
  </r>
  <r>
    <x v="0"/>
    <x v="3"/>
    <x v="1"/>
    <x v="3"/>
    <x v="24"/>
    <x v="1"/>
    <x v="1"/>
    <n v="0"/>
  </r>
  <r>
    <x v="0"/>
    <x v="3"/>
    <x v="1"/>
    <x v="3"/>
    <x v="24"/>
    <x v="1"/>
    <x v="2"/>
    <n v="0"/>
  </r>
  <r>
    <x v="0"/>
    <x v="3"/>
    <x v="1"/>
    <x v="3"/>
    <x v="24"/>
    <x v="1"/>
    <x v="3"/>
    <n v="0"/>
  </r>
  <r>
    <x v="0"/>
    <x v="3"/>
    <x v="1"/>
    <x v="3"/>
    <x v="24"/>
    <x v="1"/>
    <x v="4"/>
    <n v="0"/>
  </r>
  <r>
    <x v="0"/>
    <x v="3"/>
    <x v="1"/>
    <x v="3"/>
    <x v="24"/>
    <x v="1"/>
    <x v="5"/>
    <n v="0"/>
  </r>
  <r>
    <x v="0"/>
    <x v="3"/>
    <x v="1"/>
    <x v="3"/>
    <x v="24"/>
    <x v="1"/>
    <x v="6"/>
    <n v="0"/>
  </r>
  <r>
    <x v="0"/>
    <x v="3"/>
    <x v="1"/>
    <x v="3"/>
    <x v="25"/>
    <x v="1"/>
    <x v="0"/>
    <n v="0.53433052423423166"/>
  </r>
  <r>
    <x v="0"/>
    <x v="3"/>
    <x v="1"/>
    <x v="3"/>
    <x v="25"/>
    <x v="1"/>
    <x v="1"/>
    <n v="1.8129968904106024"/>
  </r>
  <r>
    <x v="0"/>
    <x v="3"/>
    <x v="1"/>
    <x v="3"/>
    <x v="25"/>
    <x v="1"/>
    <x v="2"/>
    <n v="5.30692245213758"/>
  </r>
  <r>
    <x v="0"/>
    <x v="3"/>
    <x v="1"/>
    <x v="3"/>
    <x v="25"/>
    <x v="1"/>
    <x v="3"/>
    <n v="14.741361358934185"/>
  </r>
  <r>
    <x v="0"/>
    <x v="3"/>
    <x v="1"/>
    <x v="3"/>
    <x v="25"/>
    <x v="1"/>
    <x v="4"/>
    <n v="37.030048502036891"/>
  </r>
  <r>
    <x v="0"/>
    <x v="3"/>
    <x v="1"/>
    <x v="3"/>
    <x v="25"/>
    <x v="1"/>
    <x v="5"/>
    <n v="56.766287129820583"/>
  </r>
  <r>
    <x v="0"/>
    <x v="3"/>
    <x v="1"/>
    <x v="3"/>
    <x v="25"/>
    <x v="1"/>
    <x v="6"/>
    <n v="84.008861884406429"/>
  </r>
  <r>
    <x v="0"/>
    <x v="3"/>
    <x v="2"/>
    <x v="4"/>
    <x v="26"/>
    <x v="1"/>
    <x v="0"/>
    <n v="0"/>
  </r>
  <r>
    <x v="0"/>
    <x v="3"/>
    <x v="2"/>
    <x v="4"/>
    <x v="26"/>
    <x v="1"/>
    <x v="1"/>
    <n v="0"/>
  </r>
  <r>
    <x v="0"/>
    <x v="3"/>
    <x v="2"/>
    <x v="4"/>
    <x v="26"/>
    <x v="1"/>
    <x v="2"/>
    <n v="0"/>
  </r>
  <r>
    <x v="0"/>
    <x v="3"/>
    <x v="2"/>
    <x v="4"/>
    <x v="26"/>
    <x v="1"/>
    <x v="3"/>
    <n v="0"/>
  </r>
  <r>
    <x v="0"/>
    <x v="3"/>
    <x v="2"/>
    <x v="4"/>
    <x v="26"/>
    <x v="1"/>
    <x v="4"/>
    <n v="0"/>
  </r>
  <r>
    <x v="0"/>
    <x v="3"/>
    <x v="2"/>
    <x v="4"/>
    <x v="26"/>
    <x v="1"/>
    <x v="5"/>
    <n v="0"/>
  </r>
  <r>
    <x v="0"/>
    <x v="3"/>
    <x v="2"/>
    <x v="4"/>
    <x v="26"/>
    <x v="1"/>
    <x v="6"/>
    <n v="0"/>
  </r>
  <r>
    <x v="0"/>
    <x v="3"/>
    <x v="2"/>
    <x v="4"/>
    <x v="27"/>
    <x v="1"/>
    <x v="0"/>
    <n v="0"/>
  </r>
  <r>
    <x v="0"/>
    <x v="3"/>
    <x v="2"/>
    <x v="4"/>
    <x v="27"/>
    <x v="1"/>
    <x v="1"/>
    <n v="0"/>
  </r>
  <r>
    <x v="0"/>
    <x v="3"/>
    <x v="2"/>
    <x v="4"/>
    <x v="27"/>
    <x v="1"/>
    <x v="2"/>
    <n v="0"/>
  </r>
  <r>
    <x v="0"/>
    <x v="3"/>
    <x v="2"/>
    <x v="4"/>
    <x v="27"/>
    <x v="1"/>
    <x v="3"/>
    <n v="0"/>
  </r>
  <r>
    <x v="0"/>
    <x v="3"/>
    <x v="2"/>
    <x v="4"/>
    <x v="27"/>
    <x v="1"/>
    <x v="4"/>
    <n v="0"/>
  </r>
  <r>
    <x v="0"/>
    <x v="3"/>
    <x v="2"/>
    <x v="4"/>
    <x v="27"/>
    <x v="1"/>
    <x v="5"/>
    <n v="0"/>
  </r>
  <r>
    <x v="0"/>
    <x v="3"/>
    <x v="2"/>
    <x v="4"/>
    <x v="27"/>
    <x v="1"/>
    <x v="6"/>
    <n v="0"/>
  </r>
  <r>
    <x v="0"/>
    <x v="3"/>
    <x v="2"/>
    <x v="4"/>
    <x v="28"/>
    <x v="1"/>
    <x v="0"/>
    <n v="0"/>
  </r>
  <r>
    <x v="0"/>
    <x v="3"/>
    <x v="2"/>
    <x v="4"/>
    <x v="28"/>
    <x v="1"/>
    <x v="1"/>
    <n v="0"/>
  </r>
  <r>
    <x v="0"/>
    <x v="3"/>
    <x v="2"/>
    <x v="4"/>
    <x v="28"/>
    <x v="1"/>
    <x v="2"/>
    <n v="0"/>
  </r>
  <r>
    <x v="0"/>
    <x v="3"/>
    <x v="2"/>
    <x v="4"/>
    <x v="28"/>
    <x v="1"/>
    <x v="3"/>
    <n v="0"/>
  </r>
  <r>
    <x v="0"/>
    <x v="3"/>
    <x v="2"/>
    <x v="4"/>
    <x v="28"/>
    <x v="1"/>
    <x v="4"/>
    <n v="0"/>
  </r>
  <r>
    <x v="0"/>
    <x v="3"/>
    <x v="2"/>
    <x v="4"/>
    <x v="28"/>
    <x v="1"/>
    <x v="5"/>
    <n v="0"/>
  </r>
  <r>
    <x v="0"/>
    <x v="3"/>
    <x v="2"/>
    <x v="4"/>
    <x v="28"/>
    <x v="1"/>
    <x v="6"/>
    <n v="0"/>
  </r>
  <r>
    <x v="0"/>
    <x v="3"/>
    <x v="2"/>
    <x v="4"/>
    <x v="29"/>
    <x v="1"/>
    <x v="0"/>
    <n v="0"/>
  </r>
  <r>
    <x v="0"/>
    <x v="3"/>
    <x v="2"/>
    <x v="4"/>
    <x v="29"/>
    <x v="1"/>
    <x v="1"/>
    <n v="0"/>
  </r>
  <r>
    <x v="0"/>
    <x v="3"/>
    <x v="2"/>
    <x v="4"/>
    <x v="29"/>
    <x v="1"/>
    <x v="2"/>
    <n v="0"/>
  </r>
  <r>
    <x v="0"/>
    <x v="3"/>
    <x v="2"/>
    <x v="4"/>
    <x v="29"/>
    <x v="1"/>
    <x v="3"/>
    <n v="0"/>
  </r>
  <r>
    <x v="0"/>
    <x v="3"/>
    <x v="2"/>
    <x v="4"/>
    <x v="29"/>
    <x v="1"/>
    <x v="4"/>
    <n v="0"/>
  </r>
  <r>
    <x v="0"/>
    <x v="3"/>
    <x v="2"/>
    <x v="4"/>
    <x v="29"/>
    <x v="1"/>
    <x v="5"/>
    <n v="0"/>
  </r>
  <r>
    <x v="0"/>
    <x v="3"/>
    <x v="2"/>
    <x v="4"/>
    <x v="29"/>
    <x v="1"/>
    <x v="6"/>
    <n v="0"/>
  </r>
  <r>
    <x v="0"/>
    <x v="3"/>
    <x v="3"/>
    <x v="5"/>
    <x v="30"/>
    <x v="1"/>
    <x v="0"/>
    <n v="139.03722647968044"/>
  </r>
  <r>
    <x v="0"/>
    <x v="3"/>
    <x v="3"/>
    <x v="5"/>
    <x v="30"/>
    <x v="1"/>
    <x v="1"/>
    <n v="330.50801380974514"/>
  </r>
  <r>
    <x v="0"/>
    <x v="3"/>
    <x v="3"/>
    <x v="5"/>
    <x v="30"/>
    <x v="1"/>
    <x v="2"/>
    <n v="944.45921720738306"/>
  </r>
  <r>
    <x v="0"/>
    <x v="3"/>
    <x v="3"/>
    <x v="5"/>
    <x v="30"/>
    <x v="1"/>
    <x v="3"/>
    <n v="1965.6026453965558"/>
  </r>
  <r>
    <x v="0"/>
    <x v="3"/>
    <x v="3"/>
    <x v="5"/>
    <x v="30"/>
    <x v="1"/>
    <x v="4"/>
    <n v="2688.1831412155575"/>
  </r>
  <r>
    <x v="0"/>
    <x v="3"/>
    <x v="3"/>
    <x v="5"/>
    <x v="30"/>
    <x v="1"/>
    <x v="5"/>
    <n v="3378.5385782432181"/>
  </r>
  <r>
    <x v="0"/>
    <x v="3"/>
    <x v="3"/>
    <x v="5"/>
    <x v="30"/>
    <x v="1"/>
    <x v="6"/>
    <n v="4096.8871328657415"/>
  </r>
  <r>
    <x v="0"/>
    <x v="3"/>
    <x v="2"/>
    <x v="4"/>
    <x v="31"/>
    <x v="1"/>
    <x v="0"/>
    <n v="10.172492495150074"/>
  </r>
  <r>
    <x v="0"/>
    <x v="3"/>
    <x v="2"/>
    <x v="4"/>
    <x v="31"/>
    <x v="1"/>
    <x v="1"/>
    <n v="38.491360925477906"/>
  </r>
  <r>
    <x v="0"/>
    <x v="3"/>
    <x v="2"/>
    <x v="4"/>
    <x v="31"/>
    <x v="1"/>
    <x v="2"/>
    <n v="119.18236324943213"/>
  </r>
  <r>
    <x v="0"/>
    <x v="3"/>
    <x v="2"/>
    <x v="4"/>
    <x v="31"/>
    <x v="1"/>
    <x v="3"/>
    <n v="363.59274484320696"/>
  </r>
  <r>
    <x v="0"/>
    <x v="3"/>
    <x v="2"/>
    <x v="4"/>
    <x v="31"/>
    <x v="1"/>
    <x v="4"/>
    <n v="723.09894420025103"/>
  </r>
  <r>
    <x v="0"/>
    <x v="3"/>
    <x v="2"/>
    <x v="4"/>
    <x v="31"/>
    <x v="1"/>
    <x v="5"/>
    <n v="1116.7013164049997"/>
  </r>
  <r>
    <x v="0"/>
    <x v="3"/>
    <x v="2"/>
    <x v="4"/>
    <x v="31"/>
    <x v="1"/>
    <x v="6"/>
    <n v="1764.4770399972654"/>
  </r>
  <r>
    <x v="0"/>
    <x v="3"/>
    <x v="2"/>
    <x v="4"/>
    <x v="32"/>
    <x v="1"/>
    <x v="0"/>
    <n v="0.3319647466924085"/>
  </r>
  <r>
    <x v="0"/>
    <x v="3"/>
    <x v="2"/>
    <x v="4"/>
    <x v="32"/>
    <x v="1"/>
    <x v="1"/>
    <n v="0.83153854543005201"/>
  </r>
  <r>
    <x v="0"/>
    <x v="3"/>
    <x v="2"/>
    <x v="4"/>
    <x v="32"/>
    <x v="1"/>
    <x v="2"/>
    <n v="2.1073782023811543"/>
  </r>
  <r>
    <x v="0"/>
    <x v="3"/>
    <x v="2"/>
    <x v="4"/>
    <x v="32"/>
    <x v="1"/>
    <x v="3"/>
    <n v="4.5473862311849178"/>
  </r>
  <r>
    <x v="0"/>
    <x v="3"/>
    <x v="2"/>
    <x v="4"/>
    <x v="32"/>
    <x v="1"/>
    <x v="4"/>
    <n v="8.4953121486319496"/>
  </r>
  <r>
    <x v="0"/>
    <x v="3"/>
    <x v="2"/>
    <x v="4"/>
    <x v="32"/>
    <x v="1"/>
    <x v="5"/>
    <n v="15.499147475018841"/>
  </r>
  <r>
    <x v="0"/>
    <x v="3"/>
    <x v="2"/>
    <x v="4"/>
    <x v="32"/>
    <x v="1"/>
    <x v="6"/>
    <n v="28.562121748883879"/>
  </r>
  <r>
    <x v="0"/>
    <x v="3"/>
    <x v="2"/>
    <x v="4"/>
    <x v="33"/>
    <x v="1"/>
    <x v="0"/>
    <n v="0"/>
  </r>
  <r>
    <x v="0"/>
    <x v="3"/>
    <x v="2"/>
    <x v="4"/>
    <x v="33"/>
    <x v="1"/>
    <x v="1"/>
    <n v="0"/>
  </r>
  <r>
    <x v="0"/>
    <x v="3"/>
    <x v="2"/>
    <x v="4"/>
    <x v="33"/>
    <x v="1"/>
    <x v="2"/>
    <n v="0"/>
  </r>
  <r>
    <x v="0"/>
    <x v="3"/>
    <x v="2"/>
    <x v="4"/>
    <x v="33"/>
    <x v="1"/>
    <x v="3"/>
    <n v="0"/>
  </r>
  <r>
    <x v="0"/>
    <x v="3"/>
    <x v="2"/>
    <x v="4"/>
    <x v="33"/>
    <x v="1"/>
    <x v="4"/>
    <n v="0"/>
  </r>
  <r>
    <x v="0"/>
    <x v="3"/>
    <x v="2"/>
    <x v="4"/>
    <x v="33"/>
    <x v="1"/>
    <x v="5"/>
    <n v="0"/>
  </r>
  <r>
    <x v="0"/>
    <x v="3"/>
    <x v="2"/>
    <x v="4"/>
    <x v="33"/>
    <x v="1"/>
    <x v="6"/>
    <n v="0"/>
  </r>
  <r>
    <x v="0"/>
    <x v="3"/>
    <x v="2"/>
    <x v="4"/>
    <x v="34"/>
    <x v="1"/>
    <x v="0"/>
    <n v="51.030818627513653"/>
  </r>
  <r>
    <x v="0"/>
    <x v="3"/>
    <x v="2"/>
    <x v="4"/>
    <x v="34"/>
    <x v="1"/>
    <x v="1"/>
    <n v="152.3790046622625"/>
  </r>
  <r>
    <x v="0"/>
    <x v="3"/>
    <x v="2"/>
    <x v="4"/>
    <x v="34"/>
    <x v="1"/>
    <x v="2"/>
    <n v="436.78160698568422"/>
  </r>
  <r>
    <x v="0"/>
    <x v="3"/>
    <x v="2"/>
    <x v="4"/>
    <x v="34"/>
    <x v="1"/>
    <x v="3"/>
    <n v="1114.0006755027982"/>
  </r>
  <r>
    <x v="0"/>
    <x v="3"/>
    <x v="2"/>
    <x v="4"/>
    <x v="34"/>
    <x v="1"/>
    <x v="4"/>
    <n v="1963.3461717555736"/>
  </r>
  <r>
    <x v="0"/>
    <x v="3"/>
    <x v="2"/>
    <x v="4"/>
    <x v="34"/>
    <x v="1"/>
    <x v="5"/>
    <n v="2773.8606834318593"/>
  </r>
  <r>
    <x v="0"/>
    <x v="3"/>
    <x v="2"/>
    <x v="4"/>
    <x v="34"/>
    <x v="1"/>
    <x v="6"/>
    <n v="4026.610094057477"/>
  </r>
  <r>
    <x v="0"/>
    <x v="3"/>
    <x v="2"/>
    <x v="6"/>
    <x v="35"/>
    <x v="1"/>
    <x v="0"/>
    <n v="0"/>
  </r>
  <r>
    <x v="0"/>
    <x v="3"/>
    <x v="2"/>
    <x v="6"/>
    <x v="35"/>
    <x v="1"/>
    <x v="1"/>
    <n v="0"/>
  </r>
  <r>
    <x v="0"/>
    <x v="3"/>
    <x v="2"/>
    <x v="6"/>
    <x v="35"/>
    <x v="1"/>
    <x v="2"/>
    <n v="0"/>
  </r>
  <r>
    <x v="0"/>
    <x v="3"/>
    <x v="2"/>
    <x v="6"/>
    <x v="35"/>
    <x v="1"/>
    <x v="3"/>
    <n v="0"/>
  </r>
  <r>
    <x v="0"/>
    <x v="3"/>
    <x v="2"/>
    <x v="6"/>
    <x v="35"/>
    <x v="1"/>
    <x v="4"/>
    <n v="0"/>
  </r>
  <r>
    <x v="0"/>
    <x v="3"/>
    <x v="2"/>
    <x v="6"/>
    <x v="35"/>
    <x v="1"/>
    <x v="5"/>
    <n v="0"/>
  </r>
  <r>
    <x v="0"/>
    <x v="3"/>
    <x v="2"/>
    <x v="6"/>
    <x v="35"/>
    <x v="1"/>
    <x v="6"/>
    <n v="0"/>
  </r>
  <r>
    <x v="0"/>
    <x v="3"/>
    <x v="2"/>
    <x v="6"/>
    <x v="36"/>
    <x v="1"/>
    <x v="0"/>
    <n v="0"/>
  </r>
  <r>
    <x v="0"/>
    <x v="3"/>
    <x v="2"/>
    <x v="6"/>
    <x v="36"/>
    <x v="1"/>
    <x v="1"/>
    <n v="0"/>
  </r>
  <r>
    <x v="0"/>
    <x v="3"/>
    <x v="2"/>
    <x v="6"/>
    <x v="36"/>
    <x v="1"/>
    <x v="2"/>
    <n v="0"/>
  </r>
  <r>
    <x v="0"/>
    <x v="3"/>
    <x v="2"/>
    <x v="6"/>
    <x v="36"/>
    <x v="1"/>
    <x v="3"/>
    <n v="0"/>
  </r>
  <r>
    <x v="0"/>
    <x v="3"/>
    <x v="2"/>
    <x v="6"/>
    <x v="36"/>
    <x v="1"/>
    <x v="4"/>
    <n v="0"/>
  </r>
  <r>
    <x v="0"/>
    <x v="3"/>
    <x v="2"/>
    <x v="6"/>
    <x v="36"/>
    <x v="1"/>
    <x v="5"/>
    <n v="0"/>
  </r>
  <r>
    <x v="0"/>
    <x v="3"/>
    <x v="2"/>
    <x v="6"/>
    <x v="36"/>
    <x v="1"/>
    <x v="6"/>
    <n v="0"/>
  </r>
  <r>
    <x v="0"/>
    <x v="3"/>
    <x v="2"/>
    <x v="6"/>
    <x v="37"/>
    <x v="1"/>
    <x v="0"/>
    <n v="0"/>
  </r>
  <r>
    <x v="0"/>
    <x v="3"/>
    <x v="2"/>
    <x v="6"/>
    <x v="37"/>
    <x v="1"/>
    <x v="1"/>
    <n v="0"/>
  </r>
  <r>
    <x v="0"/>
    <x v="3"/>
    <x v="2"/>
    <x v="6"/>
    <x v="37"/>
    <x v="1"/>
    <x v="2"/>
    <n v="0"/>
  </r>
  <r>
    <x v="0"/>
    <x v="3"/>
    <x v="2"/>
    <x v="6"/>
    <x v="37"/>
    <x v="1"/>
    <x v="3"/>
    <n v="0"/>
  </r>
  <r>
    <x v="0"/>
    <x v="3"/>
    <x v="2"/>
    <x v="6"/>
    <x v="37"/>
    <x v="1"/>
    <x v="4"/>
    <n v="0"/>
  </r>
  <r>
    <x v="0"/>
    <x v="3"/>
    <x v="2"/>
    <x v="6"/>
    <x v="37"/>
    <x v="1"/>
    <x v="5"/>
    <n v="0"/>
  </r>
  <r>
    <x v="0"/>
    <x v="3"/>
    <x v="2"/>
    <x v="6"/>
    <x v="37"/>
    <x v="1"/>
    <x v="6"/>
    <n v="0"/>
  </r>
  <r>
    <x v="0"/>
    <x v="3"/>
    <x v="2"/>
    <x v="6"/>
    <x v="38"/>
    <x v="1"/>
    <x v="0"/>
    <n v="0.77244313147707544"/>
  </r>
  <r>
    <x v="0"/>
    <x v="3"/>
    <x v="2"/>
    <x v="6"/>
    <x v="38"/>
    <x v="1"/>
    <x v="1"/>
    <n v="3.0430630497922442"/>
  </r>
  <r>
    <x v="0"/>
    <x v="3"/>
    <x v="2"/>
    <x v="6"/>
    <x v="38"/>
    <x v="1"/>
    <x v="2"/>
    <n v="20.362613797779428"/>
  </r>
  <r>
    <x v="0"/>
    <x v="3"/>
    <x v="2"/>
    <x v="6"/>
    <x v="38"/>
    <x v="1"/>
    <x v="3"/>
    <n v="81.783640242526943"/>
  </r>
  <r>
    <x v="0"/>
    <x v="3"/>
    <x v="2"/>
    <x v="6"/>
    <x v="38"/>
    <x v="1"/>
    <x v="4"/>
    <n v="244.90300811520802"/>
  </r>
  <r>
    <x v="0"/>
    <x v="3"/>
    <x v="2"/>
    <x v="6"/>
    <x v="38"/>
    <x v="1"/>
    <x v="5"/>
    <n v="614.73603912729504"/>
  </r>
  <r>
    <x v="0"/>
    <x v="3"/>
    <x v="2"/>
    <x v="6"/>
    <x v="38"/>
    <x v="1"/>
    <x v="6"/>
    <n v="957.75967404167841"/>
  </r>
  <r>
    <x v="0"/>
    <x v="3"/>
    <x v="3"/>
    <x v="5"/>
    <x v="39"/>
    <x v="1"/>
    <x v="0"/>
    <n v="6.5466201095868577"/>
  </r>
  <r>
    <x v="0"/>
    <x v="3"/>
    <x v="3"/>
    <x v="5"/>
    <x v="39"/>
    <x v="1"/>
    <x v="1"/>
    <n v="11.373399839228949"/>
  </r>
  <r>
    <x v="0"/>
    <x v="3"/>
    <x v="3"/>
    <x v="5"/>
    <x v="39"/>
    <x v="1"/>
    <x v="2"/>
    <n v="17.439741325460037"/>
  </r>
  <r>
    <x v="0"/>
    <x v="3"/>
    <x v="3"/>
    <x v="5"/>
    <x v="39"/>
    <x v="1"/>
    <x v="3"/>
    <n v="26.983042175231116"/>
  </r>
  <r>
    <x v="0"/>
    <x v="3"/>
    <x v="3"/>
    <x v="5"/>
    <x v="39"/>
    <x v="1"/>
    <x v="4"/>
    <n v="40.734197752422517"/>
  </r>
  <r>
    <x v="0"/>
    <x v="3"/>
    <x v="3"/>
    <x v="5"/>
    <x v="39"/>
    <x v="1"/>
    <x v="5"/>
    <n v="59.052115213899654"/>
  </r>
  <r>
    <x v="0"/>
    <x v="3"/>
    <x v="3"/>
    <x v="5"/>
    <x v="39"/>
    <x v="1"/>
    <x v="6"/>
    <n v="67.461742353695612"/>
  </r>
  <r>
    <x v="0"/>
    <x v="3"/>
    <x v="2"/>
    <x v="6"/>
    <x v="40"/>
    <x v="1"/>
    <x v="0"/>
    <n v="2.178994960876814"/>
  </r>
  <r>
    <x v="0"/>
    <x v="3"/>
    <x v="2"/>
    <x v="6"/>
    <x v="40"/>
    <x v="1"/>
    <x v="1"/>
    <n v="8.846270507343009"/>
  </r>
  <r>
    <x v="0"/>
    <x v="3"/>
    <x v="2"/>
    <x v="6"/>
    <x v="40"/>
    <x v="1"/>
    <x v="2"/>
    <n v="44.030723257849701"/>
  </r>
  <r>
    <x v="0"/>
    <x v="3"/>
    <x v="2"/>
    <x v="6"/>
    <x v="40"/>
    <x v="1"/>
    <x v="3"/>
    <n v="180.81406948081136"/>
  </r>
  <r>
    <x v="0"/>
    <x v="3"/>
    <x v="2"/>
    <x v="6"/>
    <x v="40"/>
    <x v="1"/>
    <x v="4"/>
    <n v="557.30985380190646"/>
  </r>
  <r>
    <x v="0"/>
    <x v="3"/>
    <x v="2"/>
    <x v="6"/>
    <x v="40"/>
    <x v="1"/>
    <x v="5"/>
    <n v="1198.2342395447242"/>
  </r>
  <r>
    <x v="0"/>
    <x v="3"/>
    <x v="2"/>
    <x v="6"/>
    <x v="40"/>
    <x v="1"/>
    <x v="6"/>
    <n v="1998.6583167636313"/>
  </r>
  <r>
    <x v="0"/>
    <x v="3"/>
    <x v="2"/>
    <x v="6"/>
    <x v="41"/>
    <x v="1"/>
    <x v="0"/>
    <n v="0.3349895346982863"/>
  </r>
  <r>
    <x v="0"/>
    <x v="3"/>
    <x v="2"/>
    <x v="6"/>
    <x v="41"/>
    <x v="1"/>
    <x v="1"/>
    <n v="1.3422153927669607"/>
  </r>
  <r>
    <x v="0"/>
    <x v="3"/>
    <x v="2"/>
    <x v="6"/>
    <x v="41"/>
    <x v="1"/>
    <x v="2"/>
    <n v="6.7582535429140425"/>
  </r>
  <r>
    <x v="0"/>
    <x v="3"/>
    <x v="2"/>
    <x v="6"/>
    <x v="41"/>
    <x v="1"/>
    <x v="3"/>
    <n v="28.243172776879785"/>
  </r>
  <r>
    <x v="0"/>
    <x v="3"/>
    <x v="2"/>
    <x v="6"/>
    <x v="41"/>
    <x v="1"/>
    <x v="4"/>
    <n v="86.44647499884988"/>
  </r>
  <r>
    <x v="0"/>
    <x v="3"/>
    <x v="2"/>
    <x v="6"/>
    <x v="41"/>
    <x v="1"/>
    <x v="5"/>
    <n v="185.96336289623235"/>
  </r>
  <r>
    <x v="0"/>
    <x v="3"/>
    <x v="2"/>
    <x v="6"/>
    <x v="41"/>
    <x v="1"/>
    <x v="6"/>
    <n v="310.71574520023989"/>
  </r>
  <r>
    <x v="0"/>
    <x v="3"/>
    <x v="2"/>
    <x v="6"/>
    <x v="42"/>
    <x v="1"/>
    <x v="0"/>
    <n v="0"/>
  </r>
  <r>
    <x v="0"/>
    <x v="3"/>
    <x v="2"/>
    <x v="6"/>
    <x v="42"/>
    <x v="1"/>
    <x v="1"/>
    <n v="0"/>
  </r>
  <r>
    <x v="0"/>
    <x v="3"/>
    <x v="2"/>
    <x v="6"/>
    <x v="42"/>
    <x v="1"/>
    <x v="2"/>
    <n v="0"/>
  </r>
  <r>
    <x v="0"/>
    <x v="3"/>
    <x v="2"/>
    <x v="6"/>
    <x v="42"/>
    <x v="1"/>
    <x v="3"/>
    <n v="0"/>
  </r>
  <r>
    <x v="0"/>
    <x v="3"/>
    <x v="2"/>
    <x v="6"/>
    <x v="42"/>
    <x v="1"/>
    <x v="4"/>
    <n v="0"/>
  </r>
  <r>
    <x v="0"/>
    <x v="3"/>
    <x v="2"/>
    <x v="6"/>
    <x v="42"/>
    <x v="1"/>
    <x v="5"/>
    <n v="0"/>
  </r>
  <r>
    <x v="0"/>
    <x v="3"/>
    <x v="2"/>
    <x v="6"/>
    <x v="42"/>
    <x v="1"/>
    <x v="6"/>
    <n v="0"/>
  </r>
  <r>
    <x v="0"/>
    <x v="3"/>
    <x v="2"/>
    <x v="6"/>
    <x v="43"/>
    <x v="1"/>
    <x v="0"/>
    <n v="0"/>
  </r>
  <r>
    <x v="0"/>
    <x v="3"/>
    <x v="2"/>
    <x v="6"/>
    <x v="43"/>
    <x v="1"/>
    <x v="1"/>
    <n v="0"/>
  </r>
  <r>
    <x v="0"/>
    <x v="3"/>
    <x v="2"/>
    <x v="6"/>
    <x v="43"/>
    <x v="1"/>
    <x v="2"/>
    <n v="0"/>
  </r>
  <r>
    <x v="0"/>
    <x v="3"/>
    <x v="2"/>
    <x v="6"/>
    <x v="43"/>
    <x v="1"/>
    <x v="3"/>
    <n v="0"/>
  </r>
  <r>
    <x v="0"/>
    <x v="3"/>
    <x v="2"/>
    <x v="6"/>
    <x v="43"/>
    <x v="1"/>
    <x v="4"/>
    <n v="0"/>
  </r>
  <r>
    <x v="0"/>
    <x v="3"/>
    <x v="2"/>
    <x v="6"/>
    <x v="43"/>
    <x v="1"/>
    <x v="5"/>
    <n v="0"/>
  </r>
  <r>
    <x v="0"/>
    <x v="3"/>
    <x v="2"/>
    <x v="6"/>
    <x v="43"/>
    <x v="1"/>
    <x v="6"/>
    <n v="0"/>
  </r>
  <r>
    <x v="0"/>
    <x v="1"/>
    <x v="4"/>
    <x v="7"/>
    <x v="61"/>
    <x v="1"/>
    <x v="0"/>
    <n v="0"/>
  </r>
  <r>
    <x v="0"/>
    <x v="1"/>
    <x v="4"/>
    <x v="7"/>
    <x v="61"/>
    <x v="1"/>
    <x v="1"/>
    <n v="0"/>
  </r>
  <r>
    <x v="0"/>
    <x v="1"/>
    <x v="4"/>
    <x v="7"/>
    <x v="61"/>
    <x v="1"/>
    <x v="2"/>
    <n v="0"/>
  </r>
  <r>
    <x v="0"/>
    <x v="1"/>
    <x v="4"/>
    <x v="7"/>
    <x v="61"/>
    <x v="1"/>
    <x v="3"/>
    <n v="0"/>
  </r>
  <r>
    <x v="0"/>
    <x v="1"/>
    <x v="4"/>
    <x v="7"/>
    <x v="61"/>
    <x v="1"/>
    <x v="4"/>
    <n v="0"/>
  </r>
  <r>
    <x v="0"/>
    <x v="1"/>
    <x v="4"/>
    <x v="7"/>
    <x v="61"/>
    <x v="1"/>
    <x v="5"/>
    <n v="0"/>
  </r>
  <r>
    <x v="0"/>
    <x v="1"/>
    <x v="4"/>
    <x v="7"/>
    <x v="61"/>
    <x v="1"/>
    <x v="6"/>
    <n v="0"/>
  </r>
  <r>
    <x v="0"/>
    <x v="1"/>
    <x v="4"/>
    <x v="7"/>
    <x v="62"/>
    <x v="1"/>
    <x v="0"/>
    <n v="0"/>
  </r>
  <r>
    <x v="0"/>
    <x v="1"/>
    <x v="4"/>
    <x v="7"/>
    <x v="62"/>
    <x v="1"/>
    <x v="1"/>
    <n v="0"/>
  </r>
  <r>
    <x v="0"/>
    <x v="1"/>
    <x v="4"/>
    <x v="7"/>
    <x v="62"/>
    <x v="1"/>
    <x v="2"/>
    <n v="0"/>
  </r>
  <r>
    <x v="0"/>
    <x v="1"/>
    <x v="4"/>
    <x v="7"/>
    <x v="62"/>
    <x v="1"/>
    <x v="3"/>
    <n v="0"/>
  </r>
  <r>
    <x v="0"/>
    <x v="1"/>
    <x v="4"/>
    <x v="7"/>
    <x v="62"/>
    <x v="1"/>
    <x v="4"/>
    <n v="0"/>
  </r>
  <r>
    <x v="0"/>
    <x v="1"/>
    <x v="4"/>
    <x v="7"/>
    <x v="62"/>
    <x v="1"/>
    <x v="5"/>
    <n v="0"/>
  </r>
  <r>
    <x v="0"/>
    <x v="1"/>
    <x v="4"/>
    <x v="7"/>
    <x v="62"/>
    <x v="1"/>
    <x v="6"/>
    <n v="0"/>
  </r>
  <r>
    <x v="0"/>
    <x v="1"/>
    <x v="4"/>
    <x v="7"/>
    <x v="63"/>
    <x v="1"/>
    <x v="0"/>
    <n v="0"/>
  </r>
  <r>
    <x v="0"/>
    <x v="1"/>
    <x v="4"/>
    <x v="7"/>
    <x v="63"/>
    <x v="1"/>
    <x v="1"/>
    <n v="0"/>
  </r>
  <r>
    <x v="0"/>
    <x v="1"/>
    <x v="4"/>
    <x v="7"/>
    <x v="63"/>
    <x v="1"/>
    <x v="2"/>
    <n v="0"/>
  </r>
  <r>
    <x v="0"/>
    <x v="1"/>
    <x v="4"/>
    <x v="7"/>
    <x v="63"/>
    <x v="1"/>
    <x v="3"/>
    <n v="0"/>
  </r>
  <r>
    <x v="0"/>
    <x v="1"/>
    <x v="4"/>
    <x v="7"/>
    <x v="63"/>
    <x v="1"/>
    <x v="4"/>
    <n v="0"/>
  </r>
  <r>
    <x v="0"/>
    <x v="1"/>
    <x v="4"/>
    <x v="7"/>
    <x v="63"/>
    <x v="1"/>
    <x v="5"/>
    <n v="0"/>
  </r>
  <r>
    <x v="0"/>
    <x v="1"/>
    <x v="4"/>
    <x v="7"/>
    <x v="63"/>
    <x v="1"/>
    <x v="6"/>
    <n v="0"/>
  </r>
  <r>
    <x v="0"/>
    <x v="1"/>
    <x v="4"/>
    <x v="7"/>
    <x v="64"/>
    <x v="1"/>
    <x v="0"/>
    <n v="22.931535"/>
  </r>
  <r>
    <x v="0"/>
    <x v="1"/>
    <x v="4"/>
    <x v="7"/>
    <x v="64"/>
    <x v="1"/>
    <x v="1"/>
    <n v="27.944072999999992"/>
  </r>
  <r>
    <x v="0"/>
    <x v="1"/>
    <x v="4"/>
    <x v="7"/>
    <x v="64"/>
    <x v="1"/>
    <x v="2"/>
    <n v="35.653493543709004"/>
  </r>
  <r>
    <x v="0"/>
    <x v="1"/>
    <x v="4"/>
    <x v="7"/>
    <x v="64"/>
    <x v="1"/>
    <x v="3"/>
    <n v="52.199599290601235"/>
  </r>
  <r>
    <x v="0"/>
    <x v="1"/>
    <x v="4"/>
    <x v="7"/>
    <x v="64"/>
    <x v="1"/>
    <x v="4"/>
    <n v="62.685536226843467"/>
  </r>
  <r>
    <x v="0"/>
    <x v="1"/>
    <x v="4"/>
    <x v="7"/>
    <x v="64"/>
    <x v="1"/>
    <x v="5"/>
    <n v="74.845780417964491"/>
  </r>
  <r>
    <x v="0"/>
    <x v="1"/>
    <x v="4"/>
    <x v="7"/>
    <x v="64"/>
    <x v="1"/>
    <x v="6"/>
    <n v="91.146988218982557"/>
  </r>
  <r>
    <x v="0"/>
    <x v="3"/>
    <x v="4"/>
    <x v="7"/>
    <x v="44"/>
    <x v="1"/>
    <x v="0"/>
    <n v="0"/>
  </r>
  <r>
    <x v="0"/>
    <x v="3"/>
    <x v="4"/>
    <x v="7"/>
    <x v="44"/>
    <x v="1"/>
    <x v="1"/>
    <n v="0"/>
  </r>
  <r>
    <x v="0"/>
    <x v="3"/>
    <x v="4"/>
    <x v="7"/>
    <x v="44"/>
    <x v="1"/>
    <x v="2"/>
    <n v="0"/>
  </r>
  <r>
    <x v="0"/>
    <x v="3"/>
    <x v="4"/>
    <x v="7"/>
    <x v="44"/>
    <x v="1"/>
    <x v="3"/>
    <n v="0"/>
  </r>
  <r>
    <x v="0"/>
    <x v="3"/>
    <x v="4"/>
    <x v="7"/>
    <x v="44"/>
    <x v="1"/>
    <x v="4"/>
    <n v="0"/>
  </r>
  <r>
    <x v="0"/>
    <x v="3"/>
    <x v="4"/>
    <x v="7"/>
    <x v="44"/>
    <x v="1"/>
    <x v="5"/>
    <n v="0"/>
  </r>
  <r>
    <x v="0"/>
    <x v="3"/>
    <x v="4"/>
    <x v="7"/>
    <x v="44"/>
    <x v="1"/>
    <x v="6"/>
    <n v="0"/>
  </r>
  <r>
    <x v="0"/>
    <x v="3"/>
    <x v="4"/>
    <x v="7"/>
    <x v="45"/>
    <x v="1"/>
    <x v="0"/>
    <n v="2.6488778217360442E-3"/>
  </r>
  <r>
    <x v="0"/>
    <x v="3"/>
    <x v="4"/>
    <x v="7"/>
    <x v="45"/>
    <x v="1"/>
    <x v="1"/>
    <n v="5.7136130044478962E-3"/>
  </r>
  <r>
    <x v="0"/>
    <x v="3"/>
    <x v="4"/>
    <x v="7"/>
    <x v="45"/>
    <x v="1"/>
    <x v="2"/>
    <n v="1.3292576978852638E-2"/>
  </r>
  <r>
    <x v="0"/>
    <x v="3"/>
    <x v="4"/>
    <x v="7"/>
    <x v="45"/>
    <x v="1"/>
    <x v="3"/>
    <n v="3.0741295397823533E-2"/>
  </r>
  <r>
    <x v="0"/>
    <x v="3"/>
    <x v="4"/>
    <x v="7"/>
    <x v="45"/>
    <x v="1"/>
    <x v="4"/>
    <n v="7.0444052686277805E-2"/>
  </r>
  <r>
    <x v="0"/>
    <x v="3"/>
    <x v="4"/>
    <x v="7"/>
    <x v="45"/>
    <x v="1"/>
    <x v="5"/>
    <n v="0.14120714336779999"/>
  </r>
  <r>
    <x v="0"/>
    <x v="3"/>
    <x v="4"/>
    <x v="7"/>
    <x v="45"/>
    <x v="1"/>
    <x v="6"/>
    <n v="0.27704584878719252"/>
  </r>
  <r>
    <x v="0"/>
    <x v="3"/>
    <x v="4"/>
    <x v="7"/>
    <x v="46"/>
    <x v="1"/>
    <x v="0"/>
    <n v="0"/>
  </r>
  <r>
    <x v="0"/>
    <x v="3"/>
    <x v="4"/>
    <x v="7"/>
    <x v="46"/>
    <x v="1"/>
    <x v="1"/>
    <n v="0"/>
  </r>
  <r>
    <x v="0"/>
    <x v="3"/>
    <x v="4"/>
    <x v="7"/>
    <x v="46"/>
    <x v="1"/>
    <x v="2"/>
    <n v="0"/>
  </r>
  <r>
    <x v="0"/>
    <x v="3"/>
    <x v="4"/>
    <x v="7"/>
    <x v="46"/>
    <x v="1"/>
    <x v="3"/>
    <n v="0"/>
  </r>
  <r>
    <x v="0"/>
    <x v="3"/>
    <x v="4"/>
    <x v="7"/>
    <x v="46"/>
    <x v="1"/>
    <x v="4"/>
    <n v="0"/>
  </r>
  <r>
    <x v="0"/>
    <x v="3"/>
    <x v="4"/>
    <x v="7"/>
    <x v="46"/>
    <x v="1"/>
    <x v="5"/>
    <n v="0"/>
  </r>
  <r>
    <x v="0"/>
    <x v="3"/>
    <x v="4"/>
    <x v="7"/>
    <x v="46"/>
    <x v="1"/>
    <x v="6"/>
    <n v="0"/>
  </r>
  <r>
    <x v="0"/>
    <x v="3"/>
    <x v="5"/>
    <x v="8"/>
    <x v="51"/>
    <x v="1"/>
    <x v="0"/>
    <n v="0.29064185309843094"/>
  </r>
  <r>
    <x v="0"/>
    <x v="3"/>
    <x v="5"/>
    <x v="8"/>
    <x v="51"/>
    <x v="1"/>
    <x v="1"/>
    <n v="0.75534393110118536"/>
  </r>
  <r>
    <x v="0"/>
    <x v="3"/>
    <x v="5"/>
    <x v="8"/>
    <x v="51"/>
    <x v="1"/>
    <x v="2"/>
    <n v="2.1733085324666637"/>
  </r>
  <r>
    <x v="0"/>
    <x v="3"/>
    <x v="5"/>
    <x v="8"/>
    <x v="51"/>
    <x v="1"/>
    <x v="3"/>
    <n v="7.3857515282248762"/>
  </r>
  <r>
    <x v="0"/>
    <x v="3"/>
    <x v="5"/>
    <x v="8"/>
    <x v="51"/>
    <x v="1"/>
    <x v="4"/>
    <n v="17.907808446416123"/>
  </r>
  <r>
    <x v="0"/>
    <x v="3"/>
    <x v="5"/>
    <x v="8"/>
    <x v="51"/>
    <x v="1"/>
    <x v="5"/>
    <n v="26.746773646464227"/>
  </r>
  <r>
    <x v="0"/>
    <x v="3"/>
    <x v="5"/>
    <x v="8"/>
    <x v="51"/>
    <x v="1"/>
    <x v="6"/>
    <n v="33.817590041980132"/>
  </r>
  <r>
    <x v="0"/>
    <x v="3"/>
    <x v="3"/>
    <x v="5"/>
    <x v="52"/>
    <x v="1"/>
    <x v="0"/>
    <n v="0"/>
  </r>
  <r>
    <x v="0"/>
    <x v="3"/>
    <x v="3"/>
    <x v="5"/>
    <x v="52"/>
    <x v="1"/>
    <x v="1"/>
    <n v="0"/>
  </r>
  <r>
    <x v="0"/>
    <x v="3"/>
    <x v="3"/>
    <x v="5"/>
    <x v="52"/>
    <x v="1"/>
    <x v="2"/>
    <n v="0"/>
  </r>
  <r>
    <x v="0"/>
    <x v="3"/>
    <x v="3"/>
    <x v="5"/>
    <x v="52"/>
    <x v="1"/>
    <x v="3"/>
    <n v="2.367475584672233E-2"/>
  </r>
  <r>
    <x v="0"/>
    <x v="3"/>
    <x v="3"/>
    <x v="5"/>
    <x v="52"/>
    <x v="1"/>
    <x v="4"/>
    <n v="0.12040435755037311"/>
  </r>
  <r>
    <x v="0"/>
    <x v="3"/>
    <x v="3"/>
    <x v="5"/>
    <x v="52"/>
    <x v="1"/>
    <x v="5"/>
    <n v="0.35282199068929559"/>
  </r>
  <r>
    <x v="0"/>
    <x v="3"/>
    <x v="3"/>
    <x v="5"/>
    <x v="52"/>
    <x v="1"/>
    <x v="6"/>
    <n v="0"/>
  </r>
  <r>
    <x v="0"/>
    <x v="3"/>
    <x v="5"/>
    <x v="8"/>
    <x v="53"/>
    <x v="1"/>
    <x v="0"/>
    <n v="0.76020583224703353"/>
  </r>
  <r>
    <x v="0"/>
    <x v="3"/>
    <x v="5"/>
    <x v="8"/>
    <x v="53"/>
    <x v="1"/>
    <x v="1"/>
    <n v="3.1463631472473934"/>
  </r>
  <r>
    <x v="0"/>
    <x v="3"/>
    <x v="5"/>
    <x v="8"/>
    <x v="53"/>
    <x v="1"/>
    <x v="2"/>
    <n v="10.373075023110047"/>
  </r>
  <r>
    <x v="0"/>
    <x v="3"/>
    <x v="5"/>
    <x v="8"/>
    <x v="53"/>
    <x v="1"/>
    <x v="3"/>
    <n v="31.922821354406032"/>
  </r>
  <r>
    <x v="0"/>
    <x v="3"/>
    <x v="5"/>
    <x v="8"/>
    <x v="53"/>
    <x v="1"/>
    <x v="4"/>
    <n v="83.697792590230932"/>
  </r>
  <r>
    <x v="0"/>
    <x v="3"/>
    <x v="5"/>
    <x v="8"/>
    <x v="53"/>
    <x v="1"/>
    <x v="5"/>
    <n v="128.10510413240263"/>
  </r>
  <r>
    <x v="0"/>
    <x v="3"/>
    <x v="5"/>
    <x v="8"/>
    <x v="53"/>
    <x v="1"/>
    <x v="6"/>
    <n v="194.74299614615234"/>
  </r>
  <r>
    <x v="0"/>
    <x v="3"/>
    <x v="4"/>
    <x v="7"/>
    <x v="47"/>
    <x v="1"/>
    <x v="0"/>
    <n v="0"/>
  </r>
  <r>
    <x v="0"/>
    <x v="3"/>
    <x v="4"/>
    <x v="7"/>
    <x v="47"/>
    <x v="1"/>
    <x v="1"/>
    <n v="0"/>
  </r>
  <r>
    <x v="0"/>
    <x v="3"/>
    <x v="4"/>
    <x v="7"/>
    <x v="47"/>
    <x v="1"/>
    <x v="2"/>
    <n v="0"/>
  </r>
  <r>
    <x v="0"/>
    <x v="3"/>
    <x v="4"/>
    <x v="7"/>
    <x v="47"/>
    <x v="1"/>
    <x v="3"/>
    <n v="0"/>
  </r>
  <r>
    <x v="0"/>
    <x v="3"/>
    <x v="4"/>
    <x v="7"/>
    <x v="47"/>
    <x v="1"/>
    <x v="4"/>
    <n v="0"/>
  </r>
  <r>
    <x v="0"/>
    <x v="3"/>
    <x v="4"/>
    <x v="7"/>
    <x v="47"/>
    <x v="1"/>
    <x v="5"/>
    <n v="0"/>
  </r>
  <r>
    <x v="0"/>
    <x v="3"/>
    <x v="4"/>
    <x v="7"/>
    <x v="47"/>
    <x v="1"/>
    <x v="6"/>
    <n v="0"/>
  </r>
  <r>
    <x v="0"/>
    <x v="3"/>
    <x v="4"/>
    <x v="7"/>
    <x v="48"/>
    <x v="1"/>
    <x v="0"/>
    <n v="0"/>
  </r>
  <r>
    <x v="0"/>
    <x v="3"/>
    <x v="4"/>
    <x v="7"/>
    <x v="48"/>
    <x v="1"/>
    <x v="1"/>
    <n v="0"/>
  </r>
  <r>
    <x v="0"/>
    <x v="3"/>
    <x v="4"/>
    <x v="7"/>
    <x v="48"/>
    <x v="1"/>
    <x v="2"/>
    <n v="0"/>
  </r>
  <r>
    <x v="0"/>
    <x v="3"/>
    <x v="4"/>
    <x v="7"/>
    <x v="48"/>
    <x v="1"/>
    <x v="3"/>
    <n v="0"/>
  </r>
  <r>
    <x v="0"/>
    <x v="3"/>
    <x v="4"/>
    <x v="7"/>
    <x v="48"/>
    <x v="1"/>
    <x v="4"/>
    <n v="0"/>
  </r>
  <r>
    <x v="0"/>
    <x v="3"/>
    <x v="4"/>
    <x v="7"/>
    <x v="48"/>
    <x v="1"/>
    <x v="5"/>
    <n v="0"/>
  </r>
  <r>
    <x v="0"/>
    <x v="3"/>
    <x v="4"/>
    <x v="7"/>
    <x v="48"/>
    <x v="1"/>
    <x v="6"/>
    <n v="0"/>
  </r>
  <r>
    <x v="0"/>
    <x v="3"/>
    <x v="4"/>
    <x v="7"/>
    <x v="49"/>
    <x v="1"/>
    <x v="0"/>
    <n v="0"/>
  </r>
  <r>
    <x v="0"/>
    <x v="3"/>
    <x v="4"/>
    <x v="7"/>
    <x v="49"/>
    <x v="1"/>
    <x v="1"/>
    <n v="0"/>
  </r>
  <r>
    <x v="0"/>
    <x v="3"/>
    <x v="4"/>
    <x v="7"/>
    <x v="49"/>
    <x v="1"/>
    <x v="2"/>
    <n v="0"/>
  </r>
  <r>
    <x v="0"/>
    <x v="3"/>
    <x v="4"/>
    <x v="7"/>
    <x v="49"/>
    <x v="1"/>
    <x v="3"/>
    <n v="0"/>
  </r>
  <r>
    <x v="0"/>
    <x v="3"/>
    <x v="4"/>
    <x v="7"/>
    <x v="49"/>
    <x v="1"/>
    <x v="4"/>
    <n v="0"/>
  </r>
  <r>
    <x v="0"/>
    <x v="3"/>
    <x v="4"/>
    <x v="7"/>
    <x v="49"/>
    <x v="1"/>
    <x v="5"/>
    <n v="0"/>
  </r>
  <r>
    <x v="0"/>
    <x v="3"/>
    <x v="4"/>
    <x v="7"/>
    <x v="49"/>
    <x v="1"/>
    <x v="6"/>
    <n v="0"/>
  </r>
  <r>
    <x v="0"/>
    <x v="3"/>
    <x v="4"/>
    <x v="7"/>
    <x v="50"/>
    <x v="1"/>
    <x v="0"/>
    <n v="0"/>
  </r>
  <r>
    <x v="0"/>
    <x v="3"/>
    <x v="4"/>
    <x v="7"/>
    <x v="50"/>
    <x v="1"/>
    <x v="1"/>
    <n v="0"/>
  </r>
  <r>
    <x v="0"/>
    <x v="3"/>
    <x v="4"/>
    <x v="7"/>
    <x v="50"/>
    <x v="1"/>
    <x v="2"/>
    <n v="0"/>
  </r>
  <r>
    <x v="0"/>
    <x v="3"/>
    <x v="4"/>
    <x v="7"/>
    <x v="50"/>
    <x v="1"/>
    <x v="3"/>
    <n v="0"/>
  </r>
  <r>
    <x v="0"/>
    <x v="3"/>
    <x v="4"/>
    <x v="7"/>
    <x v="50"/>
    <x v="1"/>
    <x v="4"/>
    <n v="0"/>
  </r>
  <r>
    <x v="0"/>
    <x v="3"/>
    <x v="4"/>
    <x v="7"/>
    <x v="50"/>
    <x v="1"/>
    <x v="5"/>
    <n v="0"/>
  </r>
  <r>
    <x v="0"/>
    <x v="3"/>
    <x v="4"/>
    <x v="7"/>
    <x v="50"/>
    <x v="1"/>
    <x v="6"/>
    <n v="0"/>
  </r>
  <r>
    <x v="0"/>
    <x v="3"/>
    <x v="4"/>
    <x v="7"/>
    <x v="54"/>
    <x v="1"/>
    <x v="0"/>
    <n v="0"/>
  </r>
  <r>
    <x v="0"/>
    <x v="3"/>
    <x v="4"/>
    <x v="7"/>
    <x v="54"/>
    <x v="1"/>
    <x v="1"/>
    <n v="0"/>
  </r>
  <r>
    <x v="0"/>
    <x v="3"/>
    <x v="4"/>
    <x v="7"/>
    <x v="54"/>
    <x v="1"/>
    <x v="2"/>
    <n v="0"/>
  </r>
  <r>
    <x v="0"/>
    <x v="3"/>
    <x v="4"/>
    <x v="7"/>
    <x v="54"/>
    <x v="1"/>
    <x v="3"/>
    <n v="0"/>
  </r>
  <r>
    <x v="0"/>
    <x v="3"/>
    <x v="4"/>
    <x v="7"/>
    <x v="54"/>
    <x v="1"/>
    <x v="4"/>
    <n v="0"/>
  </r>
  <r>
    <x v="0"/>
    <x v="3"/>
    <x v="4"/>
    <x v="7"/>
    <x v="54"/>
    <x v="1"/>
    <x v="5"/>
    <n v="0"/>
  </r>
  <r>
    <x v="0"/>
    <x v="3"/>
    <x v="4"/>
    <x v="7"/>
    <x v="54"/>
    <x v="1"/>
    <x v="6"/>
    <n v="0"/>
  </r>
  <r>
    <x v="0"/>
    <x v="3"/>
    <x v="4"/>
    <x v="7"/>
    <x v="55"/>
    <x v="1"/>
    <x v="0"/>
    <n v="6.1851141999429123E-3"/>
  </r>
  <r>
    <x v="0"/>
    <x v="3"/>
    <x v="4"/>
    <x v="7"/>
    <x v="55"/>
    <x v="1"/>
    <x v="1"/>
    <n v="2.0177353776843647E-2"/>
  </r>
  <r>
    <x v="0"/>
    <x v="3"/>
    <x v="4"/>
    <x v="7"/>
    <x v="55"/>
    <x v="1"/>
    <x v="2"/>
    <n v="6.5908827366851885E-2"/>
  </r>
  <r>
    <x v="0"/>
    <x v="3"/>
    <x v="4"/>
    <x v="7"/>
    <x v="55"/>
    <x v="1"/>
    <x v="3"/>
    <n v="0.21105556361265543"/>
  </r>
  <r>
    <x v="0"/>
    <x v="3"/>
    <x v="4"/>
    <x v="7"/>
    <x v="55"/>
    <x v="1"/>
    <x v="4"/>
    <n v="0.6631785206586005"/>
  </r>
  <r>
    <x v="0"/>
    <x v="3"/>
    <x v="4"/>
    <x v="7"/>
    <x v="55"/>
    <x v="1"/>
    <x v="5"/>
    <n v="1.670655539239972"/>
  </r>
  <r>
    <x v="0"/>
    <x v="3"/>
    <x v="4"/>
    <x v="7"/>
    <x v="55"/>
    <x v="1"/>
    <x v="6"/>
    <n v="4.0256920241874994"/>
  </r>
  <r>
    <x v="0"/>
    <x v="3"/>
    <x v="4"/>
    <x v="7"/>
    <x v="56"/>
    <x v="1"/>
    <x v="0"/>
    <n v="0"/>
  </r>
  <r>
    <x v="0"/>
    <x v="3"/>
    <x v="4"/>
    <x v="7"/>
    <x v="56"/>
    <x v="1"/>
    <x v="1"/>
    <n v="0"/>
  </r>
  <r>
    <x v="0"/>
    <x v="3"/>
    <x v="4"/>
    <x v="7"/>
    <x v="56"/>
    <x v="1"/>
    <x v="2"/>
    <n v="0"/>
  </r>
  <r>
    <x v="0"/>
    <x v="3"/>
    <x v="4"/>
    <x v="7"/>
    <x v="56"/>
    <x v="1"/>
    <x v="3"/>
    <n v="0"/>
  </r>
  <r>
    <x v="0"/>
    <x v="3"/>
    <x v="4"/>
    <x v="7"/>
    <x v="56"/>
    <x v="1"/>
    <x v="4"/>
    <n v="0"/>
  </r>
  <r>
    <x v="0"/>
    <x v="3"/>
    <x v="4"/>
    <x v="7"/>
    <x v="56"/>
    <x v="1"/>
    <x v="5"/>
    <n v="0"/>
  </r>
  <r>
    <x v="0"/>
    <x v="3"/>
    <x v="4"/>
    <x v="7"/>
    <x v="56"/>
    <x v="1"/>
    <x v="6"/>
    <n v="0"/>
  </r>
  <r>
    <x v="0"/>
    <x v="3"/>
    <x v="4"/>
    <x v="7"/>
    <x v="57"/>
    <x v="1"/>
    <x v="0"/>
    <n v="0"/>
  </r>
  <r>
    <x v="0"/>
    <x v="3"/>
    <x v="4"/>
    <x v="7"/>
    <x v="57"/>
    <x v="1"/>
    <x v="1"/>
    <n v="0"/>
  </r>
  <r>
    <x v="0"/>
    <x v="3"/>
    <x v="4"/>
    <x v="7"/>
    <x v="57"/>
    <x v="1"/>
    <x v="2"/>
    <n v="0"/>
  </r>
  <r>
    <x v="0"/>
    <x v="3"/>
    <x v="4"/>
    <x v="7"/>
    <x v="57"/>
    <x v="1"/>
    <x v="3"/>
    <n v="0"/>
  </r>
  <r>
    <x v="0"/>
    <x v="3"/>
    <x v="4"/>
    <x v="7"/>
    <x v="57"/>
    <x v="1"/>
    <x v="4"/>
    <n v="0"/>
  </r>
  <r>
    <x v="0"/>
    <x v="3"/>
    <x v="4"/>
    <x v="7"/>
    <x v="57"/>
    <x v="1"/>
    <x v="5"/>
    <n v="0"/>
  </r>
  <r>
    <x v="0"/>
    <x v="3"/>
    <x v="4"/>
    <x v="7"/>
    <x v="57"/>
    <x v="1"/>
    <x v="6"/>
    <n v="0"/>
  </r>
  <r>
    <x v="0"/>
    <x v="3"/>
    <x v="4"/>
    <x v="7"/>
    <x v="58"/>
    <x v="1"/>
    <x v="0"/>
    <n v="0"/>
  </r>
  <r>
    <x v="0"/>
    <x v="3"/>
    <x v="4"/>
    <x v="7"/>
    <x v="58"/>
    <x v="1"/>
    <x v="1"/>
    <n v="0"/>
  </r>
  <r>
    <x v="0"/>
    <x v="3"/>
    <x v="4"/>
    <x v="7"/>
    <x v="58"/>
    <x v="1"/>
    <x v="2"/>
    <n v="0"/>
  </r>
  <r>
    <x v="0"/>
    <x v="3"/>
    <x v="4"/>
    <x v="7"/>
    <x v="58"/>
    <x v="1"/>
    <x v="3"/>
    <n v="0"/>
  </r>
  <r>
    <x v="0"/>
    <x v="3"/>
    <x v="4"/>
    <x v="7"/>
    <x v="58"/>
    <x v="1"/>
    <x v="4"/>
    <n v="0"/>
  </r>
  <r>
    <x v="0"/>
    <x v="3"/>
    <x v="4"/>
    <x v="7"/>
    <x v="58"/>
    <x v="1"/>
    <x v="5"/>
    <n v="0"/>
  </r>
  <r>
    <x v="0"/>
    <x v="3"/>
    <x v="4"/>
    <x v="7"/>
    <x v="58"/>
    <x v="1"/>
    <x v="6"/>
    <n v="0"/>
  </r>
  <r>
    <x v="0"/>
    <x v="3"/>
    <x v="4"/>
    <x v="7"/>
    <x v="59"/>
    <x v="1"/>
    <x v="0"/>
    <n v="0"/>
  </r>
  <r>
    <x v="0"/>
    <x v="3"/>
    <x v="4"/>
    <x v="7"/>
    <x v="59"/>
    <x v="1"/>
    <x v="1"/>
    <n v="0"/>
  </r>
  <r>
    <x v="0"/>
    <x v="3"/>
    <x v="4"/>
    <x v="7"/>
    <x v="59"/>
    <x v="1"/>
    <x v="2"/>
    <n v="0"/>
  </r>
  <r>
    <x v="0"/>
    <x v="3"/>
    <x v="4"/>
    <x v="7"/>
    <x v="59"/>
    <x v="1"/>
    <x v="3"/>
    <n v="0"/>
  </r>
  <r>
    <x v="0"/>
    <x v="3"/>
    <x v="4"/>
    <x v="7"/>
    <x v="59"/>
    <x v="1"/>
    <x v="4"/>
    <n v="0"/>
  </r>
  <r>
    <x v="0"/>
    <x v="3"/>
    <x v="4"/>
    <x v="7"/>
    <x v="59"/>
    <x v="1"/>
    <x v="5"/>
    <n v="0"/>
  </r>
  <r>
    <x v="0"/>
    <x v="3"/>
    <x v="4"/>
    <x v="7"/>
    <x v="59"/>
    <x v="1"/>
    <x v="6"/>
    <n v="0"/>
  </r>
  <r>
    <x v="0"/>
    <x v="3"/>
    <x v="4"/>
    <x v="7"/>
    <x v="60"/>
    <x v="1"/>
    <x v="0"/>
    <n v="0"/>
  </r>
  <r>
    <x v="0"/>
    <x v="3"/>
    <x v="4"/>
    <x v="7"/>
    <x v="60"/>
    <x v="1"/>
    <x v="1"/>
    <n v="0"/>
  </r>
  <r>
    <x v="0"/>
    <x v="3"/>
    <x v="4"/>
    <x v="7"/>
    <x v="60"/>
    <x v="1"/>
    <x v="2"/>
    <n v="0"/>
  </r>
  <r>
    <x v="0"/>
    <x v="3"/>
    <x v="4"/>
    <x v="7"/>
    <x v="60"/>
    <x v="1"/>
    <x v="3"/>
    <n v="0"/>
  </r>
  <r>
    <x v="0"/>
    <x v="3"/>
    <x v="4"/>
    <x v="7"/>
    <x v="60"/>
    <x v="1"/>
    <x v="4"/>
    <n v="0"/>
  </r>
  <r>
    <x v="0"/>
    <x v="3"/>
    <x v="4"/>
    <x v="7"/>
    <x v="60"/>
    <x v="1"/>
    <x v="5"/>
    <n v="0"/>
  </r>
  <r>
    <x v="0"/>
    <x v="3"/>
    <x v="4"/>
    <x v="7"/>
    <x v="60"/>
    <x v="1"/>
    <x v="6"/>
    <n v="0"/>
  </r>
  <r>
    <x v="0"/>
    <x v="3"/>
    <x v="3"/>
    <x v="5"/>
    <x v="65"/>
    <x v="1"/>
    <x v="0"/>
    <n v="181.43259181811874"/>
  </r>
  <r>
    <x v="0"/>
    <x v="3"/>
    <x v="3"/>
    <x v="5"/>
    <x v="65"/>
    <x v="1"/>
    <x v="1"/>
    <n v="341.24111662030879"/>
  </r>
  <r>
    <x v="0"/>
    <x v="3"/>
    <x v="3"/>
    <x v="5"/>
    <x v="65"/>
    <x v="1"/>
    <x v="2"/>
    <n v="664.85947573947897"/>
  </r>
  <r>
    <x v="0"/>
    <x v="3"/>
    <x v="3"/>
    <x v="5"/>
    <x v="65"/>
    <x v="1"/>
    <x v="3"/>
    <n v="1206.6813136845908"/>
  </r>
  <r>
    <x v="0"/>
    <x v="3"/>
    <x v="3"/>
    <x v="5"/>
    <x v="65"/>
    <x v="1"/>
    <x v="4"/>
    <n v="2187.523978393559"/>
  </r>
  <r>
    <x v="0"/>
    <x v="3"/>
    <x v="3"/>
    <x v="5"/>
    <x v="65"/>
    <x v="1"/>
    <x v="5"/>
    <n v="3662.6694084621126"/>
  </r>
  <r>
    <x v="0"/>
    <x v="3"/>
    <x v="3"/>
    <x v="5"/>
    <x v="65"/>
    <x v="1"/>
    <x v="6"/>
    <n v="4870.5689700013445"/>
  </r>
  <r>
    <x v="0"/>
    <x v="3"/>
    <x v="3"/>
    <x v="5"/>
    <x v="66"/>
    <x v="1"/>
    <x v="0"/>
    <n v="0"/>
  </r>
  <r>
    <x v="0"/>
    <x v="3"/>
    <x v="3"/>
    <x v="5"/>
    <x v="66"/>
    <x v="1"/>
    <x v="1"/>
    <n v="0"/>
  </r>
  <r>
    <x v="0"/>
    <x v="3"/>
    <x v="3"/>
    <x v="5"/>
    <x v="66"/>
    <x v="1"/>
    <x v="2"/>
    <n v="0"/>
  </r>
  <r>
    <x v="0"/>
    <x v="3"/>
    <x v="3"/>
    <x v="5"/>
    <x v="66"/>
    <x v="1"/>
    <x v="3"/>
    <n v="0"/>
  </r>
  <r>
    <x v="0"/>
    <x v="3"/>
    <x v="3"/>
    <x v="5"/>
    <x v="66"/>
    <x v="1"/>
    <x v="4"/>
    <n v="0"/>
  </r>
  <r>
    <x v="0"/>
    <x v="3"/>
    <x v="3"/>
    <x v="5"/>
    <x v="66"/>
    <x v="1"/>
    <x v="5"/>
    <n v="0"/>
  </r>
  <r>
    <x v="0"/>
    <x v="3"/>
    <x v="3"/>
    <x v="5"/>
    <x v="66"/>
    <x v="1"/>
    <x v="6"/>
    <n v="0"/>
  </r>
  <r>
    <x v="0"/>
    <x v="3"/>
    <x v="3"/>
    <x v="5"/>
    <x v="67"/>
    <x v="1"/>
    <x v="0"/>
    <n v="0"/>
  </r>
  <r>
    <x v="0"/>
    <x v="3"/>
    <x v="3"/>
    <x v="5"/>
    <x v="67"/>
    <x v="1"/>
    <x v="1"/>
    <n v="0"/>
  </r>
  <r>
    <x v="0"/>
    <x v="3"/>
    <x v="3"/>
    <x v="5"/>
    <x v="67"/>
    <x v="1"/>
    <x v="2"/>
    <n v="0"/>
  </r>
  <r>
    <x v="0"/>
    <x v="3"/>
    <x v="3"/>
    <x v="5"/>
    <x v="67"/>
    <x v="1"/>
    <x v="3"/>
    <n v="0"/>
  </r>
  <r>
    <x v="0"/>
    <x v="3"/>
    <x v="3"/>
    <x v="5"/>
    <x v="67"/>
    <x v="1"/>
    <x v="4"/>
    <n v="0"/>
  </r>
  <r>
    <x v="0"/>
    <x v="3"/>
    <x v="3"/>
    <x v="5"/>
    <x v="67"/>
    <x v="1"/>
    <x v="5"/>
    <n v="0"/>
  </r>
  <r>
    <x v="0"/>
    <x v="3"/>
    <x v="3"/>
    <x v="5"/>
    <x v="67"/>
    <x v="1"/>
    <x v="6"/>
    <n v="0"/>
  </r>
  <r>
    <x v="0"/>
    <x v="3"/>
    <x v="3"/>
    <x v="5"/>
    <x v="68"/>
    <x v="1"/>
    <x v="0"/>
    <n v="0"/>
  </r>
  <r>
    <x v="0"/>
    <x v="3"/>
    <x v="3"/>
    <x v="5"/>
    <x v="68"/>
    <x v="1"/>
    <x v="1"/>
    <n v="0"/>
  </r>
  <r>
    <x v="0"/>
    <x v="3"/>
    <x v="3"/>
    <x v="5"/>
    <x v="68"/>
    <x v="1"/>
    <x v="2"/>
    <n v="0"/>
  </r>
  <r>
    <x v="0"/>
    <x v="3"/>
    <x v="3"/>
    <x v="5"/>
    <x v="68"/>
    <x v="1"/>
    <x v="3"/>
    <n v="0"/>
  </r>
  <r>
    <x v="0"/>
    <x v="3"/>
    <x v="3"/>
    <x v="5"/>
    <x v="68"/>
    <x v="1"/>
    <x v="4"/>
    <n v="0"/>
  </r>
  <r>
    <x v="0"/>
    <x v="3"/>
    <x v="3"/>
    <x v="5"/>
    <x v="68"/>
    <x v="1"/>
    <x v="5"/>
    <n v="0"/>
  </r>
  <r>
    <x v="0"/>
    <x v="3"/>
    <x v="3"/>
    <x v="5"/>
    <x v="68"/>
    <x v="1"/>
    <x v="6"/>
    <n v="0"/>
  </r>
  <r>
    <x v="0"/>
    <x v="3"/>
    <x v="3"/>
    <x v="5"/>
    <x v="69"/>
    <x v="1"/>
    <x v="0"/>
    <n v="9.7396781629767695"/>
  </r>
  <r>
    <x v="0"/>
    <x v="3"/>
    <x v="3"/>
    <x v="5"/>
    <x v="69"/>
    <x v="1"/>
    <x v="1"/>
    <n v="27.667562128666741"/>
  </r>
  <r>
    <x v="0"/>
    <x v="3"/>
    <x v="3"/>
    <x v="5"/>
    <x v="69"/>
    <x v="1"/>
    <x v="2"/>
    <n v="82.650731572728446"/>
  </r>
  <r>
    <x v="0"/>
    <x v="3"/>
    <x v="3"/>
    <x v="5"/>
    <x v="69"/>
    <x v="1"/>
    <x v="3"/>
    <n v="220.24281594516717"/>
  </r>
  <r>
    <x v="0"/>
    <x v="3"/>
    <x v="3"/>
    <x v="5"/>
    <x v="69"/>
    <x v="1"/>
    <x v="4"/>
    <n v="541.95014526846239"/>
  </r>
  <r>
    <x v="0"/>
    <x v="3"/>
    <x v="3"/>
    <x v="5"/>
    <x v="69"/>
    <x v="1"/>
    <x v="5"/>
    <n v="844.81797017650251"/>
  </r>
  <r>
    <x v="0"/>
    <x v="3"/>
    <x v="3"/>
    <x v="5"/>
    <x v="69"/>
    <x v="1"/>
    <x v="6"/>
    <n v="1357.3752133035919"/>
  </r>
  <r>
    <x v="0"/>
    <x v="3"/>
    <x v="3"/>
    <x v="5"/>
    <x v="70"/>
    <x v="1"/>
    <x v="0"/>
    <n v="0"/>
  </r>
  <r>
    <x v="0"/>
    <x v="3"/>
    <x v="3"/>
    <x v="5"/>
    <x v="70"/>
    <x v="1"/>
    <x v="1"/>
    <n v="0"/>
  </r>
  <r>
    <x v="0"/>
    <x v="3"/>
    <x v="3"/>
    <x v="5"/>
    <x v="70"/>
    <x v="1"/>
    <x v="2"/>
    <n v="0"/>
  </r>
  <r>
    <x v="0"/>
    <x v="3"/>
    <x v="3"/>
    <x v="5"/>
    <x v="70"/>
    <x v="1"/>
    <x v="3"/>
    <n v="0"/>
  </r>
  <r>
    <x v="0"/>
    <x v="3"/>
    <x v="3"/>
    <x v="5"/>
    <x v="70"/>
    <x v="1"/>
    <x v="4"/>
    <n v="0"/>
  </r>
  <r>
    <x v="0"/>
    <x v="3"/>
    <x v="3"/>
    <x v="5"/>
    <x v="70"/>
    <x v="1"/>
    <x v="5"/>
    <n v="0"/>
  </r>
  <r>
    <x v="0"/>
    <x v="3"/>
    <x v="3"/>
    <x v="5"/>
    <x v="70"/>
    <x v="1"/>
    <x v="6"/>
    <n v="0"/>
  </r>
  <r>
    <x v="0"/>
    <x v="3"/>
    <x v="3"/>
    <x v="5"/>
    <x v="71"/>
    <x v="1"/>
    <x v="0"/>
    <n v="0"/>
  </r>
  <r>
    <x v="0"/>
    <x v="3"/>
    <x v="3"/>
    <x v="5"/>
    <x v="71"/>
    <x v="1"/>
    <x v="1"/>
    <n v="0"/>
  </r>
  <r>
    <x v="0"/>
    <x v="3"/>
    <x v="3"/>
    <x v="5"/>
    <x v="71"/>
    <x v="1"/>
    <x v="2"/>
    <n v="0"/>
  </r>
  <r>
    <x v="0"/>
    <x v="3"/>
    <x v="3"/>
    <x v="5"/>
    <x v="71"/>
    <x v="1"/>
    <x v="3"/>
    <n v="0"/>
  </r>
  <r>
    <x v="0"/>
    <x v="3"/>
    <x v="3"/>
    <x v="5"/>
    <x v="71"/>
    <x v="1"/>
    <x v="4"/>
    <n v="0"/>
  </r>
  <r>
    <x v="0"/>
    <x v="3"/>
    <x v="3"/>
    <x v="5"/>
    <x v="71"/>
    <x v="1"/>
    <x v="5"/>
    <n v="0"/>
  </r>
  <r>
    <x v="0"/>
    <x v="3"/>
    <x v="3"/>
    <x v="5"/>
    <x v="71"/>
    <x v="1"/>
    <x v="6"/>
    <n v="0"/>
  </r>
  <r>
    <x v="0"/>
    <x v="3"/>
    <x v="3"/>
    <x v="5"/>
    <x v="72"/>
    <x v="1"/>
    <x v="0"/>
    <n v="1.8640330522548876E-2"/>
  </r>
  <r>
    <x v="0"/>
    <x v="3"/>
    <x v="3"/>
    <x v="5"/>
    <x v="72"/>
    <x v="1"/>
    <x v="1"/>
    <n v="0.10459201802208211"/>
  </r>
  <r>
    <x v="0"/>
    <x v="3"/>
    <x v="3"/>
    <x v="5"/>
    <x v="72"/>
    <x v="1"/>
    <x v="2"/>
    <n v="0.61540626036454427"/>
  </r>
  <r>
    <x v="0"/>
    <x v="3"/>
    <x v="3"/>
    <x v="5"/>
    <x v="72"/>
    <x v="1"/>
    <x v="3"/>
    <n v="3.2565203315131277"/>
  </r>
  <r>
    <x v="0"/>
    <x v="3"/>
    <x v="3"/>
    <x v="5"/>
    <x v="72"/>
    <x v="1"/>
    <x v="4"/>
    <n v="15.927790262294044"/>
  </r>
  <r>
    <x v="0"/>
    <x v="3"/>
    <x v="3"/>
    <x v="5"/>
    <x v="72"/>
    <x v="1"/>
    <x v="5"/>
    <n v="36.255039212287343"/>
  </r>
  <r>
    <x v="0"/>
    <x v="3"/>
    <x v="3"/>
    <x v="5"/>
    <x v="72"/>
    <x v="1"/>
    <x v="6"/>
    <n v="62.386366343693943"/>
  </r>
  <r>
    <x v="0"/>
    <x v="3"/>
    <x v="3"/>
    <x v="5"/>
    <x v="73"/>
    <x v="1"/>
    <x v="0"/>
    <n v="0.1144400207163946"/>
  </r>
  <r>
    <x v="0"/>
    <x v="3"/>
    <x v="3"/>
    <x v="5"/>
    <x v="73"/>
    <x v="1"/>
    <x v="1"/>
    <n v="0.65540185324811018"/>
  </r>
  <r>
    <x v="0"/>
    <x v="3"/>
    <x v="3"/>
    <x v="5"/>
    <x v="73"/>
    <x v="1"/>
    <x v="2"/>
    <n v="3.7219772229839045"/>
  </r>
  <r>
    <x v="0"/>
    <x v="3"/>
    <x v="3"/>
    <x v="5"/>
    <x v="73"/>
    <x v="1"/>
    <x v="3"/>
    <n v="19.327580871703617"/>
  </r>
  <r>
    <x v="0"/>
    <x v="3"/>
    <x v="3"/>
    <x v="5"/>
    <x v="73"/>
    <x v="1"/>
    <x v="4"/>
    <n v="94.835559090880622"/>
  </r>
  <r>
    <x v="0"/>
    <x v="3"/>
    <x v="3"/>
    <x v="5"/>
    <x v="73"/>
    <x v="1"/>
    <x v="5"/>
    <n v="225.15875429298666"/>
  </r>
  <r>
    <x v="0"/>
    <x v="3"/>
    <x v="3"/>
    <x v="5"/>
    <x v="73"/>
    <x v="1"/>
    <x v="6"/>
    <n v="404.99862153391325"/>
  </r>
  <r>
    <x v="0"/>
    <x v="3"/>
    <x v="5"/>
    <x v="8"/>
    <x v="74"/>
    <x v="1"/>
    <x v="0"/>
    <n v="9.0485535719401253E-2"/>
  </r>
  <r>
    <x v="0"/>
    <x v="3"/>
    <x v="5"/>
    <x v="8"/>
    <x v="74"/>
    <x v="1"/>
    <x v="1"/>
    <n v="0.26359630712842747"/>
  </r>
  <r>
    <x v="0"/>
    <x v="3"/>
    <x v="5"/>
    <x v="8"/>
    <x v="74"/>
    <x v="1"/>
    <x v="2"/>
    <n v="0.79230821747253011"/>
  </r>
  <r>
    <x v="0"/>
    <x v="3"/>
    <x v="5"/>
    <x v="8"/>
    <x v="74"/>
    <x v="1"/>
    <x v="3"/>
    <n v="2.2105495377064428"/>
  </r>
  <r>
    <x v="0"/>
    <x v="3"/>
    <x v="5"/>
    <x v="8"/>
    <x v="74"/>
    <x v="1"/>
    <x v="4"/>
    <n v="5.8424051378060069"/>
  </r>
  <r>
    <x v="0"/>
    <x v="3"/>
    <x v="5"/>
    <x v="8"/>
    <x v="74"/>
    <x v="1"/>
    <x v="5"/>
    <n v="9.1784851999685202"/>
  </r>
  <r>
    <x v="0"/>
    <x v="3"/>
    <x v="5"/>
    <x v="8"/>
    <x v="74"/>
    <x v="1"/>
    <x v="6"/>
    <n v="14.024546474707789"/>
  </r>
  <r>
    <x v="0"/>
    <x v="3"/>
    <x v="5"/>
    <x v="8"/>
    <x v="75"/>
    <x v="1"/>
    <x v="0"/>
    <n v="2.4228915594052336"/>
  </r>
  <r>
    <x v="0"/>
    <x v="3"/>
    <x v="5"/>
    <x v="8"/>
    <x v="75"/>
    <x v="1"/>
    <x v="1"/>
    <n v="7.3587551359720207"/>
  </r>
  <r>
    <x v="0"/>
    <x v="3"/>
    <x v="5"/>
    <x v="8"/>
    <x v="75"/>
    <x v="1"/>
    <x v="2"/>
    <n v="23.690349225042109"/>
  </r>
  <r>
    <x v="0"/>
    <x v="3"/>
    <x v="5"/>
    <x v="8"/>
    <x v="75"/>
    <x v="1"/>
    <x v="3"/>
    <n v="72.569331042089189"/>
  </r>
  <r>
    <x v="0"/>
    <x v="3"/>
    <x v="5"/>
    <x v="8"/>
    <x v="75"/>
    <x v="1"/>
    <x v="4"/>
    <n v="202.68822417088339"/>
  </r>
  <r>
    <x v="0"/>
    <x v="3"/>
    <x v="5"/>
    <x v="8"/>
    <x v="75"/>
    <x v="1"/>
    <x v="5"/>
    <n v="337.01439581988859"/>
  </r>
  <r>
    <x v="0"/>
    <x v="3"/>
    <x v="5"/>
    <x v="8"/>
    <x v="75"/>
    <x v="1"/>
    <x v="6"/>
    <n v="532.03954832506349"/>
  </r>
  <r>
    <x v="0"/>
    <x v="3"/>
    <x v="5"/>
    <x v="8"/>
    <x v="76"/>
    <x v="1"/>
    <x v="0"/>
    <n v="2.4024572562447184"/>
  </r>
  <r>
    <x v="0"/>
    <x v="3"/>
    <x v="5"/>
    <x v="8"/>
    <x v="76"/>
    <x v="1"/>
    <x v="1"/>
    <n v="6.9258484376354312"/>
  </r>
  <r>
    <x v="0"/>
    <x v="3"/>
    <x v="5"/>
    <x v="8"/>
    <x v="76"/>
    <x v="1"/>
    <x v="2"/>
    <n v="20.592672204980239"/>
  </r>
  <r>
    <x v="0"/>
    <x v="3"/>
    <x v="5"/>
    <x v="8"/>
    <x v="76"/>
    <x v="1"/>
    <x v="3"/>
    <n v="58.948092612221586"/>
  </r>
  <r>
    <x v="0"/>
    <x v="3"/>
    <x v="5"/>
    <x v="8"/>
    <x v="76"/>
    <x v="1"/>
    <x v="4"/>
    <n v="155.74741766516391"/>
  </r>
  <r>
    <x v="0"/>
    <x v="3"/>
    <x v="5"/>
    <x v="8"/>
    <x v="76"/>
    <x v="1"/>
    <x v="5"/>
    <n v="246.68563303478234"/>
  </r>
  <r>
    <x v="0"/>
    <x v="3"/>
    <x v="5"/>
    <x v="8"/>
    <x v="76"/>
    <x v="1"/>
    <x v="6"/>
    <n v="371.89360995252918"/>
  </r>
  <r>
    <x v="0"/>
    <x v="3"/>
    <x v="5"/>
    <x v="8"/>
    <x v="77"/>
    <x v="1"/>
    <x v="0"/>
    <n v="0"/>
  </r>
  <r>
    <x v="0"/>
    <x v="3"/>
    <x v="5"/>
    <x v="8"/>
    <x v="77"/>
    <x v="1"/>
    <x v="1"/>
    <n v="0"/>
  </r>
  <r>
    <x v="0"/>
    <x v="3"/>
    <x v="5"/>
    <x v="8"/>
    <x v="77"/>
    <x v="1"/>
    <x v="2"/>
    <n v="0"/>
  </r>
  <r>
    <x v="0"/>
    <x v="3"/>
    <x v="5"/>
    <x v="8"/>
    <x v="77"/>
    <x v="1"/>
    <x v="3"/>
    <n v="0"/>
  </r>
  <r>
    <x v="0"/>
    <x v="3"/>
    <x v="5"/>
    <x v="8"/>
    <x v="77"/>
    <x v="1"/>
    <x v="4"/>
    <n v="0"/>
  </r>
  <r>
    <x v="0"/>
    <x v="3"/>
    <x v="5"/>
    <x v="8"/>
    <x v="77"/>
    <x v="1"/>
    <x v="5"/>
    <n v="0"/>
  </r>
  <r>
    <x v="0"/>
    <x v="3"/>
    <x v="5"/>
    <x v="8"/>
    <x v="77"/>
    <x v="1"/>
    <x v="6"/>
    <n v="0"/>
  </r>
  <r>
    <x v="0"/>
    <x v="3"/>
    <x v="5"/>
    <x v="8"/>
    <x v="78"/>
    <x v="1"/>
    <x v="0"/>
    <n v="8.6858263610119177"/>
  </r>
  <r>
    <x v="0"/>
    <x v="3"/>
    <x v="5"/>
    <x v="8"/>
    <x v="78"/>
    <x v="1"/>
    <x v="1"/>
    <n v="25.339758708449573"/>
  </r>
  <r>
    <x v="0"/>
    <x v="3"/>
    <x v="5"/>
    <x v="8"/>
    <x v="78"/>
    <x v="1"/>
    <x v="2"/>
    <n v="74.853944342413214"/>
  </r>
  <r>
    <x v="0"/>
    <x v="3"/>
    <x v="5"/>
    <x v="8"/>
    <x v="78"/>
    <x v="1"/>
    <x v="3"/>
    <n v="211.73549355714664"/>
  </r>
  <r>
    <x v="0"/>
    <x v="3"/>
    <x v="5"/>
    <x v="8"/>
    <x v="78"/>
    <x v="1"/>
    <x v="4"/>
    <n v="540.99888099822783"/>
  </r>
  <r>
    <x v="0"/>
    <x v="3"/>
    <x v="5"/>
    <x v="8"/>
    <x v="78"/>
    <x v="1"/>
    <x v="5"/>
    <n v="901.1479978785145"/>
  </r>
  <r>
    <x v="0"/>
    <x v="3"/>
    <x v="5"/>
    <x v="8"/>
    <x v="78"/>
    <x v="1"/>
    <x v="6"/>
    <n v="1319.278048656103"/>
  </r>
  <r>
    <x v="0"/>
    <x v="3"/>
    <x v="5"/>
    <x v="8"/>
    <x v="79"/>
    <x v="1"/>
    <x v="0"/>
    <n v="11.458260771877828"/>
  </r>
  <r>
    <x v="0"/>
    <x v="3"/>
    <x v="5"/>
    <x v="8"/>
    <x v="79"/>
    <x v="1"/>
    <x v="1"/>
    <n v="34.933661840052679"/>
  </r>
  <r>
    <x v="0"/>
    <x v="3"/>
    <x v="5"/>
    <x v="8"/>
    <x v="79"/>
    <x v="1"/>
    <x v="2"/>
    <n v="100.23953921834226"/>
  </r>
  <r>
    <x v="0"/>
    <x v="3"/>
    <x v="5"/>
    <x v="8"/>
    <x v="79"/>
    <x v="1"/>
    <x v="3"/>
    <n v="269.89373229343738"/>
  </r>
  <r>
    <x v="0"/>
    <x v="3"/>
    <x v="5"/>
    <x v="8"/>
    <x v="79"/>
    <x v="1"/>
    <x v="4"/>
    <n v="673.07117316510414"/>
  </r>
  <r>
    <x v="0"/>
    <x v="3"/>
    <x v="5"/>
    <x v="8"/>
    <x v="79"/>
    <x v="1"/>
    <x v="5"/>
    <n v="1024.4452071632725"/>
  </r>
  <r>
    <x v="0"/>
    <x v="3"/>
    <x v="5"/>
    <x v="8"/>
    <x v="79"/>
    <x v="1"/>
    <x v="6"/>
    <n v="1499.5124837582468"/>
  </r>
  <r>
    <x v="0"/>
    <x v="3"/>
    <x v="5"/>
    <x v="8"/>
    <x v="80"/>
    <x v="1"/>
    <x v="0"/>
    <n v="3.7592478382866719"/>
  </r>
  <r>
    <x v="0"/>
    <x v="3"/>
    <x v="5"/>
    <x v="8"/>
    <x v="80"/>
    <x v="1"/>
    <x v="1"/>
    <n v="10.941184997930296"/>
  </r>
  <r>
    <x v="0"/>
    <x v="3"/>
    <x v="5"/>
    <x v="8"/>
    <x v="80"/>
    <x v="1"/>
    <x v="2"/>
    <n v="33.197385795812671"/>
  </r>
  <r>
    <x v="0"/>
    <x v="3"/>
    <x v="5"/>
    <x v="8"/>
    <x v="80"/>
    <x v="1"/>
    <x v="3"/>
    <n v="87.14255905198965"/>
  </r>
  <r>
    <x v="0"/>
    <x v="3"/>
    <x v="5"/>
    <x v="8"/>
    <x v="80"/>
    <x v="1"/>
    <x v="4"/>
    <n v="213.58789638803364"/>
  </r>
  <r>
    <x v="0"/>
    <x v="3"/>
    <x v="5"/>
    <x v="8"/>
    <x v="80"/>
    <x v="1"/>
    <x v="5"/>
    <n v="319.9178855669162"/>
  </r>
  <r>
    <x v="0"/>
    <x v="3"/>
    <x v="5"/>
    <x v="8"/>
    <x v="80"/>
    <x v="1"/>
    <x v="6"/>
    <n v="454.70452296761852"/>
  </r>
  <r>
    <x v="0"/>
    <x v="3"/>
    <x v="5"/>
    <x v="8"/>
    <x v="81"/>
    <x v="1"/>
    <x v="0"/>
    <n v="1.3515909725798632"/>
  </r>
  <r>
    <x v="0"/>
    <x v="3"/>
    <x v="5"/>
    <x v="8"/>
    <x v="81"/>
    <x v="1"/>
    <x v="1"/>
    <n v="3.9520535016057385"/>
  </r>
  <r>
    <x v="0"/>
    <x v="3"/>
    <x v="5"/>
    <x v="8"/>
    <x v="81"/>
    <x v="1"/>
    <x v="2"/>
    <n v="10.812779045852313"/>
  </r>
  <r>
    <x v="0"/>
    <x v="3"/>
    <x v="5"/>
    <x v="8"/>
    <x v="81"/>
    <x v="1"/>
    <x v="3"/>
    <n v="28.150724622709134"/>
  </r>
  <r>
    <x v="0"/>
    <x v="3"/>
    <x v="5"/>
    <x v="8"/>
    <x v="81"/>
    <x v="1"/>
    <x v="4"/>
    <n v="69.796805609180751"/>
  </r>
  <r>
    <x v="0"/>
    <x v="3"/>
    <x v="5"/>
    <x v="8"/>
    <x v="81"/>
    <x v="1"/>
    <x v="5"/>
    <n v="106.16213779573062"/>
  </r>
  <r>
    <x v="0"/>
    <x v="3"/>
    <x v="5"/>
    <x v="8"/>
    <x v="81"/>
    <x v="1"/>
    <x v="6"/>
    <n v="153.09087710404606"/>
  </r>
  <r>
    <x v="0"/>
    <x v="3"/>
    <x v="5"/>
    <x v="8"/>
    <x v="82"/>
    <x v="1"/>
    <x v="0"/>
    <n v="87.836814527620533"/>
  </r>
  <r>
    <x v="0"/>
    <x v="3"/>
    <x v="5"/>
    <x v="8"/>
    <x v="82"/>
    <x v="1"/>
    <x v="1"/>
    <n v="241.41155289146235"/>
  </r>
  <r>
    <x v="0"/>
    <x v="3"/>
    <x v="5"/>
    <x v="8"/>
    <x v="82"/>
    <x v="1"/>
    <x v="2"/>
    <n v="722.03638907612219"/>
  </r>
  <r>
    <x v="0"/>
    <x v="3"/>
    <x v="5"/>
    <x v="8"/>
    <x v="82"/>
    <x v="1"/>
    <x v="3"/>
    <n v="2961.3339011822945"/>
  </r>
  <r>
    <x v="0"/>
    <x v="3"/>
    <x v="5"/>
    <x v="8"/>
    <x v="82"/>
    <x v="1"/>
    <x v="4"/>
    <n v="6376.0610530694894"/>
  </r>
  <r>
    <x v="0"/>
    <x v="3"/>
    <x v="5"/>
    <x v="8"/>
    <x v="82"/>
    <x v="1"/>
    <x v="5"/>
    <n v="10973.87123570979"/>
  </r>
  <r>
    <x v="0"/>
    <x v="3"/>
    <x v="5"/>
    <x v="8"/>
    <x v="82"/>
    <x v="1"/>
    <x v="6"/>
    <n v="16589.533272889181"/>
  </r>
  <r>
    <x v="0"/>
    <x v="3"/>
    <x v="5"/>
    <x v="8"/>
    <x v="83"/>
    <x v="1"/>
    <x v="0"/>
    <n v="5.207539908934022"/>
  </r>
  <r>
    <x v="0"/>
    <x v="3"/>
    <x v="5"/>
    <x v="8"/>
    <x v="83"/>
    <x v="1"/>
    <x v="1"/>
    <n v="14.412089369723082"/>
  </r>
  <r>
    <x v="0"/>
    <x v="3"/>
    <x v="5"/>
    <x v="8"/>
    <x v="83"/>
    <x v="1"/>
    <x v="2"/>
    <n v="38.528636860398592"/>
  </r>
  <r>
    <x v="0"/>
    <x v="3"/>
    <x v="5"/>
    <x v="8"/>
    <x v="83"/>
    <x v="1"/>
    <x v="3"/>
    <n v="142.52306205466644"/>
  </r>
  <r>
    <x v="0"/>
    <x v="3"/>
    <x v="5"/>
    <x v="8"/>
    <x v="83"/>
    <x v="1"/>
    <x v="4"/>
    <n v="280.94136366370043"/>
  </r>
  <r>
    <x v="0"/>
    <x v="3"/>
    <x v="5"/>
    <x v="8"/>
    <x v="83"/>
    <x v="1"/>
    <x v="5"/>
    <n v="445.03638204789411"/>
  </r>
  <r>
    <x v="0"/>
    <x v="3"/>
    <x v="5"/>
    <x v="8"/>
    <x v="83"/>
    <x v="1"/>
    <x v="6"/>
    <n v="624.76657239725182"/>
  </r>
  <r>
    <x v="0"/>
    <x v="6"/>
    <x v="0"/>
    <x v="0"/>
    <x v="0"/>
    <x v="1"/>
    <x v="0"/>
    <n v="0"/>
  </r>
  <r>
    <x v="0"/>
    <x v="6"/>
    <x v="0"/>
    <x v="0"/>
    <x v="0"/>
    <x v="1"/>
    <x v="1"/>
    <n v="0"/>
  </r>
  <r>
    <x v="0"/>
    <x v="6"/>
    <x v="0"/>
    <x v="0"/>
    <x v="0"/>
    <x v="1"/>
    <x v="2"/>
    <n v="0"/>
  </r>
  <r>
    <x v="0"/>
    <x v="6"/>
    <x v="0"/>
    <x v="0"/>
    <x v="0"/>
    <x v="1"/>
    <x v="3"/>
    <n v="0"/>
  </r>
  <r>
    <x v="0"/>
    <x v="6"/>
    <x v="0"/>
    <x v="0"/>
    <x v="0"/>
    <x v="1"/>
    <x v="4"/>
    <n v="0"/>
  </r>
  <r>
    <x v="0"/>
    <x v="6"/>
    <x v="0"/>
    <x v="0"/>
    <x v="0"/>
    <x v="1"/>
    <x v="5"/>
    <n v="0"/>
  </r>
  <r>
    <x v="0"/>
    <x v="6"/>
    <x v="0"/>
    <x v="0"/>
    <x v="0"/>
    <x v="1"/>
    <x v="6"/>
    <n v="0"/>
  </r>
  <r>
    <x v="0"/>
    <x v="6"/>
    <x v="0"/>
    <x v="1"/>
    <x v="1"/>
    <x v="1"/>
    <x v="0"/>
    <n v="0"/>
  </r>
  <r>
    <x v="0"/>
    <x v="6"/>
    <x v="0"/>
    <x v="1"/>
    <x v="1"/>
    <x v="1"/>
    <x v="1"/>
    <n v="0"/>
  </r>
  <r>
    <x v="0"/>
    <x v="6"/>
    <x v="0"/>
    <x v="1"/>
    <x v="1"/>
    <x v="1"/>
    <x v="2"/>
    <n v="0"/>
  </r>
  <r>
    <x v="0"/>
    <x v="6"/>
    <x v="0"/>
    <x v="1"/>
    <x v="1"/>
    <x v="1"/>
    <x v="3"/>
    <n v="0"/>
  </r>
  <r>
    <x v="0"/>
    <x v="6"/>
    <x v="0"/>
    <x v="1"/>
    <x v="1"/>
    <x v="1"/>
    <x v="4"/>
    <n v="0"/>
  </r>
  <r>
    <x v="0"/>
    <x v="6"/>
    <x v="0"/>
    <x v="1"/>
    <x v="1"/>
    <x v="1"/>
    <x v="5"/>
    <n v="0"/>
  </r>
  <r>
    <x v="0"/>
    <x v="6"/>
    <x v="0"/>
    <x v="1"/>
    <x v="1"/>
    <x v="1"/>
    <x v="6"/>
    <n v="0"/>
  </r>
  <r>
    <x v="0"/>
    <x v="6"/>
    <x v="0"/>
    <x v="1"/>
    <x v="2"/>
    <x v="1"/>
    <x v="0"/>
    <n v="0"/>
  </r>
  <r>
    <x v="0"/>
    <x v="6"/>
    <x v="0"/>
    <x v="1"/>
    <x v="2"/>
    <x v="1"/>
    <x v="1"/>
    <n v="0"/>
  </r>
  <r>
    <x v="0"/>
    <x v="6"/>
    <x v="0"/>
    <x v="1"/>
    <x v="2"/>
    <x v="1"/>
    <x v="2"/>
    <n v="0"/>
  </r>
  <r>
    <x v="0"/>
    <x v="6"/>
    <x v="0"/>
    <x v="1"/>
    <x v="2"/>
    <x v="1"/>
    <x v="3"/>
    <n v="0"/>
  </r>
  <r>
    <x v="0"/>
    <x v="6"/>
    <x v="0"/>
    <x v="1"/>
    <x v="2"/>
    <x v="1"/>
    <x v="4"/>
    <n v="0"/>
  </r>
  <r>
    <x v="0"/>
    <x v="6"/>
    <x v="0"/>
    <x v="1"/>
    <x v="2"/>
    <x v="1"/>
    <x v="5"/>
    <n v="0"/>
  </r>
  <r>
    <x v="0"/>
    <x v="6"/>
    <x v="0"/>
    <x v="1"/>
    <x v="2"/>
    <x v="1"/>
    <x v="6"/>
    <n v="0"/>
  </r>
  <r>
    <x v="0"/>
    <x v="6"/>
    <x v="0"/>
    <x v="1"/>
    <x v="3"/>
    <x v="1"/>
    <x v="0"/>
    <n v="2985.9117255124656"/>
  </r>
  <r>
    <x v="0"/>
    <x v="6"/>
    <x v="0"/>
    <x v="1"/>
    <x v="3"/>
    <x v="1"/>
    <x v="1"/>
    <n v="3171.1317208759369"/>
  </r>
  <r>
    <x v="0"/>
    <x v="6"/>
    <x v="0"/>
    <x v="1"/>
    <x v="3"/>
    <x v="1"/>
    <x v="2"/>
    <n v="4388.2091823727715"/>
  </r>
  <r>
    <x v="0"/>
    <x v="6"/>
    <x v="0"/>
    <x v="1"/>
    <x v="3"/>
    <x v="1"/>
    <x v="3"/>
    <n v="4540.7854422108867"/>
  </r>
  <r>
    <x v="0"/>
    <x v="6"/>
    <x v="0"/>
    <x v="1"/>
    <x v="3"/>
    <x v="1"/>
    <x v="4"/>
    <n v="5089.0140389242979"/>
  </r>
  <r>
    <x v="0"/>
    <x v="6"/>
    <x v="0"/>
    <x v="1"/>
    <x v="3"/>
    <x v="1"/>
    <x v="5"/>
    <n v="5844.0562243541508"/>
  </r>
  <r>
    <x v="0"/>
    <x v="6"/>
    <x v="0"/>
    <x v="1"/>
    <x v="3"/>
    <x v="1"/>
    <x v="6"/>
    <n v="6586.9821762382344"/>
  </r>
  <r>
    <x v="0"/>
    <x v="6"/>
    <x v="0"/>
    <x v="1"/>
    <x v="4"/>
    <x v="1"/>
    <x v="0"/>
    <n v="0.36385327907540577"/>
  </r>
  <r>
    <x v="0"/>
    <x v="6"/>
    <x v="0"/>
    <x v="1"/>
    <x v="4"/>
    <x v="1"/>
    <x v="1"/>
    <n v="0.9582356687721082"/>
  </r>
  <r>
    <x v="0"/>
    <x v="6"/>
    <x v="0"/>
    <x v="1"/>
    <x v="4"/>
    <x v="1"/>
    <x v="2"/>
    <n v="3.7434976410233891"/>
  </r>
  <r>
    <x v="0"/>
    <x v="6"/>
    <x v="0"/>
    <x v="1"/>
    <x v="4"/>
    <x v="1"/>
    <x v="3"/>
    <n v="13.137235792078636"/>
  </r>
  <r>
    <x v="0"/>
    <x v="6"/>
    <x v="0"/>
    <x v="1"/>
    <x v="4"/>
    <x v="1"/>
    <x v="4"/>
    <n v="47.562681489932714"/>
  </r>
  <r>
    <x v="0"/>
    <x v="6"/>
    <x v="0"/>
    <x v="1"/>
    <x v="4"/>
    <x v="1"/>
    <x v="5"/>
    <n v="58.970760347569041"/>
  </r>
  <r>
    <x v="0"/>
    <x v="6"/>
    <x v="0"/>
    <x v="1"/>
    <x v="4"/>
    <x v="1"/>
    <x v="6"/>
    <n v="75.093022942209359"/>
  </r>
  <r>
    <x v="0"/>
    <x v="6"/>
    <x v="0"/>
    <x v="1"/>
    <x v="5"/>
    <x v="1"/>
    <x v="0"/>
    <n v="0"/>
  </r>
  <r>
    <x v="0"/>
    <x v="6"/>
    <x v="0"/>
    <x v="1"/>
    <x v="5"/>
    <x v="1"/>
    <x v="1"/>
    <n v="0"/>
  </r>
  <r>
    <x v="0"/>
    <x v="6"/>
    <x v="0"/>
    <x v="1"/>
    <x v="5"/>
    <x v="1"/>
    <x v="2"/>
    <n v="0"/>
  </r>
  <r>
    <x v="0"/>
    <x v="6"/>
    <x v="0"/>
    <x v="1"/>
    <x v="5"/>
    <x v="1"/>
    <x v="3"/>
    <n v="0"/>
  </r>
  <r>
    <x v="0"/>
    <x v="6"/>
    <x v="0"/>
    <x v="1"/>
    <x v="5"/>
    <x v="1"/>
    <x v="4"/>
    <n v="0"/>
  </r>
  <r>
    <x v="0"/>
    <x v="6"/>
    <x v="0"/>
    <x v="1"/>
    <x v="5"/>
    <x v="1"/>
    <x v="5"/>
    <n v="0"/>
  </r>
  <r>
    <x v="0"/>
    <x v="6"/>
    <x v="0"/>
    <x v="1"/>
    <x v="5"/>
    <x v="1"/>
    <x v="6"/>
    <n v="0"/>
  </r>
  <r>
    <x v="0"/>
    <x v="6"/>
    <x v="0"/>
    <x v="1"/>
    <x v="6"/>
    <x v="1"/>
    <x v="0"/>
    <n v="0.17009823437814997"/>
  </r>
  <r>
    <x v="0"/>
    <x v="6"/>
    <x v="0"/>
    <x v="1"/>
    <x v="6"/>
    <x v="1"/>
    <x v="1"/>
    <n v="0.89361062321652418"/>
  </r>
  <r>
    <x v="0"/>
    <x v="6"/>
    <x v="0"/>
    <x v="1"/>
    <x v="6"/>
    <x v="1"/>
    <x v="2"/>
    <n v="4.0184846208886569"/>
  </r>
  <r>
    <x v="0"/>
    <x v="6"/>
    <x v="0"/>
    <x v="1"/>
    <x v="6"/>
    <x v="1"/>
    <x v="3"/>
    <n v="19.973940216136977"/>
  </r>
  <r>
    <x v="0"/>
    <x v="6"/>
    <x v="0"/>
    <x v="1"/>
    <x v="6"/>
    <x v="1"/>
    <x v="4"/>
    <n v="88.932228494999336"/>
  </r>
  <r>
    <x v="0"/>
    <x v="6"/>
    <x v="0"/>
    <x v="1"/>
    <x v="6"/>
    <x v="1"/>
    <x v="5"/>
    <n v="120.92192194531373"/>
  </r>
  <r>
    <x v="0"/>
    <x v="6"/>
    <x v="0"/>
    <x v="1"/>
    <x v="6"/>
    <x v="1"/>
    <x v="6"/>
    <n v="197.9222515656401"/>
  </r>
  <r>
    <x v="0"/>
    <x v="6"/>
    <x v="0"/>
    <x v="1"/>
    <x v="7"/>
    <x v="1"/>
    <x v="0"/>
    <n v="0"/>
  </r>
  <r>
    <x v="0"/>
    <x v="6"/>
    <x v="0"/>
    <x v="1"/>
    <x v="7"/>
    <x v="1"/>
    <x v="1"/>
    <n v="0"/>
  </r>
  <r>
    <x v="0"/>
    <x v="6"/>
    <x v="0"/>
    <x v="1"/>
    <x v="7"/>
    <x v="1"/>
    <x v="2"/>
    <n v="0"/>
  </r>
  <r>
    <x v="0"/>
    <x v="6"/>
    <x v="0"/>
    <x v="1"/>
    <x v="7"/>
    <x v="1"/>
    <x v="3"/>
    <n v="0"/>
  </r>
  <r>
    <x v="0"/>
    <x v="6"/>
    <x v="0"/>
    <x v="1"/>
    <x v="7"/>
    <x v="1"/>
    <x v="4"/>
    <n v="0"/>
  </r>
  <r>
    <x v="0"/>
    <x v="6"/>
    <x v="0"/>
    <x v="1"/>
    <x v="7"/>
    <x v="1"/>
    <x v="5"/>
    <n v="0"/>
  </r>
  <r>
    <x v="0"/>
    <x v="6"/>
    <x v="0"/>
    <x v="1"/>
    <x v="7"/>
    <x v="1"/>
    <x v="6"/>
    <n v="0"/>
  </r>
  <r>
    <x v="0"/>
    <x v="6"/>
    <x v="0"/>
    <x v="1"/>
    <x v="8"/>
    <x v="1"/>
    <x v="0"/>
    <n v="0"/>
  </r>
  <r>
    <x v="0"/>
    <x v="6"/>
    <x v="0"/>
    <x v="1"/>
    <x v="8"/>
    <x v="1"/>
    <x v="1"/>
    <n v="0"/>
  </r>
  <r>
    <x v="0"/>
    <x v="6"/>
    <x v="0"/>
    <x v="1"/>
    <x v="8"/>
    <x v="1"/>
    <x v="2"/>
    <n v="0"/>
  </r>
  <r>
    <x v="0"/>
    <x v="6"/>
    <x v="0"/>
    <x v="1"/>
    <x v="8"/>
    <x v="1"/>
    <x v="3"/>
    <n v="0"/>
  </r>
  <r>
    <x v="0"/>
    <x v="6"/>
    <x v="0"/>
    <x v="1"/>
    <x v="8"/>
    <x v="1"/>
    <x v="4"/>
    <n v="0"/>
  </r>
  <r>
    <x v="0"/>
    <x v="6"/>
    <x v="0"/>
    <x v="1"/>
    <x v="8"/>
    <x v="1"/>
    <x v="5"/>
    <n v="0"/>
  </r>
  <r>
    <x v="0"/>
    <x v="6"/>
    <x v="0"/>
    <x v="1"/>
    <x v="8"/>
    <x v="1"/>
    <x v="6"/>
    <n v="0"/>
  </r>
  <r>
    <x v="0"/>
    <x v="6"/>
    <x v="0"/>
    <x v="1"/>
    <x v="9"/>
    <x v="1"/>
    <x v="0"/>
    <n v="0"/>
  </r>
  <r>
    <x v="0"/>
    <x v="6"/>
    <x v="0"/>
    <x v="1"/>
    <x v="9"/>
    <x v="1"/>
    <x v="1"/>
    <n v="0"/>
  </r>
  <r>
    <x v="0"/>
    <x v="6"/>
    <x v="0"/>
    <x v="1"/>
    <x v="9"/>
    <x v="1"/>
    <x v="2"/>
    <n v="0"/>
  </r>
  <r>
    <x v="0"/>
    <x v="6"/>
    <x v="0"/>
    <x v="1"/>
    <x v="9"/>
    <x v="1"/>
    <x v="3"/>
    <n v="0"/>
  </r>
  <r>
    <x v="0"/>
    <x v="6"/>
    <x v="0"/>
    <x v="1"/>
    <x v="9"/>
    <x v="1"/>
    <x v="4"/>
    <n v="0"/>
  </r>
  <r>
    <x v="0"/>
    <x v="6"/>
    <x v="0"/>
    <x v="1"/>
    <x v="9"/>
    <x v="1"/>
    <x v="5"/>
    <n v="0"/>
  </r>
  <r>
    <x v="0"/>
    <x v="6"/>
    <x v="0"/>
    <x v="1"/>
    <x v="9"/>
    <x v="1"/>
    <x v="6"/>
    <n v="0"/>
  </r>
  <r>
    <x v="0"/>
    <x v="6"/>
    <x v="0"/>
    <x v="1"/>
    <x v="10"/>
    <x v="1"/>
    <x v="0"/>
    <n v="0"/>
  </r>
  <r>
    <x v="0"/>
    <x v="6"/>
    <x v="0"/>
    <x v="1"/>
    <x v="10"/>
    <x v="1"/>
    <x v="1"/>
    <n v="0"/>
  </r>
  <r>
    <x v="0"/>
    <x v="6"/>
    <x v="0"/>
    <x v="1"/>
    <x v="10"/>
    <x v="1"/>
    <x v="2"/>
    <n v="0"/>
  </r>
  <r>
    <x v="0"/>
    <x v="6"/>
    <x v="0"/>
    <x v="1"/>
    <x v="10"/>
    <x v="1"/>
    <x v="3"/>
    <n v="0"/>
  </r>
  <r>
    <x v="0"/>
    <x v="6"/>
    <x v="0"/>
    <x v="1"/>
    <x v="10"/>
    <x v="1"/>
    <x v="4"/>
    <n v="0"/>
  </r>
  <r>
    <x v="0"/>
    <x v="6"/>
    <x v="0"/>
    <x v="1"/>
    <x v="10"/>
    <x v="1"/>
    <x v="5"/>
    <n v="0"/>
  </r>
  <r>
    <x v="0"/>
    <x v="6"/>
    <x v="0"/>
    <x v="1"/>
    <x v="10"/>
    <x v="1"/>
    <x v="6"/>
    <n v="0"/>
  </r>
  <r>
    <x v="0"/>
    <x v="6"/>
    <x v="0"/>
    <x v="0"/>
    <x v="11"/>
    <x v="1"/>
    <x v="0"/>
    <n v="0"/>
  </r>
  <r>
    <x v="0"/>
    <x v="6"/>
    <x v="0"/>
    <x v="0"/>
    <x v="11"/>
    <x v="1"/>
    <x v="1"/>
    <n v="0"/>
  </r>
  <r>
    <x v="0"/>
    <x v="6"/>
    <x v="0"/>
    <x v="0"/>
    <x v="11"/>
    <x v="1"/>
    <x v="2"/>
    <n v="0"/>
  </r>
  <r>
    <x v="0"/>
    <x v="6"/>
    <x v="0"/>
    <x v="0"/>
    <x v="11"/>
    <x v="1"/>
    <x v="3"/>
    <n v="0"/>
  </r>
  <r>
    <x v="0"/>
    <x v="6"/>
    <x v="0"/>
    <x v="0"/>
    <x v="11"/>
    <x v="1"/>
    <x v="4"/>
    <n v="0"/>
  </r>
  <r>
    <x v="0"/>
    <x v="6"/>
    <x v="0"/>
    <x v="0"/>
    <x v="11"/>
    <x v="1"/>
    <x v="5"/>
    <n v="0"/>
  </r>
  <r>
    <x v="0"/>
    <x v="6"/>
    <x v="0"/>
    <x v="0"/>
    <x v="11"/>
    <x v="1"/>
    <x v="6"/>
    <n v="0"/>
  </r>
  <r>
    <x v="0"/>
    <x v="6"/>
    <x v="0"/>
    <x v="0"/>
    <x v="12"/>
    <x v="1"/>
    <x v="0"/>
    <n v="0"/>
  </r>
  <r>
    <x v="0"/>
    <x v="6"/>
    <x v="0"/>
    <x v="0"/>
    <x v="12"/>
    <x v="1"/>
    <x v="1"/>
    <n v="0"/>
  </r>
  <r>
    <x v="0"/>
    <x v="6"/>
    <x v="0"/>
    <x v="0"/>
    <x v="12"/>
    <x v="1"/>
    <x v="2"/>
    <n v="0"/>
  </r>
  <r>
    <x v="0"/>
    <x v="6"/>
    <x v="0"/>
    <x v="0"/>
    <x v="12"/>
    <x v="1"/>
    <x v="3"/>
    <n v="0"/>
  </r>
  <r>
    <x v="0"/>
    <x v="6"/>
    <x v="0"/>
    <x v="0"/>
    <x v="12"/>
    <x v="1"/>
    <x v="4"/>
    <n v="0"/>
  </r>
  <r>
    <x v="0"/>
    <x v="6"/>
    <x v="0"/>
    <x v="0"/>
    <x v="12"/>
    <x v="1"/>
    <x v="5"/>
    <n v="0"/>
  </r>
  <r>
    <x v="0"/>
    <x v="6"/>
    <x v="0"/>
    <x v="0"/>
    <x v="12"/>
    <x v="1"/>
    <x v="6"/>
    <n v="0"/>
  </r>
  <r>
    <x v="0"/>
    <x v="6"/>
    <x v="0"/>
    <x v="0"/>
    <x v="13"/>
    <x v="1"/>
    <x v="0"/>
    <n v="0"/>
  </r>
  <r>
    <x v="0"/>
    <x v="6"/>
    <x v="0"/>
    <x v="0"/>
    <x v="13"/>
    <x v="1"/>
    <x v="1"/>
    <n v="0"/>
  </r>
  <r>
    <x v="0"/>
    <x v="6"/>
    <x v="0"/>
    <x v="0"/>
    <x v="13"/>
    <x v="1"/>
    <x v="2"/>
    <n v="0"/>
  </r>
  <r>
    <x v="0"/>
    <x v="6"/>
    <x v="0"/>
    <x v="0"/>
    <x v="13"/>
    <x v="1"/>
    <x v="3"/>
    <n v="0"/>
  </r>
  <r>
    <x v="0"/>
    <x v="6"/>
    <x v="0"/>
    <x v="0"/>
    <x v="13"/>
    <x v="1"/>
    <x v="4"/>
    <n v="0"/>
  </r>
  <r>
    <x v="0"/>
    <x v="6"/>
    <x v="0"/>
    <x v="0"/>
    <x v="13"/>
    <x v="1"/>
    <x v="5"/>
    <n v="0"/>
  </r>
  <r>
    <x v="0"/>
    <x v="6"/>
    <x v="0"/>
    <x v="0"/>
    <x v="13"/>
    <x v="1"/>
    <x v="6"/>
    <n v="0"/>
  </r>
  <r>
    <x v="0"/>
    <x v="6"/>
    <x v="0"/>
    <x v="2"/>
    <x v="14"/>
    <x v="1"/>
    <x v="0"/>
    <n v="0"/>
  </r>
  <r>
    <x v="0"/>
    <x v="6"/>
    <x v="0"/>
    <x v="2"/>
    <x v="14"/>
    <x v="1"/>
    <x v="1"/>
    <n v="0"/>
  </r>
  <r>
    <x v="0"/>
    <x v="6"/>
    <x v="0"/>
    <x v="2"/>
    <x v="14"/>
    <x v="1"/>
    <x v="2"/>
    <n v="0"/>
  </r>
  <r>
    <x v="0"/>
    <x v="6"/>
    <x v="0"/>
    <x v="2"/>
    <x v="14"/>
    <x v="1"/>
    <x v="3"/>
    <n v="0"/>
  </r>
  <r>
    <x v="0"/>
    <x v="6"/>
    <x v="0"/>
    <x v="2"/>
    <x v="14"/>
    <x v="1"/>
    <x v="4"/>
    <n v="0"/>
  </r>
  <r>
    <x v="0"/>
    <x v="6"/>
    <x v="0"/>
    <x v="2"/>
    <x v="14"/>
    <x v="1"/>
    <x v="5"/>
    <n v="0"/>
  </r>
  <r>
    <x v="0"/>
    <x v="6"/>
    <x v="0"/>
    <x v="2"/>
    <x v="14"/>
    <x v="1"/>
    <x v="6"/>
    <n v="0"/>
  </r>
  <r>
    <x v="0"/>
    <x v="6"/>
    <x v="0"/>
    <x v="2"/>
    <x v="15"/>
    <x v="1"/>
    <x v="0"/>
    <n v="0"/>
  </r>
  <r>
    <x v="0"/>
    <x v="6"/>
    <x v="0"/>
    <x v="2"/>
    <x v="15"/>
    <x v="1"/>
    <x v="1"/>
    <n v="0"/>
  </r>
  <r>
    <x v="0"/>
    <x v="6"/>
    <x v="0"/>
    <x v="2"/>
    <x v="15"/>
    <x v="1"/>
    <x v="2"/>
    <n v="0"/>
  </r>
  <r>
    <x v="0"/>
    <x v="6"/>
    <x v="0"/>
    <x v="2"/>
    <x v="15"/>
    <x v="1"/>
    <x v="3"/>
    <n v="0"/>
  </r>
  <r>
    <x v="0"/>
    <x v="6"/>
    <x v="0"/>
    <x v="2"/>
    <x v="15"/>
    <x v="1"/>
    <x v="4"/>
    <n v="0"/>
  </r>
  <r>
    <x v="0"/>
    <x v="6"/>
    <x v="0"/>
    <x v="2"/>
    <x v="15"/>
    <x v="1"/>
    <x v="5"/>
    <n v="0"/>
  </r>
  <r>
    <x v="0"/>
    <x v="6"/>
    <x v="0"/>
    <x v="2"/>
    <x v="15"/>
    <x v="1"/>
    <x v="6"/>
    <n v="0"/>
  </r>
  <r>
    <x v="0"/>
    <x v="6"/>
    <x v="0"/>
    <x v="2"/>
    <x v="16"/>
    <x v="1"/>
    <x v="0"/>
    <n v="0"/>
  </r>
  <r>
    <x v="0"/>
    <x v="6"/>
    <x v="0"/>
    <x v="2"/>
    <x v="16"/>
    <x v="1"/>
    <x v="1"/>
    <n v="0"/>
  </r>
  <r>
    <x v="0"/>
    <x v="6"/>
    <x v="0"/>
    <x v="2"/>
    <x v="16"/>
    <x v="1"/>
    <x v="2"/>
    <n v="0"/>
  </r>
  <r>
    <x v="0"/>
    <x v="6"/>
    <x v="0"/>
    <x v="2"/>
    <x v="16"/>
    <x v="1"/>
    <x v="3"/>
    <n v="0"/>
  </r>
  <r>
    <x v="0"/>
    <x v="6"/>
    <x v="0"/>
    <x v="2"/>
    <x v="16"/>
    <x v="1"/>
    <x v="4"/>
    <n v="0"/>
  </r>
  <r>
    <x v="0"/>
    <x v="6"/>
    <x v="0"/>
    <x v="2"/>
    <x v="16"/>
    <x v="1"/>
    <x v="5"/>
    <n v="0"/>
  </r>
  <r>
    <x v="0"/>
    <x v="6"/>
    <x v="0"/>
    <x v="2"/>
    <x v="16"/>
    <x v="1"/>
    <x v="6"/>
    <n v="0"/>
  </r>
  <r>
    <x v="0"/>
    <x v="6"/>
    <x v="0"/>
    <x v="0"/>
    <x v="17"/>
    <x v="1"/>
    <x v="0"/>
    <n v="0"/>
  </r>
  <r>
    <x v="0"/>
    <x v="6"/>
    <x v="0"/>
    <x v="0"/>
    <x v="17"/>
    <x v="1"/>
    <x v="1"/>
    <n v="0"/>
  </r>
  <r>
    <x v="0"/>
    <x v="6"/>
    <x v="0"/>
    <x v="0"/>
    <x v="17"/>
    <x v="1"/>
    <x v="2"/>
    <n v="0"/>
  </r>
  <r>
    <x v="0"/>
    <x v="6"/>
    <x v="0"/>
    <x v="0"/>
    <x v="17"/>
    <x v="1"/>
    <x v="3"/>
    <n v="0"/>
  </r>
  <r>
    <x v="0"/>
    <x v="6"/>
    <x v="0"/>
    <x v="0"/>
    <x v="17"/>
    <x v="1"/>
    <x v="4"/>
    <n v="0"/>
  </r>
  <r>
    <x v="0"/>
    <x v="6"/>
    <x v="0"/>
    <x v="0"/>
    <x v="17"/>
    <x v="1"/>
    <x v="5"/>
    <n v="0"/>
  </r>
  <r>
    <x v="0"/>
    <x v="6"/>
    <x v="0"/>
    <x v="0"/>
    <x v="17"/>
    <x v="1"/>
    <x v="6"/>
    <n v="0"/>
  </r>
  <r>
    <x v="0"/>
    <x v="6"/>
    <x v="0"/>
    <x v="2"/>
    <x v="18"/>
    <x v="1"/>
    <x v="0"/>
    <n v="0"/>
  </r>
  <r>
    <x v="0"/>
    <x v="6"/>
    <x v="0"/>
    <x v="2"/>
    <x v="18"/>
    <x v="1"/>
    <x v="1"/>
    <n v="0"/>
  </r>
  <r>
    <x v="0"/>
    <x v="6"/>
    <x v="0"/>
    <x v="2"/>
    <x v="18"/>
    <x v="1"/>
    <x v="2"/>
    <n v="0"/>
  </r>
  <r>
    <x v="0"/>
    <x v="6"/>
    <x v="0"/>
    <x v="2"/>
    <x v="18"/>
    <x v="1"/>
    <x v="3"/>
    <n v="0"/>
  </r>
  <r>
    <x v="0"/>
    <x v="6"/>
    <x v="0"/>
    <x v="2"/>
    <x v="18"/>
    <x v="1"/>
    <x v="4"/>
    <n v="0"/>
  </r>
  <r>
    <x v="0"/>
    <x v="6"/>
    <x v="0"/>
    <x v="2"/>
    <x v="18"/>
    <x v="1"/>
    <x v="5"/>
    <n v="0"/>
  </r>
  <r>
    <x v="0"/>
    <x v="6"/>
    <x v="0"/>
    <x v="2"/>
    <x v="18"/>
    <x v="1"/>
    <x v="6"/>
    <n v="0"/>
  </r>
  <r>
    <x v="0"/>
    <x v="6"/>
    <x v="1"/>
    <x v="3"/>
    <x v="19"/>
    <x v="1"/>
    <x v="0"/>
    <n v="0"/>
  </r>
  <r>
    <x v="0"/>
    <x v="6"/>
    <x v="1"/>
    <x v="3"/>
    <x v="19"/>
    <x v="1"/>
    <x v="1"/>
    <n v="0"/>
  </r>
  <r>
    <x v="0"/>
    <x v="6"/>
    <x v="1"/>
    <x v="3"/>
    <x v="19"/>
    <x v="1"/>
    <x v="2"/>
    <n v="0"/>
  </r>
  <r>
    <x v="0"/>
    <x v="6"/>
    <x v="1"/>
    <x v="3"/>
    <x v="19"/>
    <x v="1"/>
    <x v="3"/>
    <n v="0"/>
  </r>
  <r>
    <x v="0"/>
    <x v="6"/>
    <x v="1"/>
    <x v="3"/>
    <x v="19"/>
    <x v="1"/>
    <x v="4"/>
    <n v="0"/>
  </r>
  <r>
    <x v="0"/>
    <x v="6"/>
    <x v="1"/>
    <x v="3"/>
    <x v="19"/>
    <x v="1"/>
    <x v="5"/>
    <n v="0"/>
  </r>
  <r>
    <x v="0"/>
    <x v="6"/>
    <x v="1"/>
    <x v="3"/>
    <x v="19"/>
    <x v="1"/>
    <x v="6"/>
    <n v="0"/>
  </r>
  <r>
    <x v="0"/>
    <x v="6"/>
    <x v="1"/>
    <x v="3"/>
    <x v="20"/>
    <x v="1"/>
    <x v="0"/>
    <n v="0"/>
  </r>
  <r>
    <x v="0"/>
    <x v="6"/>
    <x v="1"/>
    <x v="3"/>
    <x v="20"/>
    <x v="1"/>
    <x v="1"/>
    <n v="0"/>
  </r>
  <r>
    <x v="0"/>
    <x v="6"/>
    <x v="1"/>
    <x v="3"/>
    <x v="20"/>
    <x v="1"/>
    <x v="2"/>
    <n v="0"/>
  </r>
  <r>
    <x v="0"/>
    <x v="6"/>
    <x v="1"/>
    <x v="3"/>
    <x v="20"/>
    <x v="1"/>
    <x v="3"/>
    <n v="0"/>
  </r>
  <r>
    <x v="0"/>
    <x v="6"/>
    <x v="1"/>
    <x v="3"/>
    <x v="20"/>
    <x v="1"/>
    <x v="4"/>
    <n v="0"/>
  </r>
  <r>
    <x v="0"/>
    <x v="6"/>
    <x v="1"/>
    <x v="3"/>
    <x v="20"/>
    <x v="1"/>
    <x v="5"/>
    <n v="0"/>
  </r>
  <r>
    <x v="0"/>
    <x v="6"/>
    <x v="1"/>
    <x v="3"/>
    <x v="20"/>
    <x v="1"/>
    <x v="6"/>
    <n v="0"/>
  </r>
  <r>
    <x v="0"/>
    <x v="6"/>
    <x v="1"/>
    <x v="3"/>
    <x v="21"/>
    <x v="1"/>
    <x v="0"/>
    <n v="0"/>
  </r>
  <r>
    <x v="0"/>
    <x v="6"/>
    <x v="1"/>
    <x v="3"/>
    <x v="21"/>
    <x v="1"/>
    <x v="1"/>
    <n v="0"/>
  </r>
  <r>
    <x v="0"/>
    <x v="6"/>
    <x v="1"/>
    <x v="3"/>
    <x v="21"/>
    <x v="1"/>
    <x v="2"/>
    <n v="0"/>
  </r>
  <r>
    <x v="0"/>
    <x v="6"/>
    <x v="1"/>
    <x v="3"/>
    <x v="21"/>
    <x v="1"/>
    <x v="3"/>
    <n v="0"/>
  </r>
  <r>
    <x v="0"/>
    <x v="6"/>
    <x v="1"/>
    <x v="3"/>
    <x v="21"/>
    <x v="1"/>
    <x v="4"/>
    <n v="0"/>
  </r>
  <r>
    <x v="0"/>
    <x v="6"/>
    <x v="1"/>
    <x v="3"/>
    <x v="21"/>
    <x v="1"/>
    <x v="5"/>
    <n v="0"/>
  </r>
  <r>
    <x v="0"/>
    <x v="6"/>
    <x v="1"/>
    <x v="3"/>
    <x v="21"/>
    <x v="1"/>
    <x v="6"/>
    <n v="0"/>
  </r>
  <r>
    <x v="0"/>
    <x v="6"/>
    <x v="1"/>
    <x v="3"/>
    <x v="22"/>
    <x v="1"/>
    <x v="0"/>
    <n v="0"/>
  </r>
  <r>
    <x v="0"/>
    <x v="6"/>
    <x v="1"/>
    <x v="3"/>
    <x v="22"/>
    <x v="1"/>
    <x v="1"/>
    <n v="0"/>
  </r>
  <r>
    <x v="0"/>
    <x v="6"/>
    <x v="1"/>
    <x v="3"/>
    <x v="22"/>
    <x v="1"/>
    <x v="2"/>
    <n v="0"/>
  </r>
  <r>
    <x v="0"/>
    <x v="6"/>
    <x v="1"/>
    <x v="3"/>
    <x v="22"/>
    <x v="1"/>
    <x v="3"/>
    <n v="0"/>
  </r>
  <r>
    <x v="0"/>
    <x v="6"/>
    <x v="1"/>
    <x v="3"/>
    <x v="22"/>
    <x v="1"/>
    <x v="4"/>
    <n v="0"/>
  </r>
  <r>
    <x v="0"/>
    <x v="6"/>
    <x v="1"/>
    <x v="3"/>
    <x v="22"/>
    <x v="1"/>
    <x v="5"/>
    <n v="0"/>
  </r>
  <r>
    <x v="0"/>
    <x v="6"/>
    <x v="1"/>
    <x v="3"/>
    <x v="22"/>
    <x v="1"/>
    <x v="6"/>
    <n v="0"/>
  </r>
  <r>
    <x v="0"/>
    <x v="6"/>
    <x v="1"/>
    <x v="3"/>
    <x v="23"/>
    <x v="1"/>
    <x v="0"/>
    <n v="0"/>
  </r>
  <r>
    <x v="0"/>
    <x v="6"/>
    <x v="1"/>
    <x v="3"/>
    <x v="23"/>
    <x v="1"/>
    <x v="1"/>
    <n v="0"/>
  </r>
  <r>
    <x v="0"/>
    <x v="6"/>
    <x v="1"/>
    <x v="3"/>
    <x v="23"/>
    <x v="1"/>
    <x v="2"/>
    <n v="0"/>
  </r>
  <r>
    <x v="0"/>
    <x v="6"/>
    <x v="1"/>
    <x v="3"/>
    <x v="23"/>
    <x v="1"/>
    <x v="3"/>
    <n v="0"/>
  </r>
  <r>
    <x v="0"/>
    <x v="6"/>
    <x v="1"/>
    <x v="3"/>
    <x v="23"/>
    <x v="1"/>
    <x v="4"/>
    <n v="0"/>
  </r>
  <r>
    <x v="0"/>
    <x v="6"/>
    <x v="1"/>
    <x v="3"/>
    <x v="23"/>
    <x v="1"/>
    <x v="5"/>
    <n v="0"/>
  </r>
  <r>
    <x v="0"/>
    <x v="6"/>
    <x v="1"/>
    <x v="3"/>
    <x v="23"/>
    <x v="1"/>
    <x v="6"/>
    <n v="0"/>
  </r>
  <r>
    <x v="0"/>
    <x v="6"/>
    <x v="1"/>
    <x v="3"/>
    <x v="24"/>
    <x v="1"/>
    <x v="0"/>
    <n v="0"/>
  </r>
  <r>
    <x v="0"/>
    <x v="6"/>
    <x v="1"/>
    <x v="3"/>
    <x v="24"/>
    <x v="1"/>
    <x v="1"/>
    <n v="0"/>
  </r>
  <r>
    <x v="0"/>
    <x v="6"/>
    <x v="1"/>
    <x v="3"/>
    <x v="24"/>
    <x v="1"/>
    <x v="2"/>
    <n v="0"/>
  </r>
  <r>
    <x v="0"/>
    <x v="6"/>
    <x v="1"/>
    <x v="3"/>
    <x v="24"/>
    <x v="1"/>
    <x v="3"/>
    <n v="0"/>
  </r>
  <r>
    <x v="0"/>
    <x v="6"/>
    <x v="1"/>
    <x v="3"/>
    <x v="24"/>
    <x v="1"/>
    <x v="4"/>
    <n v="0"/>
  </r>
  <r>
    <x v="0"/>
    <x v="6"/>
    <x v="1"/>
    <x v="3"/>
    <x v="24"/>
    <x v="1"/>
    <x v="5"/>
    <n v="0"/>
  </r>
  <r>
    <x v="0"/>
    <x v="6"/>
    <x v="1"/>
    <x v="3"/>
    <x v="24"/>
    <x v="1"/>
    <x v="6"/>
    <n v="0"/>
  </r>
  <r>
    <x v="0"/>
    <x v="6"/>
    <x v="1"/>
    <x v="3"/>
    <x v="25"/>
    <x v="1"/>
    <x v="0"/>
    <n v="0"/>
  </r>
  <r>
    <x v="0"/>
    <x v="6"/>
    <x v="1"/>
    <x v="3"/>
    <x v="25"/>
    <x v="1"/>
    <x v="1"/>
    <n v="0"/>
  </r>
  <r>
    <x v="0"/>
    <x v="6"/>
    <x v="1"/>
    <x v="3"/>
    <x v="25"/>
    <x v="1"/>
    <x v="2"/>
    <n v="0"/>
  </r>
  <r>
    <x v="0"/>
    <x v="6"/>
    <x v="1"/>
    <x v="3"/>
    <x v="25"/>
    <x v="1"/>
    <x v="3"/>
    <n v="0"/>
  </r>
  <r>
    <x v="0"/>
    <x v="6"/>
    <x v="1"/>
    <x v="3"/>
    <x v="25"/>
    <x v="1"/>
    <x v="4"/>
    <n v="0"/>
  </r>
  <r>
    <x v="0"/>
    <x v="6"/>
    <x v="1"/>
    <x v="3"/>
    <x v="25"/>
    <x v="1"/>
    <x v="5"/>
    <n v="0"/>
  </r>
  <r>
    <x v="0"/>
    <x v="6"/>
    <x v="1"/>
    <x v="3"/>
    <x v="25"/>
    <x v="1"/>
    <x v="6"/>
    <n v="0"/>
  </r>
  <r>
    <x v="0"/>
    <x v="6"/>
    <x v="2"/>
    <x v="4"/>
    <x v="26"/>
    <x v="1"/>
    <x v="0"/>
    <n v="0"/>
  </r>
  <r>
    <x v="0"/>
    <x v="6"/>
    <x v="2"/>
    <x v="4"/>
    <x v="26"/>
    <x v="1"/>
    <x v="1"/>
    <n v="0"/>
  </r>
  <r>
    <x v="0"/>
    <x v="6"/>
    <x v="2"/>
    <x v="4"/>
    <x v="26"/>
    <x v="1"/>
    <x v="2"/>
    <n v="0"/>
  </r>
  <r>
    <x v="0"/>
    <x v="6"/>
    <x v="2"/>
    <x v="4"/>
    <x v="26"/>
    <x v="1"/>
    <x v="3"/>
    <n v="0"/>
  </r>
  <r>
    <x v="0"/>
    <x v="6"/>
    <x v="2"/>
    <x v="4"/>
    <x v="26"/>
    <x v="1"/>
    <x v="4"/>
    <n v="0"/>
  </r>
  <r>
    <x v="0"/>
    <x v="6"/>
    <x v="2"/>
    <x v="4"/>
    <x v="26"/>
    <x v="1"/>
    <x v="5"/>
    <n v="0"/>
  </r>
  <r>
    <x v="0"/>
    <x v="6"/>
    <x v="2"/>
    <x v="4"/>
    <x v="26"/>
    <x v="1"/>
    <x v="6"/>
    <n v="0"/>
  </r>
  <r>
    <x v="0"/>
    <x v="6"/>
    <x v="2"/>
    <x v="4"/>
    <x v="27"/>
    <x v="1"/>
    <x v="0"/>
    <n v="123562.20231400004"/>
  </r>
  <r>
    <x v="0"/>
    <x v="6"/>
    <x v="2"/>
    <x v="4"/>
    <x v="27"/>
    <x v="1"/>
    <x v="1"/>
    <n v="196677.02340000001"/>
  </r>
  <r>
    <x v="0"/>
    <x v="6"/>
    <x v="2"/>
    <x v="4"/>
    <x v="27"/>
    <x v="1"/>
    <x v="2"/>
    <n v="251647.42777777775"/>
  </r>
  <r>
    <x v="0"/>
    <x v="6"/>
    <x v="2"/>
    <x v="4"/>
    <x v="27"/>
    <x v="1"/>
    <x v="3"/>
    <n v="345307.28823529417"/>
  </r>
  <r>
    <x v="0"/>
    <x v="6"/>
    <x v="2"/>
    <x v="4"/>
    <x v="27"/>
    <x v="1"/>
    <x v="4"/>
    <n v="405941.71500000003"/>
  </r>
  <r>
    <x v="0"/>
    <x v="6"/>
    <x v="2"/>
    <x v="4"/>
    <x v="27"/>
    <x v="1"/>
    <x v="5"/>
    <n v="452504.516"/>
  </r>
  <r>
    <x v="0"/>
    <x v="6"/>
    <x v="2"/>
    <x v="4"/>
    <x v="27"/>
    <x v="1"/>
    <x v="6"/>
    <n v="472031.29600000003"/>
  </r>
  <r>
    <x v="0"/>
    <x v="6"/>
    <x v="2"/>
    <x v="4"/>
    <x v="28"/>
    <x v="1"/>
    <x v="0"/>
    <n v="2894.3920349999994"/>
  </r>
  <r>
    <x v="0"/>
    <x v="6"/>
    <x v="2"/>
    <x v="4"/>
    <x v="28"/>
    <x v="1"/>
    <x v="1"/>
    <n v="4160.5363157894744"/>
  </r>
  <r>
    <x v="0"/>
    <x v="6"/>
    <x v="2"/>
    <x v="4"/>
    <x v="28"/>
    <x v="1"/>
    <x v="2"/>
    <n v="6267.9283333333333"/>
  </r>
  <r>
    <x v="0"/>
    <x v="6"/>
    <x v="2"/>
    <x v="4"/>
    <x v="28"/>
    <x v="1"/>
    <x v="3"/>
    <n v="9838.3000000000029"/>
  </r>
  <r>
    <x v="0"/>
    <x v="6"/>
    <x v="2"/>
    <x v="4"/>
    <x v="28"/>
    <x v="1"/>
    <x v="4"/>
    <n v="15384.197500000002"/>
  </r>
  <r>
    <x v="0"/>
    <x v="6"/>
    <x v="2"/>
    <x v="4"/>
    <x v="28"/>
    <x v="1"/>
    <x v="5"/>
    <n v="19024.330666666665"/>
  </r>
  <r>
    <x v="0"/>
    <x v="6"/>
    <x v="2"/>
    <x v="4"/>
    <x v="28"/>
    <x v="1"/>
    <x v="6"/>
    <n v="22350.422000000002"/>
  </r>
  <r>
    <x v="0"/>
    <x v="6"/>
    <x v="2"/>
    <x v="4"/>
    <x v="29"/>
    <x v="1"/>
    <x v="0"/>
    <n v="186536.72905938001"/>
  </r>
  <r>
    <x v="0"/>
    <x v="6"/>
    <x v="2"/>
    <x v="4"/>
    <x v="29"/>
    <x v="1"/>
    <x v="1"/>
    <n v="249442.531624692"/>
  </r>
  <r>
    <x v="0"/>
    <x v="6"/>
    <x v="2"/>
    <x v="4"/>
    <x v="29"/>
    <x v="1"/>
    <x v="2"/>
    <n v="348538.08774364792"/>
  </r>
  <r>
    <x v="0"/>
    <x v="6"/>
    <x v="2"/>
    <x v="4"/>
    <x v="29"/>
    <x v="1"/>
    <x v="3"/>
    <n v="365265.01533814502"/>
  </r>
  <r>
    <x v="0"/>
    <x v="6"/>
    <x v="2"/>
    <x v="4"/>
    <x v="29"/>
    <x v="1"/>
    <x v="4"/>
    <n v="479026.35821011959"/>
  </r>
  <r>
    <x v="0"/>
    <x v="6"/>
    <x v="2"/>
    <x v="4"/>
    <x v="29"/>
    <x v="1"/>
    <x v="5"/>
    <n v="618577.60944896645"/>
  </r>
  <r>
    <x v="0"/>
    <x v="6"/>
    <x v="2"/>
    <x v="4"/>
    <x v="29"/>
    <x v="1"/>
    <x v="6"/>
    <n v="691592.93297818187"/>
  </r>
  <r>
    <x v="0"/>
    <x v="6"/>
    <x v="3"/>
    <x v="5"/>
    <x v="30"/>
    <x v="1"/>
    <x v="0"/>
    <n v="0"/>
  </r>
  <r>
    <x v="0"/>
    <x v="6"/>
    <x v="3"/>
    <x v="5"/>
    <x v="30"/>
    <x v="1"/>
    <x v="1"/>
    <n v="0"/>
  </r>
  <r>
    <x v="0"/>
    <x v="6"/>
    <x v="3"/>
    <x v="5"/>
    <x v="30"/>
    <x v="1"/>
    <x v="2"/>
    <n v="0"/>
  </r>
  <r>
    <x v="0"/>
    <x v="6"/>
    <x v="3"/>
    <x v="5"/>
    <x v="30"/>
    <x v="1"/>
    <x v="3"/>
    <n v="0"/>
  </r>
  <r>
    <x v="0"/>
    <x v="6"/>
    <x v="3"/>
    <x v="5"/>
    <x v="30"/>
    <x v="1"/>
    <x v="4"/>
    <n v="0"/>
  </r>
  <r>
    <x v="0"/>
    <x v="6"/>
    <x v="3"/>
    <x v="5"/>
    <x v="30"/>
    <x v="1"/>
    <x v="5"/>
    <n v="0"/>
  </r>
  <r>
    <x v="0"/>
    <x v="6"/>
    <x v="3"/>
    <x v="5"/>
    <x v="30"/>
    <x v="1"/>
    <x v="6"/>
    <n v="0"/>
  </r>
  <r>
    <x v="0"/>
    <x v="6"/>
    <x v="2"/>
    <x v="4"/>
    <x v="31"/>
    <x v="1"/>
    <x v="0"/>
    <n v="0"/>
  </r>
  <r>
    <x v="0"/>
    <x v="6"/>
    <x v="2"/>
    <x v="4"/>
    <x v="31"/>
    <x v="1"/>
    <x v="1"/>
    <n v="0"/>
  </r>
  <r>
    <x v="0"/>
    <x v="6"/>
    <x v="2"/>
    <x v="4"/>
    <x v="31"/>
    <x v="1"/>
    <x v="2"/>
    <n v="0"/>
  </r>
  <r>
    <x v="0"/>
    <x v="6"/>
    <x v="2"/>
    <x v="4"/>
    <x v="31"/>
    <x v="1"/>
    <x v="3"/>
    <n v="0"/>
  </r>
  <r>
    <x v="0"/>
    <x v="6"/>
    <x v="2"/>
    <x v="4"/>
    <x v="31"/>
    <x v="1"/>
    <x v="4"/>
    <n v="0"/>
  </r>
  <r>
    <x v="0"/>
    <x v="6"/>
    <x v="2"/>
    <x v="4"/>
    <x v="31"/>
    <x v="1"/>
    <x v="5"/>
    <n v="0"/>
  </r>
  <r>
    <x v="0"/>
    <x v="6"/>
    <x v="2"/>
    <x v="4"/>
    <x v="31"/>
    <x v="1"/>
    <x v="6"/>
    <n v="0"/>
  </r>
  <r>
    <x v="0"/>
    <x v="6"/>
    <x v="2"/>
    <x v="4"/>
    <x v="32"/>
    <x v="1"/>
    <x v="0"/>
    <n v="0"/>
  </r>
  <r>
    <x v="0"/>
    <x v="6"/>
    <x v="2"/>
    <x v="4"/>
    <x v="32"/>
    <x v="1"/>
    <x v="1"/>
    <n v="0"/>
  </r>
  <r>
    <x v="0"/>
    <x v="6"/>
    <x v="2"/>
    <x v="4"/>
    <x v="32"/>
    <x v="1"/>
    <x v="2"/>
    <n v="0"/>
  </r>
  <r>
    <x v="0"/>
    <x v="6"/>
    <x v="2"/>
    <x v="4"/>
    <x v="32"/>
    <x v="1"/>
    <x v="3"/>
    <n v="0"/>
  </r>
  <r>
    <x v="0"/>
    <x v="6"/>
    <x v="2"/>
    <x v="4"/>
    <x v="32"/>
    <x v="1"/>
    <x v="4"/>
    <n v="0"/>
  </r>
  <r>
    <x v="0"/>
    <x v="6"/>
    <x v="2"/>
    <x v="4"/>
    <x v="32"/>
    <x v="1"/>
    <x v="5"/>
    <n v="0"/>
  </r>
  <r>
    <x v="0"/>
    <x v="6"/>
    <x v="2"/>
    <x v="4"/>
    <x v="32"/>
    <x v="1"/>
    <x v="6"/>
    <n v="0"/>
  </r>
  <r>
    <x v="0"/>
    <x v="6"/>
    <x v="2"/>
    <x v="4"/>
    <x v="33"/>
    <x v="1"/>
    <x v="0"/>
    <n v="0"/>
  </r>
  <r>
    <x v="0"/>
    <x v="6"/>
    <x v="2"/>
    <x v="4"/>
    <x v="33"/>
    <x v="1"/>
    <x v="1"/>
    <n v="0"/>
  </r>
  <r>
    <x v="0"/>
    <x v="6"/>
    <x v="2"/>
    <x v="4"/>
    <x v="33"/>
    <x v="1"/>
    <x v="2"/>
    <n v="0"/>
  </r>
  <r>
    <x v="0"/>
    <x v="6"/>
    <x v="2"/>
    <x v="4"/>
    <x v="33"/>
    <x v="1"/>
    <x v="3"/>
    <n v="0"/>
  </r>
  <r>
    <x v="0"/>
    <x v="6"/>
    <x v="2"/>
    <x v="4"/>
    <x v="33"/>
    <x v="1"/>
    <x v="4"/>
    <n v="0"/>
  </r>
  <r>
    <x v="0"/>
    <x v="6"/>
    <x v="2"/>
    <x v="4"/>
    <x v="33"/>
    <x v="1"/>
    <x v="5"/>
    <n v="0"/>
  </r>
  <r>
    <x v="0"/>
    <x v="6"/>
    <x v="2"/>
    <x v="4"/>
    <x v="33"/>
    <x v="1"/>
    <x v="6"/>
    <n v="0"/>
  </r>
  <r>
    <x v="0"/>
    <x v="6"/>
    <x v="2"/>
    <x v="4"/>
    <x v="34"/>
    <x v="1"/>
    <x v="0"/>
    <n v="0"/>
  </r>
  <r>
    <x v="0"/>
    <x v="6"/>
    <x v="2"/>
    <x v="4"/>
    <x v="34"/>
    <x v="1"/>
    <x v="1"/>
    <n v="0"/>
  </r>
  <r>
    <x v="0"/>
    <x v="6"/>
    <x v="2"/>
    <x v="4"/>
    <x v="34"/>
    <x v="1"/>
    <x v="2"/>
    <n v="0"/>
  </r>
  <r>
    <x v="0"/>
    <x v="6"/>
    <x v="2"/>
    <x v="4"/>
    <x v="34"/>
    <x v="1"/>
    <x v="3"/>
    <n v="0"/>
  </r>
  <r>
    <x v="0"/>
    <x v="6"/>
    <x v="2"/>
    <x v="4"/>
    <x v="34"/>
    <x v="1"/>
    <x v="4"/>
    <n v="0"/>
  </r>
  <r>
    <x v="0"/>
    <x v="6"/>
    <x v="2"/>
    <x v="4"/>
    <x v="34"/>
    <x v="1"/>
    <x v="5"/>
    <n v="0"/>
  </r>
  <r>
    <x v="0"/>
    <x v="6"/>
    <x v="2"/>
    <x v="4"/>
    <x v="34"/>
    <x v="1"/>
    <x v="6"/>
    <n v="0"/>
  </r>
  <r>
    <x v="0"/>
    <x v="6"/>
    <x v="2"/>
    <x v="6"/>
    <x v="35"/>
    <x v="1"/>
    <x v="0"/>
    <n v="0"/>
  </r>
  <r>
    <x v="0"/>
    <x v="6"/>
    <x v="2"/>
    <x v="6"/>
    <x v="35"/>
    <x v="1"/>
    <x v="1"/>
    <n v="0"/>
  </r>
  <r>
    <x v="0"/>
    <x v="6"/>
    <x v="2"/>
    <x v="6"/>
    <x v="35"/>
    <x v="1"/>
    <x v="2"/>
    <n v="0"/>
  </r>
  <r>
    <x v="0"/>
    <x v="6"/>
    <x v="2"/>
    <x v="6"/>
    <x v="35"/>
    <x v="1"/>
    <x v="3"/>
    <n v="0"/>
  </r>
  <r>
    <x v="0"/>
    <x v="6"/>
    <x v="2"/>
    <x v="6"/>
    <x v="35"/>
    <x v="1"/>
    <x v="4"/>
    <n v="0"/>
  </r>
  <r>
    <x v="0"/>
    <x v="6"/>
    <x v="2"/>
    <x v="6"/>
    <x v="35"/>
    <x v="1"/>
    <x v="5"/>
    <n v="0"/>
  </r>
  <r>
    <x v="0"/>
    <x v="6"/>
    <x v="2"/>
    <x v="6"/>
    <x v="35"/>
    <x v="1"/>
    <x v="6"/>
    <n v="0"/>
  </r>
  <r>
    <x v="0"/>
    <x v="6"/>
    <x v="2"/>
    <x v="6"/>
    <x v="36"/>
    <x v="1"/>
    <x v="0"/>
    <n v="0"/>
  </r>
  <r>
    <x v="0"/>
    <x v="6"/>
    <x v="2"/>
    <x v="6"/>
    <x v="36"/>
    <x v="1"/>
    <x v="1"/>
    <n v="0"/>
  </r>
  <r>
    <x v="0"/>
    <x v="6"/>
    <x v="2"/>
    <x v="6"/>
    <x v="36"/>
    <x v="1"/>
    <x v="2"/>
    <n v="0"/>
  </r>
  <r>
    <x v="0"/>
    <x v="6"/>
    <x v="2"/>
    <x v="6"/>
    <x v="36"/>
    <x v="1"/>
    <x v="3"/>
    <n v="0"/>
  </r>
  <r>
    <x v="0"/>
    <x v="6"/>
    <x v="2"/>
    <x v="6"/>
    <x v="36"/>
    <x v="1"/>
    <x v="4"/>
    <n v="0"/>
  </r>
  <r>
    <x v="0"/>
    <x v="6"/>
    <x v="2"/>
    <x v="6"/>
    <x v="36"/>
    <x v="1"/>
    <x v="5"/>
    <n v="0"/>
  </r>
  <r>
    <x v="0"/>
    <x v="6"/>
    <x v="2"/>
    <x v="6"/>
    <x v="36"/>
    <x v="1"/>
    <x v="6"/>
    <n v="0"/>
  </r>
  <r>
    <x v="0"/>
    <x v="6"/>
    <x v="2"/>
    <x v="6"/>
    <x v="37"/>
    <x v="1"/>
    <x v="0"/>
    <n v="0"/>
  </r>
  <r>
    <x v="0"/>
    <x v="6"/>
    <x v="2"/>
    <x v="6"/>
    <x v="37"/>
    <x v="1"/>
    <x v="1"/>
    <n v="0"/>
  </r>
  <r>
    <x v="0"/>
    <x v="6"/>
    <x v="2"/>
    <x v="6"/>
    <x v="37"/>
    <x v="1"/>
    <x v="2"/>
    <n v="0"/>
  </r>
  <r>
    <x v="0"/>
    <x v="6"/>
    <x v="2"/>
    <x v="6"/>
    <x v="37"/>
    <x v="1"/>
    <x v="3"/>
    <n v="0"/>
  </r>
  <r>
    <x v="0"/>
    <x v="6"/>
    <x v="2"/>
    <x v="6"/>
    <x v="37"/>
    <x v="1"/>
    <x v="4"/>
    <n v="0"/>
  </r>
  <r>
    <x v="0"/>
    <x v="6"/>
    <x v="2"/>
    <x v="6"/>
    <x v="37"/>
    <x v="1"/>
    <x v="5"/>
    <n v="0"/>
  </r>
  <r>
    <x v="0"/>
    <x v="6"/>
    <x v="2"/>
    <x v="6"/>
    <x v="37"/>
    <x v="1"/>
    <x v="6"/>
    <n v="0"/>
  </r>
  <r>
    <x v="0"/>
    <x v="6"/>
    <x v="2"/>
    <x v="6"/>
    <x v="38"/>
    <x v="1"/>
    <x v="0"/>
    <n v="0"/>
  </r>
  <r>
    <x v="0"/>
    <x v="6"/>
    <x v="2"/>
    <x v="6"/>
    <x v="38"/>
    <x v="1"/>
    <x v="1"/>
    <n v="0"/>
  </r>
  <r>
    <x v="0"/>
    <x v="6"/>
    <x v="2"/>
    <x v="6"/>
    <x v="38"/>
    <x v="1"/>
    <x v="2"/>
    <n v="0"/>
  </r>
  <r>
    <x v="0"/>
    <x v="6"/>
    <x v="2"/>
    <x v="6"/>
    <x v="38"/>
    <x v="1"/>
    <x v="3"/>
    <n v="0"/>
  </r>
  <r>
    <x v="0"/>
    <x v="6"/>
    <x v="2"/>
    <x v="6"/>
    <x v="38"/>
    <x v="1"/>
    <x v="4"/>
    <n v="0"/>
  </r>
  <r>
    <x v="0"/>
    <x v="6"/>
    <x v="2"/>
    <x v="6"/>
    <x v="38"/>
    <x v="1"/>
    <x v="5"/>
    <n v="0"/>
  </r>
  <r>
    <x v="0"/>
    <x v="6"/>
    <x v="2"/>
    <x v="6"/>
    <x v="38"/>
    <x v="1"/>
    <x v="6"/>
    <n v="0"/>
  </r>
  <r>
    <x v="0"/>
    <x v="6"/>
    <x v="3"/>
    <x v="5"/>
    <x v="39"/>
    <x v="1"/>
    <x v="0"/>
    <n v="0"/>
  </r>
  <r>
    <x v="0"/>
    <x v="6"/>
    <x v="3"/>
    <x v="5"/>
    <x v="39"/>
    <x v="1"/>
    <x v="1"/>
    <n v="0"/>
  </r>
  <r>
    <x v="0"/>
    <x v="6"/>
    <x v="3"/>
    <x v="5"/>
    <x v="39"/>
    <x v="1"/>
    <x v="2"/>
    <n v="0"/>
  </r>
  <r>
    <x v="0"/>
    <x v="6"/>
    <x v="3"/>
    <x v="5"/>
    <x v="39"/>
    <x v="1"/>
    <x v="3"/>
    <n v="0"/>
  </r>
  <r>
    <x v="0"/>
    <x v="6"/>
    <x v="3"/>
    <x v="5"/>
    <x v="39"/>
    <x v="1"/>
    <x v="4"/>
    <n v="0"/>
  </r>
  <r>
    <x v="0"/>
    <x v="6"/>
    <x v="3"/>
    <x v="5"/>
    <x v="39"/>
    <x v="1"/>
    <x v="5"/>
    <n v="0"/>
  </r>
  <r>
    <x v="0"/>
    <x v="6"/>
    <x v="3"/>
    <x v="5"/>
    <x v="39"/>
    <x v="1"/>
    <x v="6"/>
    <n v="0"/>
  </r>
  <r>
    <x v="0"/>
    <x v="6"/>
    <x v="2"/>
    <x v="6"/>
    <x v="40"/>
    <x v="1"/>
    <x v="0"/>
    <n v="0"/>
  </r>
  <r>
    <x v="0"/>
    <x v="6"/>
    <x v="2"/>
    <x v="6"/>
    <x v="40"/>
    <x v="1"/>
    <x v="1"/>
    <n v="0"/>
  </r>
  <r>
    <x v="0"/>
    <x v="6"/>
    <x v="2"/>
    <x v="6"/>
    <x v="40"/>
    <x v="1"/>
    <x v="2"/>
    <n v="0"/>
  </r>
  <r>
    <x v="0"/>
    <x v="6"/>
    <x v="2"/>
    <x v="6"/>
    <x v="40"/>
    <x v="1"/>
    <x v="3"/>
    <n v="0"/>
  </r>
  <r>
    <x v="0"/>
    <x v="6"/>
    <x v="2"/>
    <x v="6"/>
    <x v="40"/>
    <x v="1"/>
    <x v="4"/>
    <n v="0"/>
  </r>
  <r>
    <x v="0"/>
    <x v="6"/>
    <x v="2"/>
    <x v="6"/>
    <x v="40"/>
    <x v="1"/>
    <x v="5"/>
    <n v="0"/>
  </r>
  <r>
    <x v="0"/>
    <x v="6"/>
    <x v="2"/>
    <x v="6"/>
    <x v="40"/>
    <x v="1"/>
    <x v="6"/>
    <n v="0"/>
  </r>
  <r>
    <x v="0"/>
    <x v="6"/>
    <x v="2"/>
    <x v="6"/>
    <x v="41"/>
    <x v="1"/>
    <x v="0"/>
    <n v="0"/>
  </r>
  <r>
    <x v="0"/>
    <x v="6"/>
    <x v="2"/>
    <x v="6"/>
    <x v="41"/>
    <x v="1"/>
    <x v="1"/>
    <n v="0"/>
  </r>
  <r>
    <x v="0"/>
    <x v="6"/>
    <x v="2"/>
    <x v="6"/>
    <x v="41"/>
    <x v="1"/>
    <x v="2"/>
    <n v="0"/>
  </r>
  <r>
    <x v="0"/>
    <x v="6"/>
    <x v="2"/>
    <x v="6"/>
    <x v="41"/>
    <x v="1"/>
    <x v="3"/>
    <n v="0"/>
  </r>
  <r>
    <x v="0"/>
    <x v="6"/>
    <x v="2"/>
    <x v="6"/>
    <x v="41"/>
    <x v="1"/>
    <x v="4"/>
    <n v="0"/>
  </r>
  <r>
    <x v="0"/>
    <x v="6"/>
    <x v="2"/>
    <x v="6"/>
    <x v="41"/>
    <x v="1"/>
    <x v="5"/>
    <n v="0"/>
  </r>
  <r>
    <x v="0"/>
    <x v="6"/>
    <x v="2"/>
    <x v="6"/>
    <x v="41"/>
    <x v="1"/>
    <x v="6"/>
    <n v="0"/>
  </r>
  <r>
    <x v="0"/>
    <x v="6"/>
    <x v="2"/>
    <x v="6"/>
    <x v="42"/>
    <x v="1"/>
    <x v="0"/>
    <n v="0"/>
  </r>
  <r>
    <x v="0"/>
    <x v="6"/>
    <x v="2"/>
    <x v="6"/>
    <x v="42"/>
    <x v="1"/>
    <x v="1"/>
    <n v="0"/>
  </r>
  <r>
    <x v="0"/>
    <x v="6"/>
    <x v="2"/>
    <x v="6"/>
    <x v="42"/>
    <x v="1"/>
    <x v="2"/>
    <n v="0"/>
  </r>
  <r>
    <x v="0"/>
    <x v="6"/>
    <x v="2"/>
    <x v="6"/>
    <x v="42"/>
    <x v="1"/>
    <x v="3"/>
    <n v="0"/>
  </r>
  <r>
    <x v="0"/>
    <x v="6"/>
    <x v="2"/>
    <x v="6"/>
    <x v="42"/>
    <x v="1"/>
    <x v="4"/>
    <n v="0"/>
  </r>
  <r>
    <x v="0"/>
    <x v="6"/>
    <x v="2"/>
    <x v="6"/>
    <x v="42"/>
    <x v="1"/>
    <x v="5"/>
    <n v="0"/>
  </r>
  <r>
    <x v="0"/>
    <x v="6"/>
    <x v="2"/>
    <x v="6"/>
    <x v="42"/>
    <x v="1"/>
    <x v="6"/>
    <n v="0"/>
  </r>
  <r>
    <x v="0"/>
    <x v="6"/>
    <x v="2"/>
    <x v="6"/>
    <x v="43"/>
    <x v="1"/>
    <x v="0"/>
    <n v="0"/>
  </r>
  <r>
    <x v="0"/>
    <x v="6"/>
    <x v="2"/>
    <x v="6"/>
    <x v="43"/>
    <x v="1"/>
    <x v="1"/>
    <n v="0"/>
  </r>
  <r>
    <x v="0"/>
    <x v="6"/>
    <x v="2"/>
    <x v="6"/>
    <x v="43"/>
    <x v="1"/>
    <x v="2"/>
    <n v="0"/>
  </r>
  <r>
    <x v="0"/>
    <x v="6"/>
    <x v="2"/>
    <x v="6"/>
    <x v="43"/>
    <x v="1"/>
    <x v="3"/>
    <n v="0"/>
  </r>
  <r>
    <x v="0"/>
    <x v="6"/>
    <x v="2"/>
    <x v="6"/>
    <x v="43"/>
    <x v="1"/>
    <x v="4"/>
    <n v="0"/>
  </r>
  <r>
    <x v="0"/>
    <x v="6"/>
    <x v="2"/>
    <x v="6"/>
    <x v="43"/>
    <x v="1"/>
    <x v="5"/>
    <n v="0"/>
  </r>
  <r>
    <x v="0"/>
    <x v="6"/>
    <x v="2"/>
    <x v="6"/>
    <x v="43"/>
    <x v="1"/>
    <x v="6"/>
    <n v="0"/>
  </r>
  <r>
    <x v="0"/>
    <x v="3"/>
    <x v="4"/>
    <x v="7"/>
    <x v="61"/>
    <x v="1"/>
    <x v="0"/>
    <n v="0"/>
  </r>
  <r>
    <x v="0"/>
    <x v="3"/>
    <x v="4"/>
    <x v="7"/>
    <x v="61"/>
    <x v="1"/>
    <x v="1"/>
    <n v="0"/>
  </r>
  <r>
    <x v="0"/>
    <x v="3"/>
    <x v="4"/>
    <x v="7"/>
    <x v="61"/>
    <x v="1"/>
    <x v="2"/>
    <n v="0"/>
  </r>
  <r>
    <x v="0"/>
    <x v="3"/>
    <x v="4"/>
    <x v="7"/>
    <x v="61"/>
    <x v="1"/>
    <x v="3"/>
    <n v="0"/>
  </r>
  <r>
    <x v="0"/>
    <x v="3"/>
    <x v="4"/>
    <x v="7"/>
    <x v="61"/>
    <x v="1"/>
    <x v="4"/>
    <n v="0"/>
  </r>
  <r>
    <x v="0"/>
    <x v="3"/>
    <x v="4"/>
    <x v="7"/>
    <x v="61"/>
    <x v="1"/>
    <x v="5"/>
    <n v="0"/>
  </r>
  <r>
    <x v="0"/>
    <x v="3"/>
    <x v="4"/>
    <x v="7"/>
    <x v="61"/>
    <x v="1"/>
    <x v="6"/>
    <n v="0"/>
  </r>
  <r>
    <x v="0"/>
    <x v="3"/>
    <x v="4"/>
    <x v="7"/>
    <x v="62"/>
    <x v="1"/>
    <x v="0"/>
    <n v="0"/>
  </r>
  <r>
    <x v="0"/>
    <x v="3"/>
    <x v="4"/>
    <x v="7"/>
    <x v="62"/>
    <x v="1"/>
    <x v="1"/>
    <n v="0"/>
  </r>
  <r>
    <x v="0"/>
    <x v="3"/>
    <x v="4"/>
    <x v="7"/>
    <x v="62"/>
    <x v="1"/>
    <x v="2"/>
    <n v="0"/>
  </r>
  <r>
    <x v="0"/>
    <x v="3"/>
    <x v="4"/>
    <x v="7"/>
    <x v="62"/>
    <x v="1"/>
    <x v="3"/>
    <n v="0"/>
  </r>
  <r>
    <x v="0"/>
    <x v="3"/>
    <x v="4"/>
    <x v="7"/>
    <x v="62"/>
    <x v="1"/>
    <x v="4"/>
    <n v="0"/>
  </r>
  <r>
    <x v="0"/>
    <x v="3"/>
    <x v="4"/>
    <x v="7"/>
    <x v="62"/>
    <x v="1"/>
    <x v="5"/>
    <n v="0"/>
  </r>
  <r>
    <x v="0"/>
    <x v="3"/>
    <x v="4"/>
    <x v="7"/>
    <x v="62"/>
    <x v="1"/>
    <x v="6"/>
    <n v="0"/>
  </r>
  <r>
    <x v="0"/>
    <x v="3"/>
    <x v="4"/>
    <x v="7"/>
    <x v="63"/>
    <x v="1"/>
    <x v="0"/>
    <n v="0"/>
  </r>
  <r>
    <x v="0"/>
    <x v="3"/>
    <x v="4"/>
    <x v="7"/>
    <x v="63"/>
    <x v="1"/>
    <x v="1"/>
    <n v="0"/>
  </r>
  <r>
    <x v="0"/>
    <x v="3"/>
    <x v="4"/>
    <x v="7"/>
    <x v="63"/>
    <x v="1"/>
    <x v="2"/>
    <n v="0"/>
  </r>
  <r>
    <x v="0"/>
    <x v="3"/>
    <x v="4"/>
    <x v="7"/>
    <x v="63"/>
    <x v="1"/>
    <x v="3"/>
    <n v="0"/>
  </r>
  <r>
    <x v="0"/>
    <x v="3"/>
    <x v="4"/>
    <x v="7"/>
    <x v="63"/>
    <x v="1"/>
    <x v="4"/>
    <n v="0"/>
  </r>
  <r>
    <x v="0"/>
    <x v="3"/>
    <x v="4"/>
    <x v="7"/>
    <x v="63"/>
    <x v="1"/>
    <x v="5"/>
    <n v="0"/>
  </r>
  <r>
    <x v="0"/>
    <x v="3"/>
    <x v="4"/>
    <x v="7"/>
    <x v="63"/>
    <x v="1"/>
    <x v="6"/>
    <n v="0"/>
  </r>
  <r>
    <x v="0"/>
    <x v="3"/>
    <x v="4"/>
    <x v="7"/>
    <x v="64"/>
    <x v="1"/>
    <x v="0"/>
    <n v="2.7134748825707378E-2"/>
  </r>
  <r>
    <x v="0"/>
    <x v="3"/>
    <x v="4"/>
    <x v="7"/>
    <x v="64"/>
    <x v="1"/>
    <x v="1"/>
    <n v="0.10133375257424503"/>
  </r>
  <r>
    <x v="0"/>
    <x v="3"/>
    <x v="4"/>
    <x v="7"/>
    <x v="64"/>
    <x v="1"/>
    <x v="2"/>
    <n v="0.35702992685570428"/>
  </r>
  <r>
    <x v="0"/>
    <x v="3"/>
    <x v="4"/>
    <x v="7"/>
    <x v="64"/>
    <x v="1"/>
    <x v="3"/>
    <n v="1.3097208234449702"/>
  </r>
  <r>
    <x v="0"/>
    <x v="3"/>
    <x v="4"/>
    <x v="7"/>
    <x v="64"/>
    <x v="1"/>
    <x v="4"/>
    <n v="4.6751639459701373"/>
  </r>
  <r>
    <x v="0"/>
    <x v="3"/>
    <x v="4"/>
    <x v="7"/>
    <x v="64"/>
    <x v="1"/>
    <x v="5"/>
    <n v="14.04762581022031"/>
  </r>
  <r>
    <x v="0"/>
    <x v="3"/>
    <x v="4"/>
    <x v="7"/>
    <x v="64"/>
    <x v="1"/>
    <x v="6"/>
    <n v="37.667966030270172"/>
  </r>
  <r>
    <x v="0"/>
    <x v="6"/>
    <x v="4"/>
    <x v="7"/>
    <x v="44"/>
    <x v="1"/>
    <x v="0"/>
    <n v="0"/>
  </r>
  <r>
    <x v="0"/>
    <x v="6"/>
    <x v="4"/>
    <x v="7"/>
    <x v="44"/>
    <x v="1"/>
    <x v="1"/>
    <n v="0"/>
  </r>
  <r>
    <x v="0"/>
    <x v="6"/>
    <x v="4"/>
    <x v="7"/>
    <x v="44"/>
    <x v="1"/>
    <x v="2"/>
    <n v="0"/>
  </r>
  <r>
    <x v="0"/>
    <x v="6"/>
    <x v="4"/>
    <x v="7"/>
    <x v="44"/>
    <x v="1"/>
    <x v="3"/>
    <n v="0"/>
  </r>
  <r>
    <x v="0"/>
    <x v="6"/>
    <x v="4"/>
    <x v="7"/>
    <x v="44"/>
    <x v="1"/>
    <x v="4"/>
    <n v="0"/>
  </r>
  <r>
    <x v="0"/>
    <x v="6"/>
    <x v="4"/>
    <x v="7"/>
    <x v="44"/>
    <x v="1"/>
    <x v="5"/>
    <n v="0"/>
  </r>
  <r>
    <x v="0"/>
    <x v="6"/>
    <x v="4"/>
    <x v="7"/>
    <x v="44"/>
    <x v="1"/>
    <x v="6"/>
    <n v="0"/>
  </r>
  <r>
    <x v="0"/>
    <x v="6"/>
    <x v="4"/>
    <x v="7"/>
    <x v="45"/>
    <x v="1"/>
    <x v="0"/>
    <n v="0"/>
  </r>
  <r>
    <x v="0"/>
    <x v="6"/>
    <x v="4"/>
    <x v="7"/>
    <x v="45"/>
    <x v="1"/>
    <x v="1"/>
    <n v="0"/>
  </r>
  <r>
    <x v="0"/>
    <x v="6"/>
    <x v="4"/>
    <x v="7"/>
    <x v="45"/>
    <x v="1"/>
    <x v="2"/>
    <n v="0"/>
  </r>
  <r>
    <x v="0"/>
    <x v="6"/>
    <x v="4"/>
    <x v="7"/>
    <x v="45"/>
    <x v="1"/>
    <x v="3"/>
    <n v="0"/>
  </r>
  <r>
    <x v="0"/>
    <x v="6"/>
    <x v="4"/>
    <x v="7"/>
    <x v="45"/>
    <x v="1"/>
    <x v="4"/>
    <n v="0"/>
  </r>
  <r>
    <x v="0"/>
    <x v="6"/>
    <x v="4"/>
    <x v="7"/>
    <x v="45"/>
    <x v="1"/>
    <x v="5"/>
    <n v="0"/>
  </r>
  <r>
    <x v="0"/>
    <x v="6"/>
    <x v="4"/>
    <x v="7"/>
    <x v="45"/>
    <x v="1"/>
    <x v="6"/>
    <n v="0"/>
  </r>
  <r>
    <x v="0"/>
    <x v="6"/>
    <x v="4"/>
    <x v="7"/>
    <x v="46"/>
    <x v="1"/>
    <x v="0"/>
    <n v="0"/>
  </r>
  <r>
    <x v="0"/>
    <x v="6"/>
    <x v="4"/>
    <x v="7"/>
    <x v="46"/>
    <x v="1"/>
    <x v="1"/>
    <n v="0"/>
  </r>
  <r>
    <x v="0"/>
    <x v="6"/>
    <x v="4"/>
    <x v="7"/>
    <x v="46"/>
    <x v="1"/>
    <x v="2"/>
    <n v="0"/>
  </r>
  <r>
    <x v="0"/>
    <x v="6"/>
    <x v="4"/>
    <x v="7"/>
    <x v="46"/>
    <x v="1"/>
    <x v="3"/>
    <n v="0"/>
  </r>
  <r>
    <x v="0"/>
    <x v="6"/>
    <x v="4"/>
    <x v="7"/>
    <x v="46"/>
    <x v="1"/>
    <x v="4"/>
    <n v="0"/>
  </r>
  <r>
    <x v="0"/>
    <x v="6"/>
    <x v="4"/>
    <x v="7"/>
    <x v="46"/>
    <x v="1"/>
    <x v="5"/>
    <n v="0"/>
  </r>
  <r>
    <x v="0"/>
    <x v="6"/>
    <x v="4"/>
    <x v="7"/>
    <x v="46"/>
    <x v="1"/>
    <x v="6"/>
    <n v="0"/>
  </r>
  <r>
    <x v="0"/>
    <x v="6"/>
    <x v="5"/>
    <x v="8"/>
    <x v="51"/>
    <x v="1"/>
    <x v="0"/>
    <n v="0"/>
  </r>
  <r>
    <x v="0"/>
    <x v="6"/>
    <x v="5"/>
    <x v="8"/>
    <x v="51"/>
    <x v="1"/>
    <x v="1"/>
    <n v="0"/>
  </r>
  <r>
    <x v="0"/>
    <x v="6"/>
    <x v="5"/>
    <x v="8"/>
    <x v="51"/>
    <x v="1"/>
    <x v="2"/>
    <n v="0"/>
  </r>
  <r>
    <x v="0"/>
    <x v="6"/>
    <x v="5"/>
    <x v="8"/>
    <x v="51"/>
    <x v="1"/>
    <x v="3"/>
    <n v="0"/>
  </r>
  <r>
    <x v="0"/>
    <x v="6"/>
    <x v="5"/>
    <x v="8"/>
    <x v="51"/>
    <x v="1"/>
    <x v="4"/>
    <n v="0"/>
  </r>
  <r>
    <x v="0"/>
    <x v="6"/>
    <x v="5"/>
    <x v="8"/>
    <x v="51"/>
    <x v="1"/>
    <x v="5"/>
    <n v="0"/>
  </r>
  <r>
    <x v="0"/>
    <x v="6"/>
    <x v="5"/>
    <x v="8"/>
    <x v="51"/>
    <x v="1"/>
    <x v="6"/>
    <n v="0"/>
  </r>
  <r>
    <x v="0"/>
    <x v="6"/>
    <x v="3"/>
    <x v="5"/>
    <x v="52"/>
    <x v="1"/>
    <x v="0"/>
    <n v="0"/>
  </r>
  <r>
    <x v="0"/>
    <x v="6"/>
    <x v="3"/>
    <x v="5"/>
    <x v="52"/>
    <x v="1"/>
    <x v="1"/>
    <n v="0"/>
  </r>
  <r>
    <x v="0"/>
    <x v="6"/>
    <x v="3"/>
    <x v="5"/>
    <x v="52"/>
    <x v="1"/>
    <x v="2"/>
    <n v="0"/>
  </r>
  <r>
    <x v="0"/>
    <x v="6"/>
    <x v="3"/>
    <x v="5"/>
    <x v="52"/>
    <x v="1"/>
    <x v="3"/>
    <n v="0"/>
  </r>
  <r>
    <x v="0"/>
    <x v="6"/>
    <x v="3"/>
    <x v="5"/>
    <x v="52"/>
    <x v="1"/>
    <x v="4"/>
    <n v="0"/>
  </r>
  <r>
    <x v="0"/>
    <x v="6"/>
    <x v="3"/>
    <x v="5"/>
    <x v="52"/>
    <x v="1"/>
    <x v="5"/>
    <n v="0"/>
  </r>
  <r>
    <x v="0"/>
    <x v="6"/>
    <x v="3"/>
    <x v="5"/>
    <x v="52"/>
    <x v="1"/>
    <x v="6"/>
    <n v="0"/>
  </r>
  <r>
    <x v="0"/>
    <x v="6"/>
    <x v="5"/>
    <x v="8"/>
    <x v="53"/>
    <x v="1"/>
    <x v="0"/>
    <n v="0"/>
  </r>
  <r>
    <x v="0"/>
    <x v="6"/>
    <x v="5"/>
    <x v="8"/>
    <x v="53"/>
    <x v="1"/>
    <x v="1"/>
    <n v="0"/>
  </r>
  <r>
    <x v="0"/>
    <x v="6"/>
    <x v="5"/>
    <x v="8"/>
    <x v="53"/>
    <x v="1"/>
    <x v="2"/>
    <n v="0"/>
  </r>
  <r>
    <x v="0"/>
    <x v="6"/>
    <x v="5"/>
    <x v="8"/>
    <x v="53"/>
    <x v="1"/>
    <x v="3"/>
    <n v="0"/>
  </r>
  <r>
    <x v="0"/>
    <x v="6"/>
    <x v="5"/>
    <x v="8"/>
    <x v="53"/>
    <x v="1"/>
    <x v="4"/>
    <n v="0"/>
  </r>
  <r>
    <x v="0"/>
    <x v="6"/>
    <x v="5"/>
    <x v="8"/>
    <x v="53"/>
    <x v="1"/>
    <x v="5"/>
    <n v="0"/>
  </r>
  <r>
    <x v="0"/>
    <x v="6"/>
    <x v="5"/>
    <x v="8"/>
    <x v="53"/>
    <x v="1"/>
    <x v="6"/>
    <n v="0"/>
  </r>
  <r>
    <x v="0"/>
    <x v="6"/>
    <x v="4"/>
    <x v="7"/>
    <x v="47"/>
    <x v="1"/>
    <x v="0"/>
    <n v="0"/>
  </r>
  <r>
    <x v="0"/>
    <x v="6"/>
    <x v="4"/>
    <x v="7"/>
    <x v="47"/>
    <x v="1"/>
    <x v="1"/>
    <n v="0"/>
  </r>
  <r>
    <x v="0"/>
    <x v="6"/>
    <x v="4"/>
    <x v="7"/>
    <x v="47"/>
    <x v="1"/>
    <x v="2"/>
    <n v="0"/>
  </r>
  <r>
    <x v="0"/>
    <x v="6"/>
    <x v="4"/>
    <x v="7"/>
    <x v="47"/>
    <x v="1"/>
    <x v="3"/>
    <n v="0"/>
  </r>
  <r>
    <x v="0"/>
    <x v="6"/>
    <x v="4"/>
    <x v="7"/>
    <x v="47"/>
    <x v="1"/>
    <x v="4"/>
    <n v="0"/>
  </r>
  <r>
    <x v="0"/>
    <x v="6"/>
    <x v="4"/>
    <x v="7"/>
    <x v="47"/>
    <x v="1"/>
    <x v="5"/>
    <n v="0"/>
  </r>
  <r>
    <x v="0"/>
    <x v="6"/>
    <x v="4"/>
    <x v="7"/>
    <x v="47"/>
    <x v="1"/>
    <x v="6"/>
    <n v="0"/>
  </r>
  <r>
    <x v="0"/>
    <x v="6"/>
    <x v="4"/>
    <x v="7"/>
    <x v="48"/>
    <x v="1"/>
    <x v="0"/>
    <n v="0"/>
  </r>
  <r>
    <x v="0"/>
    <x v="6"/>
    <x v="4"/>
    <x v="7"/>
    <x v="48"/>
    <x v="1"/>
    <x v="1"/>
    <n v="0"/>
  </r>
  <r>
    <x v="0"/>
    <x v="6"/>
    <x v="4"/>
    <x v="7"/>
    <x v="48"/>
    <x v="1"/>
    <x v="2"/>
    <n v="0"/>
  </r>
  <r>
    <x v="0"/>
    <x v="6"/>
    <x v="4"/>
    <x v="7"/>
    <x v="48"/>
    <x v="1"/>
    <x v="3"/>
    <n v="0"/>
  </r>
  <r>
    <x v="0"/>
    <x v="6"/>
    <x v="4"/>
    <x v="7"/>
    <x v="48"/>
    <x v="1"/>
    <x v="4"/>
    <n v="0"/>
  </r>
  <r>
    <x v="0"/>
    <x v="6"/>
    <x v="4"/>
    <x v="7"/>
    <x v="48"/>
    <x v="1"/>
    <x v="5"/>
    <n v="0"/>
  </r>
  <r>
    <x v="0"/>
    <x v="6"/>
    <x v="4"/>
    <x v="7"/>
    <x v="48"/>
    <x v="1"/>
    <x v="6"/>
    <n v="0"/>
  </r>
  <r>
    <x v="0"/>
    <x v="6"/>
    <x v="4"/>
    <x v="7"/>
    <x v="49"/>
    <x v="1"/>
    <x v="0"/>
    <n v="0"/>
  </r>
  <r>
    <x v="0"/>
    <x v="6"/>
    <x v="4"/>
    <x v="7"/>
    <x v="49"/>
    <x v="1"/>
    <x v="1"/>
    <n v="0"/>
  </r>
  <r>
    <x v="0"/>
    <x v="6"/>
    <x v="4"/>
    <x v="7"/>
    <x v="49"/>
    <x v="1"/>
    <x v="2"/>
    <n v="0"/>
  </r>
  <r>
    <x v="0"/>
    <x v="6"/>
    <x v="4"/>
    <x v="7"/>
    <x v="49"/>
    <x v="1"/>
    <x v="3"/>
    <n v="0"/>
  </r>
  <r>
    <x v="0"/>
    <x v="6"/>
    <x v="4"/>
    <x v="7"/>
    <x v="49"/>
    <x v="1"/>
    <x v="4"/>
    <n v="0"/>
  </r>
  <r>
    <x v="0"/>
    <x v="6"/>
    <x v="4"/>
    <x v="7"/>
    <x v="49"/>
    <x v="1"/>
    <x v="5"/>
    <n v="0"/>
  </r>
  <r>
    <x v="0"/>
    <x v="6"/>
    <x v="4"/>
    <x v="7"/>
    <x v="49"/>
    <x v="1"/>
    <x v="6"/>
    <n v="0"/>
  </r>
  <r>
    <x v="0"/>
    <x v="6"/>
    <x v="4"/>
    <x v="7"/>
    <x v="50"/>
    <x v="1"/>
    <x v="0"/>
    <n v="0"/>
  </r>
  <r>
    <x v="0"/>
    <x v="6"/>
    <x v="4"/>
    <x v="7"/>
    <x v="50"/>
    <x v="1"/>
    <x v="1"/>
    <n v="0"/>
  </r>
  <r>
    <x v="0"/>
    <x v="6"/>
    <x v="4"/>
    <x v="7"/>
    <x v="50"/>
    <x v="1"/>
    <x v="2"/>
    <n v="0"/>
  </r>
  <r>
    <x v="0"/>
    <x v="6"/>
    <x v="4"/>
    <x v="7"/>
    <x v="50"/>
    <x v="1"/>
    <x v="3"/>
    <n v="0"/>
  </r>
  <r>
    <x v="0"/>
    <x v="6"/>
    <x v="4"/>
    <x v="7"/>
    <x v="50"/>
    <x v="1"/>
    <x v="4"/>
    <n v="0"/>
  </r>
  <r>
    <x v="0"/>
    <x v="6"/>
    <x v="4"/>
    <x v="7"/>
    <x v="50"/>
    <x v="1"/>
    <x v="5"/>
    <n v="0"/>
  </r>
  <r>
    <x v="0"/>
    <x v="6"/>
    <x v="4"/>
    <x v="7"/>
    <x v="50"/>
    <x v="1"/>
    <x v="6"/>
    <n v="0"/>
  </r>
  <r>
    <x v="0"/>
    <x v="6"/>
    <x v="4"/>
    <x v="7"/>
    <x v="54"/>
    <x v="1"/>
    <x v="0"/>
    <n v="0"/>
  </r>
  <r>
    <x v="0"/>
    <x v="6"/>
    <x v="4"/>
    <x v="7"/>
    <x v="54"/>
    <x v="1"/>
    <x v="1"/>
    <n v="0"/>
  </r>
  <r>
    <x v="0"/>
    <x v="6"/>
    <x v="4"/>
    <x v="7"/>
    <x v="54"/>
    <x v="1"/>
    <x v="2"/>
    <n v="0"/>
  </r>
  <r>
    <x v="0"/>
    <x v="6"/>
    <x v="4"/>
    <x v="7"/>
    <x v="54"/>
    <x v="1"/>
    <x v="3"/>
    <n v="0"/>
  </r>
  <r>
    <x v="0"/>
    <x v="6"/>
    <x v="4"/>
    <x v="7"/>
    <x v="54"/>
    <x v="1"/>
    <x v="4"/>
    <n v="0"/>
  </r>
  <r>
    <x v="0"/>
    <x v="6"/>
    <x v="4"/>
    <x v="7"/>
    <x v="54"/>
    <x v="1"/>
    <x v="5"/>
    <n v="0"/>
  </r>
  <r>
    <x v="0"/>
    <x v="6"/>
    <x v="4"/>
    <x v="7"/>
    <x v="54"/>
    <x v="1"/>
    <x v="6"/>
    <n v="0"/>
  </r>
  <r>
    <x v="0"/>
    <x v="6"/>
    <x v="4"/>
    <x v="7"/>
    <x v="55"/>
    <x v="1"/>
    <x v="0"/>
    <n v="0"/>
  </r>
  <r>
    <x v="0"/>
    <x v="6"/>
    <x v="4"/>
    <x v="7"/>
    <x v="55"/>
    <x v="1"/>
    <x v="1"/>
    <n v="0"/>
  </r>
  <r>
    <x v="0"/>
    <x v="6"/>
    <x v="4"/>
    <x v="7"/>
    <x v="55"/>
    <x v="1"/>
    <x v="2"/>
    <n v="0"/>
  </r>
  <r>
    <x v="0"/>
    <x v="6"/>
    <x v="4"/>
    <x v="7"/>
    <x v="55"/>
    <x v="1"/>
    <x v="3"/>
    <n v="0"/>
  </r>
  <r>
    <x v="0"/>
    <x v="6"/>
    <x v="4"/>
    <x v="7"/>
    <x v="55"/>
    <x v="1"/>
    <x v="4"/>
    <n v="0"/>
  </r>
  <r>
    <x v="0"/>
    <x v="6"/>
    <x v="4"/>
    <x v="7"/>
    <x v="55"/>
    <x v="1"/>
    <x v="5"/>
    <n v="0"/>
  </r>
  <r>
    <x v="0"/>
    <x v="6"/>
    <x v="4"/>
    <x v="7"/>
    <x v="55"/>
    <x v="1"/>
    <x v="6"/>
    <n v="0"/>
  </r>
  <r>
    <x v="0"/>
    <x v="6"/>
    <x v="4"/>
    <x v="7"/>
    <x v="56"/>
    <x v="1"/>
    <x v="0"/>
    <n v="0"/>
  </r>
  <r>
    <x v="0"/>
    <x v="6"/>
    <x v="4"/>
    <x v="7"/>
    <x v="56"/>
    <x v="1"/>
    <x v="1"/>
    <n v="0"/>
  </r>
  <r>
    <x v="0"/>
    <x v="6"/>
    <x v="4"/>
    <x v="7"/>
    <x v="56"/>
    <x v="1"/>
    <x v="2"/>
    <n v="0"/>
  </r>
  <r>
    <x v="0"/>
    <x v="6"/>
    <x v="4"/>
    <x v="7"/>
    <x v="56"/>
    <x v="1"/>
    <x v="3"/>
    <n v="0"/>
  </r>
  <r>
    <x v="0"/>
    <x v="6"/>
    <x v="4"/>
    <x v="7"/>
    <x v="56"/>
    <x v="1"/>
    <x v="4"/>
    <n v="0"/>
  </r>
  <r>
    <x v="0"/>
    <x v="6"/>
    <x v="4"/>
    <x v="7"/>
    <x v="56"/>
    <x v="1"/>
    <x v="5"/>
    <n v="0"/>
  </r>
  <r>
    <x v="0"/>
    <x v="6"/>
    <x v="4"/>
    <x v="7"/>
    <x v="56"/>
    <x v="1"/>
    <x v="6"/>
    <n v="0"/>
  </r>
  <r>
    <x v="0"/>
    <x v="6"/>
    <x v="4"/>
    <x v="7"/>
    <x v="57"/>
    <x v="1"/>
    <x v="0"/>
    <n v="0"/>
  </r>
  <r>
    <x v="0"/>
    <x v="6"/>
    <x v="4"/>
    <x v="7"/>
    <x v="57"/>
    <x v="1"/>
    <x v="1"/>
    <n v="0"/>
  </r>
  <r>
    <x v="0"/>
    <x v="6"/>
    <x v="4"/>
    <x v="7"/>
    <x v="57"/>
    <x v="1"/>
    <x v="2"/>
    <n v="0"/>
  </r>
  <r>
    <x v="0"/>
    <x v="6"/>
    <x v="4"/>
    <x v="7"/>
    <x v="57"/>
    <x v="1"/>
    <x v="3"/>
    <n v="0"/>
  </r>
  <r>
    <x v="0"/>
    <x v="6"/>
    <x v="4"/>
    <x v="7"/>
    <x v="57"/>
    <x v="1"/>
    <x v="4"/>
    <n v="0"/>
  </r>
  <r>
    <x v="0"/>
    <x v="6"/>
    <x v="4"/>
    <x v="7"/>
    <x v="57"/>
    <x v="1"/>
    <x v="5"/>
    <n v="0"/>
  </r>
  <r>
    <x v="0"/>
    <x v="6"/>
    <x v="4"/>
    <x v="7"/>
    <x v="57"/>
    <x v="1"/>
    <x v="6"/>
    <n v="0"/>
  </r>
  <r>
    <x v="0"/>
    <x v="6"/>
    <x v="4"/>
    <x v="7"/>
    <x v="58"/>
    <x v="1"/>
    <x v="0"/>
    <n v="0"/>
  </r>
  <r>
    <x v="0"/>
    <x v="6"/>
    <x v="4"/>
    <x v="7"/>
    <x v="58"/>
    <x v="1"/>
    <x v="1"/>
    <n v="0"/>
  </r>
  <r>
    <x v="0"/>
    <x v="6"/>
    <x v="4"/>
    <x v="7"/>
    <x v="58"/>
    <x v="1"/>
    <x v="2"/>
    <n v="0"/>
  </r>
  <r>
    <x v="0"/>
    <x v="6"/>
    <x v="4"/>
    <x v="7"/>
    <x v="58"/>
    <x v="1"/>
    <x v="3"/>
    <n v="0"/>
  </r>
  <r>
    <x v="0"/>
    <x v="6"/>
    <x v="4"/>
    <x v="7"/>
    <x v="58"/>
    <x v="1"/>
    <x v="4"/>
    <n v="0"/>
  </r>
  <r>
    <x v="0"/>
    <x v="6"/>
    <x v="4"/>
    <x v="7"/>
    <x v="58"/>
    <x v="1"/>
    <x v="5"/>
    <n v="0"/>
  </r>
  <r>
    <x v="0"/>
    <x v="6"/>
    <x v="4"/>
    <x v="7"/>
    <x v="58"/>
    <x v="1"/>
    <x v="6"/>
    <n v="0"/>
  </r>
  <r>
    <x v="0"/>
    <x v="6"/>
    <x v="4"/>
    <x v="7"/>
    <x v="59"/>
    <x v="1"/>
    <x v="0"/>
    <n v="0"/>
  </r>
  <r>
    <x v="0"/>
    <x v="6"/>
    <x v="4"/>
    <x v="7"/>
    <x v="59"/>
    <x v="1"/>
    <x v="1"/>
    <n v="0"/>
  </r>
  <r>
    <x v="0"/>
    <x v="6"/>
    <x v="4"/>
    <x v="7"/>
    <x v="59"/>
    <x v="1"/>
    <x v="2"/>
    <n v="0"/>
  </r>
  <r>
    <x v="0"/>
    <x v="6"/>
    <x v="4"/>
    <x v="7"/>
    <x v="59"/>
    <x v="1"/>
    <x v="3"/>
    <n v="0"/>
  </r>
  <r>
    <x v="0"/>
    <x v="6"/>
    <x v="4"/>
    <x v="7"/>
    <x v="59"/>
    <x v="1"/>
    <x v="4"/>
    <n v="0"/>
  </r>
  <r>
    <x v="0"/>
    <x v="6"/>
    <x v="4"/>
    <x v="7"/>
    <x v="59"/>
    <x v="1"/>
    <x v="5"/>
    <n v="0"/>
  </r>
  <r>
    <x v="0"/>
    <x v="6"/>
    <x v="4"/>
    <x v="7"/>
    <x v="59"/>
    <x v="1"/>
    <x v="6"/>
    <n v="0"/>
  </r>
  <r>
    <x v="0"/>
    <x v="6"/>
    <x v="4"/>
    <x v="7"/>
    <x v="60"/>
    <x v="1"/>
    <x v="0"/>
    <n v="0"/>
  </r>
  <r>
    <x v="0"/>
    <x v="6"/>
    <x v="4"/>
    <x v="7"/>
    <x v="60"/>
    <x v="1"/>
    <x v="1"/>
    <n v="0"/>
  </r>
  <r>
    <x v="0"/>
    <x v="6"/>
    <x v="4"/>
    <x v="7"/>
    <x v="60"/>
    <x v="1"/>
    <x v="2"/>
    <n v="0"/>
  </r>
  <r>
    <x v="0"/>
    <x v="6"/>
    <x v="4"/>
    <x v="7"/>
    <x v="60"/>
    <x v="1"/>
    <x v="3"/>
    <n v="0"/>
  </r>
  <r>
    <x v="0"/>
    <x v="6"/>
    <x v="4"/>
    <x v="7"/>
    <x v="60"/>
    <x v="1"/>
    <x v="4"/>
    <n v="0"/>
  </r>
  <r>
    <x v="0"/>
    <x v="6"/>
    <x v="4"/>
    <x v="7"/>
    <x v="60"/>
    <x v="1"/>
    <x v="5"/>
    <n v="0"/>
  </r>
  <r>
    <x v="0"/>
    <x v="6"/>
    <x v="4"/>
    <x v="7"/>
    <x v="60"/>
    <x v="1"/>
    <x v="6"/>
    <n v="0"/>
  </r>
  <r>
    <x v="0"/>
    <x v="6"/>
    <x v="3"/>
    <x v="5"/>
    <x v="65"/>
    <x v="1"/>
    <x v="0"/>
    <n v="0"/>
  </r>
  <r>
    <x v="0"/>
    <x v="6"/>
    <x v="3"/>
    <x v="5"/>
    <x v="65"/>
    <x v="1"/>
    <x v="1"/>
    <n v="0"/>
  </r>
  <r>
    <x v="0"/>
    <x v="6"/>
    <x v="3"/>
    <x v="5"/>
    <x v="65"/>
    <x v="1"/>
    <x v="2"/>
    <n v="0"/>
  </r>
  <r>
    <x v="0"/>
    <x v="6"/>
    <x v="3"/>
    <x v="5"/>
    <x v="65"/>
    <x v="1"/>
    <x v="3"/>
    <n v="0"/>
  </r>
  <r>
    <x v="0"/>
    <x v="6"/>
    <x v="3"/>
    <x v="5"/>
    <x v="65"/>
    <x v="1"/>
    <x v="4"/>
    <n v="0"/>
  </r>
  <r>
    <x v="0"/>
    <x v="6"/>
    <x v="3"/>
    <x v="5"/>
    <x v="65"/>
    <x v="1"/>
    <x v="5"/>
    <n v="0"/>
  </r>
  <r>
    <x v="0"/>
    <x v="6"/>
    <x v="3"/>
    <x v="5"/>
    <x v="65"/>
    <x v="1"/>
    <x v="6"/>
    <n v="0"/>
  </r>
  <r>
    <x v="0"/>
    <x v="6"/>
    <x v="3"/>
    <x v="5"/>
    <x v="66"/>
    <x v="1"/>
    <x v="0"/>
    <n v="0"/>
  </r>
  <r>
    <x v="0"/>
    <x v="6"/>
    <x v="3"/>
    <x v="5"/>
    <x v="66"/>
    <x v="1"/>
    <x v="1"/>
    <n v="0"/>
  </r>
  <r>
    <x v="0"/>
    <x v="6"/>
    <x v="3"/>
    <x v="5"/>
    <x v="66"/>
    <x v="1"/>
    <x v="2"/>
    <n v="0"/>
  </r>
  <r>
    <x v="0"/>
    <x v="6"/>
    <x v="3"/>
    <x v="5"/>
    <x v="66"/>
    <x v="1"/>
    <x v="3"/>
    <n v="0"/>
  </r>
  <r>
    <x v="0"/>
    <x v="6"/>
    <x v="3"/>
    <x v="5"/>
    <x v="66"/>
    <x v="1"/>
    <x v="4"/>
    <n v="0"/>
  </r>
  <r>
    <x v="0"/>
    <x v="6"/>
    <x v="3"/>
    <x v="5"/>
    <x v="66"/>
    <x v="1"/>
    <x v="5"/>
    <n v="0"/>
  </r>
  <r>
    <x v="0"/>
    <x v="6"/>
    <x v="3"/>
    <x v="5"/>
    <x v="66"/>
    <x v="1"/>
    <x v="6"/>
    <n v="0"/>
  </r>
  <r>
    <x v="0"/>
    <x v="6"/>
    <x v="3"/>
    <x v="5"/>
    <x v="67"/>
    <x v="1"/>
    <x v="0"/>
    <n v="0"/>
  </r>
  <r>
    <x v="0"/>
    <x v="6"/>
    <x v="3"/>
    <x v="5"/>
    <x v="67"/>
    <x v="1"/>
    <x v="1"/>
    <n v="0"/>
  </r>
  <r>
    <x v="0"/>
    <x v="6"/>
    <x v="3"/>
    <x v="5"/>
    <x v="67"/>
    <x v="1"/>
    <x v="2"/>
    <n v="0"/>
  </r>
  <r>
    <x v="0"/>
    <x v="6"/>
    <x v="3"/>
    <x v="5"/>
    <x v="67"/>
    <x v="1"/>
    <x v="3"/>
    <n v="0"/>
  </r>
  <r>
    <x v="0"/>
    <x v="6"/>
    <x v="3"/>
    <x v="5"/>
    <x v="67"/>
    <x v="1"/>
    <x v="4"/>
    <n v="0"/>
  </r>
  <r>
    <x v="0"/>
    <x v="6"/>
    <x v="3"/>
    <x v="5"/>
    <x v="67"/>
    <x v="1"/>
    <x v="5"/>
    <n v="0"/>
  </r>
  <r>
    <x v="0"/>
    <x v="6"/>
    <x v="3"/>
    <x v="5"/>
    <x v="67"/>
    <x v="1"/>
    <x v="6"/>
    <n v="0"/>
  </r>
  <r>
    <x v="0"/>
    <x v="6"/>
    <x v="3"/>
    <x v="5"/>
    <x v="68"/>
    <x v="1"/>
    <x v="0"/>
    <n v="0"/>
  </r>
  <r>
    <x v="0"/>
    <x v="6"/>
    <x v="3"/>
    <x v="5"/>
    <x v="68"/>
    <x v="1"/>
    <x v="1"/>
    <n v="0"/>
  </r>
  <r>
    <x v="0"/>
    <x v="6"/>
    <x v="3"/>
    <x v="5"/>
    <x v="68"/>
    <x v="1"/>
    <x v="2"/>
    <n v="0"/>
  </r>
  <r>
    <x v="0"/>
    <x v="6"/>
    <x v="3"/>
    <x v="5"/>
    <x v="68"/>
    <x v="1"/>
    <x v="3"/>
    <n v="0"/>
  </r>
  <r>
    <x v="0"/>
    <x v="6"/>
    <x v="3"/>
    <x v="5"/>
    <x v="68"/>
    <x v="1"/>
    <x v="4"/>
    <n v="0"/>
  </r>
  <r>
    <x v="0"/>
    <x v="6"/>
    <x v="3"/>
    <x v="5"/>
    <x v="68"/>
    <x v="1"/>
    <x v="5"/>
    <n v="0"/>
  </r>
  <r>
    <x v="0"/>
    <x v="6"/>
    <x v="3"/>
    <x v="5"/>
    <x v="68"/>
    <x v="1"/>
    <x v="6"/>
    <n v="0"/>
  </r>
  <r>
    <x v="0"/>
    <x v="6"/>
    <x v="3"/>
    <x v="5"/>
    <x v="69"/>
    <x v="1"/>
    <x v="0"/>
    <n v="0"/>
  </r>
  <r>
    <x v="0"/>
    <x v="6"/>
    <x v="3"/>
    <x v="5"/>
    <x v="69"/>
    <x v="1"/>
    <x v="1"/>
    <n v="0"/>
  </r>
  <r>
    <x v="0"/>
    <x v="6"/>
    <x v="3"/>
    <x v="5"/>
    <x v="69"/>
    <x v="1"/>
    <x v="2"/>
    <n v="0"/>
  </r>
  <r>
    <x v="0"/>
    <x v="6"/>
    <x v="3"/>
    <x v="5"/>
    <x v="69"/>
    <x v="1"/>
    <x v="3"/>
    <n v="0"/>
  </r>
  <r>
    <x v="0"/>
    <x v="6"/>
    <x v="3"/>
    <x v="5"/>
    <x v="69"/>
    <x v="1"/>
    <x v="4"/>
    <n v="0"/>
  </r>
  <r>
    <x v="0"/>
    <x v="6"/>
    <x v="3"/>
    <x v="5"/>
    <x v="69"/>
    <x v="1"/>
    <x v="5"/>
    <n v="0"/>
  </r>
  <r>
    <x v="0"/>
    <x v="6"/>
    <x v="3"/>
    <x v="5"/>
    <x v="69"/>
    <x v="1"/>
    <x v="6"/>
    <n v="0"/>
  </r>
  <r>
    <x v="0"/>
    <x v="6"/>
    <x v="3"/>
    <x v="5"/>
    <x v="70"/>
    <x v="1"/>
    <x v="0"/>
    <n v="0"/>
  </r>
  <r>
    <x v="0"/>
    <x v="6"/>
    <x v="3"/>
    <x v="5"/>
    <x v="70"/>
    <x v="1"/>
    <x v="1"/>
    <n v="0"/>
  </r>
  <r>
    <x v="0"/>
    <x v="6"/>
    <x v="3"/>
    <x v="5"/>
    <x v="70"/>
    <x v="1"/>
    <x v="2"/>
    <n v="0"/>
  </r>
  <r>
    <x v="0"/>
    <x v="6"/>
    <x v="3"/>
    <x v="5"/>
    <x v="70"/>
    <x v="1"/>
    <x v="3"/>
    <n v="0"/>
  </r>
  <r>
    <x v="0"/>
    <x v="6"/>
    <x v="3"/>
    <x v="5"/>
    <x v="70"/>
    <x v="1"/>
    <x v="4"/>
    <n v="0"/>
  </r>
  <r>
    <x v="0"/>
    <x v="6"/>
    <x v="3"/>
    <x v="5"/>
    <x v="70"/>
    <x v="1"/>
    <x v="5"/>
    <n v="0"/>
  </r>
  <r>
    <x v="0"/>
    <x v="6"/>
    <x v="3"/>
    <x v="5"/>
    <x v="70"/>
    <x v="1"/>
    <x v="6"/>
    <n v="0"/>
  </r>
  <r>
    <x v="0"/>
    <x v="6"/>
    <x v="3"/>
    <x v="5"/>
    <x v="71"/>
    <x v="1"/>
    <x v="0"/>
    <n v="0"/>
  </r>
  <r>
    <x v="0"/>
    <x v="6"/>
    <x v="3"/>
    <x v="5"/>
    <x v="71"/>
    <x v="1"/>
    <x v="1"/>
    <n v="0"/>
  </r>
  <r>
    <x v="0"/>
    <x v="6"/>
    <x v="3"/>
    <x v="5"/>
    <x v="71"/>
    <x v="1"/>
    <x v="2"/>
    <n v="0"/>
  </r>
  <r>
    <x v="0"/>
    <x v="6"/>
    <x v="3"/>
    <x v="5"/>
    <x v="71"/>
    <x v="1"/>
    <x v="3"/>
    <n v="0"/>
  </r>
  <r>
    <x v="0"/>
    <x v="6"/>
    <x v="3"/>
    <x v="5"/>
    <x v="71"/>
    <x v="1"/>
    <x v="4"/>
    <n v="0"/>
  </r>
  <r>
    <x v="0"/>
    <x v="6"/>
    <x v="3"/>
    <x v="5"/>
    <x v="71"/>
    <x v="1"/>
    <x v="5"/>
    <n v="0"/>
  </r>
  <r>
    <x v="0"/>
    <x v="6"/>
    <x v="3"/>
    <x v="5"/>
    <x v="71"/>
    <x v="1"/>
    <x v="6"/>
    <n v="0"/>
  </r>
  <r>
    <x v="0"/>
    <x v="6"/>
    <x v="3"/>
    <x v="5"/>
    <x v="72"/>
    <x v="1"/>
    <x v="0"/>
    <n v="0"/>
  </r>
  <r>
    <x v="0"/>
    <x v="6"/>
    <x v="3"/>
    <x v="5"/>
    <x v="72"/>
    <x v="1"/>
    <x v="1"/>
    <n v="0"/>
  </r>
  <r>
    <x v="0"/>
    <x v="6"/>
    <x v="3"/>
    <x v="5"/>
    <x v="72"/>
    <x v="1"/>
    <x v="2"/>
    <n v="0"/>
  </r>
  <r>
    <x v="0"/>
    <x v="6"/>
    <x v="3"/>
    <x v="5"/>
    <x v="72"/>
    <x v="1"/>
    <x v="3"/>
    <n v="0"/>
  </r>
  <r>
    <x v="0"/>
    <x v="6"/>
    <x v="3"/>
    <x v="5"/>
    <x v="72"/>
    <x v="1"/>
    <x v="4"/>
    <n v="0"/>
  </r>
  <r>
    <x v="0"/>
    <x v="6"/>
    <x v="3"/>
    <x v="5"/>
    <x v="72"/>
    <x v="1"/>
    <x v="5"/>
    <n v="0"/>
  </r>
  <r>
    <x v="0"/>
    <x v="6"/>
    <x v="3"/>
    <x v="5"/>
    <x v="72"/>
    <x v="1"/>
    <x v="6"/>
    <n v="0"/>
  </r>
  <r>
    <x v="0"/>
    <x v="6"/>
    <x v="3"/>
    <x v="5"/>
    <x v="73"/>
    <x v="1"/>
    <x v="0"/>
    <n v="0"/>
  </r>
  <r>
    <x v="0"/>
    <x v="6"/>
    <x v="3"/>
    <x v="5"/>
    <x v="73"/>
    <x v="1"/>
    <x v="1"/>
    <n v="0"/>
  </r>
  <r>
    <x v="0"/>
    <x v="6"/>
    <x v="3"/>
    <x v="5"/>
    <x v="73"/>
    <x v="1"/>
    <x v="2"/>
    <n v="0"/>
  </r>
  <r>
    <x v="0"/>
    <x v="6"/>
    <x v="3"/>
    <x v="5"/>
    <x v="73"/>
    <x v="1"/>
    <x v="3"/>
    <n v="0"/>
  </r>
  <r>
    <x v="0"/>
    <x v="6"/>
    <x v="3"/>
    <x v="5"/>
    <x v="73"/>
    <x v="1"/>
    <x v="4"/>
    <n v="0"/>
  </r>
  <r>
    <x v="0"/>
    <x v="6"/>
    <x v="3"/>
    <x v="5"/>
    <x v="73"/>
    <x v="1"/>
    <x v="5"/>
    <n v="0"/>
  </r>
  <r>
    <x v="0"/>
    <x v="6"/>
    <x v="3"/>
    <x v="5"/>
    <x v="73"/>
    <x v="1"/>
    <x v="6"/>
    <n v="0"/>
  </r>
  <r>
    <x v="0"/>
    <x v="6"/>
    <x v="5"/>
    <x v="8"/>
    <x v="74"/>
    <x v="1"/>
    <x v="0"/>
    <n v="0"/>
  </r>
  <r>
    <x v="0"/>
    <x v="6"/>
    <x v="5"/>
    <x v="8"/>
    <x v="74"/>
    <x v="1"/>
    <x v="1"/>
    <n v="0"/>
  </r>
  <r>
    <x v="0"/>
    <x v="6"/>
    <x v="5"/>
    <x v="8"/>
    <x v="74"/>
    <x v="1"/>
    <x v="2"/>
    <n v="0"/>
  </r>
  <r>
    <x v="0"/>
    <x v="6"/>
    <x v="5"/>
    <x v="8"/>
    <x v="74"/>
    <x v="1"/>
    <x v="3"/>
    <n v="0"/>
  </r>
  <r>
    <x v="0"/>
    <x v="6"/>
    <x v="5"/>
    <x v="8"/>
    <x v="74"/>
    <x v="1"/>
    <x v="4"/>
    <n v="0"/>
  </r>
  <r>
    <x v="0"/>
    <x v="6"/>
    <x v="5"/>
    <x v="8"/>
    <x v="74"/>
    <x v="1"/>
    <x v="5"/>
    <n v="0"/>
  </r>
  <r>
    <x v="0"/>
    <x v="6"/>
    <x v="5"/>
    <x v="8"/>
    <x v="74"/>
    <x v="1"/>
    <x v="6"/>
    <n v="0"/>
  </r>
  <r>
    <x v="0"/>
    <x v="6"/>
    <x v="5"/>
    <x v="8"/>
    <x v="75"/>
    <x v="1"/>
    <x v="0"/>
    <n v="0"/>
  </r>
  <r>
    <x v="0"/>
    <x v="6"/>
    <x v="5"/>
    <x v="8"/>
    <x v="75"/>
    <x v="1"/>
    <x v="1"/>
    <n v="0"/>
  </r>
  <r>
    <x v="0"/>
    <x v="6"/>
    <x v="5"/>
    <x v="8"/>
    <x v="75"/>
    <x v="1"/>
    <x v="2"/>
    <n v="0"/>
  </r>
  <r>
    <x v="0"/>
    <x v="6"/>
    <x v="5"/>
    <x v="8"/>
    <x v="75"/>
    <x v="1"/>
    <x v="3"/>
    <n v="0"/>
  </r>
  <r>
    <x v="0"/>
    <x v="6"/>
    <x v="5"/>
    <x v="8"/>
    <x v="75"/>
    <x v="1"/>
    <x v="4"/>
    <n v="0"/>
  </r>
  <r>
    <x v="0"/>
    <x v="6"/>
    <x v="5"/>
    <x v="8"/>
    <x v="75"/>
    <x v="1"/>
    <x v="5"/>
    <n v="0"/>
  </r>
  <r>
    <x v="0"/>
    <x v="6"/>
    <x v="5"/>
    <x v="8"/>
    <x v="75"/>
    <x v="1"/>
    <x v="6"/>
    <n v="0"/>
  </r>
  <r>
    <x v="0"/>
    <x v="6"/>
    <x v="5"/>
    <x v="8"/>
    <x v="76"/>
    <x v="1"/>
    <x v="0"/>
    <n v="0"/>
  </r>
  <r>
    <x v="0"/>
    <x v="6"/>
    <x v="5"/>
    <x v="8"/>
    <x v="76"/>
    <x v="1"/>
    <x v="1"/>
    <n v="0"/>
  </r>
  <r>
    <x v="0"/>
    <x v="6"/>
    <x v="5"/>
    <x v="8"/>
    <x v="76"/>
    <x v="1"/>
    <x v="2"/>
    <n v="0"/>
  </r>
  <r>
    <x v="0"/>
    <x v="6"/>
    <x v="5"/>
    <x v="8"/>
    <x v="76"/>
    <x v="1"/>
    <x v="3"/>
    <n v="0"/>
  </r>
  <r>
    <x v="0"/>
    <x v="6"/>
    <x v="5"/>
    <x v="8"/>
    <x v="76"/>
    <x v="1"/>
    <x v="4"/>
    <n v="0"/>
  </r>
  <r>
    <x v="0"/>
    <x v="6"/>
    <x v="5"/>
    <x v="8"/>
    <x v="76"/>
    <x v="1"/>
    <x v="5"/>
    <n v="0"/>
  </r>
  <r>
    <x v="0"/>
    <x v="6"/>
    <x v="5"/>
    <x v="8"/>
    <x v="76"/>
    <x v="1"/>
    <x v="6"/>
    <n v="0"/>
  </r>
  <r>
    <x v="0"/>
    <x v="6"/>
    <x v="5"/>
    <x v="8"/>
    <x v="77"/>
    <x v="1"/>
    <x v="0"/>
    <n v="0"/>
  </r>
  <r>
    <x v="0"/>
    <x v="6"/>
    <x v="5"/>
    <x v="8"/>
    <x v="77"/>
    <x v="1"/>
    <x v="1"/>
    <n v="0"/>
  </r>
  <r>
    <x v="0"/>
    <x v="6"/>
    <x v="5"/>
    <x v="8"/>
    <x v="77"/>
    <x v="1"/>
    <x v="2"/>
    <n v="0"/>
  </r>
  <r>
    <x v="0"/>
    <x v="6"/>
    <x v="5"/>
    <x v="8"/>
    <x v="77"/>
    <x v="1"/>
    <x v="3"/>
    <n v="0"/>
  </r>
  <r>
    <x v="0"/>
    <x v="6"/>
    <x v="5"/>
    <x v="8"/>
    <x v="77"/>
    <x v="1"/>
    <x v="4"/>
    <n v="0"/>
  </r>
  <r>
    <x v="0"/>
    <x v="6"/>
    <x v="5"/>
    <x v="8"/>
    <x v="77"/>
    <x v="1"/>
    <x v="5"/>
    <n v="0"/>
  </r>
  <r>
    <x v="0"/>
    <x v="6"/>
    <x v="5"/>
    <x v="8"/>
    <x v="77"/>
    <x v="1"/>
    <x v="6"/>
    <n v="0"/>
  </r>
  <r>
    <x v="0"/>
    <x v="6"/>
    <x v="5"/>
    <x v="8"/>
    <x v="78"/>
    <x v="1"/>
    <x v="0"/>
    <n v="0"/>
  </r>
  <r>
    <x v="0"/>
    <x v="6"/>
    <x v="5"/>
    <x v="8"/>
    <x v="78"/>
    <x v="1"/>
    <x v="1"/>
    <n v="0"/>
  </r>
  <r>
    <x v="0"/>
    <x v="6"/>
    <x v="5"/>
    <x v="8"/>
    <x v="78"/>
    <x v="1"/>
    <x v="2"/>
    <n v="0"/>
  </r>
  <r>
    <x v="0"/>
    <x v="6"/>
    <x v="5"/>
    <x v="8"/>
    <x v="78"/>
    <x v="1"/>
    <x v="3"/>
    <n v="0"/>
  </r>
  <r>
    <x v="0"/>
    <x v="6"/>
    <x v="5"/>
    <x v="8"/>
    <x v="78"/>
    <x v="1"/>
    <x v="4"/>
    <n v="0"/>
  </r>
  <r>
    <x v="0"/>
    <x v="6"/>
    <x v="5"/>
    <x v="8"/>
    <x v="78"/>
    <x v="1"/>
    <x v="5"/>
    <n v="0"/>
  </r>
  <r>
    <x v="0"/>
    <x v="6"/>
    <x v="5"/>
    <x v="8"/>
    <x v="78"/>
    <x v="1"/>
    <x v="6"/>
    <n v="0"/>
  </r>
  <r>
    <x v="0"/>
    <x v="6"/>
    <x v="5"/>
    <x v="8"/>
    <x v="79"/>
    <x v="1"/>
    <x v="0"/>
    <n v="0"/>
  </r>
  <r>
    <x v="0"/>
    <x v="6"/>
    <x v="5"/>
    <x v="8"/>
    <x v="79"/>
    <x v="1"/>
    <x v="1"/>
    <n v="0"/>
  </r>
  <r>
    <x v="0"/>
    <x v="6"/>
    <x v="5"/>
    <x v="8"/>
    <x v="79"/>
    <x v="1"/>
    <x v="2"/>
    <n v="0"/>
  </r>
  <r>
    <x v="0"/>
    <x v="6"/>
    <x v="5"/>
    <x v="8"/>
    <x v="79"/>
    <x v="1"/>
    <x v="3"/>
    <n v="0"/>
  </r>
  <r>
    <x v="0"/>
    <x v="6"/>
    <x v="5"/>
    <x v="8"/>
    <x v="79"/>
    <x v="1"/>
    <x v="4"/>
    <n v="0"/>
  </r>
  <r>
    <x v="0"/>
    <x v="6"/>
    <x v="5"/>
    <x v="8"/>
    <x v="79"/>
    <x v="1"/>
    <x v="5"/>
    <n v="0"/>
  </r>
  <r>
    <x v="0"/>
    <x v="6"/>
    <x v="5"/>
    <x v="8"/>
    <x v="79"/>
    <x v="1"/>
    <x v="6"/>
    <n v="0"/>
  </r>
  <r>
    <x v="0"/>
    <x v="6"/>
    <x v="5"/>
    <x v="8"/>
    <x v="80"/>
    <x v="1"/>
    <x v="0"/>
    <n v="0"/>
  </r>
  <r>
    <x v="0"/>
    <x v="6"/>
    <x v="5"/>
    <x v="8"/>
    <x v="80"/>
    <x v="1"/>
    <x v="1"/>
    <n v="0"/>
  </r>
  <r>
    <x v="0"/>
    <x v="6"/>
    <x v="5"/>
    <x v="8"/>
    <x v="80"/>
    <x v="1"/>
    <x v="2"/>
    <n v="0"/>
  </r>
  <r>
    <x v="0"/>
    <x v="6"/>
    <x v="5"/>
    <x v="8"/>
    <x v="80"/>
    <x v="1"/>
    <x v="3"/>
    <n v="0"/>
  </r>
  <r>
    <x v="0"/>
    <x v="6"/>
    <x v="5"/>
    <x v="8"/>
    <x v="80"/>
    <x v="1"/>
    <x v="4"/>
    <n v="0"/>
  </r>
  <r>
    <x v="0"/>
    <x v="6"/>
    <x v="5"/>
    <x v="8"/>
    <x v="80"/>
    <x v="1"/>
    <x v="5"/>
    <n v="0"/>
  </r>
  <r>
    <x v="0"/>
    <x v="6"/>
    <x v="5"/>
    <x v="8"/>
    <x v="80"/>
    <x v="1"/>
    <x v="6"/>
    <n v="0"/>
  </r>
  <r>
    <x v="0"/>
    <x v="6"/>
    <x v="5"/>
    <x v="8"/>
    <x v="81"/>
    <x v="1"/>
    <x v="0"/>
    <n v="0"/>
  </r>
  <r>
    <x v="0"/>
    <x v="6"/>
    <x v="5"/>
    <x v="8"/>
    <x v="81"/>
    <x v="1"/>
    <x v="1"/>
    <n v="0"/>
  </r>
  <r>
    <x v="0"/>
    <x v="6"/>
    <x v="5"/>
    <x v="8"/>
    <x v="81"/>
    <x v="1"/>
    <x v="2"/>
    <n v="0"/>
  </r>
  <r>
    <x v="0"/>
    <x v="6"/>
    <x v="5"/>
    <x v="8"/>
    <x v="81"/>
    <x v="1"/>
    <x v="3"/>
    <n v="0"/>
  </r>
  <r>
    <x v="0"/>
    <x v="6"/>
    <x v="5"/>
    <x v="8"/>
    <x v="81"/>
    <x v="1"/>
    <x v="4"/>
    <n v="0"/>
  </r>
  <r>
    <x v="0"/>
    <x v="6"/>
    <x v="5"/>
    <x v="8"/>
    <x v="81"/>
    <x v="1"/>
    <x v="5"/>
    <n v="0"/>
  </r>
  <r>
    <x v="0"/>
    <x v="6"/>
    <x v="5"/>
    <x v="8"/>
    <x v="81"/>
    <x v="1"/>
    <x v="6"/>
    <n v="0"/>
  </r>
  <r>
    <x v="0"/>
    <x v="6"/>
    <x v="5"/>
    <x v="8"/>
    <x v="82"/>
    <x v="1"/>
    <x v="0"/>
    <n v="28.536880102532255"/>
  </r>
  <r>
    <x v="0"/>
    <x v="6"/>
    <x v="5"/>
    <x v="8"/>
    <x v="82"/>
    <x v="1"/>
    <x v="1"/>
    <n v="38.672482319545637"/>
  </r>
  <r>
    <x v="0"/>
    <x v="6"/>
    <x v="5"/>
    <x v="8"/>
    <x v="82"/>
    <x v="1"/>
    <x v="2"/>
    <n v="51.099825070418134"/>
  </r>
  <r>
    <x v="0"/>
    <x v="6"/>
    <x v="5"/>
    <x v="8"/>
    <x v="82"/>
    <x v="1"/>
    <x v="3"/>
    <n v="74.961586267183918"/>
  </r>
  <r>
    <x v="0"/>
    <x v="6"/>
    <x v="5"/>
    <x v="8"/>
    <x v="82"/>
    <x v="1"/>
    <x v="4"/>
    <n v="95.761247322565339"/>
  </r>
  <r>
    <x v="0"/>
    <x v="6"/>
    <x v="5"/>
    <x v="8"/>
    <x v="82"/>
    <x v="1"/>
    <x v="5"/>
    <n v="110.42140321461579"/>
  </r>
  <r>
    <x v="0"/>
    <x v="6"/>
    <x v="5"/>
    <x v="8"/>
    <x v="82"/>
    <x v="1"/>
    <x v="6"/>
    <n v="124.37348622793289"/>
  </r>
  <r>
    <x v="0"/>
    <x v="6"/>
    <x v="5"/>
    <x v="8"/>
    <x v="83"/>
    <x v="1"/>
    <x v="0"/>
    <n v="0"/>
  </r>
  <r>
    <x v="0"/>
    <x v="6"/>
    <x v="5"/>
    <x v="8"/>
    <x v="83"/>
    <x v="1"/>
    <x v="1"/>
    <n v="0"/>
  </r>
  <r>
    <x v="0"/>
    <x v="6"/>
    <x v="5"/>
    <x v="8"/>
    <x v="83"/>
    <x v="1"/>
    <x v="2"/>
    <n v="0"/>
  </r>
  <r>
    <x v="0"/>
    <x v="6"/>
    <x v="5"/>
    <x v="8"/>
    <x v="83"/>
    <x v="1"/>
    <x v="3"/>
    <n v="0"/>
  </r>
  <r>
    <x v="0"/>
    <x v="6"/>
    <x v="5"/>
    <x v="8"/>
    <x v="83"/>
    <x v="1"/>
    <x v="4"/>
    <n v="0"/>
  </r>
  <r>
    <x v="0"/>
    <x v="6"/>
    <x v="5"/>
    <x v="8"/>
    <x v="83"/>
    <x v="1"/>
    <x v="5"/>
    <n v="0"/>
  </r>
  <r>
    <x v="0"/>
    <x v="6"/>
    <x v="5"/>
    <x v="8"/>
    <x v="83"/>
    <x v="1"/>
    <x v="6"/>
    <n v="0"/>
  </r>
  <r>
    <x v="0"/>
    <x v="7"/>
    <x v="0"/>
    <x v="0"/>
    <x v="0"/>
    <x v="1"/>
    <x v="0"/>
    <n v="0"/>
  </r>
  <r>
    <x v="0"/>
    <x v="7"/>
    <x v="0"/>
    <x v="0"/>
    <x v="0"/>
    <x v="1"/>
    <x v="1"/>
    <n v="0"/>
  </r>
  <r>
    <x v="0"/>
    <x v="7"/>
    <x v="0"/>
    <x v="0"/>
    <x v="0"/>
    <x v="1"/>
    <x v="2"/>
    <n v="0"/>
  </r>
  <r>
    <x v="0"/>
    <x v="7"/>
    <x v="0"/>
    <x v="0"/>
    <x v="0"/>
    <x v="1"/>
    <x v="3"/>
    <n v="0"/>
  </r>
  <r>
    <x v="0"/>
    <x v="7"/>
    <x v="0"/>
    <x v="0"/>
    <x v="0"/>
    <x v="1"/>
    <x v="4"/>
    <n v="0"/>
  </r>
  <r>
    <x v="0"/>
    <x v="7"/>
    <x v="0"/>
    <x v="0"/>
    <x v="0"/>
    <x v="1"/>
    <x v="5"/>
    <n v="0"/>
  </r>
  <r>
    <x v="0"/>
    <x v="7"/>
    <x v="0"/>
    <x v="0"/>
    <x v="0"/>
    <x v="1"/>
    <x v="6"/>
    <n v="0"/>
  </r>
  <r>
    <x v="0"/>
    <x v="7"/>
    <x v="0"/>
    <x v="1"/>
    <x v="1"/>
    <x v="1"/>
    <x v="0"/>
    <n v="0"/>
  </r>
  <r>
    <x v="0"/>
    <x v="7"/>
    <x v="0"/>
    <x v="1"/>
    <x v="1"/>
    <x v="1"/>
    <x v="1"/>
    <n v="0"/>
  </r>
  <r>
    <x v="0"/>
    <x v="7"/>
    <x v="0"/>
    <x v="1"/>
    <x v="1"/>
    <x v="1"/>
    <x v="2"/>
    <n v="0"/>
  </r>
  <r>
    <x v="0"/>
    <x v="7"/>
    <x v="0"/>
    <x v="1"/>
    <x v="1"/>
    <x v="1"/>
    <x v="3"/>
    <n v="0"/>
  </r>
  <r>
    <x v="0"/>
    <x v="7"/>
    <x v="0"/>
    <x v="1"/>
    <x v="1"/>
    <x v="1"/>
    <x v="4"/>
    <n v="0"/>
  </r>
  <r>
    <x v="0"/>
    <x v="7"/>
    <x v="0"/>
    <x v="1"/>
    <x v="1"/>
    <x v="1"/>
    <x v="5"/>
    <n v="0"/>
  </r>
  <r>
    <x v="0"/>
    <x v="7"/>
    <x v="0"/>
    <x v="1"/>
    <x v="1"/>
    <x v="1"/>
    <x v="6"/>
    <n v="0"/>
  </r>
  <r>
    <x v="0"/>
    <x v="7"/>
    <x v="0"/>
    <x v="1"/>
    <x v="2"/>
    <x v="1"/>
    <x v="0"/>
    <n v="0"/>
  </r>
  <r>
    <x v="0"/>
    <x v="7"/>
    <x v="0"/>
    <x v="1"/>
    <x v="2"/>
    <x v="1"/>
    <x v="1"/>
    <n v="7.082779148752576"/>
  </r>
  <r>
    <x v="0"/>
    <x v="7"/>
    <x v="0"/>
    <x v="1"/>
    <x v="2"/>
    <x v="1"/>
    <x v="2"/>
    <n v="18.935902084925615"/>
  </r>
  <r>
    <x v="0"/>
    <x v="7"/>
    <x v="0"/>
    <x v="1"/>
    <x v="2"/>
    <x v="1"/>
    <x v="3"/>
    <n v="75.1377706449573"/>
  </r>
  <r>
    <x v="0"/>
    <x v="7"/>
    <x v="0"/>
    <x v="1"/>
    <x v="2"/>
    <x v="1"/>
    <x v="4"/>
    <n v="219.42589441612759"/>
  </r>
  <r>
    <x v="0"/>
    <x v="7"/>
    <x v="0"/>
    <x v="1"/>
    <x v="2"/>
    <x v="1"/>
    <x v="5"/>
    <n v="467.1264167754199"/>
  </r>
  <r>
    <x v="0"/>
    <x v="7"/>
    <x v="0"/>
    <x v="1"/>
    <x v="2"/>
    <x v="1"/>
    <x v="6"/>
    <n v="647.11313314099732"/>
  </r>
  <r>
    <x v="0"/>
    <x v="7"/>
    <x v="0"/>
    <x v="1"/>
    <x v="3"/>
    <x v="1"/>
    <x v="0"/>
    <n v="32854.389205481995"/>
  </r>
  <r>
    <x v="0"/>
    <x v="7"/>
    <x v="0"/>
    <x v="1"/>
    <x v="3"/>
    <x v="1"/>
    <x v="1"/>
    <n v="37029.06117145902"/>
  </r>
  <r>
    <x v="0"/>
    <x v="7"/>
    <x v="0"/>
    <x v="1"/>
    <x v="3"/>
    <x v="1"/>
    <x v="2"/>
    <n v="38844.725503559603"/>
  </r>
  <r>
    <x v="0"/>
    <x v="7"/>
    <x v="0"/>
    <x v="1"/>
    <x v="3"/>
    <x v="1"/>
    <x v="3"/>
    <n v="45907.881390447568"/>
  </r>
  <r>
    <x v="0"/>
    <x v="7"/>
    <x v="0"/>
    <x v="1"/>
    <x v="3"/>
    <x v="1"/>
    <x v="4"/>
    <n v="49366.898091877891"/>
  </r>
  <r>
    <x v="0"/>
    <x v="7"/>
    <x v="0"/>
    <x v="1"/>
    <x v="3"/>
    <x v="1"/>
    <x v="5"/>
    <n v="52315.541777631872"/>
  </r>
  <r>
    <x v="0"/>
    <x v="7"/>
    <x v="0"/>
    <x v="1"/>
    <x v="3"/>
    <x v="1"/>
    <x v="6"/>
    <n v="58219.402761871126"/>
  </r>
  <r>
    <x v="0"/>
    <x v="7"/>
    <x v="0"/>
    <x v="1"/>
    <x v="4"/>
    <x v="1"/>
    <x v="0"/>
    <n v="3.3393292409375781"/>
  </r>
  <r>
    <x v="0"/>
    <x v="7"/>
    <x v="0"/>
    <x v="1"/>
    <x v="4"/>
    <x v="1"/>
    <x v="1"/>
    <n v="12.186602229617625"/>
  </r>
  <r>
    <x v="0"/>
    <x v="7"/>
    <x v="0"/>
    <x v="1"/>
    <x v="4"/>
    <x v="1"/>
    <x v="2"/>
    <n v="111.6862665022386"/>
  </r>
  <r>
    <x v="0"/>
    <x v="7"/>
    <x v="0"/>
    <x v="1"/>
    <x v="4"/>
    <x v="1"/>
    <x v="3"/>
    <n v="502.11805210810218"/>
  </r>
  <r>
    <x v="0"/>
    <x v="7"/>
    <x v="0"/>
    <x v="1"/>
    <x v="4"/>
    <x v="1"/>
    <x v="4"/>
    <n v="769.4584916593559"/>
  </r>
  <r>
    <x v="0"/>
    <x v="7"/>
    <x v="0"/>
    <x v="1"/>
    <x v="4"/>
    <x v="1"/>
    <x v="5"/>
    <n v="906.86127257186001"/>
  </r>
  <r>
    <x v="0"/>
    <x v="7"/>
    <x v="0"/>
    <x v="1"/>
    <x v="4"/>
    <x v="1"/>
    <x v="6"/>
    <n v="2124.1893972828452"/>
  </r>
  <r>
    <x v="0"/>
    <x v="7"/>
    <x v="0"/>
    <x v="1"/>
    <x v="5"/>
    <x v="1"/>
    <x v="0"/>
    <n v="61.973823597879246"/>
  </r>
  <r>
    <x v="0"/>
    <x v="7"/>
    <x v="0"/>
    <x v="1"/>
    <x v="5"/>
    <x v="1"/>
    <x v="1"/>
    <n v="154.70484645726748"/>
  </r>
  <r>
    <x v="0"/>
    <x v="7"/>
    <x v="0"/>
    <x v="1"/>
    <x v="5"/>
    <x v="1"/>
    <x v="2"/>
    <n v="277.77568750177352"/>
  </r>
  <r>
    <x v="0"/>
    <x v="7"/>
    <x v="0"/>
    <x v="1"/>
    <x v="5"/>
    <x v="1"/>
    <x v="3"/>
    <n v="433.71417398891407"/>
  </r>
  <r>
    <x v="0"/>
    <x v="7"/>
    <x v="0"/>
    <x v="1"/>
    <x v="5"/>
    <x v="1"/>
    <x v="4"/>
    <n v="664.66784962356621"/>
  </r>
  <r>
    <x v="0"/>
    <x v="7"/>
    <x v="0"/>
    <x v="1"/>
    <x v="5"/>
    <x v="1"/>
    <x v="5"/>
    <n v="724.03743171223414"/>
  </r>
  <r>
    <x v="0"/>
    <x v="7"/>
    <x v="0"/>
    <x v="1"/>
    <x v="5"/>
    <x v="1"/>
    <x v="6"/>
    <n v="815.60881398574054"/>
  </r>
  <r>
    <x v="0"/>
    <x v="7"/>
    <x v="0"/>
    <x v="1"/>
    <x v="6"/>
    <x v="1"/>
    <x v="0"/>
    <n v="514.26666160039883"/>
  </r>
  <r>
    <x v="0"/>
    <x v="7"/>
    <x v="0"/>
    <x v="1"/>
    <x v="6"/>
    <x v="1"/>
    <x v="1"/>
    <n v="2928.8576756942875"/>
  </r>
  <r>
    <x v="0"/>
    <x v="7"/>
    <x v="0"/>
    <x v="1"/>
    <x v="6"/>
    <x v="1"/>
    <x v="2"/>
    <n v="3682.1127969381737"/>
  </r>
  <r>
    <x v="0"/>
    <x v="7"/>
    <x v="0"/>
    <x v="1"/>
    <x v="6"/>
    <x v="1"/>
    <x v="3"/>
    <n v="4398.6130198935243"/>
  </r>
  <r>
    <x v="0"/>
    <x v="7"/>
    <x v="0"/>
    <x v="1"/>
    <x v="6"/>
    <x v="1"/>
    <x v="4"/>
    <n v="4791.8062638232495"/>
  </r>
  <r>
    <x v="0"/>
    <x v="7"/>
    <x v="0"/>
    <x v="1"/>
    <x v="6"/>
    <x v="1"/>
    <x v="5"/>
    <n v="5708.0711234382925"/>
  </r>
  <r>
    <x v="0"/>
    <x v="7"/>
    <x v="0"/>
    <x v="1"/>
    <x v="6"/>
    <x v="1"/>
    <x v="6"/>
    <n v="6308.2380645198036"/>
  </r>
  <r>
    <x v="0"/>
    <x v="7"/>
    <x v="0"/>
    <x v="1"/>
    <x v="7"/>
    <x v="1"/>
    <x v="0"/>
    <n v="557.03834953884393"/>
  </r>
  <r>
    <x v="0"/>
    <x v="7"/>
    <x v="0"/>
    <x v="1"/>
    <x v="7"/>
    <x v="1"/>
    <x v="1"/>
    <n v="12100.806698680288"/>
  </r>
  <r>
    <x v="0"/>
    <x v="7"/>
    <x v="0"/>
    <x v="1"/>
    <x v="7"/>
    <x v="1"/>
    <x v="2"/>
    <n v="19497.171098868497"/>
  </r>
  <r>
    <x v="0"/>
    <x v="7"/>
    <x v="0"/>
    <x v="1"/>
    <x v="7"/>
    <x v="1"/>
    <x v="3"/>
    <n v="23101.193021940224"/>
  </r>
  <r>
    <x v="0"/>
    <x v="7"/>
    <x v="0"/>
    <x v="1"/>
    <x v="7"/>
    <x v="1"/>
    <x v="4"/>
    <n v="28624.997155321395"/>
  </r>
  <r>
    <x v="0"/>
    <x v="7"/>
    <x v="0"/>
    <x v="1"/>
    <x v="7"/>
    <x v="1"/>
    <x v="5"/>
    <n v="32255.336713114582"/>
  </r>
  <r>
    <x v="0"/>
    <x v="7"/>
    <x v="0"/>
    <x v="1"/>
    <x v="7"/>
    <x v="1"/>
    <x v="6"/>
    <n v="33165.935515451376"/>
  </r>
  <r>
    <x v="0"/>
    <x v="7"/>
    <x v="0"/>
    <x v="1"/>
    <x v="8"/>
    <x v="1"/>
    <x v="0"/>
    <n v="0.52276865314661902"/>
  </r>
  <r>
    <x v="0"/>
    <x v="7"/>
    <x v="0"/>
    <x v="1"/>
    <x v="8"/>
    <x v="1"/>
    <x v="1"/>
    <n v="7.0809309689890911"/>
  </r>
  <r>
    <x v="0"/>
    <x v="7"/>
    <x v="0"/>
    <x v="1"/>
    <x v="8"/>
    <x v="1"/>
    <x v="2"/>
    <n v="39.641017804328243"/>
  </r>
  <r>
    <x v="0"/>
    <x v="7"/>
    <x v="0"/>
    <x v="1"/>
    <x v="8"/>
    <x v="1"/>
    <x v="3"/>
    <n v="211.36268189335857"/>
  </r>
  <r>
    <x v="0"/>
    <x v="7"/>
    <x v="0"/>
    <x v="1"/>
    <x v="8"/>
    <x v="1"/>
    <x v="4"/>
    <n v="242.75187182159161"/>
  </r>
  <r>
    <x v="0"/>
    <x v="7"/>
    <x v="0"/>
    <x v="1"/>
    <x v="8"/>
    <x v="1"/>
    <x v="5"/>
    <n v="278.18505445248752"/>
  </r>
  <r>
    <x v="0"/>
    <x v="7"/>
    <x v="0"/>
    <x v="1"/>
    <x v="8"/>
    <x v="1"/>
    <x v="6"/>
    <n v="397.57855273350691"/>
  </r>
  <r>
    <x v="0"/>
    <x v="7"/>
    <x v="0"/>
    <x v="1"/>
    <x v="9"/>
    <x v="1"/>
    <x v="0"/>
    <n v="177.13980600968168"/>
  </r>
  <r>
    <x v="0"/>
    <x v="7"/>
    <x v="0"/>
    <x v="1"/>
    <x v="9"/>
    <x v="1"/>
    <x v="1"/>
    <n v="869.61515227904101"/>
  </r>
  <r>
    <x v="0"/>
    <x v="7"/>
    <x v="0"/>
    <x v="1"/>
    <x v="9"/>
    <x v="1"/>
    <x v="2"/>
    <n v="1244.4035062106097"/>
  </r>
  <r>
    <x v="0"/>
    <x v="7"/>
    <x v="0"/>
    <x v="1"/>
    <x v="9"/>
    <x v="1"/>
    <x v="3"/>
    <n v="2246.7774288428236"/>
  </r>
  <r>
    <x v="0"/>
    <x v="7"/>
    <x v="0"/>
    <x v="1"/>
    <x v="9"/>
    <x v="1"/>
    <x v="4"/>
    <n v="2785.5610211154412"/>
  </r>
  <r>
    <x v="0"/>
    <x v="7"/>
    <x v="0"/>
    <x v="1"/>
    <x v="9"/>
    <x v="1"/>
    <x v="5"/>
    <n v="2996.3280156401097"/>
  </r>
  <r>
    <x v="0"/>
    <x v="7"/>
    <x v="0"/>
    <x v="1"/>
    <x v="9"/>
    <x v="1"/>
    <x v="6"/>
    <n v="3086.0544443533727"/>
  </r>
  <r>
    <x v="0"/>
    <x v="7"/>
    <x v="0"/>
    <x v="1"/>
    <x v="10"/>
    <x v="1"/>
    <x v="0"/>
    <n v="0"/>
  </r>
  <r>
    <x v="0"/>
    <x v="7"/>
    <x v="0"/>
    <x v="1"/>
    <x v="10"/>
    <x v="1"/>
    <x v="1"/>
    <n v="44.998591447611773"/>
  </r>
  <r>
    <x v="0"/>
    <x v="7"/>
    <x v="0"/>
    <x v="1"/>
    <x v="10"/>
    <x v="1"/>
    <x v="2"/>
    <n v="273.68285113077576"/>
  </r>
  <r>
    <x v="0"/>
    <x v="7"/>
    <x v="0"/>
    <x v="1"/>
    <x v="10"/>
    <x v="1"/>
    <x v="3"/>
    <n v="437.49616897148661"/>
  </r>
  <r>
    <x v="0"/>
    <x v="7"/>
    <x v="0"/>
    <x v="1"/>
    <x v="10"/>
    <x v="1"/>
    <x v="4"/>
    <n v="766.73720993409677"/>
  </r>
  <r>
    <x v="0"/>
    <x v="7"/>
    <x v="0"/>
    <x v="1"/>
    <x v="10"/>
    <x v="1"/>
    <x v="5"/>
    <n v="943.10775589215405"/>
  </r>
  <r>
    <x v="0"/>
    <x v="7"/>
    <x v="0"/>
    <x v="1"/>
    <x v="10"/>
    <x v="1"/>
    <x v="6"/>
    <n v="1194.8762851929334"/>
  </r>
  <r>
    <x v="0"/>
    <x v="7"/>
    <x v="0"/>
    <x v="0"/>
    <x v="11"/>
    <x v="1"/>
    <x v="0"/>
    <n v="7.2678457297849661"/>
  </r>
  <r>
    <x v="0"/>
    <x v="7"/>
    <x v="0"/>
    <x v="0"/>
    <x v="11"/>
    <x v="1"/>
    <x v="1"/>
    <n v="15.112523687623879"/>
  </r>
  <r>
    <x v="0"/>
    <x v="7"/>
    <x v="0"/>
    <x v="0"/>
    <x v="11"/>
    <x v="1"/>
    <x v="2"/>
    <n v="27.915073240426576"/>
  </r>
  <r>
    <x v="0"/>
    <x v="7"/>
    <x v="0"/>
    <x v="0"/>
    <x v="11"/>
    <x v="1"/>
    <x v="3"/>
    <n v="50.561685696658927"/>
  </r>
  <r>
    <x v="0"/>
    <x v="7"/>
    <x v="0"/>
    <x v="0"/>
    <x v="11"/>
    <x v="1"/>
    <x v="4"/>
    <n v="74.46614541538132"/>
  </r>
  <r>
    <x v="0"/>
    <x v="7"/>
    <x v="0"/>
    <x v="0"/>
    <x v="11"/>
    <x v="1"/>
    <x v="5"/>
    <n v="115.927502412914"/>
  </r>
  <r>
    <x v="0"/>
    <x v="7"/>
    <x v="0"/>
    <x v="0"/>
    <x v="11"/>
    <x v="1"/>
    <x v="6"/>
    <n v="176.88267637220878"/>
  </r>
  <r>
    <x v="0"/>
    <x v="7"/>
    <x v="0"/>
    <x v="0"/>
    <x v="12"/>
    <x v="1"/>
    <x v="0"/>
    <n v="0"/>
  </r>
  <r>
    <x v="0"/>
    <x v="7"/>
    <x v="0"/>
    <x v="0"/>
    <x v="12"/>
    <x v="1"/>
    <x v="1"/>
    <n v="0"/>
  </r>
  <r>
    <x v="0"/>
    <x v="7"/>
    <x v="0"/>
    <x v="0"/>
    <x v="12"/>
    <x v="1"/>
    <x v="2"/>
    <n v="0"/>
  </r>
  <r>
    <x v="0"/>
    <x v="7"/>
    <x v="0"/>
    <x v="0"/>
    <x v="12"/>
    <x v="1"/>
    <x v="3"/>
    <n v="0"/>
  </r>
  <r>
    <x v="0"/>
    <x v="7"/>
    <x v="0"/>
    <x v="0"/>
    <x v="12"/>
    <x v="1"/>
    <x v="4"/>
    <n v="0"/>
  </r>
  <r>
    <x v="0"/>
    <x v="7"/>
    <x v="0"/>
    <x v="0"/>
    <x v="12"/>
    <x v="1"/>
    <x v="5"/>
    <n v="0"/>
  </r>
  <r>
    <x v="0"/>
    <x v="7"/>
    <x v="0"/>
    <x v="0"/>
    <x v="12"/>
    <x v="1"/>
    <x v="6"/>
    <n v="0"/>
  </r>
  <r>
    <x v="0"/>
    <x v="7"/>
    <x v="0"/>
    <x v="0"/>
    <x v="13"/>
    <x v="1"/>
    <x v="0"/>
    <n v="0"/>
  </r>
  <r>
    <x v="0"/>
    <x v="7"/>
    <x v="0"/>
    <x v="0"/>
    <x v="13"/>
    <x v="1"/>
    <x v="1"/>
    <n v="0"/>
  </r>
  <r>
    <x v="0"/>
    <x v="7"/>
    <x v="0"/>
    <x v="0"/>
    <x v="13"/>
    <x v="1"/>
    <x v="2"/>
    <n v="0"/>
  </r>
  <r>
    <x v="0"/>
    <x v="7"/>
    <x v="0"/>
    <x v="0"/>
    <x v="13"/>
    <x v="1"/>
    <x v="3"/>
    <n v="0"/>
  </r>
  <r>
    <x v="0"/>
    <x v="7"/>
    <x v="0"/>
    <x v="0"/>
    <x v="13"/>
    <x v="1"/>
    <x v="4"/>
    <n v="0"/>
  </r>
  <r>
    <x v="0"/>
    <x v="7"/>
    <x v="0"/>
    <x v="0"/>
    <x v="13"/>
    <x v="1"/>
    <x v="5"/>
    <n v="0"/>
  </r>
  <r>
    <x v="0"/>
    <x v="7"/>
    <x v="0"/>
    <x v="0"/>
    <x v="13"/>
    <x v="1"/>
    <x v="6"/>
    <n v="0"/>
  </r>
  <r>
    <x v="0"/>
    <x v="7"/>
    <x v="0"/>
    <x v="2"/>
    <x v="14"/>
    <x v="1"/>
    <x v="0"/>
    <n v="0"/>
  </r>
  <r>
    <x v="0"/>
    <x v="7"/>
    <x v="0"/>
    <x v="2"/>
    <x v="14"/>
    <x v="1"/>
    <x v="1"/>
    <n v="0"/>
  </r>
  <r>
    <x v="0"/>
    <x v="7"/>
    <x v="0"/>
    <x v="2"/>
    <x v="14"/>
    <x v="1"/>
    <x v="2"/>
    <n v="0"/>
  </r>
  <r>
    <x v="0"/>
    <x v="7"/>
    <x v="0"/>
    <x v="2"/>
    <x v="14"/>
    <x v="1"/>
    <x v="3"/>
    <n v="0"/>
  </r>
  <r>
    <x v="0"/>
    <x v="7"/>
    <x v="0"/>
    <x v="2"/>
    <x v="14"/>
    <x v="1"/>
    <x v="4"/>
    <n v="0"/>
  </r>
  <r>
    <x v="0"/>
    <x v="7"/>
    <x v="0"/>
    <x v="2"/>
    <x v="14"/>
    <x v="1"/>
    <x v="5"/>
    <n v="0"/>
  </r>
  <r>
    <x v="0"/>
    <x v="7"/>
    <x v="0"/>
    <x v="2"/>
    <x v="14"/>
    <x v="1"/>
    <x v="6"/>
    <n v="0"/>
  </r>
  <r>
    <x v="0"/>
    <x v="7"/>
    <x v="0"/>
    <x v="2"/>
    <x v="15"/>
    <x v="1"/>
    <x v="0"/>
    <n v="0"/>
  </r>
  <r>
    <x v="0"/>
    <x v="7"/>
    <x v="0"/>
    <x v="2"/>
    <x v="15"/>
    <x v="1"/>
    <x v="1"/>
    <n v="0"/>
  </r>
  <r>
    <x v="0"/>
    <x v="7"/>
    <x v="0"/>
    <x v="2"/>
    <x v="15"/>
    <x v="1"/>
    <x v="2"/>
    <n v="0"/>
  </r>
  <r>
    <x v="0"/>
    <x v="7"/>
    <x v="0"/>
    <x v="2"/>
    <x v="15"/>
    <x v="1"/>
    <x v="3"/>
    <n v="0"/>
  </r>
  <r>
    <x v="0"/>
    <x v="7"/>
    <x v="0"/>
    <x v="2"/>
    <x v="15"/>
    <x v="1"/>
    <x v="4"/>
    <n v="0"/>
  </r>
  <r>
    <x v="0"/>
    <x v="7"/>
    <x v="0"/>
    <x v="2"/>
    <x v="15"/>
    <x v="1"/>
    <x v="5"/>
    <n v="0"/>
  </r>
  <r>
    <x v="0"/>
    <x v="7"/>
    <x v="0"/>
    <x v="2"/>
    <x v="15"/>
    <x v="1"/>
    <x v="6"/>
    <n v="0"/>
  </r>
  <r>
    <x v="0"/>
    <x v="7"/>
    <x v="0"/>
    <x v="2"/>
    <x v="16"/>
    <x v="1"/>
    <x v="0"/>
    <n v="0"/>
  </r>
  <r>
    <x v="0"/>
    <x v="7"/>
    <x v="0"/>
    <x v="2"/>
    <x v="16"/>
    <x v="1"/>
    <x v="1"/>
    <n v="0"/>
  </r>
  <r>
    <x v="0"/>
    <x v="7"/>
    <x v="0"/>
    <x v="2"/>
    <x v="16"/>
    <x v="1"/>
    <x v="2"/>
    <n v="0"/>
  </r>
  <r>
    <x v="0"/>
    <x v="7"/>
    <x v="0"/>
    <x v="2"/>
    <x v="16"/>
    <x v="1"/>
    <x v="3"/>
    <n v="0"/>
  </r>
  <r>
    <x v="0"/>
    <x v="7"/>
    <x v="0"/>
    <x v="2"/>
    <x v="16"/>
    <x v="1"/>
    <x v="4"/>
    <n v="0"/>
  </r>
  <r>
    <x v="0"/>
    <x v="7"/>
    <x v="0"/>
    <x v="2"/>
    <x v="16"/>
    <x v="1"/>
    <x v="5"/>
    <n v="0"/>
  </r>
  <r>
    <x v="0"/>
    <x v="7"/>
    <x v="0"/>
    <x v="2"/>
    <x v="16"/>
    <x v="1"/>
    <x v="6"/>
    <n v="0"/>
  </r>
  <r>
    <x v="0"/>
    <x v="7"/>
    <x v="0"/>
    <x v="0"/>
    <x v="17"/>
    <x v="1"/>
    <x v="0"/>
    <n v="0"/>
  </r>
  <r>
    <x v="0"/>
    <x v="7"/>
    <x v="0"/>
    <x v="0"/>
    <x v="17"/>
    <x v="1"/>
    <x v="1"/>
    <n v="0"/>
  </r>
  <r>
    <x v="0"/>
    <x v="7"/>
    <x v="0"/>
    <x v="0"/>
    <x v="17"/>
    <x v="1"/>
    <x v="2"/>
    <n v="0"/>
  </r>
  <r>
    <x v="0"/>
    <x v="7"/>
    <x v="0"/>
    <x v="0"/>
    <x v="17"/>
    <x v="1"/>
    <x v="3"/>
    <n v="0"/>
  </r>
  <r>
    <x v="0"/>
    <x v="7"/>
    <x v="0"/>
    <x v="0"/>
    <x v="17"/>
    <x v="1"/>
    <x v="4"/>
    <n v="0"/>
  </r>
  <r>
    <x v="0"/>
    <x v="7"/>
    <x v="0"/>
    <x v="0"/>
    <x v="17"/>
    <x v="1"/>
    <x v="5"/>
    <n v="0"/>
  </r>
  <r>
    <x v="0"/>
    <x v="7"/>
    <x v="0"/>
    <x v="0"/>
    <x v="17"/>
    <x v="1"/>
    <x v="6"/>
    <n v="0"/>
  </r>
  <r>
    <x v="0"/>
    <x v="7"/>
    <x v="0"/>
    <x v="2"/>
    <x v="18"/>
    <x v="1"/>
    <x v="0"/>
    <n v="0"/>
  </r>
  <r>
    <x v="0"/>
    <x v="7"/>
    <x v="0"/>
    <x v="2"/>
    <x v="18"/>
    <x v="1"/>
    <x v="1"/>
    <n v="0"/>
  </r>
  <r>
    <x v="0"/>
    <x v="7"/>
    <x v="0"/>
    <x v="2"/>
    <x v="18"/>
    <x v="1"/>
    <x v="2"/>
    <n v="0"/>
  </r>
  <r>
    <x v="0"/>
    <x v="7"/>
    <x v="0"/>
    <x v="2"/>
    <x v="18"/>
    <x v="1"/>
    <x v="3"/>
    <n v="0"/>
  </r>
  <r>
    <x v="0"/>
    <x v="7"/>
    <x v="0"/>
    <x v="2"/>
    <x v="18"/>
    <x v="1"/>
    <x v="4"/>
    <n v="0"/>
  </r>
  <r>
    <x v="0"/>
    <x v="7"/>
    <x v="0"/>
    <x v="2"/>
    <x v="18"/>
    <x v="1"/>
    <x v="5"/>
    <n v="0"/>
  </r>
  <r>
    <x v="0"/>
    <x v="7"/>
    <x v="0"/>
    <x v="2"/>
    <x v="18"/>
    <x v="1"/>
    <x v="6"/>
    <n v="0"/>
  </r>
  <r>
    <x v="0"/>
    <x v="7"/>
    <x v="1"/>
    <x v="3"/>
    <x v="19"/>
    <x v="1"/>
    <x v="0"/>
    <n v="0"/>
  </r>
  <r>
    <x v="0"/>
    <x v="7"/>
    <x v="1"/>
    <x v="3"/>
    <x v="19"/>
    <x v="1"/>
    <x v="1"/>
    <n v="0"/>
  </r>
  <r>
    <x v="0"/>
    <x v="7"/>
    <x v="1"/>
    <x v="3"/>
    <x v="19"/>
    <x v="1"/>
    <x v="2"/>
    <n v="0"/>
  </r>
  <r>
    <x v="0"/>
    <x v="7"/>
    <x v="1"/>
    <x v="3"/>
    <x v="19"/>
    <x v="1"/>
    <x v="3"/>
    <n v="0"/>
  </r>
  <r>
    <x v="0"/>
    <x v="7"/>
    <x v="1"/>
    <x v="3"/>
    <x v="19"/>
    <x v="1"/>
    <x v="4"/>
    <n v="0"/>
  </r>
  <r>
    <x v="0"/>
    <x v="7"/>
    <x v="1"/>
    <x v="3"/>
    <x v="19"/>
    <x v="1"/>
    <x v="5"/>
    <n v="0"/>
  </r>
  <r>
    <x v="0"/>
    <x v="7"/>
    <x v="1"/>
    <x v="3"/>
    <x v="19"/>
    <x v="1"/>
    <x v="6"/>
    <n v="0"/>
  </r>
  <r>
    <x v="0"/>
    <x v="7"/>
    <x v="1"/>
    <x v="3"/>
    <x v="20"/>
    <x v="1"/>
    <x v="0"/>
    <n v="0"/>
  </r>
  <r>
    <x v="0"/>
    <x v="7"/>
    <x v="1"/>
    <x v="3"/>
    <x v="20"/>
    <x v="1"/>
    <x v="1"/>
    <n v="0"/>
  </r>
  <r>
    <x v="0"/>
    <x v="7"/>
    <x v="1"/>
    <x v="3"/>
    <x v="20"/>
    <x v="1"/>
    <x v="2"/>
    <n v="0"/>
  </r>
  <r>
    <x v="0"/>
    <x v="7"/>
    <x v="1"/>
    <x v="3"/>
    <x v="20"/>
    <x v="1"/>
    <x v="3"/>
    <n v="0"/>
  </r>
  <r>
    <x v="0"/>
    <x v="7"/>
    <x v="1"/>
    <x v="3"/>
    <x v="20"/>
    <x v="1"/>
    <x v="4"/>
    <n v="0"/>
  </r>
  <r>
    <x v="0"/>
    <x v="7"/>
    <x v="1"/>
    <x v="3"/>
    <x v="20"/>
    <x v="1"/>
    <x v="5"/>
    <n v="0"/>
  </r>
  <r>
    <x v="0"/>
    <x v="7"/>
    <x v="1"/>
    <x v="3"/>
    <x v="20"/>
    <x v="1"/>
    <x v="6"/>
    <n v="0"/>
  </r>
  <r>
    <x v="0"/>
    <x v="7"/>
    <x v="1"/>
    <x v="3"/>
    <x v="21"/>
    <x v="1"/>
    <x v="0"/>
    <n v="0"/>
  </r>
  <r>
    <x v="0"/>
    <x v="7"/>
    <x v="1"/>
    <x v="3"/>
    <x v="21"/>
    <x v="1"/>
    <x v="1"/>
    <n v="0"/>
  </r>
  <r>
    <x v="0"/>
    <x v="7"/>
    <x v="1"/>
    <x v="3"/>
    <x v="21"/>
    <x v="1"/>
    <x v="2"/>
    <n v="0"/>
  </r>
  <r>
    <x v="0"/>
    <x v="7"/>
    <x v="1"/>
    <x v="3"/>
    <x v="21"/>
    <x v="1"/>
    <x v="3"/>
    <n v="0"/>
  </r>
  <r>
    <x v="0"/>
    <x v="7"/>
    <x v="1"/>
    <x v="3"/>
    <x v="21"/>
    <x v="1"/>
    <x v="4"/>
    <n v="0"/>
  </r>
  <r>
    <x v="0"/>
    <x v="7"/>
    <x v="1"/>
    <x v="3"/>
    <x v="21"/>
    <x v="1"/>
    <x v="5"/>
    <n v="0"/>
  </r>
  <r>
    <x v="0"/>
    <x v="7"/>
    <x v="1"/>
    <x v="3"/>
    <x v="21"/>
    <x v="1"/>
    <x v="6"/>
    <n v="0"/>
  </r>
  <r>
    <x v="0"/>
    <x v="7"/>
    <x v="1"/>
    <x v="3"/>
    <x v="22"/>
    <x v="1"/>
    <x v="0"/>
    <n v="0"/>
  </r>
  <r>
    <x v="0"/>
    <x v="7"/>
    <x v="1"/>
    <x v="3"/>
    <x v="22"/>
    <x v="1"/>
    <x v="1"/>
    <n v="0"/>
  </r>
  <r>
    <x v="0"/>
    <x v="7"/>
    <x v="1"/>
    <x v="3"/>
    <x v="22"/>
    <x v="1"/>
    <x v="2"/>
    <n v="0"/>
  </r>
  <r>
    <x v="0"/>
    <x v="7"/>
    <x v="1"/>
    <x v="3"/>
    <x v="22"/>
    <x v="1"/>
    <x v="3"/>
    <n v="0"/>
  </r>
  <r>
    <x v="0"/>
    <x v="7"/>
    <x v="1"/>
    <x v="3"/>
    <x v="22"/>
    <x v="1"/>
    <x v="4"/>
    <n v="0"/>
  </r>
  <r>
    <x v="0"/>
    <x v="7"/>
    <x v="1"/>
    <x v="3"/>
    <x v="22"/>
    <x v="1"/>
    <x v="5"/>
    <n v="0"/>
  </r>
  <r>
    <x v="0"/>
    <x v="7"/>
    <x v="1"/>
    <x v="3"/>
    <x v="22"/>
    <x v="1"/>
    <x v="6"/>
    <n v="0"/>
  </r>
  <r>
    <x v="0"/>
    <x v="7"/>
    <x v="1"/>
    <x v="3"/>
    <x v="23"/>
    <x v="1"/>
    <x v="0"/>
    <n v="0"/>
  </r>
  <r>
    <x v="0"/>
    <x v="7"/>
    <x v="1"/>
    <x v="3"/>
    <x v="23"/>
    <x v="1"/>
    <x v="1"/>
    <n v="0"/>
  </r>
  <r>
    <x v="0"/>
    <x v="7"/>
    <x v="1"/>
    <x v="3"/>
    <x v="23"/>
    <x v="1"/>
    <x v="2"/>
    <n v="0"/>
  </r>
  <r>
    <x v="0"/>
    <x v="7"/>
    <x v="1"/>
    <x v="3"/>
    <x v="23"/>
    <x v="1"/>
    <x v="3"/>
    <n v="0"/>
  </r>
  <r>
    <x v="0"/>
    <x v="7"/>
    <x v="1"/>
    <x v="3"/>
    <x v="23"/>
    <x v="1"/>
    <x v="4"/>
    <n v="0"/>
  </r>
  <r>
    <x v="0"/>
    <x v="7"/>
    <x v="1"/>
    <x v="3"/>
    <x v="23"/>
    <x v="1"/>
    <x v="5"/>
    <n v="0"/>
  </r>
  <r>
    <x v="0"/>
    <x v="7"/>
    <x v="1"/>
    <x v="3"/>
    <x v="23"/>
    <x v="1"/>
    <x v="6"/>
    <n v="0"/>
  </r>
  <r>
    <x v="0"/>
    <x v="7"/>
    <x v="1"/>
    <x v="3"/>
    <x v="24"/>
    <x v="1"/>
    <x v="0"/>
    <n v="0"/>
  </r>
  <r>
    <x v="0"/>
    <x v="7"/>
    <x v="1"/>
    <x v="3"/>
    <x v="24"/>
    <x v="1"/>
    <x v="1"/>
    <n v="0"/>
  </r>
  <r>
    <x v="0"/>
    <x v="7"/>
    <x v="1"/>
    <x v="3"/>
    <x v="24"/>
    <x v="1"/>
    <x v="2"/>
    <n v="0"/>
  </r>
  <r>
    <x v="0"/>
    <x v="7"/>
    <x v="1"/>
    <x v="3"/>
    <x v="24"/>
    <x v="1"/>
    <x v="3"/>
    <n v="0"/>
  </r>
  <r>
    <x v="0"/>
    <x v="7"/>
    <x v="1"/>
    <x v="3"/>
    <x v="24"/>
    <x v="1"/>
    <x v="4"/>
    <n v="0"/>
  </r>
  <r>
    <x v="0"/>
    <x v="7"/>
    <x v="1"/>
    <x v="3"/>
    <x v="24"/>
    <x v="1"/>
    <x v="5"/>
    <n v="0"/>
  </r>
  <r>
    <x v="0"/>
    <x v="7"/>
    <x v="1"/>
    <x v="3"/>
    <x v="24"/>
    <x v="1"/>
    <x v="6"/>
    <n v="0"/>
  </r>
  <r>
    <x v="0"/>
    <x v="7"/>
    <x v="1"/>
    <x v="3"/>
    <x v="25"/>
    <x v="1"/>
    <x v="0"/>
    <n v="0"/>
  </r>
  <r>
    <x v="0"/>
    <x v="7"/>
    <x v="1"/>
    <x v="3"/>
    <x v="25"/>
    <x v="1"/>
    <x v="1"/>
    <n v="0"/>
  </r>
  <r>
    <x v="0"/>
    <x v="7"/>
    <x v="1"/>
    <x v="3"/>
    <x v="25"/>
    <x v="1"/>
    <x v="2"/>
    <n v="0"/>
  </r>
  <r>
    <x v="0"/>
    <x v="7"/>
    <x v="1"/>
    <x v="3"/>
    <x v="25"/>
    <x v="1"/>
    <x v="3"/>
    <n v="0"/>
  </r>
  <r>
    <x v="0"/>
    <x v="7"/>
    <x v="1"/>
    <x v="3"/>
    <x v="25"/>
    <x v="1"/>
    <x v="4"/>
    <n v="0"/>
  </r>
  <r>
    <x v="0"/>
    <x v="7"/>
    <x v="1"/>
    <x v="3"/>
    <x v="25"/>
    <x v="1"/>
    <x v="5"/>
    <n v="0"/>
  </r>
  <r>
    <x v="0"/>
    <x v="7"/>
    <x v="1"/>
    <x v="3"/>
    <x v="25"/>
    <x v="1"/>
    <x v="6"/>
    <n v="0"/>
  </r>
  <r>
    <x v="0"/>
    <x v="7"/>
    <x v="2"/>
    <x v="4"/>
    <x v="26"/>
    <x v="1"/>
    <x v="0"/>
    <n v="0"/>
  </r>
  <r>
    <x v="0"/>
    <x v="7"/>
    <x v="2"/>
    <x v="4"/>
    <x v="26"/>
    <x v="1"/>
    <x v="1"/>
    <n v="0"/>
  </r>
  <r>
    <x v="0"/>
    <x v="7"/>
    <x v="2"/>
    <x v="4"/>
    <x v="26"/>
    <x v="1"/>
    <x v="2"/>
    <n v="0"/>
  </r>
  <r>
    <x v="0"/>
    <x v="7"/>
    <x v="2"/>
    <x v="4"/>
    <x v="26"/>
    <x v="1"/>
    <x v="3"/>
    <n v="0"/>
  </r>
  <r>
    <x v="0"/>
    <x v="7"/>
    <x v="2"/>
    <x v="4"/>
    <x v="26"/>
    <x v="1"/>
    <x v="4"/>
    <n v="0"/>
  </r>
  <r>
    <x v="0"/>
    <x v="7"/>
    <x v="2"/>
    <x v="4"/>
    <x v="26"/>
    <x v="1"/>
    <x v="5"/>
    <n v="0"/>
  </r>
  <r>
    <x v="0"/>
    <x v="7"/>
    <x v="2"/>
    <x v="4"/>
    <x v="26"/>
    <x v="1"/>
    <x v="6"/>
    <n v="0"/>
  </r>
  <r>
    <x v="0"/>
    <x v="7"/>
    <x v="2"/>
    <x v="4"/>
    <x v="27"/>
    <x v="1"/>
    <x v="0"/>
    <n v="0"/>
  </r>
  <r>
    <x v="0"/>
    <x v="7"/>
    <x v="2"/>
    <x v="4"/>
    <x v="27"/>
    <x v="1"/>
    <x v="1"/>
    <n v="0"/>
  </r>
  <r>
    <x v="0"/>
    <x v="7"/>
    <x v="2"/>
    <x v="4"/>
    <x v="27"/>
    <x v="1"/>
    <x v="2"/>
    <n v="0"/>
  </r>
  <r>
    <x v="0"/>
    <x v="7"/>
    <x v="2"/>
    <x v="4"/>
    <x v="27"/>
    <x v="1"/>
    <x v="3"/>
    <n v="0"/>
  </r>
  <r>
    <x v="0"/>
    <x v="7"/>
    <x v="2"/>
    <x v="4"/>
    <x v="27"/>
    <x v="1"/>
    <x v="4"/>
    <n v="0"/>
  </r>
  <r>
    <x v="0"/>
    <x v="7"/>
    <x v="2"/>
    <x v="4"/>
    <x v="27"/>
    <x v="1"/>
    <x v="5"/>
    <n v="0"/>
  </r>
  <r>
    <x v="0"/>
    <x v="7"/>
    <x v="2"/>
    <x v="4"/>
    <x v="27"/>
    <x v="1"/>
    <x v="6"/>
    <n v="0"/>
  </r>
  <r>
    <x v="0"/>
    <x v="7"/>
    <x v="2"/>
    <x v="4"/>
    <x v="28"/>
    <x v="1"/>
    <x v="0"/>
    <n v="0"/>
  </r>
  <r>
    <x v="0"/>
    <x v="7"/>
    <x v="2"/>
    <x v="4"/>
    <x v="28"/>
    <x v="1"/>
    <x v="1"/>
    <n v="0"/>
  </r>
  <r>
    <x v="0"/>
    <x v="7"/>
    <x v="2"/>
    <x v="4"/>
    <x v="28"/>
    <x v="1"/>
    <x v="2"/>
    <n v="0"/>
  </r>
  <r>
    <x v="0"/>
    <x v="7"/>
    <x v="2"/>
    <x v="4"/>
    <x v="28"/>
    <x v="1"/>
    <x v="3"/>
    <n v="0"/>
  </r>
  <r>
    <x v="0"/>
    <x v="7"/>
    <x v="2"/>
    <x v="4"/>
    <x v="28"/>
    <x v="1"/>
    <x v="4"/>
    <n v="0"/>
  </r>
  <r>
    <x v="0"/>
    <x v="7"/>
    <x v="2"/>
    <x v="4"/>
    <x v="28"/>
    <x v="1"/>
    <x v="5"/>
    <n v="0"/>
  </r>
  <r>
    <x v="0"/>
    <x v="7"/>
    <x v="2"/>
    <x v="4"/>
    <x v="28"/>
    <x v="1"/>
    <x v="6"/>
    <n v="0"/>
  </r>
  <r>
    <x v="0"/>
    <x v="7"/>
    <x v="2"/>
    <x v="4"/>
    <x v="29"/>
    <x v="1"/>
    <x v="0"/>
    <n v="233519.49347894808"/>
  </r>
  <r>
    <x v="0"/>
    <x v="7"/>
    <x v="2"/>
    <x v="4"/>
    <x v="29"/>
    <x v="1"/>
    <x v="1"/>
    <n v="267820.79999998724"/>
  </r>
  <r>
    <x v="0"/>
    <x v="7"/>
    <x v="2"/>
    <x v="4"/>
    <x v="29"/>
    <x v="1"/>
    <x v="2"/>
    <n v="253076.40000001792"/>
  </r>
  <r>
    <x v="0"/>
    <x v="7"/>
    <x v="2"/>
    <x v="4"/>
    <x v="29"/>
    <x v="1"/>
    <x v="3"/>
    <n v="269148.79999998782"/>
  </r>
  <r>
    <x v="0"/>
    <x v="7"/>
    <x v="2"/>
    <x v="4"/>
    <x v="29"/>
    <x v="1"/>
    <x v="4"/>
    <n v="182386.44749999765"/>
  </r>
  <r>
    <x v="0"/>
    <x v="7"/>
    <x v="2"/>
    <x v="4"/>
    <x v="29"/>
    <x v="1"/>
    <x v="5"/>
    <n v="68938.590000015101"/>
  </r>
  <r>
    <x v="0"/>
    <x v="7"/>
    <x v="2"/>
    <x v="4"/>
    <x v="29"/>
    <x v="1"/>
    <x v="6"/>
    <n v="19170.775000020141"/>
  </r>
  <r>
    <x v="0"/>
    <x v="7"/>
    <x v="3"/>
    <x v="5"/>
    <x v="30"/>
    <x v="1"/>
    <x v="0"/>
    <n v="1955.463816215047"/>
  </r>
  <r>
    <x v="0"/>
    <x v="7"/>
    <x v="3"/>
    <x v="5"/>
    <x v="30"/>
    <x v="1"/>
    <x v="1"/>
    <n v="2989.6102127375757"/>
  </r>
  <r>
    <x v="0"/>
    <x v="7"/>
    <x v="3"/>
    <x v="5"/>
    <x v="30"/>
    <x v="1"/>
    <x v="2"/>
    <n v="5177.0350554245033"/>
  </r>
  <r>
    <x v="0"/>
    <x v="7"/>
    <x v="3"/>
    <x v="5"/>
    <x v="30"/>
    <x v="1"/>
    <x v="3"/>
    <n v="6130.7518001701237"/>
  </r>
  <r>
    <x v="0"/>
    <x v="7"/>
    <x v="3"/>
    <x v="5"/>
    <x v="30"/>
    <x v="1"/>
    <x v="4"/>
    <n v="5485.1167951240877"/>
  </r>
  <r>
    <x v="0"/>
    <x v="7"/>
    <x v="3"/>
    <x v="5"/>
    <x v="30"/>
    <x v="1"/>
    <x v="5"/>
    <n v="4947.5112565117688"/>
  </r>
  <r>
    <x v="0"/>
    <x v="7"/>
    <x v="3"/>
    <x v="5"/>
    <x v="30"/>
    <x v="1"/>
    <x v="6"/>
    <n v="5038.8014844260179"/>
  </r>
  <r>
    <x v="0"/>
    <x v="7"/>
    <x v="2"/>
    <x v="4"/>
    <x v="31"/>
    <x v="1"/>
    <x v="0"/>
    <n v="0"/>
  </r>
  <r>
    <x v="0"/>
    <x v="7"/>
    <x v="2"/>
    <x v="4"/>
    <x v="31"/>
    <x v="1"/>
    <x v="1"/>
    <n v="0"/>
  </r>
  <r>
    <x v="0"/>
    <x v="7"/>
    <x v="2"/>
    <x v="4"/>
    <x v="31"/>
    <x v="1"/>
    <x v="2"/>
    <n v="0"/>
  </r>
  <r>
    <x v="0"/>
    <x v="7"/>
    <x v="2"/>
    <x v="4"/>
    <x v="31"/>
    <x v="1"/>
    <x v="3"/>
    <n v="0"/>
  </r>
  <r>
    <x v="0"/>
    <x v="7"/>
    <x v="2"/>
    <x v="4"/>
    <x v="31"/>
    <x v="1"/>
    <x v="4"/>
    <n v="0"/>
  </r>
  <r>
    <x v="0"/>
    <x v="7"/>
    <x v="2"/>
    <x v="4"/>
    <x v="31"/>
    <x v="1"/>
    <x v="5"/>
    <n v="0"/>
  </r>
  <r>
    <x v="0"/>
    <x v="7"/>
    <x v="2"/>
    <x v="4"/>
    <x v="31"/>
    <x v="1"/>
    <x v="6"/>
    <n v="0"/>
  </r>
  <r>
    <x v="0"/>
    <x v="7"/>
    <x v="2"/>
    <x v="4"/>
    <x v="32"/>
    <x v="1"/>
    <x v="0"/>
    <n v="30.411621531526876"/>
  </r>
  <r>
    <x v="0"/>
    <x v="7"/>
    <x v="2"/>
    <x v="4"/>
    <x v="32"/>
    <x v="1"/>
    <x v="1"/>
    <n v="77.75104708394305"/>
  </r>
  <r>
    <x v="0"/>
    <x v="7"/>
    <x v="2"/>
    <x v="4"/>
    <x v="32"/>
    <x v="1"/>
    <x v="2"/>
    <n v="190.26546403040237"/>
  </r>
  <r>
    <x v="0"/>
    <x v="7"/>
    <x v="2"/>
    <x v="4"/>
    <x v="32"/>
    <x v="1"/>
    <x v="3"/>
    <n v="420.38806660151181"/>
  </r>
  <r>
    <x v="0"/>
    <x v="7"/>
    <x v="2"/>
    <x v="4"/>
    <x v="32"/>
    <x v="1"/>
    <x v="4"/>
    <n v="806.27313013235357"/>
  </r>
  <r>
    <x v="0"/>
    <x v="7"/>
    <x v="2"/>
    <x v="4"/>
    <x v="32"/>
    <x v="1"/>
    <x v="5"/>
    <n v="1001.6341730471299"/>
  </r>
  <r>
    <x v="0"/>
    <x v="7"/>
    <x v="2"/>
    <x v="4"/>
    <x v="32"/>
    <x v="1"/>
    <x v="6"/>
    <n v="1397.9073136604682"/>
  </r>
  <r>
    <x v="0"/>
    <x v="7"/>
    <x v="2"/>
    <x v="4"/>
    <x v="33"/>
    <x v="1"/>
    <x v="0"/>
    <n v="0"/>
  </r>
  <r>
    <x v="0"/>
    <x v="7"/>
    <x v="2"/>
    <x v="4"/>
    <x v="33"/>
    <x v="1"/>
    <x v="1"/>
    <n v="0"/>
  </r>
  <r>
    <x v="0"/>
    <x v="7"/>
    <x v="2"/>
    <x v="4"/>
    <x v="33"/>
    <x v="1"/>
    <x v="2"/>
    <n v="0"/>
  </r>
  <r>
    <x v="0"/>
    <x v="7"/>
    <x v="2"/>
    <x v="4"/>
    <x v="33"/>
    <x v="1"/>
    <x v="3"/>
    <n v="0"/>
  </r>
  <r>
    <x v="0"/>
    <x v="7"/>
    <x v="2"/>
    <x v="4"/>
    <x v="33"/>
    <x v="1"/>
    <x v="4"/>
    <n v="0"/>
  </r>
  <r>
    <x v="0"/>
    <x v="7"/>
    <x v="2"/>
    <x v="4"/>
    <x v="33"/>
    <x v="1"/>
    <x v="5"/>
    <n v="0"/>
  </r>
  <r>
    <x v="0"/>
    <x v="7"/>
    <x v="2"/>
    <x v="4"/>
    <x v="33"/>
    <x v="1"/>
    <x v="6"/>
    <n v="0"/>
  </r>
  <r>
    <x v="0"/>
    <x v="7"/>
    <x v="2"/>
    <x v="4"/>
    <x v="34"/>
    <x v="1"/>
    <x v="0"/>
    <n v="109.45825726149761"/>
  </r>
  <r>
    <x v="0"/>
    <x v="7"/>
    <x v="2"/>
    <x v="4"/>
    <x v="34"/>
    <x v="1"/>
    <x v="1"/>
    <n v="225.88915360797995"/>
  </r>
  <r>
    <x v="0"/>
    <x v="7"/>
    <x v="2"/>
    <x v="4"/>
    <x v="34"/>
    <x v="1"/>
    <x v="2"/>
    <n v="498.29201947562296"/>
  </r>
  <r>
    <x v="0"/>
    <x v="7"/>
    <x v="2"/>
    <x v="4"/>
    <x v="34"/>
    <x v="1"/>
    <x v="3"/>
    <n v="1061.3084239659827"/>
  </r>
  <r>
    <x v="0"/>
    <x v="7"/>
    <x v="2"/>
    <x v="4"/>
    <x v="34"/>
    <x v="1"/>
    <x v="4"/>
    <n v="1761.7920258632325"/>
  </r>
  <r>
    <x v="0"/>
    <x v="7"/>
    <x v="2"/>
    <x v="4"/>
    <x v="34"/>
    <x v="1"/>
    <x v="5"/>
    <n v="2139.6140982431702"/>
  </r>
  <r>
    <x v="0"/>
    <x v="7"/>
    <x v="2"/>
    <x v="4"/>
    <x v="34"/>
    <x v="1"/>
    <x v="6"/>
    <n v="2577.1377947510005"/>
  </r>
  <r>
    <x v="0"/>
    <x v="7"/>
    <x v="2"/>
    <x v="6"/>
    <x v="35"/>
    <x v="1"/>
    <x v="0"/>
    <n v="0"/>
  </r>
  <r>
    <x v="0"/>
    <x v="7"/>
    <x v="2"/>
    <x v="6"/>
    <x v="35"/>
    <x v="1"/>
    <x v="1"/>
    <n v="0"/>
  </r>
  <r>
    <x v="0"/>
    <x v="7"/>
    <x v="2"/>
    <x v="6"/>
    <x v="35"/>
    <x v="1"/>
    <x v="2"/>
    <n v="0"/>
  </r>
  <r>
    <x v="0"/>
    <x v="7"/>
    <x v="2"/>
    <x v="6"/>
    <x v="35"/>
    <x v="1"/>
    <x v="3"/>
    <n v="0"/>
  </r>
  <r>
    <x v="0"/>
    <x v="7"/>
    <x v="2"/>
    <x v="6"/>
    <x v="35"/>
    <x v="1"/>
    <x v="4"/>
    <n v="0"/>
  </r>
  <r>
    <x v="0"/>
    <x v="7"/>
    <x v="2"/>
    <x v="6"/>
    <x v="35"/>
    <x v="1"/>
    <x v="5"/>
    <n v="0"/>
  </r>
  <r>
    <x v="0"/>
    <x v="7"/>
    <x v="2"/>
    <x v="6"/>
    <x v="35"/>
    <x v="1"/>
    <x v="6"/>
    <n v="0"/>
  </r>
  <r>
    <x v="0"/>
    <x v="7"/>
    <x v="2"/>
    <x v="6"/>
    <x v="36"/>
    <x v="1"/>
    <x v="0"/>
    <n v="0"/>
  </r>
  <r>
    <x v="0"/>
    <x v="7"/>
    <x v="2"/>
    <x v="6"/>
    <x v="36"/>
    <x v="1"/>
    <x v="1"/>
    <n v="0"/>
  </r>
  <r>
    <x v="0"/>
    <x v="7"/>
    <x v="2"/>
    <x v="6"/>
    <x v="36"/>
    <x v="1"/>
    <x v="2"/>
    <n v="0"/>
  </r>
  <r>
    <x v="0"/>
    <x v="7"/>
    <x v="2"/>
    <x v="6"/>
    <x v="36"/>
    <x v="1"/>
    <x v="3"/>
    <n v="0"/>
  </r>
  <r>
    <x v="0"/>
    <x v="7"/>
    <x v="2"/>
    <x v="6"/>
    <x v="36"/>
    <x v="1"/>
    <x v="4"/>
    <n v="0"/>
  </r>
  <r>
    <x v="0"/>
    <x v="7"/>
    <x v="2"/>
    <x v="6"/>
    <x v="36"/>
    <x v="1"/>
    <x v="5"/>
    <n v="0"/>
  </r>
  <r>
    <x v="0"/>
    <x v="7"/>
    <x v="2"/>
    <x v="6"/>
    <x v="36"/>
    <x v="1"/>
    <x v="6"/>
    <n v="0"/>
  </r>
  <r>
    <x v="0"/>
    <x v="7"/>
    <x v="2"/>
    <x v="6"/>
    <x v="37"/>
    <x v="1"/>
    <x v="0"/>
    <n v="0"/>
  </r>
  <r>
    <x v="0"/>
    <x v="7"/>
    <x v="2"/>
    <x v="6"/>
    <x v="37"/>
    <x v="1"/>
    <x v="1"/>
    <n v="0"/>
  </r>
  <r>
    <x v="0"/>
    <x v="7"/>
    <x v="2"/>
    <x v="6"/>
    <x v="37"/>
    <x v="1"/>
    <x v="2"/>
    <n v="0"/>
  </r>
  <r>
    <x v="0"/>
    <x v="7"/>
    <x v="2"/>
    <x v="6"/>
    <x v="37"/>
    <x v="1"/>
    <x v="3"/>
    <n v="0"/>
  </r>
  <r>
    <x v="0"/>
    <x v="7"/>
    <x v="2"/>
    <x v="6"/>
    <x v="37"/>
    <x v="1"/>
    <x v="4"/>
    <n v="0"/>
  </r>
  <r>
    <x v="0"/>
    <x v="7"/>
    <x v="2"/>
    <x v="6"/>
    <x v="37"/>
    <x v="1"/>
    <x v="5"/>
    <n v="0"/>
  </r>
  <r>
    <x v="0"/>
    <x v="7"/>
    <x v="2"/>
    <x v="6"/>
    <x v="37"/>
    <x v="1"/>
    <x v="6"/>
    <n v="0"/>
  </r>
  <r>
    <x v="0"/>
    <x v="7"/>
    <x v="2"/>
    <x v="6"/>
    <x v="38"/>
    <x v="1"/>
    <x v="0"/>
    <n v="0"/>
  </r>
  <r>
    <x v="0"/>
    <x v="7"/>
    <x v="2"/>
    <x v="6"/>
    <x v="38"/>
    <x v="1"/>
    <x v="1"/>
    <n v="0"/>
  </r>
  <r>
    <x v="0"/>
    <x v="7"/>
    <x v="2"/>
    <x v="6"/>
    <x v="38"/>
    <x v="1"/>
    <x v="2"/>
    <n v="0"/>
  </r>
  <r>
    <x v="0"/>
    <x v="7"/>
    <x v="2"/>
    <x v="6"/>
    <x v="38"/>
    <x v="1"/>
    <x v="3"/>
    <n v="0"/>
  </r>
  <r>
    <x v="0"/>
    <x v="7"/>
    <x v="2"/>
    <x v="6"/>
    <x v="38"/>
    <x v="1"/>
    <x v="4"/>
    <n v="0"/>
  </r>
  <r>
    <x v="0"/>
    <x v="7"/>
    <x v="2"/>
    <x v="6"/>
    <x v="38"/>
    <x v="1"/>
    <x v="5"/>
    <n v="0"/>
  </r>
  <r>
    <x v="0"/>
    <x v="7"/>
    <x v="2"/>
    <x v="6"/>
    <x v="38"/>
    <x v="1"/>
    <x v="6"/>
    <n v="0"/>
  </r>
  <r>
    <x v="0"/>
    <x v="7"/>
    <x v="3"/>
    <x v="5"/>
    <x v="39"/>
    <x v="1"/>
    <x v="0"/>
    <n v="9373.1617282879124"/>
  </r>
  <r>
    <x v="0"/>
    <x v="7"/>
    <x v="3"/>
    <x v="5"/>
    <x v="39"/>
    <x v="1"/>
    <x v="1"/>
    <n v="9416.4614215584679"/>
  </r>
  <r>
    <x v="0"/>
    <x v="7"/>
    <x v="3"/>
    <x v="5"/>
    <x v="39"/>
    <x v="1"/>
    <x v="2"/>
    <n v="10189.518212729166"/>
  </r>
  <r>
    <x v="0"/>
    <x v="7"/>
    <x v="3"/>
    <x v="5"/>
    <x v="39"/>
    <x v="1"/>
    <x v="3"/>
    <n v="9718.062586672695"/>
  </r>
  <r>
    <x v="0"/>
    <x v="7"/>
    <x v="3"/>
    <x v="5"/>
    <x v="39"/>
    <x v="1"/>
    <x v="4"/>
    <n v="7732.918197602542"/>
  </r>
  <r>
    <x v="0"/>
    <x v="7"/>
    <x v="3"/>
    <x v="5"/>
    <x v="39"/>
    <x v="1"/>
    <x v="5"/>
    <n v="5399.5338143241497"/>
  </r>
  <r>
    <x v="0"/>
    <x v="7"/>
    <x v="3"/>
    <x v="5"/>
    <x v="39"/>
    <x v="1"/>
    <x v="6"/>
    <n v="5209.6682073145012"/>
  </r>
  <r>
    <x v="0"/>
    <x v="7"/>
    <x v="2"/>
    <x v="6"/>
    <x v="40"/>
    <x v="1"/>
    <x v="0"/>
    <n v="0"/>
  </r>
  <r>
    <x v="0"/>
    <x v="7"/>
    <x v="2"/>
    <x v="6"/>
    <x v="40"/>
    <x v="1"/>
    <x v="1"/>
    <n v="0"/>
  </r>
  <r>
    <x v="0"/>
    <x v="7"/>
    <x v="2"/>
    <x v="6"/>
    <x v="40"/>
    <x v="1"/>
    <x v="2"/>
    <n v="0"/>
  </r>
  <r>
    <x v="0"/>
    <x v="7"/>
    <x v="2"/>
    <x v="6"/>
    <x v="40"/>
    <x v="1"/>
    <x v="3"/>
    <n v="0"/>
  </r>
  <r>
    <x v="0"/>
    <x v="7"/>
    <x v="2"/>
    <x v="6"/>
    <x v="40"/>
    <x v="1"/>
    <x v="4"/>
    <n v="0"/>
  </r>
  <r>
    <x v="0"/>
    <x v="7"/>
    <x v="2"/>
    <x v="6"/>
    <x v="40"/>
    <x v="1"/>
    <x v="5"/>
    <n v="0"/>
  </r>
  <r>
    <x v="0"/>
    <x v="7"/>
    <x v="2"/>
    <x v="6"/>
    <x v="40"/>
    <x v="1"/>
    <x v="6"/>
    <n v="0"/>
  </r>
  <r>
    <x v="0"/>
    <x v="7"/>
    <x v="2"/>
    <x v="6"/>
    <x v="41"/>
    <x v="1"/>
    <x v="0"/>
    <n v="0"/>
  </r>
  <r>
    <x v="0"/>
    <x v="7"/>
    <x v="2"/>
    <x v="6"/>
    <x v="41"/>
    <x v="1"/>
    <x v="1"/>
    <n v="0"/>
  </r>
  <r>
    <x v="0"/>
    <x v="7"/>
    <x v="2"/>
    <x v="6"/>
    <x v="41"/>
    <x v="1"/>
    <x v="2"/>
    <n v="0"/>
  </r>
  <r>
    <x v="0"/>
    <x v="7"/>
    <x v="2"/>
    <x v="6"/>
    <x v="41"/>
    <x v="1"/>
    <x v="3"/>
    <n v="0"/>
  </r>
  <r>
    <x v="0"/>
    <x v="7"/>
    <x v="2"/>
    <x v="6"/>
    <x v="41"/>
    <x v="1"/>
    <x v="4"/>
    <n v="0"/>
  </r>
  <r>
    <x v="0"/>
    <x v="7"/>
    <x v="2"/>
    <x v="6"/>
    <x v="41"/>
    <x v="1"/>
    <x v="5"/>
    <n v="0"/>
  </r>
  <r>
    <x v="0"/>
    <x v="7"/>
    <x v="2"/>
    <x v="6"/>
    <x v="41"/>
    <x v="1"/>
    <x v="6"/>
    <n v="0"/>
  </r>
  <r>
    <x v="0"/>
    <x v="7"/>
    <x v="2"/>
    <x v="6"/>
    <x v="42"/>
    <x v="1"/>
    <x v="0"/>
    <n v="0"/>
  </r>
  <r>
    <x v="0"/>
    <x v="7"/>
    <x v="2"/>
    <x v="6"/>
    <x v="42"/>
    <x v="1"/>
    <x v="1"/>
    <n v="0"/>
  </r>
  <r>
    <x v="0"/>
    <x v="7"/>
    <x v="2"/>
    <x v="6"/>
    <x v="42"/>
    <x v="1"/>
    <x v="2"/>
    <n v="0"/>
  </r>
  <r>
    <x v="0"/>
    <x v="7"/>
    <x v="2"/>
    <x v="6"/>
    <x v="42"/>
    <x v="1"/>
    <x v="3"/>
    <n v="0"/>
  </r>
  <r>
    <x v="0"/>
    <x v="7"/>
    <x v="2"/>
    <x v="6"/>
    <x v="42"/>
    <x v="1"/>
    <x v="4"/>
    <n v="0"/>
  </r>
  <r>
    <x v="0"/>
    <x v="7"/>
    <x v="2"/>
    <x v="6"/>
    <x v="42"/>
    <x v="1"/>
    <x v="5"/>
    <n v="0"/>
  </r>
  <r>
    <x v="0"/>
    <x v="7"/>
    <x v="2"/>
    <x v="6"/>
    <x v="42"/>
    <x v="1"/>
    <x v="6"/>
    <n v="0"/>
  </r>
  <r>
    <x v="0"/>
    <x v="7"/>
    <x v="2"/>
    <x v="6"/>
    <x v="43"/>
    <x v="1"/>
    <x v="0"/>
    <n v="0"/>
  </r>
  <r>
    <x v="0"/>
    <x v="7"/>
    <x v="2"/>
    <x v="6"/>
    <x v="43"/>
    <x v="1"/>
    <x v="1"/>
    <n v="0"/>
  </r>
  <r>
    <x v="0"/>
    <x v="7"/>
    <x v="2"/>
    <x v="6"/>
    <x v="43"/>
    <x v="1"/>
    <x v="2"/>
    <n v="0"/>
  </r>
  <r>
    <x v="0"/>
    <x v="7"/>
    <x v="2"/>
    <x v="6"/>
    <x v="43"/>
    <x v="1"/>
    <x v="3"/>
    <n v="0"/>
  </r>
  <r>
    <x v="0"/>
    <x v="7"/>
    <x v="2"/>
    <x v="6"/>
    <x v="43"/>
    <x v="1"/>
    <x v="4"/>
    <n v="0"/>
  </r>
  <r>
    <x v="0"/>
    <x v="7"/>
    <x v="2"/>
    <x v="6"/>
    <x v="43"/>
    <x v="1"/>
    <x v="5"/>
    <n v="0"/>
  </r>
  <r>
    <x v="0"/>
    <x v="7"/>
    <x v="2"/>
    <x v="6"/>
    <x v="43"/>
    <x v="1"/>
    <x v="6"/>
    <n v="0"/>
  </r>
  <r>
    <x v="0"/>
    <x v="6"/>
    <x v="4"/>
    <x v="7"/>
    <x v="61"/>
    <x v="1"/>
    <x v="0"/>
    <n v="0"/>
  </r>
  <r>
    <x v="0"/>
    <x v="6"/>
    <x v="4"/>
    <x v="7"/>
    <x v="61"/>
    <x v="1"/>
    <x v="1"/>
    <n v="10.234323263975364"/>
  </r>
  <r>
    <x v="0"/>
    <x v="6"/>
    <x v="4"/>
    <x v="7"/>
    <x v="61"/>
    <x v="1"/>
    <x v="2"/>
    <n v="37.093923161352109"/>
  </r>
  <r>
    <x v="0"/>
    <x v="6"/>
    <x v="4"/>
    <x v="7"/>
    <x v="61"/>
    <x v="1"/>
    <x v="3"/>
    <n v="106.13650624595903"/>
  </r>
  <r>
    <x v="0"/>
    <x v="6"/>
    <x v="4"/>
    <x v="7"/>
    <x v="61"/>
    <x v="1"/>
    <x v="4"/>
    <n v="279.13716999999997"/>
  </r>
  <r>
    <x v="0"/>
    <x v="6"/>
    <x v="4"/>
    <x v="7"/>
    <x v="61"/>
    <x v="1"/>
    <x v="5"/>
    <n v="515.416608"/>
  </r>
  <r>
    <x v="0"/>
    <x v="6"/>
    <x v="4"/>
    <x v="7"/>
    <x v="61"/>
    <x v="1"/>
    <x v="6"/>
    <n v="802.2411810000001"/>
  </r>
  <r>
    <x v="0"/>
    <x v="6"/>
    <x v="4"/>
    <x v="7"/>
    <x v="62"/>
    <x v="1"/>
    <x v="0"/>
    <n v="55.078038700591421"/>
  </r>
  <r>
    <x v="0"/>
    <x v="6"/>
    <x v="4"/>
    <x v="7"/>
    <x v="62"/>
    <x v="1"/>
    <x v="1"/>
    <n v="179.28323751656205"/>
  </r>
  <r>
    <x v="0"/>
    <x v="6"/>
    <x v="4"/>
    <x v="7"/>
    <x v="62"/>
    <x v="1"/>
    <x v="2"/>
    <n v="524.21387770900515"/>
  </r>
  <r>
    <x v="0"/>
    <x v="6"/>
    <x v="4"/>
    <x v="7"/>
    <x v="62"/>
    <x v="1"/>
    <x v="3"/>
    <n v="1391.9112526604974"/>
  </r>
  <r>
    <x v="0"/>
    <x v="6"/>
    <x v="4"/>
    <x v="7"/>
    <x v="62"/>
    <x v="1"/>
    <x v="4"/>
    <n v="3497.3948838000015"/>
  </r>
  <r>
    <x v="0"/>
    <x v="6"/>
    <x v="4"/>
    <x v="7"/>
    <x v="62"/>
    <x v="1"/>
    <x v="5"/>
    <n v="6438.2612032000006"/>
  </r>
  <r>
    <x v="0"/>
    <x v="6"/>
    <x v="4"/>
    <x v="7"/>
    <x v="62"/>
    <x v="1"/>
    <x v="6"/>
    <n v="9566.8443525599996"/>
  </r>
  <r>
    <x v="0"/>
    <x v="6"/>
    <x v="4"/>
    <x v="7"/>
    <x v="63"/>
    <x v="1"/>
    <x v="0"/>
    <n v="0"/>
  </r>
  <r>
    <x v="0"/>
    <x v="6"/>
    <x v="4"/>
    <x v="7"/>
    <x v="63"/>
    <x v="1"/>
    <x v="1"/>
    <n v="0"/>
  </r>
  <r>
    <x v="0"/>
    <x v="6"/>
    <x v="4"/>
    <x v="7"/>
    <x v="63"/>
    <x v="1"/>
    <x v="2"/>
    <n v="0"/>
  </r>
  <r>
    <x v="0"/>
    <x v="6"/>
    <x v="4"/>
    <x v="7"/>
    <x v="63"/>
    <x v="1"/>
    <x v="3"/>
    <n v="0"/>
  </r>
  <r>
    <x v="0"/>
    <x v="6"/>
    <x v="4"/>
    <x v="7"/>
    <x v="63"/>
    <x v="1"/>
    <x v="4"/>
    <n v="0"/>
  </r>
  <r>
    <x v="0"/>
    <x v="6"/>
    <x v="4"/>
    <x v="7"/>
    <x v="63"/>
    <x v="1"/>
    <x v="5"/>
    <n v="0"/>
  </r>
  <r>
    <x v="0"/>
    <x v="6"/>
    <x v="4"/>
    <x v="7"/>
    <x v="63"/>
    <x v="1"/>
    <x v="6"/>
    <n v="0"/>
  </r>
  <r>
    <x v="0"/>
    <x v="6"/>
    <x v="4"/>
    <x v="7"/>
    <x v="64"/>
    <x v="1"/>
    <x v="0"/>
    <n v="0.20849741453163967"/>
  </r>
  <r>
    <x v="0"/>
    <x v="6"/>
    <x v="4"/>
    <x v="7"/>
    <x v="64"/>
    <x v="1"/>
    <x v="1"/>
    <n v="0.9636029759183079"/>
  </r>
  <r>
    <x v="0"/>
    <x v="6"/>
    <x v="4"/>
    <x v="7"/>
    <x v="64"/>
    <x v="1"/>
    <x v="2"/>
    <n v="4.4648132874700543"/>
  </r>
  <r>
    <x v="0"/>
    <x v="6"/>
    <x v="4"/>
    <x v="7"/>
    <x v="64"/>
    <x v="1"/>
    <x v="3"/>
    <n v="18.519746966374264"/>
  </r>
  <r>
    <x v="0"/>
    <x v="6"/>
    <x v="4"/>
    <x v="7"/>
    <x v="64"/>
    <x v="1"/>
    <x v="4"/>
    <n v="73.215636836403817"/>
  </r>
  <r>
    <x v="0"/>
    <x v="6"/>
    <x v="4"/>
    <x v="7"/>
    <x v="64"/>
    <x v="1"/>
    <x v="5"/>
    <n v="234.60705589784592"/>
  </r>
  <r>
    <x v="0"/>
    <x v="6"/>
    <x v="4"/>
    <x v="7"/>
    <x v="64"/>
    <x v="1"/>
    <x v="6"/>
    <n v="446.55010083411474"/>
  </r>
  <r>
    <x v="0"/>
    <x v="7"/>
    <x v="4"/>
    <x v="7"/>
    <x v="44"/>
    <x v="1"/>
    <x v="0"/>
    <n v="7.4985121304816671"/>
  </r>
  <r>
    <x v="0"/>
    <x v="7"/>
    <x v="4"/>
    <x v="7"/>
    <x v="44"/>
    <x v="1"/>
    <x v="1"/>
    <n v="22.253171652042678"/>
  </r>
  <r>
    <x v="0"/>
    <x v="7"/>
    <x v="4"/>
    <x v="7"/>
    <x v="44"/>
    <x v="1"/>
    <x v="2"/>
    <n v="67.983465248475753"/>
  </r>
  <r>
    <x v="0"/>
    <x v="7"/>
    <x v="4"/>
    <x v="7"/>
    <x v="44"/>
    <x v="1"/>
    <x v="3"/>
    <n v="173.04043807904591"/>
  </r>
  <r>
    <x v="0"/>
    <x v="7"/>
    <x v="4"/>
    <x v="7"/>
    <x v="44"/>
    <x v="1"/>
    <x v="4"/>
    <n v="270.37500000000006"/>
  </r>
  <r>
    <x v="0"/>
    <x v="7"/>
    <x v="4"/>
    <x v="7"/>
    <x v="44"/>
    <x v="1"/>
    <x v="5"/>
    <n v="299.52000000000004"/>
  </r>
  <r>
    <x v="0"/>
    <x v="7"/>
    <x v="4"/>
    <x v="7"/>
    <x v="44"/>
    <x v="1"/>
    <x v="6"/>
    <n v="343.84"/>
  </r>
  <r>
    <x v="0"/>
    <x v="7"/>
    <x v="4"/>
    <x v="7"/>
    <x v="45"/>
    <x v="1"/>
    <x v="0"/>
    <n v="0"/>
  </r>
  <r>
    <x v="0"/>
    <x v="7"/>
    <x v="4"/>
    <x v="7"/>
    <x v="45"/>
    <x v="1"/>
    <x v="1"/>
    <n v="0"/>
  </r>
  <r>
    <x v="0"/>
    <x v="7"/>
    <x v="4"/>
    <x v="7"/>
    <x v="45"/>
    <x v="1"/>
    <x v="2"/>
    <n v="0"/>
  </r>
  <r>
    <x v="0"/>
    <x v="7"/>
    <x v="4"/>
    <x v="7"/>
    <x v="45"/>
    <x v="1"/>
    <x v="3"/>
    <n v="0"/>
  </r>
  <r>
    <x v="0"/>
    <x v="7"/>
    <x v="4"/>
    <x v="7"/>
    <x v="45"/>
    <x v="1"/>
    <x v="4"/>
    <n v="0"/>
  </r>
  <r>
    <x v="0"/>
    <x v="7"/>
    <x v="4"/>
    <x v="7"/>
    <x v="45"/>
    <x v="1"/>
    <x v="5"/>
    <n v="0"/>
  </r>
  <r>
    <x v="0"/>
    <x v="7"/>
    <x v="4"/>
    <x v="7"/>
    <x v="45"/>
    <x v="1"/>
    <x v="6"/>
    <n v="0"/>
  </r>
  <r>
    <x v="0"/>
    <x v="7"/>
    <x v="4"/>
    <x v="7"/>
    <x v="46"/>
    <x v="1"/>
    <x v="0"/>
    <n v="0"/>
  </r>
  <r>
    <x v="0"/>
    <x v="7"/>
    <x v="4"/>
    <x v="7"/>
    <x v="46"/>
    <x v="1"/>
    <x v="1"/>
    <n v="0"/>
  </r>
  <r>
    <x v="0"/>
    <x v="7"/>
    <x v="4"/>
    <x v="7"/>
    <x v="46"/>
    <x v="1"/>
    <x v="2"/>
    <n v="0"/>
  </r>
  <r>
    <x v="0"/>
    <x v="7"/>
    <x v="4"/>
    <x v="7"/>
    <x v="46"/>
    <x v="1"/>
    <x v="3"/>
    <n v="0"/>
  </r>
  <r>
    <x v="0"/>
    <x v="7"/>
    <x v="4"/>
    <x v="7"/>
    <x v="46"/>
    <x v="1"/>
    <x v="4"/>
    <n v="0"/>
  </r>
  <r>
    <x v="0"/>
    <x v="7"/>
    <x v="4"/>
    <x v="7"/>
    <x v="46"/>
    <x v="1"/>
    <x v="5"/>
    <n v="0"/>
  </r>
  <r>
    <x v="0"/>
    <x v="7"/>
    <x v="4"/>
    <x v="7"/>
    <x v="46"/>
    <x v="1"/>
    <x v="6"/>
    <n v="0"/>
  </r>
  <r>
    <x v="0"/>
    <x v="7"/>
    <x v="5"/>
    <x v="8"/>
    <x v="51"/>
    <x v="1"/>
    <x v="0"/>
    <n v="0"/>
  </r>
  <r>
    <x v="0"/>
    <x v="7"/>
    <x v="5"/>
    <x v="8"/>
    <x v="51"/>
    <x v="1"/>
    <x v="1"/>
    <n v="0"/>
  </r>
  <r>
    <x v="0"/>
    <x v="7"/>
    <x v="5"/>
    <x v="8"/>
    <x v="51"/>
    <x v="1"/>
    <x v="2"/>
    <n v="0"/>
  </r>
  <r>
    <x v="0"/>
    <x v="7"/>
    <x v="5"/>
    <x v="8"/>
    <x v="51"/>
    <x v="1"/>
    <x v="3"/>
    <n v="0"/>
  </r>
  <r>
    <x v="0"/>
    <x v="7"/>
    <x v="5"/>
    <x v="8"/>
    <x v="51"/>
    <x v="1"/>
    <x v="4"/>
    <n v="0"/>
  </r>
  <r>
    <x v="0"/>
    <x v="7"/>
    <x v="5"/>
    <x v="8"/>
    <x v="51"/>
    <x v="1"/>
    <x v="5"/>
    <n v="0"/>
  </r>
  <r>
    <x v="0"/>
    <x v="7"/>
    <x v="5"/>
    <x v="8"/>
    <x v="51"/>
    <x v="1"/>
    <x v="6"/>
    <n v="0"/>
  </r>
  <r>
    <x v="0"/>
    <x v="7"/>
    <x v="3"/>
    <x v="5"/>
    <x v="52"/>
    <x v="1"/>
    <x v="0"/>
    <n v="0.31258953902142961"/>
  </r>
  <r>
    <x v="0"/>
    <x v="7"/>
    <x v="3"/>
    <x v="5"/>
    <x v="52"/>
    <x v="1"/>
    <x v="1"/>
    <n v="41.300000000000004"/>
  </r>
  <r>
    <x v="0"/>
    <x v="7"/>
    <x v="3"/>
    <x v="5"/>
    <x v="52"/>
    <x v="1"/>
    <x v="2"/>
    <n v="439.02499999999986"/>
  </r>
  <r>
    <x v="0"/>
    <x v="7"/>
    <x v="3"/>
    <x v="5"/>
    <x v="52"/>
    <x v="1"/>
    <x v="3"/>
    <n v="2127.375"/>
  </r>
  <r>
    <x v="0"/>
    <x v="7"/>
    <x v="3"/>
    <x v="5"/>
    <x v="52"/>
    <x v="1"/>
    <x v="4"/>
    <n v="6321.1200000000008"/>
  </r>
  <r>
    <x v="0"/>
    <x v="7"/>
    <x v="3"/>
    <x v="5"/>
    <x v="52"/>
    <x v="1"/>
    <x v="5"/>
    <n v="9785.6099999999988"/>
  </r>
  <r>
    <x v="0"/>
    <x v="7"/>
    <x v="3"/>
    <x v="5"/>
    <x v="52"/>
    <x v="1"/>
    <x v="6"/>
    <n v="14079.618"/>
  </r>
  <r>
    <x v="0"/>
    <x v="7"/>
    <x v="5"/>
    <x v="8"/>
    <x v="53"/>
    <x v="1"/>
    <x v="0"/>
    <n v="57.936995076091684"/>
  </r>
  <r>
    <x v="0"/>
    <x v="7"/>
    <x v="5"/>
    <x v="8"/>
    <x v="53"/>
    <x v="1"/>
    <x v="1"/>
    <n v="216.03927595564241"/>
  </r>
  <r>
    <x v="0"/>
    <x v="7"/>
    <x v="5"/>
    <x v="8"/>
    <x v="53"/>
    <x v="1"/>
    <x v="2"/>
    <n v="616.8228302058418"/>
  </r>
  <r>
    <x v="0"/>
    <x v="7"/>
    <x v="5"/>
    <x v="8"/>
    <x v="53"/>
    <x v="1"/>
    <x v="3"/>
    <n v="1701.4316539774557"/>
  </r>
  <r>
    <x v="0"/>
    <x v="7"/>
    <x v="5"/>
    <x v="8"/>
    <x v="53"/>
    <x v="1"/>
    <x v="4"/>
    <n v="2661.5087142250632"/>
  </r>
  <r>
    <x v="0"/>
    <x v="7"/>
    <x v="5"/>
    <x v="8"/>
    <x v="53"/>
    <x v="1"/>
    <x v="5"/>
    <n v="4380.1052349834126"/>
  </r>
  <r>
    <x v="0"/>
    <x v="7"/>
    <x v="5"/>
    <x v="8"/>
    <x v="53"/>
    <x v="1"/>
    <x v="6"/>
    <n v="6278.9161070498403"/>
  </r>
  <r>
    <x v="0"/>
    <x v="7"/>
    <x v="4"/>
    <x v="7"/>
    <x v="47"/>
    <x v="1"/>
    <x v="0"/>
    <n v="0"/>
  </r>
  <r>
    <x v="0"/>
    <x v="7"/>
    <x v="4"/>
    <x v="7"/>
    <x v="47"/>
    <x v="1"/>
    <x v="1"/>
    <n v="0"/>
  </r>
  <r>
    <x v="0"/>
    <x v="7"/>
    <x v="4"/>
    <x v="7"/>
    <x v="47"/>
    <x v="1"/>
    <x v="2"/>
    <n v="0"/>
  </r>
  <r>
    <x v="0"/>
    <x v="7"/>
    <x v="4"/>
    <x v="7"/>
    <x v="47"/>
    <x v="1"/>
    <x v="3"/>
    <n v="0"/>
  </r>
  <r>
    <x v="0"/>
    <x v="7"/>
    <x v="4"/>
    <x v="7"/>
    <x v="47"/>
    <x v="1"/>
    <x v="4"/>
    <n v="0"/>
  </r>
  <r>
    <x v="0"/>
    <x v="7"/>
    <x v="4"/>
    <x v="7"/>
    <x v="47"/>
    <x v="1"/>
    <x v="5"/>
    <n v="0"/>
  </r>
  <r>
    <x v="0"/>
    <x v="7"/>
    <x v="4"/>
    <x v="7"/>
    <x v="47"/>
    <x v="1"/>
    <x v="6"/>
    <n v="0"/>
  </r>
  <r>
    <x v="0"/>
    <x v="7"/>
    <x v="4"/>
    <x v="7"/>
    <x v="48"/>
    <x v="1"/>
    <x v="0"/>
    <n v="0"/>
  </r>
  <r>
    <x v="0"/>
    <x v="7"/>
    <x v="4"/>
    <x v="7"/>
    <x v="48"/>
    <x v="1"/>
    <x v="1"/>
    <n v="0"/>
  </r>
  <r>
    <x v="0"/>
    <x v="7"/>
    <x v="4"/>
    <x v="7"/>
    <x v="48"/>
    <x v="1"/>
    <x v="2"/>
    <n v="0"/>
  </r>
  <r>
    <x v="0"/>
    <x v="7"/>
    <x v="4"/>
    <x v="7"/>
    <x v="48"/>
    <x v="1"/>
    <x v="3"/>
    <n v="0"/>
  </r>
  <r>
    <x v="0"/>
    <x v="7"/>
    <x v="4"/>
    <x v="7"/>
    <x v="48"/>
    <x v="1"/>
    <x v="4"/>
    <n v="0"/>
  </r>
  <r>
    <x v="0"/>
    <x v="7"/>
    <x v="4"/>
    <x v="7"/>
    <x v="48"/>
    <x v="1"/>
    <x v="5"/>
    <n v="0"/>
  </r>
  <r>
    <x v="0"/>
    <x v="7"/>
    <x v="4"/>
    <x v="7"/>
    <x v="48"/>
    <x v="1"/>
    <x v="6"/>
    <n v="0"/>
  </r>
  <r>
    <x v="0"/>
    <x v="7"/>
    <x v="4"/>
    <x v="7"/>
    <x v="49"/>
    <x v="1"/>
    <x v="0"/>
    <n v="0"/>
  </r>
  <r>
    <x v="0"/>
    <x v="7"/>
    <x v="4"/>
    <x v="7"/>
    <x v="49"/>
    <x v="1"/>
    <x v="1"/>
    <n v="0"/>
  </r>
  <r>
    <x v="0"/>
    <x v="7"/>
    <x v="4"/>
    <x v="7"/>
    <x v="49"/>
    <x v="1"/>
    <x v="2"/>
    <n v="0"/>
  </r>
  <r>
    <x v="0"/>
    <x v="7"/>
    <x v="4"/>
    <x v="7"/>
    <x v="49"/>
    <x v="1"/>
    <x v="3"/>
    <n v="0"/>
  </r>
  <r>
    <x v="0"/>
    <x v="7"/>
    <x v="4"/>
    <x v="7"/>
    <x v="49"/>
    <x v="1"/>
    <x v="4"/>
    <n v="0"/>
  </r>
  <r>
    <x v="0"/>
    <x v="7"/>
    <x v="4"/>
    <x v="7"/>
    <x v="49"/>
    <x v="1"/>
    <x v="5"/>
    <n v="0"/>
  </r>
  <r>
    <x v="0"/>
    <x v="7"/>
    <x v="4"/>
    <x v="7"/>
    <x v="49"/>
    <x v="1"/>
    <x v="6"/>
    <n v="0"/>
  </r>
  <r>
    <x v="0"/>
    <x v="7"/>
    <x v="4"/>
    <x v="7"/>
    <x v="50"/>
    <x v="1"/>
    <x v="0"/>
    <n v="0"/>
  </r>
  <r>
    <x v="0"/>
    <x v="7"/>
    <x v="4"/>
    <x v="7"/>
    <x v="50"/>
    <x v="1"/>
    <x v="1"/>
    <n v="0"/>
  </r>
  <r>
    <x v="0"/>
    <x v="7"/>
    <x v="4"/>
    <x v="7"/>
    <x v="50"/>
    <x v="1"/>
    <x v="2"/>
    <n v="0"/>
  </r>
  <r>
    <x v="0"/>
    <x v="7"/>
    <x v="4"/>
    <x v="7"/>
    <x v="50"/>
    <x v="1"/>
    <x v="3"/>
    <n v="0"/>
  </r>
  <r>
    <x v="0"/>
    <x v="7"/>
    <x v="4"/>
    <x v="7"/>
    <x v="50"/>
    <x v="1"/>
    <x v="4"/>
    <n v="0"/>
  </r>
  <r>
    <x v="0"/>
    <x v="7"/>
    <x v="4"/>
    <x v="7"/>
    <x v="50"/>
    <x v="1"/>
    <x v="5"/>
    <n v="0"/>
  </r>
  <r>
    <x v="0"/>
    <x v="7"/>
    <x v="4"/>
    <x v="7"/>
    <x v="50"/>
    <x v="1"/>
    <x v="6"/>
    <n v="0"/>
  </r>
  <r>
    <x v="0"/>
    <x v="7"/>
    <x v="4"/>
    <x v="7"/>
    <x v="54"/>
    <x v="1"/>
    <x v="0"/>
    <n v="0"/>
  </r>
  <r>
    <x v="0"/>
    <x v="7"/>
    <x v="4"/>
    <x v="7"/>
    <x v="54"/>
    <x v="1"/>
    <x v="1"/>
    <n v="0"/>
  </r>
  <r>
    <x v="0"/>
    <x v="7"/>
    <x v="4"/>
    <x v="7"/>
    <x v="54"/>
    <x v="1"/>
    <x v="2"/>
    <n v="0"/>
  </r>
  <r>
    <x v="0"/>
    <x v="7"/>
    <x v="4"/>
    <x v="7"/>
    <x v="54"/>
    <x v="1"/>
    <x v="3"/>
    <n v="0"/>
  </r>
  <r>
    <x v="0"/>
    <x v="7"/>
    <x v="4"/>
    <x v="7"/>
    <x v="54"/>
    <x v="1"/>
    <x v="4"/>
    <n v="0"/>
  </r>
  <r>
    <x v="0"/>
    <x v="7"/>
    <x v="4"/>
    <x v="7"/>
    <x v="54"/>
    <x v="1"/>
    <x v="5"/>
    <n v="0"/>
  </r>
  <r>
    <x v="0"/>
    <x v="7"/>
    <x v="4"/>
    <x v="7"/>
    <x v="54"/>
    <x v="1"/>
    <x v="6"/>
    <n v="0"/>
  </r>
  <r>
    <x v="0"/>
    <x v="7"/>
    <x v="4"/>
    <x v="7"/>
    <x v="55"/>
    <x v="1"/>
    <x v="0"/>
    <n v="268.19104408651179"/>
  </r>
  <r>
    <x v="0"/>
    <x v="7"/>
    <x v="4"/>
    <x v="7"/>
    <x v="55"/>
    <x v="1"/>
    <x v="1"/>
    <n v="498.35615767072039"/>
  </r>
  <r>
    <x v="0"/>
    <x v="7"/>
    <x v="4"/>
    <x v="7"/>
    <x v="55"/>
    <x v="1"/>
    <x v="2"/>
    <n v="924.15894826577664"/>
  </r>
  <r>
    <x v="0"/>
    <x v="7"/>
    <x v="4"/>
    <x v="7"/>
    <x v="55"/>
    <x v="1"/>
    <x v="3"/>
    <n v="1751.57987605737"/>
  </r>
  <r>
    <x v="0"/>
    <x v="7"/>
    <x v="4"/>
    <x v="7"/>
    <x v="55"/>
    <x v="1"/>
    <x v="4"/>
    <n v="2804.1904464569593"/>
  </r>
  <r>
    <x v="0"/>
    <x v="7"/>
    <x v="4"/>
    <x v="7"/>
    <x v="55"/>
    <x v="1"/>
    <x v="5"/>
    <n v="4680.4967886059785"/>
  </r>
  <r>
    <x v="0"/>
    <x v="7"/>
    <x v="4"/>
    <x v="7"/>
    <x v="55"/>
    <x v="1"/>
    <x v="6"/>
    <n v="7102.5807329279887"/>
  </r>
  <r>
    <x v="0"/>
    <x v="7"/>
    <x v="4"/>
    <x v="7"/>
    <x v="56"/>
    <x v="1"/>
    <x v="0"/>
    <n v="0"/>
  </r>
  <r>
    <x v="0"/>
    <x v="7"/>
    <x v="4"/>
    <x v="7"/>
    <x v="56"/>
    <x v="1"/>
    <x v="1"/>
    <n v="0"/>
  </r>
  <r>
    <x v="0"/>
    <x v="7"/>
    <x v="4"/>
    <x v="7"/>
    <x v="56"/>
    <x v="1"/>
    <x v="2"/>
    <n v="0"/>
  </r>
  <r>
    <x v="0"/>
    <x v="7"/>
    <x v="4"/>
    <x v="7"/>
    <x v="56"/>
    <x v="1"/>
    <x v="3"/>
    <n v="0"/>
  </r>
  <r>
    <x v="0"/>
    <x v="7"/>
    <x v="4"/>
    <x v="7"/>
    <x v="56"/>
    <x v="1"/>
    <x v="4"/>
    <n v="0"/>
  </r>
  <r>
    <x v="0"/>
    <x v="7"/>
    <x v="4"/>
    <x v="7"/>
    <x v="56"/>
    <x v="1"/>
    <x v="5"/>
    <n v="0"/>
  </r>
  <r>
    <x v="0"/>
    <x v="7"/>
    <x v="4"/>
    <x v="7"/>
    <x v="56"/>
    <x v="1"/>
    <x v="6"/>
    <n v="0"/>
  </r>
  <r>
    <x v="0"/>
    <x v="7"/>
    <x v="4"/>
    <x v="7"/>
    <x v="57"/>
    <x v="1"/>
    <x v="0"/>
    <n v="1561.4515071154135"/>
  </r>
  <r>
    <x v="0"/>
    <x v="7"/>
    <x v="4"/>
    <x v="7"/>
    <x v="57"/>
    <x v="1"/>
    <x v="1"/>
    <n v="3945.5463959860285"/>
  </r>
  <r>
    <x v="0"/>
    <x v="7"/>
    <x v="4"/>
    <x v="7"/>
    <x v="57"/>
    <x v="1"/>
    <x v="2"/>
    <n v="10489.384450497435"/>
  </r>
  <r>
    <x v="0"/>
    <x v="7"/>
    <x v="4"/>
    <x v="7"/>
    <x v="57"/>
    <x v="1"/>
    <x v="3"/>
    <n v="32437.33611625545"/>
  </r>
  <r>
    <x v="0"/>
    <x v="7"/>
    <x v="4"/>
    <x v="7"/>
    <x v="57"/>
    <x v="1"/>
    <x v="4"/>
    <n v="44906.680617159"/>
  </r>
  <r>
    <x v="0"/>
    <x v="7"/>
    <x v="4"/>
    <x v="7"/>
    <x v="57"/>
    <x v="1"/>
    <x v="5"/>
    <n v="57554.647212981748"/>
  </r>
  <r>
    <x v="0"/>
    <x v="7"/>
    <x v="4"/>
    <x v="7"/>
    <x v="57"/>
    <x v="1"/>
    <x v="6"/>
    <n v="72462.544021523645"/>
  </r>
  <r>
    <x v="0"/>
    <x v="7"/>
    <x v="4"/>
    <x v="7"/>
    <x v="58"/>
    <x v="1"/>
    <x v="0"/>
    <n v="294.79887187071097"/>
  </r>
  <r>
    <x v="0"/>
    <x v="7"/>
    <x v="4"/>
    <x v="7"/>
    <x v="58"/>
    <x v="1"/>
    <x v="1"/>
    <n v="887.330936446191"/>
  </r>
  <r>
    <x v="0"/>
    <x v="7"/>
    <x v="4"/>
    <x v="7"/>
    <x v="58"/>
    <x v="1"/>
    <x v="2"/>
    <n v="2387.5507941290316"/>
  </r>
  <r>
    <x v="0"/>
    <x v="7"/>
    <x v="4"/>
    <x v="7"/>
    <x v="58"/>
    <x v="1"/>
    <x v="3"/>
    <n v="4193.9999999999991"/>
  </r>
  <r>
    <x v="0"/>
    <x v="7"/>
    <x v="4"/>
    <x v="7"/>
    <x v="58"/>
    <x v="1"/>
    <x v="4"/>
    <n v="4955.9999999999982"/>
  </r>
  <r>
    <x v="0"/>
    <x v="7"/>
    <x v="4"/>
    <x v="7"/>
    <x v="58"/>
    <x v="1"/>
    <x v="5"/>
    <n v="6256.0000000000009"/>
  </r>
  <r>
    <x v="0"/>
    <x v="7"/>
    <x v="4"/>
    <x v="7"/>
    <x v="58"/>
    <x v="1"/>
    <x v="6"/>
    <n v="8073.0000000000018"/>
  </r>
  <r>
    <x v="0"/>
    <x v="7"/>
    <x v="4"/>
    <x v="7"/>
    <x v="59"/>
    <x v="1"/>
    <x v="0"/>
    <n v="25.494364827750054"/>
  </r>
  <r>
    <x v="0"/>
    <x v="7"/>
    <x v="4"/>
    <x v="7"/>
    <x v="59"/>
    <x v="1"/>
    <x v="1"/>
    <n v="30.590930541431025"/>
  </r>
  <r>
    <x v="0"/>
    <x v="7"/>
    <x v="4"/>
    <x v="7"/>
    <x v="59"/>
    <x v="1"/>
    <x v="2"/>
    <n v="70.616585923936199"/>
  </r>
  <r>
    <x v="0"/>
    <x v="7"/>
    <x v="4"/>
    <x v="7"/>
    <x v="59"/>
    <x v="1"/>
    <x v="3"/>
    <n v="158.28419657130226"/>
  </r>
  <r>
    <x v="0"/>
    <x v="7"/>
    <x v="4"/>
    <x v="7"/>
    <x v="59"/>
    <x v="1"/>
    <x v="4"/>
    <n v="236.00000000000003"/>
  </r>
  <r>
    <x v="0"/>
    <x v="7"/>
    <x v="4"/>
    <x v="7"/>
    <x v="59"/>
    <x v="1"/>
    <x v="5"/>
    <n v="772.76199860924805"/>
  </r>
  <r>
    <x v="0"/>
    <x v="7"/>
    <x v="4"/>
    <x v="7"/>
    <x v="59"/>
    <x v="1"/>
    <x v="6"/>
    <n v="1556.2499999999998"/>
  </r>
  <r>
    <x v="0"/>
    <x v="7"/>
    <x v="4"/>
    <x v="7"/>
    <x v="60"/>
    <x v="1"/>
    <x v="0"/>
    <n v="0"/>
  </r>
  <r>
    <x v="0"/>
    <x v="7"/>
    <x v="4"/>
    <x v="7"/>
    <x v="60"/>
    <x v="1"/>
    <x v="1"/>
    <n v="0"/>
  </r>
  <r>
    <x v="0"/>
    <x v="7"/>
    <x v="4"/>
    <x v="7"/>
    <x v="60"/>
    <x v="1"/>
    <x v="2"/>
    <n v="0"/>
  </r>
  <r>
    <x v="0"/>
    <x v="7"/>
    <x v="4"/>
    <x v="7"/>
    <x v="60"/>
    <x v="1"/>
    <x v="3"/>
    <n v="0"/>
  </r>
  <r>
    <x v="0"/>
    <x v="7"/>
    <x v="4"/>
    <x v="7"/>
    <x v="60"/>
    <x v="1"/>
    <x v="4"/>
    <n v="0"/>
  </r>
  <r>
    <x v="0"/>
    <x v="7"/>
    <x v="4"/>
    <x v="7"/>
    <x v="60"/>
    <x v="1"/>
    <x v="5"/>
    <n v="0"/>
  </r>
  <r>
    <x v="0"/>
    <x v="7"/>
    <x v="4"/>
    <x v="7"/>
    <x v="60"/>
    <x v="1"/>
    <x v="6"/>
    <n v="0"/>
  </r>
  <r>
    <x v="0"/>
    <x v="7"/>
    <x v="3"/>
    <x v="5"/>
    <x v="65"/>
    <x v="1"/>
    <x v="0"/>
    <n v="0"/>
  </r>
  <r>
    <x v="0"/>
    <x v="7"/>
    <x v="3"/>
    <x v="5"/>
    <x v="65"/>
    <x v="1"/>
    <x v="1"/>
    <n v="0"/>
  </r>
  <r>
    <x v="0"/>
    <x v="7"/>
    <x v="3"/>
    <x v="5"/>
    <x v="65"/>
    <x v="1"/>
    <x v="2"/>
    <n v="0"/>
  </r>
  <r>
    <x v="0"/>
    <x v="7"/>
    <x v="3"/>
    <x v="5"/>
    <x v="65"/>
    <x v="1"/>
    <x v="3"/>
    <n v="0"/>
  </r>
  <r>
    <x v="0"/>
    <x v="7"/>
    <x v="3"/>
    <x v="5"/>
    <x v="65"/>
    <x v="1"/>
    <x v="4"/>
    <n v="0"/>
  </r>
  <r>
    <x v="0"/>
    <x v="7"/>
    <x v="3"/>
    <x v="5"/>
    <x v="65"/>
    <x v="1"/>
    <x v="5"/>
    <n v="0"/>
  </r>
  <r>
    <x v="0"/>
    <x v="7"/>
    <x v="3"/>
    <x v="5"/>
    <x v="65"/>
    <x v="1"/>
    <x v="6"/>
    <n v="0"/>
  </r>
  <r>
    <x v="0"/>
    <x v="7"/>
    <x v="3"/>
    <x v="5"/>
    <x v="66"/>
    <x v="1"/>
    <x v="0"/>
    <n v="0"/>
  </r>
  <r>
    <x v="0"/>
    <x v="7"/>
    <x v="3"/>
    <x v="5"/>
    <x v="66"/>
    <x v="1"/>
    <x v="1"/>
    <n v="0"/>
  </r>
  <r>
    <x v="0"/>
    <x v="7"/>
    <x v="3"/>
    <x v="5"/>
    <x v="66"/>
    <x v="1"/>
    <x v="2"/>
    <n v="0"/>
  </r>
  <r>
    <x v="0"/>
    <x v="7"/>
    <x v="3"/>
    <x v="5"/>
    <x v="66"/>
    <x v="1"/>
    <x v="3"/>
    <n v="0"/>
  </r>
  <r>
    <x v="0"/>
    <x v="7"/>
    <x v="3"/>
    <x v="5"/>
    <x v="66"/>
    <x v="1"/>
    <x v="4"/>
    <n v="0"/>
  </r>
  <r>
    <x v="0"/>
    <x v="7"/>
    <x v="3"/>
    <x v="5"/>
    <x v="66"/>
    <x v="1"/>
    <x v="5"/>
    <n v="0"/>
  </r>
  <r>
    <x v="0"/>
    <x v="7"/>
    <x v="3"/>
    <x v="5"/>
    <x v="66"/>
    <x v="1"/>
    <x v="6"/>
    <n v="0"/>
  </r>
  <r>
    <x v="0"/>
    <x v="7"/>
    <x v="3"/>
    <x v="5"/>
    <x v="67"/>
    <x v="1"/>
    <x v="0"/>
    <n v="0"/>
  </r>
  <r>
    <x v="0"/>
    <x v="7"/>
    <x v="3"/>
    <x v="5"/>
    <x v="67"/>
    <x v="1"/>
    <x v="1"/>
    <n v="0"/>
  </r>
  <r>
    <x v="0"/>
    <x v="7"/>
    <x v="3"/>
    <x v="5"/>
    <x v="67"/>
    <x v="1"/>
    <x v="2"/>
    <n v="0"/>
  </r>
  <r>
    <x v="0"/>
    <x v="7"/>
    <x v="3"/>
    <x v="5"/>
    <x v="67"/>
    <x v="1"/>
    <x v="3"/>
    <n v="0"/>
  </r>
  <r>
    <x v="0"/>
    <x v="7"/>
    <x v="3"/>
    <x v="5"/>
    <x v="67"/>
    <x v="1"/>
    <x v="4"/>
    <n v="0"/>
  </r>
  <r>
    <x v="0"/>
    <x v="7"/>
    <x v="3"/>
    <x v="5"/>
    <x v="67"/>
    <x v="1"/>
    <x v="5"/>
    <n v="0"/>
  </r>
  <r>
    <x v="0"/>
    <x v="7"/>
    <x v="3"/>
    <x v="5"/>
    <x v="67"/>
    <x v="1"/>
    <x v="6"/>
    <n v="0"/>
  </r>
  <r>
    <x v="0"/>
    <x v="7"/>
    <x v="3"/>
    <x v="5"/>
    <x v="68"/>
    <x v="1"/>
    <x v="0"/>
    <n v="0"/>
  </r>
  <r>
    <x v="0"/>
    <x v="7"/>
    <x v="3"/>
    <x v="5"/>
    <x v="68"/>
    <x v="1"/>
    <x v="1"/>
    <n v="0"/>
  </r>
  <r>
    <x v="0"/>
    <x v="7"/>
    <x v="3"/>
    <x v="5"/>
    <x v="68"/>
    <x v="1"/>
    <x v="2"/>
    <n v="0"/>
  </r>
  <r>
    <x v="0"/>
    <x v="7"/>
    <x v="3"/>
    <x v="5"/>
    <x v="68"/>
    <x v="1"/>
    <x v="3"/>
    <n v="0"/>
  </r>
  <r>
    <x v="0"/>
    <x v="7"/>
    <x v="3"/>
    <x v="5"/>
    <x v="68"/>
    <x v="1"/>
    <x v="4"/>
    <n v="0"/>
  </r>
  <r>
    <x v="0"/>
    <x v="7"/>
    <x v="3"/>
    <x v="5"/>
    <x v="68"/>
    <x v="1"/>
    <x v="5"/>
    <n v="0"/>
  </r>
  <r>
    <x v="0"/>
    <x v="7"/>
    <x v="3"/>
    <x v="5"/>
    <x v="68"/>
    <x v="1"/>
    <x v="6"/>
    <n v="0"/>
  </r>
  <r>
    <x v="0"/>
    <x v="7"/>
    <x v="3"/>
    <x v="5"/>
    <x v="69"/>
    <x v="1"/>
    <x v="0"/>
    <n v="75.771590305372072"/>
  </r>
  <r>
    <x v="0"/>
    <x v="7"/>
    <x v="3"/>
    <x v="5"/>
    <x v="69"/>
    <x v="1"/>
    <x v="1"/>
    <n v="196.23438635503379"/>
  </r>
  <r>
    <x v="0"/>
    <x v="7"/>
    <x v="3"/>
    <x v="5"/>
    <x v="69"/>
    <x v="1"/>
    <x v="2"/>
    <n v="1085.6804164421503"/>
  </r>
  <r>
    <x v="0"/>
    <x v="7"/>
    <x v="3"/>
    <x v="5"/>
    <x v="69"/>
    <x v="1"/>
    <x v="3"/>
    <n v="1903.2327401235818"/>
  </r>
  <r>
    <x v="0"/>
    <x v="7"/>
    <x v="3"/>
    <x v="5"/>
    <x v="69"/>
    <x v="1"/>
    <x v="4"/>
    <n v="3642.2315565559993"/>
  </r>
  <r>
    <x v="0"/>
    <x v="7"/>
    <x v="3"/>
    <x v="5"/>
    <x v="69"/>
    <x v="1"/>
    <x v="5"/>
    <n v="4949.6339570340015"/>
  </r>
  <r>
    <x v="0"/>
    <x v="7"/>
    <x v="3"/>
    <x v="5"/>
    <x v="69"/>
    <x v="1"/>
    <x v="6"/>
    <n v="6214.0172451963135"/>
  </r>
  <r>
    <x v="0"/>
    <x v="7"/>
    <x v="3"/>
    <x v="5"/>
    <x v="70"/>
    <x v="1"/>
    <x v="0"/>
    <n v="2.783567887163501"/>
  </r>
  <r>
    <x v="0"/>
    <x v="7"/>
    <x v="3"/>
    <x v="5"/>
    <x v="70"/>
    <x v="1"/>
    <x v="1"/>
    <n v="14.136419556892211"/>
  </r>
  <r>
    <x v="0"/>
    <x v="7"/>
    <x v="3"/>
    <x v="5"/>
    <x v="70"/>
    <x v="1"/>
    <x v="2"/>
    <n v="80.540601143172069"/>
  </r>
  <r>
    <x v="0"/>
    <x v="7"/>
    <x v="3"/>
    <x v="5"/>
    <x v="70"/>
    <x v="1"/>
    <x v="3"/>
    <n v="445.55196171703784"/>
  </r>
  <r>
    <x v="0"/>
    <x v="7"/>
    <x v="3"/>
    <x v="5"/>
    <x v="70"/>
    <x v="1"/>
    <x v="4"/>
    <n v="1294.5241753246203"/>
  </r>
  <r>
    <x v="0"/>
    <x v="7"/>
    <x v="3"/>
    <x v="5"/>
    <x v="70"/>
    <x v="1"/>
    <x v="5"/>
    <n v="2523.3693336709939"/>
  </r>
  <r>
    <x v="0"/>
    <x v="7"/>
    <x v="3"/>
    <x v="5"/>
    <x v="70"/>
    <x v="1"/>
    <x v="6"/>
    <n v="4083.0562142999802"/>
  </r>
  <r>
    <x v="0"/>
    <x v="7"/>
    <x v="3"/>
    <x v="5"/>
    <x v="71"/>
    <x v="1"/>
    <x v="0"/>
    <n v="0"/>
  </r>
  <r>
    <x v="0"/>
    <x v="7"/>
    <x v="3"/>
    <x v="5"/>
    <x v="71"/>
    <x v="1"/>
    <x v="1"/>
    <n v="0"/>
  </r>
  <r>
    <x v="0"/>
    <x v="7"/>
    <x v="3"/>
    <x v="5"/>
    <x v="71"/>
    <x v="1"/>
    <x v="2"/>
    <n v="0"/>
  </r>
  <r>
    <x v="0"/>
    <x v="7"/>
    <x v="3"/>
    <x v="5"/>
    <x v="71"/>
    <x v="1"/>
    <x v="3"/>
    <n v="0"/>
  </r>
  <r>
    <x v="0"/>
    <x v="7"/>
    <x v="3"/>
    <x v="5"/>
    <x v="71"/>
    <x v="1"/>
    <x v="4"/>
    <n v="0"/>
  </r>
  <r>
    <x v="0"/>
    <x v="7"/>
    <x v="3"/>
    <x v="5"/>
    <x v="71"/>
    <x v="1"/>
    <x v="5"/>
    <n v="0"/>
  </r>
  <r>
    <x v="0"/>
    <x v="7"/>
    <x v="3"/>
    <x v="5"/>
    <x v="71"/>
    <x v="1"/>
    <x v="6"/>
    <n v="0"/>
  </r>
  <r>
    <x v="0"/>
    <x v="7"/>
    <x v="3"/>
    <x v="5"/>
    <x v="72"/>
    <x v="1"/>
    <x v="0"/>
    <n v="0"/>
  </r>
  <r>
    <x v="0"/>
    <x v="7"/>
    <x v="3"/>
    <x v="5"/>
    <x v="72"/>
    <x v="1"/>
    <x v="1"/>
    <n v="0"/>
  </r>
  <r>
    <x v="0"/>
    <x v="7"/>
    <x v="3"/>
    <x v="5"/>
    <x v="72"/>
    <x v="1"/>
    <x v="2"/>
    <n v="0"/>
  </r>
  <r>
    <x v="0"/>
    <x v="7"/>
    <x v="3"/>
    <x v="5"/>
    <x v="72"/>
    <x v="1"/>
    <x v="3"/>
    <n v="0"/>
  </r>
  <r>
    <x v="0"/>
    <x v="7"/>
    <x v="3"/>
    <x v="5"/>
    <x v="72"/>
    <x v="1"/>
    <x v="4"/>
    <n v="0"/>
  </r>
  <r>
    <x v="0"/>
    <x v="7"/>
    <x v="3"/>
    <x v="5"/>
    <x v="72"/>
    <x v="1"/>
    <x v="5"/>
    <n v="0"/>
  </r>
  <r>
    <x v="0"/>
    <x v="7"/>
    <x v="3"/>
    <x v="5"/>
    <x v="72"/>
    <x v="1"/>
    <x v="6"/>
    <n v="0"/>
  </r>
  <r>
    <x v="0"/>
    <x v="7"/>
    <x v="3"/>
    <x v="5"/>
    <x v="73"/>
    <x v="1"/>
    <x v="0"/>
    <n v="1.8119763756729161"/>
  </r>
  <r>
    <x v="0"/>
    <x v="7"/>
    <x v="3"/>
    <x v="5"/>
    <x v="73"/>
    <x v="1"/>
    <x v="1"/>
    <n v="9.5209712814866378"/>
  </r>
  <r>
    <x v="0"/>
    <x v="7"/>
    <x v="3"/>
    <x v="5"/>
    <x v="73"/>
    <x v="1"/>
    <x v="2"/>
    <n v="832.31766057516631"/>
  </r>
  <r>
    <x v="0"/>
    <x v="7"/>
    <x v="3"/>
    <x v="5"/>
    <x v="73"/>
    <x v="1"/>
    <x v="3"/>
    <n v="1491.0071533284927"/>
  </r>
  <r>
    <x v="0"/>
    <x v="7"/>
    <x v="3"/>
    <x v="5"/>
    <x v="73"/>
    <x v="1"/>
    <x v="4"/>
    <n v="2820.5285287096031"/>
  </r>
  <r>
    <x v="0"/>
    <x v="7"/>
    <x v="3"/>
    <x v="5"/>
    <x v="73"/>
    <x v="1"/>
    <x v="5"/>
    <n v="4448.7964274917504"/>
  </r>
  <r>
    <x v="0"/>
    <x v="7"/>
    <x v="3"/>
    <x v="5"/>
    <x v="73"/>
    <x v="1"/>
    <x v="6"/>
    <n v="5887.2216283406424"/>
  </r>
  <r>
    <x v="0"/>
    <x v="7"/>
    <x v="5"/>
    <x v="8"/>
    <x v="74"/>
    <x v="1"/>
    <x v="0"/>
    <n v="10.770483159614436"/>
  </r>
  <r>
    <x v="0"/>
    <x v="7"/>
    <x v="5"/>
    <x v="8"/>
    <x v="74"/>
    <x v="1"/>
    <x v="1"/>
    <n v="28.408237657722804"/>
  </r>
  <r>
    <x v="0"/>
    <x v="7"/>
    <x v="5"/>
    <x v="8"/>
    <x v="74"/>
    <x v="1"/>
    <x v="2"/>
    <n v="76.277786645978679"/>
  </r>
  <r>
    <x v="0"/>
    <x v="7"/>
    <x v="5"/>
    <x v="8"/>
    <x v="74"/>
    <x v="1"/>
    <x v="3"/>
    <n v="183.03223784090744"/>
  </r>
  <r>
    <x v="0"/>
    <x v="7"/>
    <x v="5"/>
    <x v="8"/>
    <x v="74"/>
    <x v="1"/>
    <x v="4"/>
    <n v="272.0365075644491"/>
  </r>
  <r>
    <x v="0"/>
    <x v="7"/>
    <x v="5"/>
    <x v="8"/>
    <x v="74"/>
    <x v="1"/>
    <x v="5"/>
    <n v="515.13084948519077"/>
  </r>
  <r>
    <x v="0"/>
    <x v="7"/>
    <x v="5"/>
    <x v="8"/>
    <x v="74"/>
    <x v="1"/>
    <x v="6"/>
    <n v="654.62417260704001"/>
  </r>
  <r>
    <x v="0"/>
    <x v="7"/>
    <x v="5"/>
    <x v="8"/>
    <x v="75"/>
    <x v="1"/>
    <x v="0"/>
    <n v="25.507399740938251"/>
  </r>
  <r>
    <x v="0"/>
    <x v="7"/>
    <x v="5"/>
    <x v="8"/>
    <x v="75"/>
    <x v="1"/>
    <x v="1"/>
    <n v="94.133255633748817"/>
  </r>
  <r>
    <x v="0"/>
    <x v="7"/>
    <x v="5"/>
    <x v="8"/>
    <x v="75"/>
    <x v="1"/>
    <x v="2"/>
    <n v="304.60685038685409"/>
  </r>
  <r>
    <x v="0"/>
    <x v="7"/>
    <x v="5"/>
    <x v="8"/>
    <x v="75"/>
    <x v="1"/>
    <x v="3"/>
    <n v="873.38460322751155"/>
  </r>
  <r>
    <x v="0"/>
    <x v="7"/>
    <x v="5"/>
    <x v="8"/>
    <x v="75"/>
    <x v="1"/>
    <x v="4"/>
    <n v="1159.1877211890335"/>
  </r>
  <r>
    <x v="0"/>
    <x v="7"/>
    <x v="5"/>
    <x v="8"/>
    <x v="75"/>
    <x v="1"/>
    <x v="5"/>
    <n v="1490.4172617100442"/>
  </r>
  <r>
    <x v="0"/>
    <x v="7"/>
    <x v="5"/>
    <x v="8"/>
    <x v="75"/>
    <x v="1"/>
    <x v="6"/>
    <n v="2035.8449070511044"/>
  </r>
  <r>
    <x v="0"/>
    <x v="7"/>
    <x v="5"/>
    <x v="8"/>
    <x v="76"/>
    <x v="1"/>
    <x v="0"/>
    <n v="2.805111048391379"/>
  </r>
  <r>
    <x v="0"/>
    <x v="7"/>
    <x v="5"/>
    <x v="8"/>
    <x v="76"/>
    <x v="1"/>
    <x v="1"/>
    <n v="6.2765722171629044"/>
  </r>
  <r>
    <x v="0"/>
    <x v="7"/>
    <x v="5"/>
    <x v="8"/>
    <x v="76"/>
    <x v="1"/>
    <x v="2"/>
    <n v="15.265329096808575"/>
  </r>
  <r>
    <x v="0"/>
    <x v="7"/>
    <x v="5"/>
    <x v="8"/>
    <x v="76"/>
    <x v="1"/>
    <x v="3"/>
    <n v="34.456392407060882"/>
  </r>
  <r>
    <x v="0"/>
    <x v="7"/>
    <x v="5"/>
    <x v="8"/>
    <x v="76"/>
    <x v="1"/>
    <x v="4"/>
    <n v="53.322427196642082"/>
  </r>
  <r>
    <x v="0"/>
    <x v="7"/>
    <x v="5"/>
    <x v="8"/>
    <x v="76"/>
    <x v="1"/>
    <x v="5"/>
    <n v="101.56655026590019"/>
  </r>
  <r>
    <x v="0"/>
    <x v="7"/>
    <x v="5"/>
    <x v="8"/>
    <x v="76"/>
    <x v="1"/>
    <x v="6"/>
    <n v="162.55677406870083"/>
  </r>
  <r>
    <x v="0"/>
    <x v="7"/>
    <x v="5"/>
    <x v="8"/>
    <x v="77"/>
    <x v="1"/>
    <x v="0"/>
    <n v="0.49691500917923148"/>
  </r>
  <r>
    <x v="0"/>
    <x v="7"/>
    <x v="5"/>
    <x v="8"/>
    <x v="77"/>
    <x v="1"/>
    <x v="1"/>
    <n v="1.2118885972905193"/>
  </r>
  <r>
    <x v="0"/>
    <x v="7"/>
    <x v="5"/>
    <x v="8"/>
    <x v="77"/>
    <x v="1"/>
    <x v="2"/>
    <n v="3.2848700160167179"/>
  </r>
  <r>
    <x v="0"/>
    <x v="7"/>
    <x v="5"/>
    <x v="8"/>
    <x v="77"/>
    <x v="1"/>
    <x v="3"/>
    <n v="7.6136799710098151"/>
  </r>
  <r>
    <x v="0"/>
    <x v="7"/>
    <x v="5"/>
    <x v="8"/>
    <x v="77"/>
    <x v="1"/>
    <x v="4"/>
    <n v="11.019487285273122"/>
  </r>
  <r>
    <x v="0"/>
    <x v="7"/>
    <x v="5"/>
    <x v="8"/>
    <x v="77"/>
    <x v="1"/>
    <x v="5"/>
    <n v="21.153077096634252"/>
  </r>
  <r>
    <x v="0"/>
    <x v="7"/>
    <x v="5"/>
    <x v="8"/>
    <x v="77"/>
    <x v="1"/>
    <x v="6"/>
    <n v="24.367209117777001"/>
  </r>
  <r>
    <x v="0"/>
    <x v="7"/>
    <x v="5"/>
    <x v="8"/>
    <x v="78"/>
    <x v="1"/>
    <x v="0"/>
    <n v="21.02020541263142"/>
  </r>
  <r>
    <x v="0"/>
    <x v="7"/>
    <x v="5"/>
    <x v="8"/>
    <x v="78"/>
    <x v="1"/>
    <x v="1"/>
    <n v="51.647577310744751"/>
  </r>
  <r>
    <x v="0"/>
    <x v="7"/>
    <x v="5"/>
    <x v="8"/>
    <x v="78"/>
    <x v="1"/>
    <x v="2"/>
    <n v="130.28126671094117"/>
  </r>
  <r>
    <x v="0"/>
    <x v="7"/>
    <x v="5"/>
    <x v="8"/>
    <x v="78"/>
    <x v="1"/>
    <x v="3"/>
    <n v="306.51324439620367"/>
  </r>
  <r>
    <x v="0"/>
    <x v="7"/>
    <x v="5"/>
    <x v="8"/>
    <x v="78"/>
    <x v="1"/>
    <x v="4"/>
    <n v="487.22223776070945"/>
  </r>
  <r>
    <x v="0"/>
    <x v="7"/>
    <x v="5"/>
    <x v="8"/>
    <x v="78"/>
    <x v="1"/>
    <x v="5"/>
    <n v="900.53070340115653"/>
  </r>
  <r>
    <x v="0"/>
    <x v="7"/>
    <x v="5"/>
    <x v="8"/>
    <x v="78"/>
    <x v="1"/>
    <x v="6"/>
    <n v="1463.8339462791239"/>
  </r>
  <r>
    <x v="0"/>
    <x v="7"/>
    <x v="5"/>
    <x v="8"/>
    <x v="79"/>
    <x v="1"/>
    <x v="0"/>
    <n v="0.82482929345082823"/>
  </r>
  <r>
    <x v="0"/>
    <x v="7"/>
    <x v="5"/>
    <x v="8"/>
    <x v="79"/>
    <x v="1"/>
    <x v="1"/>
    <n v="2.453744079419808"/>
  </r>
  <r>
    <x v="0"/>
    <x v="7"/>
    <x v="5"/>
    <x v="8"/>
    <x v="79"/>
    <x v="1"/>
    <x v="2"/>
    <n v="6.4562383772094813"/>
  </r>
  <r>
    <x v="0"/>
    <x v="7"/>
    <x v="5"/>
    <x v="8"/>
    <x v="79"/>
    <x v="1"/>
    <x v="3"/>
    <n v="16.747468329732019"/>
  </r>
  <r>
    <x v="0"/>
    <x v="7"/>
    <x v="5"/>
    <x v="8"/>
    <x v="79"/>
    <x v="1"/>
    <x v="4"/>
    <n v="26.65526553250977"/>
  </r>
  <r>
    <x v="0"/>
    <x v="7"/>
    <x v="5"/>
    <x v="8"/>
    <x v="79"/>
    <x v="1"/>
    <x v="5"/>
    <n v="53.009976383870168"/>
  </r>
  <r>
    <x v="0"/>
    <x v="7"/>
    <x v="5"/>
    <x v="8"/>
    <x v="79"/>
    <x v="1"/>
    <x v="6"/>
    <n v="81.391904414399988"/>
  </r>
  <r>
    <x v="0"/>
    <x v="7"/>
    <x v="5"/>
    <x v="8"/>
    <x v="80"/>
    <x v="1"/>
    <x v="0"/>
    <n v="1.7069554583080286"/>
  </r>
  <r>
    <x v="0"/>
    <x v="7"/>
    <x v="5"/>
    <x v="8"/>
    <x v="80"/>
    <x v="1"/>
    <x v="1"/>
    <n v="8.3115559055294455"/>
  </r>
  <r>
    <x v="0"/>
    <x v="7"/>
    <x v="5"/>
    <x v="8"/>
    <x v="80"/>
    <x v="1"/>
    <x v="2"/>
    <n v="25.253987708637929"/>
  </r>
  <r>
    <x v="0"/>
    <x v="7"/>
    <x v="5"/>
    <x v="8"/>
    <x v="80"/>
    <x v="1"/>
    <x v="3"/>
    <n v="60.435326782674871"/>
  </r>
  <r>
    <x v="0"/>
    <x v="7"/>
    <x v="5"/>
    <x v="8"/>
    <x v="80"/>
    <x v="1"/>
    <x v="4"/>
    <n v="85.192243672017"/>
  </r>
  <r>
    <x v="0"/>
    <x v="7"/>
    <x v="5"/>
    <x v="8"/>
    <x v="80"/>
    <x v="1"/>
    <x v="5"/>
    <n v="159.26069774202071"/>
  </r>
  <r>
    <x v="0"/>
    <x v="7"/>
    <x v="5"/>
    <x v="8"/>
    <x v="80"/>
    <x v="1"/>
    <x v="6"/>
    <n v="201.27541851242179"/>
  </r>
  <r>
    <x v="0"/>
    <x v="7"/>
    <x v="5"/>
    <x v="8"/>
    <x v="81"/>
    <x v="1"/>
    <x v="0"/>
    <n v="0.9672824055074617"/>
  </r>
  <r>
    <x v="0"/>
    <x v="7"/>
    <x v="5"/>
    <x v="8"/>
    <x v="81"/>
    <x v="1"/>
    <x v="1"/>
    <n v="2.2214871805441785"/>
  </r>
  <r>
    <x v="0"/>
    <x v="7"/>
    <x v="5"/>
    <x v="8"/>
    <x v="81"/>
    <x v="1"/>
    <x v="2"/>
    <n v="4.9380182662998591"/>
  </r>
  <r>
    <x v="0"/>
    <x v="7"/>
    <x v="5"/>
    <x v="8"/>
    <x v="81"/>
    <x v="1"/>
    <x v="3"/>
    <n v="10.483932229116403"/>
  </r>
  <r>
    <x v="0"/>
    <x v="7"/>
    <x v="5"/>
    <x v="8"/>
    <x v="81"/>
    <x v="1"/>
    <x v="4"/>
    <n v="15.306050798771146"/>
  </r>
  <r>
    <x v="0"/>
    <x v="7"/>
    <x v="5"/>
    <x v="8"/>
    <x v="81"/>
    <x v="1"/>
    <x v="5"/>
    <n v="28.982408242708903"/>
  </r>
  <r>
    <x v="0"/>
    <x v="7"/>
    <x v="5"/>
    <x v="8"/>
    <x v="81"/>
    <x v="1"/>
    <x v="6"/>
    <n v="41.615233295685634"/>
  </r>
  <r>
    <x v="0"/>
    <x v="7"/>
    <x v="5"/>
    <x v="8"/>
    <x v="82"/>
    <x v="1"/>
    <x v="0"/>
    <n v="11.081591497490662"/>
  </r>
  <r>
    <x v="0"/>
    <x v="7"/>
    <x v="5"/>
    <x v="8"/>
    <x v="82"/>
    <x v="1"/>
    <x v="1"/>
    <n v="36.510941067265513"/>
  </r>
  <r>
    <x v="0"/>
    <x v="7"/>
    <x v="5"/>
    <x v="8"/>
    <x v="82"/>
    <x v="1"/>
    <x v="2"/>
    <n v="94.376505520869983"/>
  </r>
  <r>
    <x v="0"/>
    <x v="7"/>
    <x v="5"/>
    <x v="8"/>
    <x v="82"/>
    <x v="1"/>
    <x v="3"/>
    <n v="224.7881394268411"/>
  </r>
  <r>
    <x v="0"/>
    <x v="7"/>
    <x v="5"/>
    <x v="8"/>
    <x v="82"/>
    <x v="1"/>
    <x v="4"/>
    <n v="244.6927118750786"/>
  </r>
  <r>
    <x v="0"/>
    <x v="7"/>
    <x v="5"/>
    <x v="8"/>
    <x v="82"/>
    <x v="1"/>
    <x v="5"/>
    <n v="242.64861643381522"/>
  </r>
  <r>
    <x v="0"/>
    <x v="7"/>
    <x v="5"/>
    <x v="8"/>
    <x v="82"/>
    <x v="1"/>
    <x v="6"/>
    <n v="287.34533159391594"/>
  </r>
  <r>
    <x v="0"/>
    <x v="7"/>
    <x v="5"/>
    <x v="8"/>
    <x v="83"/>
    <x v="1"/>
    <x v="0"/>
    <n v="6.5470243217549502"/>
  </r>
  <r>
    <x v="0"/>
    <x v="7"/>
    <x v="5"/>
    <x v="8"/>
    <x v="83"/>
    <x v="1"/>
    <x v="1"/>
    <n v="19.600011453740994"/>
  </r>
  <r>
    <x v="0"/>
    <x v="7"/>
    <x v="5"/>
    <x v="8"/>
    <x v="83"/>
    <x v="1"/>
    <x v="2"/>
    <n v="58.44278950349878"/>
  </r>
  <r>
    <x v="0"/>
    <x v="7"/>
    <x v="5"/>
    <x v="8"/>
    <x v="83"/>
    <x v="1"/>
    <x v="3"/>
    <n v="155.38495468224042"/>
  </r>
  <r>
    <x v="0"/>
    <x v="7"/>
    <x v="5"/>
    <x v="8"/>
    <x v="83"/>
    <x v="1"/>
    <x v="4"/>
    <n v="226.52615066897945"/>
  </r>
  <r>
    <x v="0"/>
    <x v="7"/>
    <x v="5"/>
    <x v="8"/>
    <x v="83"/>
    <x v="1"/>
    <x v="5"/>
    <n v="282.27069589799987"/>
  </r>
  <r>
    <x v="0"/>
    <x v="7"/>
    <x v="5"/>
    <x v="8"/>
    <x v="83"/>
    <x v="1"/>
    <x v="6"/>
    <n v="330.53489541600004"/>
  </r>
  <r>
    <x v="0"/>
    <x v="5"/>
    <x v="0"/>
    <x v="0"/>
    <x v="0"/>
    <x v="1"/>
    <x v="0"/>
    <n v="0"/>
  </r>
  <r>
    <x v="0"/>
    <x v="5"/>
    <x v="0"/>
    <x v="0"/>
    <x v="0"/>
    <x v="1"/>
    <x v="1"/>
    <n v="0"/>
  </r>
  <r>
    <x v="0"/>
    <x v="5"/>
    <x v="0"/>
    <x v="0"/>
    <x v="0"/>
    <x v="1"/>
    <x v="2"/>
    <n v="0"/>
  </r>
  <r>
    <x v="0"/>
    <x v="5"/>
    <x v="0"/>
    <x v="0"/>
    <x v="0"/>
    <x v="1"/>
    <x v="3"/>
    <n v="0"/>
  </r>
  <r>
    <x v="0"/>
    <x v="5"/>
    <x v="0"/>
    <x v="0"/>
    <x v="0"/>
    <x v="1"/>
    <x v="4"/>
    <n v="0"/>
  </r>
  <r>
    <x v="0"/>
    <x v="5"/>
    <x v="0"/>
    <x v="0"/>
    <x v="0"/>
    <x v="1"/>
    <x v="5"/>
    <n v="0"/>
  </r>
  <r>
    <x v="0"/>
    <x v="5"/>
    <x v="0"/>
    <x v="0"/>
    <x v="0"/>
    <x v="1"/>
    <x v="6"/>
    <n v="0"/>
  </r>
  <r>
    <x v="0"/>
    <x v="5"/>
    <x v="0"/>
    <x v="1"/>
    <x v="1"/>
    <x v="1"/>
    <x v="0"/>
    <n v="0"/>
  </r>
  <r>
    <x v="0"/>
    <x v="5"/>
    <x v="0"/>
    <x v="1"/>
    <x v="1"/>
    <x v="1"/>
    <x v="1"/>
    <n v="0"/>
  </r>
  <r>
    <x v="0"/>
    <x v="5"/>
    <x v="0"/>
    <x v="1"/>
    <x v="1"/>
    <x v="1"/>
    <x v="2"/>
    <n v="0"/>
  </r>
  <r>
    <x v="0"/>
    <x v="5"/>
    <x v="0"/>
    <x v="1"/>
    <x v="1"/>
    <x v="1"/>
    <x v="3"/>
    <n v="0"/>
  </r>
  <r>
    <x v="0"/>
    <x v="5"/>
    <x v="0"/>
    <x v="1"/>
    <x v="1"/>
    <x v="1"/>
    <x v="4"/>
    <n v="0"/>
  </r>
  <r>
    <x v="0"/>
    <x v="5"/>
    <x v="0"/>
    <x v="1"/>
    <x v="1"/>
    <x v="1"/>
    <x v="5"/>
    <n v="0"/>
  </r>
  <r>
    <x v="0"/>
    <x v="5"/>
    <x v="0"/>
    <x v="1"/>
    <x v="1"/>
    <x v="1"/>
    <x v="6"/>
    <n v="0"/>
  </r>
  <r>
    <x v="0"/>
    <x v="5"/>
    <x v="0"/>
    <x v="1"/>
    <x v="2"/>
    <x v="1"/>
    <x v="0"/>
    <n v="0"/>
  </r>
  <r>
    <x v="0"/>
    <x v="5"/>
    <x v="0"/>
    <x v="1"/>
    <x v="2"/>
    <x v="1"/>
    <x v="1"/>
    <n v="0"/>
  </r>
  <r>
    <x v="0"/>
    <x v="5"/>
    <x v="0"/>
    <x v="1"/>
    <x v="2"/>
    <x v="1"/>
    <x v="2"/>
    <n v="0"/>
  </r>
  <r>
    <x v="0"/>
    <x v="5"/>
    <x v="0"/>
    <x v="1"/>
    <x v="2"/>
    <x v="1"/>
    <x v="3"/>
    <n v="0"/>
  </r>
  <r>
    <x v="0"/>
    <x v="5"/>
    <x v="0"/>
    <x v="1"/>
    <x v="2"/>
    <x v="1"/>
    <x v="4"/>
    <n v="0"/>
  </r>
  <r>
    <x v="0"/>
    <x v="5"/>
    <x v="0"/>
    <x v="1"/>
    <x v="2"/>
    <x v="1"/>
    <x v="5"/>
    <n v="0"/>
  </r>
  <r>
    <x v="0"/>
    <x v="5"/>
    <x v="0"/>
    <x v="1"/>
    <x v="2"/>
    <x v="1"/>
    <x v="6"/>
    <n v="0"/>
  </r>
  <r>
    <x v="0"/>
    <x v="5"/>
    <x v="0"/>
    <x v="1"/>
    <x v="3"/>
    <x v="1"/>
    <x v="0"/>
    <n v="0"/>
  </r>
  <r>
    <x v="0"/>
    <x v="5"/>
    <x v="0"/>
    <x v="1"/>
    <x v="3"/>
    <x v="1"/>
    <x v="1"/>
    <n v="0"/>
  </r>
  <r>
    <x v="0"/>
    <x v="5"/>
    <x v="0"/>
    <x v="1"/>
    <x v="3"/>
    <x v="1"/>
    <x v="2"/>
    <n v="0"/>
  </r>
  <r>
    <x v="0"/>
    <x v="5"/>
    <x v="0"/>
    <x v="1"/>
    <x v="3"/>
    <x v="1"/>
    <x v="3"/>
    <n v="0"/>
  </r>
  <r>
    <x v="0"/>
    <x v="5"/>
    <x v="0"/>
    <x v="1"/>
    <x v="3"/>
    <x v="1"/>
    <x v="4"/>
    <n v="0"/>
  </r>
  <r>
    <x v="0"/>
    <x v="5"/>
    <x v="0"/>
    <x v="1"/>
    <x v="3"/>
    <x v="1"/>
    <x v="5"/>
    <n v="0"/>
  </r>
  <r>
    <x v="0"/>
    <x v="5"/>
    <x v="0"/>
    <x v="1"/>
    <x v="3"/>
    <x v="1"/>
    <x v="6"/>
    <n v="0"/>
  </r>
  <r>
    <x v="0"/>
    <x v="5"/>
    <x v="0"/>
    <x v="1"/>
    <x v="4"/>
    <x v="1"/>
    <x v="0"/>
    <n v="0"/>
  </r>
  <r>
    <x v="0"/>
    <x v="5"/>
    <x v="0"/>
    <x v="1"/>
    <x v="4"/>
    <x v="1"/>
    <x v="1"/>
    <n v="0"/>
  </r>
  <r>
    <x v="0"/>
    <x v="5"/>
    <x v="0"/>
    <x v="1"/>
    <x v="4"/>
    <x v="1"/>
    <x v="2"/>
    <n v="0"/>
  </r>
  <r>
    <x v="0"/>
    <x v="5"/>
    <x v="0"/>
    <x v="1"/>
    <x v="4"/>
    <x v="1"/>
    <x v="3"/>
    <n v="0"/>
  </r>
  <r>
    <x v="0"/>
    <x v="5"/>
    <x v="0"/>
    <x v="1"/>
    <x v="4"/>
    <x v="1"/>
    <x v="4"/>
    <n v="0"/>
  </r>
  <r>
    <x v="0"/>
    <x v="5"/>
    <x v="0"/>
    <x v="1"/>
    <x v="4"/>
    <x v="1"/>
    <x v="5"/>
    <n v="0"/>
  </r>
  <r>
    <x v="0"/>
    <x v="5"/>
    <x v="0"/>
    <x v="1"/>
    <x v="4"/>
    <x v="1"/>
    <x v="6"/>
    <n v="0"/>
  </r>
  <r>
    <x v="0"/>
    <x v="5"/>
    <x v="0"/>
    <x v="1"/>
    <x v="5"/>
    <x v="1"/>
    <x v="0"/>
    <n v="0"/>
  </r>
  <r>
    <x v="0"/>
    <x v="5"/>
    <x v="0"/>
    <x v="1"/>
    <x v="5"/>
    <x v="1"/>
    <x v="1"/>
    <n v="0"/>
  </r>
  <r>
    <x v="0"/>
    <x v="5"/>
    <x v="0"/>
    <x v="1"/>
    <x v="5"/>
    <x v="1"/>
    <x v="2"/>
    <n v="0"/>
  </r>
  <r>
    <x v="0"/>
    <x v="5"/>
    <x v="0"/>
    <x v="1"/>
    <x v="5"/>
    <x v="1"/>
    <x v="3"/>
    <n v="0"/>
  </r>
  <r>
    <x v="0"/>
    <x v="5"/>
    <x v="0"/>
    <x v="1"/>
    <x v="5"/>
    <x v="1"/>
    <x v="4"/>
    <n v="0"/>
  </r>
  <r>
    <x v="0"/>
    <x v="5"/>
    <x v="0"/>
    <x v="1"/>
    <x v="5"/>
    <x v="1"/>
    <x v="5"/>
    <n v="0"/>
  </r>
  <r>
    <x v="0"/>
    <x v="5"/>
    <x v="0"/>
    <x v="1"/>
    <x v="5"/>
    <x v="1"/>
    <x v="6"/>
    <n v="0"/>
  </r>
  <r>
    <x v="0"/>
    <x v="5"/>
    <x v="0"/>
    <x v="1"/>
    <x v="6"/>
    <x v="1"/>
    <x v="0"/>
    <n v="0"/>
  </r>
  <r>
    <x v="0"/>
    <x v="5"/>
    <x v="0"/>
    <x v="1"/>
    <x v="6"/>
    <x v="1"/>
    <x v="1"/>
    <n v="0"/>
  </r>
  <r>
    <x v="0"/>
    <x v="5"/>
    <x v="0"/>
    <x v="1"/>
    <x v="6"/>
    <x v="1"/>
    <x v="2"/>
    <n v="0"/>
  </r>
  <r>
    <x v="0"/>
    <x v="5"/>
    <x v="0"/>
    <x v="1"/>
    <x v="6"/>
    <x v="1"/>
    <x v="3"/>
    <n v="0"/>
  </r>
  <r>
    <x v="0"/>
    <x v="5"/>
    <x v="0"/>
    <x v="1"/>
    <x v="6"/>
    <x v="1"/>
    <x v="4"/>
    <n v="0"/>
  </r>
  <r>
    <x v="0"/>
    <x v="5"/>
    <x v="0"/>
    <x v="1"/>
    <x v="6"/>
    <x v="1"/>
    <x v="5"/>
    <n v="0"/>
  </r>
  <r>
    <x v="0"/>
    <x v="5"/>
    <x v="0"/>
    <x v="1"/>
    <x v="6"/>
    <x v="1"/>
    <x v="6"/>
    <n v="0"/>
  </r>
  <r>
    <x v="0"/>
    <x v="5"/>
    <x v="0"/>
    <x v="1"/>
    <x v="7"/>
    <x v="1"/>
    <x v="0"/>
    <n v="0"/>
  </r>
  <r>
    <x v="0"/>
    <x v="5"/>
    <x v="0"/>
    <x v="1"/>
    <x v="7"/>
    <x v="1"/>
    <x v="1"/>
    <n v="0"/>
  </r>
  <r>
    <x v="0"/>
    <x v="5"/>
    <x v="0"/>
    <x v="1"/>
    <x v="7"/>
    <x v="1"/>
    <x v="2"/>
    <n v="0"/>
  </r>
  <r>
    <x v="0"/>
    <x v="5"/>
    <x v="0"/>
    <x v="1"/>
    <x v="7"/>
    <x v="1"/>
    <x v="3"/>
    <n v="0"/>
  </r>
  <r>
    <x v="0"/>
    <x v="5"/>
    <x v="0"/>
    <x v="1"/>
    <x v="7"/>
    <x v="1"/>
    <x v="4"/>
    <n v="0"/>
  </r>
  <r>
    <x v="0"/>
    <x v="5"/>
    <x v="0"/>
    <x v="1"/>
    <x v="7"/>
    <x v="1"/>
    <x v="5"/>
    <n v="0"/>
  </r>
  <r>
    <x v="0"/>
    <x v="5"/>
    <x v="0"/>
    <x v="1"/>
    <x v="7"/>
    <x v="1"/>
    <x v="6"/>
    <n v="0"/>
  </r>
  <r>
    <x v="0"/>
    <x v="5"/>
    <x v="0"/>
    <x v="1"/>
    <x v="8"/>
    <x v="1"/>
    <x v="0"/>
    <n v="0"/>
  </r>
  <r>
    <x v="0"/>
    <x v="5"/>
    <x v="0"/>
    <x v="1"/>
    <x v="8"/>
    <x v="1"/>
    <x v="1"/>
    <n v="0"/>
  </r>
  <r>
    <x v="0"/>
    <x v="5"/>
    <x v="0"/>
    <x v="1"/>
    <x v="8"/>
    <x v="1"/>
    <x v="2"/>
    <n v="0"/>
  </r>
  <r>
    <x v="0"/>
    <x v="5"/>
    <x v="0"/>
    <x v="1"/>
    <x v="8"/>
    <x v="1"/>
    <x v="3"/>
    <n v="0"/>
  </r>
  <r>
    <x v="0"/>
    <x v="5"/>
    <x v="0"/>
    <x v="1"/>
    <x v="8"/>
    <x v="1"/>
    <x v="4"/>
    <n v="0"/>
  </r>
  <r>
    <x v="0"/>
    <x v="5"/>
    <x v="0"/>
    <x v="1"/>
    <x v="8"/>
    <x v="1"/>
    <x v="5"/>
    <n v="0"/>
  </r>
  <r>
    <x v="0"/>
    <x v="5"/>
    <x v="0"/>
    <x v="1"/>
    <x v="8"/>
    <x v="1"/>
    <x v="6"/>
    <n v="0"/>
  </r>
  <r>
    <x v="0"/>
    <x v="5"/>
    <x v="0"/>
    <x v="1"/>
    <x v="9"/>
    <x v="1"/>
    <x v="0"/>
    <n v="0"/>
  </r>
  <r>
    <x v="0"/>
    <x v="5"/>
    <x v="0"/>
    <x v="1"/>
    <x v="9"/>
    <x v="1"/>
    <x v="1"/>
    <n v="0"/>
  </r>
  <r>
    <x v="0"/>
    <x v="5"/>
    <x v="0"/>
    <x v="1"/>
    <x v="9"/>
    <x v="1"/>
    <x v="2"/>
    <n v="0"/>
  </r>
  <r>
    <x v="0"/>
    <x v="5"/>
    <x v="0"/>
    <x v="1"/>
    <x v="9"/>
    <x v="1"/>
    <x v="3"/>
    <n v="0"/>
  </r>
  <r>
    <x v="0"/>
    <x v="5"/>
    <x v="0"/>
    <x v="1"/>
    <x v="9"/>
    <x v="1"/>
    <x v="4"/>
    <n v="0"/>
  </r>
  <r>
    <x v="0"/>
    <x v="5"/>
    <x v="0"/>
    <x v="1"/>
    <x v="9"/>
    <x v="1"/>
    <x v="5"/>
    <n v="0"/>
  </r>
  <r>
    <x v="0"/>
    <x v="5"/>
    <x v="0"/>
    <x v="1"/>
    <x v="9"/>
    <x v="1"/>
    <x v="6"/>
    <n v="0"/>
  </r>
  <r>
    <x v="0"/>
    <x v="5"/>
    <x v="0"/>
    <x v="1"/>
    <x v="10"/>
    <x v="1"/>
    <x v="0"/>
    <n v="0"/>
  </r>
  <r>
    <x v="0"/>
    <x v="5"/>
    <x v="0"/>
    <x v="1"/>
    <x v="10"/>
    <x v="1"/>
    <x v="1"/>
    <n v="0"/>
  </r>
  <r>
    <x v="0"/>
    <x v="5"/>
    <x v="0"/>
    <x v="1"/>
    <x v="10"/>
    <x v="1"/>
    <x v="2"/>
    <n v="0"/>
  </r>
  <r>
    <x v="0"/>
    <x v="5"/>
    <x v="0"/>
    <x v="1"/>
    <x v="10"/>
    <x v="1"/>
    <x v="3"/>
    <n v="0"/>
  </r>
  <r>
    <x v="0"/>
    <x v="5"/>
    <x v="0"/>
    <x v="1"/>
    <x v="10"/>
    <x v="1"/>
    <x v="4"/>
    <n v="0"/>
  </r>
  <r>
    <x v="0"/>
    <x v="5"/>
    <x v="0"/>
    <x v="1"/>
    <x v="10"/>
    <x v="1"/>
    <x v="5"/>
    <n v="0"/>
  </r>
  <r>
    <x v="0"/>
    <x v="5"/>
    <x v="0"/>
    <x v="1"/>
    <x v="10"/>
    <x v="1"/>
    <x v="6"/>
    <n v="0"/>
  </r>
  <r>
    <x v="0"/>
    <x v="5"/>
    <x v="0"/>
    <x v="0"/>
    <x v="11"/>
    <x v="1"/>
    <x v="0"/>
    <n v="0"/>
  </r>
  <r>
    <x v="0"/>
    <x v="5"/>
    <x v="0"/>
    <x v="0"/>
    <x v="11"/>
    <x v="1"/>
    <x v="1"/>
    <n v="0"/>
  </r>
  <r>
    <x v="0"/>
    <x v="5"/>
    <x v="0"/>
    <x v="0"/>
    <x v="11"/>
    <x v="1"/>
    <x v="2"/>
    <n v="0"/>
  </r>
  <r>
    <x v="0"/>
    <x v="5"/>
    <x v="0"/>
    <x v="0"/>
    <x v="11"/>
    <x v="1"/>
    <x v="3"/>
    <n v="0"/>
  </r>
  <r>
    <x v="0"/>
    <x v="5"/>
    <x v="0"/>
    <x v="0"/>
    <x v="11"/>
    <x v="1"/>
    <x v="4"/>
    <n v="0"/>
  </r>
  <r>
    <x v="0"/>
    <x v="5"/>
    <x v="0"/>
    <x v="0"/>
    <x v="11"/>
    <x v="1"/>
    <x v="5"/>
    <n v="0"/>
  </r>
  <r>
    <x v="0"/>
    <x v="5"/>
    <x v="0"/>
    <x v="0"/>
    <x v="11"/>
    <x v="1"/>
    <x v="6"/>
    <n v="0"/>
  </r>
  <r>
    <x v="0"/>
    <x v="5"/>
    <x v="0"/>
    <x v="0"/>
    <x v="12"/>
    <x v="1"/>
    <x v="0"/>
    <n v="0"/>
  </r>
  <r>
    <x v="0"/>
    <x v="5"/>
    <x v="0"/>
    <x v="0"/>
    <x v="12"/>
    <x v="1"/>
    <x v="1"/>
    <n v="0"/>
  </r>
  <r>
    <x v="0"/>
    <x v="5"/>
    <x v="0"/>
    <x v="0"/>
    <x v="12"/>
    <x v="1"/>
    <x v="2"/>
    <n v="0"/>
  </r>
  <r>
    <x v="0"/>
    <x v="5"/>
    <x v="0"/>
    <x v="0"/>
    <x v="12"/>
    <x v="1"/>
    <x v="3"/>
    <n v="0"/>
  </r>
  <r>
    <x v="0"/>
    <x v="5"/>
    <x v="0"/>
    <x v="0"/>
    <x v="12"/>
    <x v="1"/>
    <x v="4"/>
    <n v="0"/>
  </r>
  <r>
    <x v="0"/>
    <x v="5"/>
    <x v="0"/>
    <x v="0"/>
    <x v="12"/>
    <x v="1"/>
    <x v="5"/>
    <n v="0"/>
  </r>
  <r>
    <x v="0"/>
    <x v="5"/>
    <x v="0"/>
    <x v="0"/>
    <x v="12"/>
    <x v="1"/>
    <x v="6"/>
    <n v="0"/>
  </r>
  <r>
    <x v="0"/>
    <x v="5"/>
    <x v="0"/>
    <x v="0"/>
    <x v="13"/>
    <x v="1"/>
    <x v="0"/>
    <n v="0"/>
  </r>
  <r>
    <x v="0"/>
    <x v="5"/>
    <x v="0"/>
    <x v="0"/>
    <x v="13"/>
    <x v="1"/>
    <x v="1"/>
    <n v="0"/>
  </r>
  <r>
    <x v="0"/>
    <x v="5"/>
    <x v="0"/>
    <x v="0"/>
    <x v="13"/>
    <x v="1"/>
    <x v="2"/>
    <n v="0"/>
  </r>
  <r>
    <x v="0"/>
    <x v="5"/>
    <x v="0"/>
    <x v="0"/>
    <x v="13"/>
    <x v="1"/>
    <x v="3"/>
    <n v="0"/>
  </r>
  <r>
    <x v="0"/>
    <x v="5"/>
    <x v="0"/>
    <x v="0"/>
    <x v="13"/>
    <x v="1"/>
    <x v="4"/>
    <n v="0"/>
  </r>
  <r>
    <x v="0"/>
    <x v="5"/>
    <x v="0"/>
    <x v="0"/>
    <x v="13"/>
    <x v="1"/>
    <x v="5"/>
    <n v="0"/>
  </r>
  <r>
    <x v="0"/>
    <x v="5"/>
    <x v="0"/>
    <x v="0"/>
    <x v="13"/>
    <x v="1"/>
    <x v="6"/>
    <n v="0"/>
  </r>
  <r>
    <x v="0"/>
    <x v="5"/>
    <x v="0"/>
    <x v="2"/>
    <x v="14"/>
    <x v="1"/>
    <x v="0"/>
    <n v="0"/>
  </r>
  <r>
    <x v="0"/>
    <x v="5"/>
    <x v="0"/>
    <x v="2"/>
    <x v="14"/>
    <x v="1"/>
    <x v="1"/>
    <n v="0"/>
  </r>
  <r>
    <x v="0"/>
    <x v="5"/>
    <x v="0"/>
    <x v="2"/>
    <x v="14"/>
    <x v="1"/>
    <x v="2"/>
    <n v="0"/>
  </r>
  <r>
    <x v="0"/>
    <x v="5"/>
    <x v="0"/>
    <x v="2"/>
    <x v="14"/>
    <x v="1"/>
    <x v="3"/>
    <n v="0"/>
  </r>
  <r>
    <x v="0"/>
    <x v="5"/>
    <x v="0"/>
    <x v="2"/>
    <x v="14"/>
    <x v="1"/>
    <x v="4"/>
    <n v="0"/>
  </r>
  <r>
    <x v="0"/>
    <x v="5"/>
    <x v="0"/>
    <x v="2"/>
    <x v="14"/>
    <x v="1"/>
    <x v="5"/>
    <n v="0"/>
  </r>
  <r>
    <x v="0"/>
    <x v="5"/>
    <x v="0"/>
    <x v="2"/>
    <x v="14"/>
    <x v="1"/>
    <x v="6"/>
    <n v="0"/>
  </r>
  <r>
    <x v="0"/>
    <x v="5"/>
    <x v="0"/>
    <x v="2"/>
    <x v="15"/>
    <x v="1"/>
    <x v="0"/>
    <n v="0"/>
  </r>
  <r>
    <x v="0"/>
    <x v="5"/>
    <x v="0"/>
    <x v="2"/>
    <x v="15"/>
    <x v="1"/>
    <x v="1"/>
    <n v="0"/>
  </r>
  <r>
    <x v="0"/>
    <x v="5"/>
    <x v="0"/>
    <x v="2"/>
    <x v="15"/>
    <x v="1"/>
    <x v="2"/>
    <n v="0"/>
  </r>
  <r>
    <x v="0"/>
    <x v="5"/>
    <x v="0"/>
    <x v="2"/>
    <x v="15"/>
    <x v="1"/>
    <x v="3"/>
    <n v="0"/>
  </r>
  <r>
    <x v="0"/>
    <x v="5"/>
    <x v="0"/>
    <x v="2"/>
    <x v="15"/>
    <x v="1"/>
    <x v="4"/>
    <n v="0"/>
  </r>
  <r>
    <x v="0"/>
    <x v="5"/>
    <x v="0"/>
    <x v="2"/>
    <x v="15"/>
    <x v="1"/>
    <x v="5"/>
    <n v="0"/>
  </r>
  <r>
    <x v="0"/>
    <x v="5"/>
    <x v="0"/>
    <x v="2"/>
    <x v="15"/>
    <x v="1"/>
    <x v="6"/>
    <n v="0"/>
  </r>
  <r>
    <x v="0"/>
    <x v="5"/>
    <x v="0"/>
    <x v="2"/>
    <x v="16"/>
    <x v="1"/>
    <x v="0"/>
    <n v="0"/>
  </r>
  <r>
    <x v="0"/>
    <x v="5"/>
    <x v="0"/>
    <x v="2"/>
    <x v="16"/>
    <x v="1"/>
    <x v="1"/>
    <n v="0"/>
  </r>
  <r>
    <x v="0"/>
    <x v="5"/>
    <x v="0"/>
    <x v="2"/>
    <x v="16"/>
    <x v="1"/>
    <x v="2"/>
    <n v="0"/>
  </r>
  <r>
    <x v="0"/>
    <x v="5"/>
    <x v="0"/>
    <x v="2"/>
    <x v="16"/>
    <x v="1"/>
    <x v="3"/>
    <n v="0"/>
  </r>
  <r>
    <x v="0"/>
    <x v="5"/>
    <x v="0"/>
    <x v="2"/>
    <x v="16"/>
    <x v="1"/>
    <x v="4"/>
    <n v="0"/>
  </r>
  <r>
    <x v="0"/>
    <x v="5"/>
    <x v="0"/>
    <x v="2"/>
    <x v="16"/>
    <x v="1"/>
    <x v="5"/>
    <n v="0"/>
  </r>
  <r>
    <x v="0"/>
    <x v="5"/>
    <x v="0"/>
    <x v="2"/>
    <x v="16"/>
    <x v="1"/>
    <x v="6"/>
    <n v="0"/>
  </r>
  <r>
    <x v="0"/>
    <x v="5"/>
    <x v="0"/>
    <x v="0"/>
    <x v="17"/>
    <x v="1"/>
    <x v="0"/>
    <n v="0"/>
  </r>
  <r>
    <x v="0"/>
    <x v="5"/>
    <x v="0"/>
    <x v="0"/>
    <x v="17"/>
    <x v="1"/>
    <x v="1"/>
    <n v="0"/>
  </r>
  <r>
    <x v="0"/>
    <x v="5"/>
    <x v="0"/>
    <x v="0"/>
    <x v="17"/>
    <x v="1"/>
    <x v="2"/>
    <n v="0"/>
  </r>
  <r>
    <x v="0"/>
    <x v="5"/>
    <x v="0"/>
    <x v="0"/>
    <x v="17"/>
    <x v="1"/>
    <x v="3"/>
    <n v="0"/>
  </r>
  <r>
    <x v="0"/>
    <x v="5"/>
    <x v="0"/>
    <x v="0"/>
    <x v="17"/>
    <x v="1"/>
    <x v="4"/>
    <n v="0"/>
  </r>
  <r>
    <x v="0"/>
    <x v="5"/>
    <x v="0"/>
    <x v="0"/>
    <x v="17"/>
    <x v="1"/>
    <x v="5"/>
    <n v="0"/>
  </r>
  <r>
    <x v="0"/>
    <x v="5"/>
    <x v="0"/>
    <x v="0"/>
    <x v="17"/>
    <x v="1"/>
    <x v="6"/>
    <n v="0"/>
  </r>
  <r>
    <x v="0"/>
    <x v="5"/>
    <x v="0"/>
    <x v="2"/>
    <x v="18"/>
    <x v="1"/>
    <x v="0"/>
    <n v="0"/>
  </r>
  <r>
    <x v="0"/>
    <x v="5"/>
    <x v="0"/>
    <x v="2"/>
    <x v="18"/>
    <x v="1"/>
    <x v="1"/>
    <n v="0"/>
  </r>
  <r>
    <x v="0"/>
    <x v="5"/>
    <x v="0"/>
    <x v="2"/>
    <x v="18"/>
    <x v="1"/>
    <x v="2"/>
    <n v="0"/>
  </r>
  <r>
    <x v="0"/>
    <x v="5"/>
    <x v="0"/>
    <x v="2"/>
    <x v="18"/>
    <x v="1"/>
    <x v="3"/>
    <n v="0"/>
  </r>
  <r>
    <x v="0"/>
    <x v="5"/>
    <x v="0"/>
    <x v="2"/>
    <x v="18"/>
    <x v="1"/>
    <x v="4"/>
    <n v="0"/>
  </r>
  <r>
    <x v="0"/>
    <x v="5"/>
    <x v="0"/>
    <x v="2"/>
    <x v="18"/>
    <x v="1"/>
    <x v="5"/>
    <n v="0"/>
  </r>
  <r>
    <x v="0"/>
    <x v="5"/>
    <x v="0"/>
    <x v="2"/>
    <x v="18"/>
    <x v="1"/>
    <x v="6"/>
    <n v="0"/>
  </r>
  <r>
    <x v="0"/>
    <x v="5"/>
    <x v="1"/>
    <x v="3"/>
    <x v="19"/>
    <x v="1"/>
    <x v="0"/>
    <n v="0"/>
  </r>
  <r>
    <x v="0"/>
    <x v="5"/>
    <x v="1"/>
    <x v="3"/>
    <x v="19"/>
    <x v="1"/>
    <x v="1"/>
    <n v="0"/>
  </r>
  <r>
    <x v="0"/>
    <x v="5"/>
    <x v="1"/>
    <x v="3"/>
    <x v="19"/>
    <x v="1"/>
    <x v="2"/>
    <n v="0"/>
  </r>
  <r>
    <x v="0"/>
    <x v="5"/>
    <x v="1"/>
    <x v="3"/>
    <x v="19"/>
    <x v="1"/>
    <x v="3"/>
    <n v="0"/>
  </r>
  <r>
    <x v="0"/>
    <x v="5"/>
    <x v="1"/>
    <x v="3"/>
    <x v="19"/>
    <x v="1"/>
    <x v="4"/>
    <n v="0"/>
  </r>
  <r>
    <x v="0"/>
    <x v="5"/>
    <x v="1"/>
    <x v="3"/>
    <x v="19"/>
    <x v="1"/>
    <x v="5"/>
    <n v="0"/>
  </r>
  <r>
    <x v="0"/>
    <x v="5"/>
    <x v="1"/>
    <x v="3"/>
    <x v="19"/>
    <x v="1"/>
    <x v="6"/>
    <n v="0"/>
  </r>
  <r>
    <x v="0"/>
    <x v="5"/>
    <x v="1"/>
    <x v="3"/>
    <x v="20"/>
    <x v="1"/>
    <x v="0"/>
    <n v="0"/>
  </r>
  <r>
    <x v="0"/>
    <x v="5"/>
    <x v="1"/>
    <x v="3"/>
    <x v="20"/>
    <x v="1"/>
    <x v="1"/>
    <n v="0"/>
  </r>
  <r>
    <x v="0"/>
    <x v="5"/>
    <x v="1"/>
    <x v="3"/>
    <x v="20"/>
    <x v="1"/>
    <x v="2"/>
    <n v="0"/>
  </r>
  <r>
    <x v="0"/>
    <x v="5"/>
    <x v="1"/>
    <x v="3"/>
    <x v="20"/>
    <x v="1"/>
    <x v="3"/>
    <n v="0"/>
  </r>
  <r>
    <x v="0"/>
    <x v="5"/>
    <x v="1"/>
    <x v="3"/>
    <x v="20"/>
    <x v="1"/>
    <x v="4"/>
    <n v="0"/>
  </r>
  <r>
    <x v="0"/>
    <x v="5"/>
    <x v="1"/>
    <x v="3"/>
    <x v="20"/>
    <x v="1"/>
    <x v="5"/>
    <n v="0"/>
  </r>
  <r>
    <x v="0"/>
    <x v="5"/>
    <x v="1"/>
    <x v="3"/>
    <x v="20"/>
    <x v="1"/>
    <x v="6"/>
    <n v="0"/>
  </r>
  <r>
    <x v="0"/>
    <x v="5"/>
    <x v="1"/>
    <x v="3"/>
    <x v="21"/>
    <x v="1"/>
    <x v="0"/>
    <n v="0"/>
  </r>
  <r>
    <x v="0"/>
    <x v="5"/>
    <x v="1"/>
    <x v="3"/>
    <x v="21"/>
    <x v="1"/>
    <x v="1"/>
    <n v="0"/>
  </r>
  <r>
    <x v="0"/>
    <x v="5"/>
    <x v="1"/>
    <x v="3"/>
    <x v="21"/>
    <x v="1"/>
    <x v="2"/>
    <n v="0"/>
  </r>
  <r>
    <x v="0"/>
    <x v="5"/>
    <x v="1"/>
    <x v="3"/>
    <x v="21"/>
    <x v="1"/>
    <x v="3"/>
    <n v="0"/>
  </r>
  <r>
    <x v="0"/>
    <x v="5"/>
    <x v="1"/>
    <x v="3"/>
    <x v="21"/>
    <x v="1"/>
    <x v="4"/>
    <n v="0"/>
  </r>
  <r>
    <x v="0"/>
    <x v="5"/>
    <x v="1"/>
    <x v="3"/>
    <x v="21"/>
    <x v="1"/>
    <x v="5"/>
    <n v="0"/>
  </r>
  <r>
    <x v="0"/>
    <x v="5"/>
    <x v="1"/>
    <x v="3"/>
    <x v="21"/>
    <x v="1"/>
    <x v="6"/>
    <n v="0"/>
  </r>
  <r>
    <x v="0"/>
    <x v="5"/>
    <x v="1"/>
    <x v="3"/>
    <x v="22"/>
    <x v="1"/>
    <x v="0"/>
    <n v="0"/>
  </r>
  <r>
    <x v="0"/>
    <x v="5"/>
    <x v="1"/>
    <x v="3"/>
    <x v="22"/>
    <x v="1"/>
    <x v="1"/>
    <n v="0"/>
  </r>
  <r>
    <x v="0"/>
    <x v="5"/>
    <x v="1"/>
    <x v="3"/>
    <x v="22"/>
    <x v="1"/>
    <x v="2"/>
    <n v="0"/>
  </r>
  <r>
    <x v="0"/>
    <x v="5"/>
    <x v="1"/>
    <x v="3"/>
    <x v="22"/>
    <x v="1"/>
    <x v="3"/>
    <n v="0"/>
  </r>
  <r>
    <x v="0"/>
    <x v="5"/>
    <x v="1"/>
    <x v="3"/>
    <x v="22"/>
    <x v="1"/>
    <x v="4"/>
    <n v="0"/>
  </r>
  <r>
    <x v="0"/>
    <x v="5"/>
    <x v="1"/>
    <x v="3"/>
    <x v="22"/>
    <x v="1"/>
    <x v="5"/>
    <n v="0"/>
  </r>
  <r>
    <x v="0"/>
    <x v="5"/>
    <x v="1"/>
    <x v="3"/>
    <x v="22"/>
    <x v="1"/>
    <x v="6"/>
    <n v="0"/>
  </r>
  <r>
    <x v="0"/>
    <x v="5"/>
    <x v="1"/>
    <x v="3"/>
    <x v="23"/>
    <x v="1"/>
    <x v="0"/>
    <n v="0"/>
  </r>
  <r>
    <x v="0"/>
    <x v="5"/>
    <x v="1"/>
    <x v="3"/>
    <x v="23"/>
    <x v="1"/>
    <x v="1"/>
    <n v="0"/>
  </r>
  <r>
    <x v="0"/>
    <x v="5"/>
    <x v="1"/>
    <x v="3"/>
    <x v="23"/>
    <x v="1"/>
    <x v="2"/>
    <n v="0"/>
  </r>
  <r>
    <x v="0"/>
    <x v="5"/>
    <x v="1"/>
    <x v="3"/>
    <x v="23"/>
    <x v="1"/>
    <x v="3"/>
    <n v="0"/>
  </r>
  <r>
    <x v="0"/>
    <x v="5"/>
    <x v="1"/>
    <x v="3"/>
    <x v="23"/>
    <x v="1"/>
    <x v="4"/>
    <n v="0"/>
  </r>
  <r>
    <x v="0"/>
    <x v="5"/>
    <x v="1"/>
    <x v="3"/>
    <x v="23"/>
    <x v="1"/>
    <x v="5"/>
    <n v="0"/>
  </r>
  <r>
    <x v="0"/>
    <x v="5"/>
    <x v="1"/>
    <x v="3"/>
    <x v="23"/>
    <x v="1"/>
    <x v="6"/>
    <n v="0"/>
  </r>
  <r>
    <x v="0"/>
    <x v="5"/>
    <x v="1"/>
    <x v="3"/>
    <x v="24"/>
    <x v="1"/>
    <x v="0"/>
    <n v="0"/>
  </r>
  <r>
    <x v="0"/>
    <x v="5"/>
    <x v="1"/>
    <x v="3"/>
    <x v="24"/>
    <x v="1"/>
    <x v="1"/>
    <n v="0"/>
  </r>
  <r>
    <x v="0"/>
    <x v="5"/>
    <x v="1"/>
    <x v="3"/>
    <x v="24"/>
    <x v="1"/>
    <x v="2"/>
    <n v="0"/>
  </r>
  <r>
    <x v="0"/>
    <x v="5"/>
    <x v="1"/>
    <x v="3"/>
    <x v="24"/>
    <x v="1"/>
    <x v="3"/>
    <n v="0"/>
  </r>
  <r>
    <x v="0"/>
    <x v="5"/>
    <x v="1"/>
    <x v="3"/>
    <x v="24"/>
    <x v="1"/>
    <x v="4"/>
    <n v="0"/>
  </r>
  <r>
    <x v="0"/>
    <x v="5"/>
    <x v="1"/>
    <x v="3"/>
    <x v="24"/>
    <x v="1"/>
    <x v="5"/>
    <n v="0"/>
  </r>
  <r>
    <x v="0"/>
    <x v="5"/>
    <x v="1"/>
    <x v="3"/>
    <x v="24"/>
    <x v="1"/>
    <x v="6"/>
    <n v="0"/>
  </r>
  <r>
    <x v="0"/>
    <x v="5"/>
    <x v="1"/>
    <x v="3"/>
    <x v="25"/>
    <x v="1"/>
    <x v="0"/>
    <n v="0"/>
  </r>
  <r>
    <x v="0"/>
    <x v="5"/>
    <x v="1"/>
    <x v="3"/>
    <x v="25"/>
    <x v="1"/>
    <x v="1"/>
    <n v="0"/>
  </r>
  <r>
    <x v="0"/>
    <x v="5"/>
    <x v="1"/>
    <x v="3"/>
    <x v="25"/>
    <x v="1"/>
    <x v="2"/>
    <n v="0"/>
  </r>
  <r>
    <x v="0"/>
    <x v="5"/>
    <x v="1"/>
    <x v="3"/>
    <x v="25"/>
    <x v="1"/>
    <x v="3"/>
    <n v="0"/>
  </r>
  <r>
    <x v="0"/>
    <x v="5"/>
    <x v="1"/>
    <x v="3"/>
    <x v="25"/>
    <x v="1"/>
    <x v="4"/>
    <n v="0"/>
  </r>
  <r>
    <x v="0"/>
    <x v="5"/>
    <x v="1"/>
    <x v="3"/>
    <x v="25"/>
    <x v="1"/>
    <x v="5"/>
    <n v="0"/>
  </r>
  <r>
    <x v="0"/>
    <x v="5"/>
    <x v="1"/>
    <x v="3"/>
    <x v="25"/>
    <x v="1"/>
    <x v="6"/>
    <n v="0"/>
  </r>
  <r>
    <x v="0"/>
    <x v="5"/>
    <x v="2"/>
    <x v="4"/>
    <x v="26"/>
    <x v="1"/>
    <x v="0"/>
    <n v="0"/>
  </r>
  <r>
    <x v="0"/>
    <x v="5"/>
    <x v="2"/>
    <x v="4"/>
    <x v="26"/>
    <x v="1"/>
    <x v="1"/>
    <n v="0"/>
  </r>
  <r>
    <x v="0"/>
    <x v="5"/>
    <x v="2"/>
    <x v="4"/>
    <x v="26"/>
    <x v="1"/>
    <x v="2"/>
    <n v="0"/>
  </r>
  <r>
    <x v="0"/>
    <x v="5"/>
    <x v="2"/>
    <x v="4"/>
    <x v="26"/>
    <x v="1"/>
    <x v="3"/>
    <n v="0"/>
  </r>
  <r>
    <x v="0"/>
    <x v="5"/>
    <x v="2"/>
    <x v="4"/>
    <x v="26"/>
    <x v="1"/>
    <x v="4"/>
    <n v="0"/>
  </r>
  <r>
    <x v="0"/>
    <x v="5"/>
    <x v="2"/>
    <x v="4"/>
    <x v="26"/>
    <x v="1"/>
    <x v="5"/>
    <n v="0"/>
  </r>
  <r>
    <x v="0"/>
    <x v="5"/>
    <x v="2"/>
    <x v="4"/>
    <x v="26"/>
    <x v="1"/>
    <x v="6"/>
    <n v="0"/>
  </r>
  <r>
    <x v="0"/>
    <x v="5"/>
    <x v="2"/>
    <x v="4"/>
    <x v="27"/>
    <x v="1"/>
    <x v="0"/>
    <n v="0"/>
  </r>
  <r>
    <x v="0"/>
    <x v="5"/>
    <x v="2"/>
    <x v="4"/>
    <x v="27"/>
    <x v="1"/>
    <x v="1"/>
    <n v="0"/>
  </r>
  <r>
    <x v="0"/>
    <x v="5"/>
    <x v="2"/>
    <x v="4"/>
    <x v="27"/>
    <x v="1"/>
    <x v="2"/>
    <n v="0"/>
  </r>
  <r>
    <x v="0"/>
    <x v="5"/>
    <x v="2"/>
    <x v="4"/>
    <x v="27"/>
    <x v="1"/>
    <x v="3"/>
    <n v="0"/>
  </r>
  <r>
    <x v="0"/>
    <x v="5"/>
    <x v="2"/>
    <x v="4"/>
    <x v="27"/>
    <x v="1"/>
    <x v="4"/>
    <n v="0"/>
  </r>
  <r>
    <x v="0"/>
    <x v="5"/>
    <x v="2"/>
    <x v="4"/>
    <x v="27"/>
    <x v="1"/>
    <x v="5"/>
    <n v="0"/>
  </r>
  <r>
    <x v="0"/>
    <x v="5"/>
    <x v="2"/>
    <x v="4"/>
    <x v="27"/>
    <x v="1"/>
    <x v="6"/>
    <n v="0"/>
  </r>
  <r>
    <x v="0"/>
    <x v="5"/>
    <x v="2"/>
    <x v="4"/>
    <x v="28"/>
    <x v="1"/>
    <x v="0"/>
    <n v="0"/>
  </r>
  <r>
    <x v="0"/>
    <x v="5"/>
    <x v="2"/>
    <x v="4"/>
    <x v="28"/>
    <x v="1"/>
    <x v="1"/>
    <n v="0"/>
  </r>
  <r>
    <x v="0"/>
    <x v="5"/>
    <x v="2"/>
    <x v="4"/>
    <x v="28"/>
    <x v="1"/>
    <x v="2"/>
    <n v="0"/>
  </r>
  <r>
    <x v="0"/>
    <x v="5"/>
    <x v="2"/>
    <x v="4"/>
    <x v="28"/>
    <x v="1"/>
    <x v="3"/>
    <n v="0"/>
  </r>
  <r>
    <x v="0"/>
    <x v="5"/>
    <x v="2"/>
    <x v="4"/>
    <x v="28"/>
    <x v="1"/>
    <x v="4"/>
    <n v="0"/>
  </r>
  <r>
    <x v="0"/>
    <x v="5"/>
    <x v="2"/>
    <x v="4"/>
    <x v="28"/>
    <x v="1"/>
    <x v="5"/>
    <n v="0"/>
  </r>
  <r>
    <x v="0"/>
    <x v="5"/>
    <x v="2"/>
    <x v="4"/>
    <x v="28"/>
    <x v="1"/>
    <x v="6"/>
    <n v="0"/>
  </r>
  <r>
    <x v="0"/>
    <x v="5"/>
    <x v="2"/>
    <x v="4"/>
    <x v="29"/>
    <x v="1"/>
    <x v="0"/>
    <n v="0"/>
  </r>
  <r>
    <x v="0"/>
    <x v="5"/>
    <x v="2"/>
    <x v="4"/>
    <x v="29"/>
    <x v="1"/>
    <x v="1"/>
    <n v="0"/>
  </r>
  <r>
    <x v="0"/>
    <x v="5"/>
    <x v="2"/>
    <x v="4"/>
    <x v="29"/>
    <x v="1"/>
    <x v="2"/>
    <n v="0"/>
  </r>
  <r>
    <x v="0"/>
    <x v="5"/>
    <x v="2"/>
    <x v="4"/>
    <x v="29"/>
    <x v="1"/>
    <x v="3"/>
    <n v="0"/>
  </r>
  <r>
    <x v="0"/>
    <x v="5"/>
    <x v="2"/>
    <x v="4"/>
    <x v="29"/>
    <x v="1"/>
    <x v="4"/>
    <n v="0"/>
  </r>
  <r>
    <x v="0"/>
    <x v="5"/>
    <x v="2"/>
    <x v="4"/>
    <x v="29"/>
    <x v="1"/>
    <x v="5"/>
    <n v="0"/>
  </r>
  <r>
    <x v="0"/>
    <x v="5"/>
    <x v="2"/>
    <x v="4"/>
    <x v="29"/>
    <x v="1"/>
    <x v="6"/>
    <n v="0"/>
  </r>
  <r>
    <x v="0"/>
    <x v="5"/>
    <x v="3"/>
    <x v="5"/>
    <x v="30"/>
    <x v="1"/>
    <x v="0"/>
    <n v="0"/>
  </r>
  <r>
    <x v="0"/>
    <x v="5"/>
    <x v="3"/>
    <x v="5"/>
    <x v="30"/>
    <x v="1"/>
    <x v="1"/>
    <n v="0"/>
  </r>
  <r>
    <x v="0"/>
    <x v="5"/>
    <x v="3"/>
    <x v="5"/>
    <x v="30"/>
    <x v="1"/>
    <x v="2"/>
    <n v="0"/>
  </r>
  <r>
    <x v="0"/>
    <x v="5"/>
    <x v="3"/>
    <x v="5"/>
    <x v="30"/>
    <x v="1"/>
    <x v="3"/>
    <n v="0"/>
  </r>
  <r>
    <x v="0"/>
    <x v="5"/>
    <x v="3"/>
    <x v="5"/>
    <x v="30"/>
    <x v="1"/>
    <x v="4"/>
    <n v="0"/>
  </r>
  <r>
    <x v="0"/>
    <x v="5"/>
    <x v="3"/>
    <x v="5"/>
    <x v="30"/>
    <x v="1"/>
    <x v="5"/>
    <n v="0"/>
  </r>
  <r>
    <x v="0"/>
    <x v="5"/>
    <x v="3"/>
    <x v="5"/>
    <x v="30"/>
    <x v="1"/>
    <x v="6"/>
    <n v="0"/>
  </r>
  <r>
    <x v="0"/>
    <x v="5"/>
    <x v="2"/>
    <x v="4"/>
    <x v="31"/>
    <x v="1"/>
    <x v="0"/>
    <n v="0.16492177440642397"/>
  </r>
  <r>
    <x v="0"/>
    <x v="5"/>
    <x v="2"/>
    <x v="4"/>
    <x v="31"/>
    <x v="1"/>
    <x v="1"/>
    <n v="0.51810686926523708"/>
  </r>
  <r>
    <x v="0"/>
    <x v="5"/>
    <x v="2"/>
    <x v="4"/>
    <x v="31"/>
    <x v="1"/>
    <x v="2"/>
    <n v="1.9206194999695485"/>
  </r>
  <r>
    <x v="0"/>
    <x v="5"/>
    <x v="2"/>
    <x v="4"/>
    <x v="31"/>
    <x v="1"/>
    <x v="3"/>
    <n v="7.8162847390473376"/>
  </r>
  <r>
    <x v="0"/>
    <x v="5"/>
    <x v="2"/>
    <x v="4"/>
    <x v="31"/>
    <x v="1"/>
    <x v="4"/>
    <n v="27.902238213302098"/>
  </r>
  <r>
    <x v="0"/>
    <x v="5"/>
    <x v="2"/>
    <x v="4"/>
    <x v="31"/>
    <x v="1"/>
    <x v="5"/>
    <n v="74.649674853502674"/>
  </r>
  <r>
    <x v="0"/>
    <x v="5"/>
    <x v="2"/>
    <x v="4"/>
    <x v="31"/>
    <x v="1"/>
    <x v="6"/>
    <n v="195.8895771563183"/>
  </r>
  <r>
    <x v="0"/>
    <x v="5"/>
    <x v="2"/>
    <x v="4"/>
    <x v="32"/>
    <x v="1"/>
    <x v="0"/>
    <n v="0.23714985672497513"/>
  </r>
  <r>
    <x v="0"/>
    <x v="5"/>
    <x v="2"/>
    <x v="4"/>
    <x v="32"/>
    <x v="1"/>
    <x v="1"/>
    <n v="0.81190228094940098"/>
  </r>
  <r>
    <x v="0"/>
    <x v="5"/>
    <x v="2"/>
    <x v="4"/>
    <x v="32"/>
    <x v="1"/>
    <x v="2"/>
    <n v="2.919260907431906"/>
  </r>
  <r>
    <x v="0"/>
    <x v="5"/>
    <x v="2"/>
    <x v="4"/>
    <x v="32"/>
    <x v="1"/>
    <x v="3"/>
    <n v="10.833793621548132"/>
  </r>
  <r>
    <x v="0"/>
    <x v="5"/>
    <x v="2"/>
    <x v="4"/>
    <x v="32"/>
    <x v="1"/>
    <x v="4"/>
    <n v="35.801483895125727"/>
  </r>
  <r>
    <x v="0"/>
    <x v="5"/>
    <x v="2"/>
    <x v="4"/>
    <x v="32"/>
    <x v="1"/>
    <x v="5"/>
    <n v="93.806785076860407"/>
  </r>
  <r>
    <x v="0"/>
    <x v="5"/>
    <x v="2"/>
    <x v="4"/>
    <x v="32"/>
    <x v="1"/>
    <x v="6"/>
    <n v="247.09034236161682"/>
  </r>
  <r>
    <x v="0"/>
    <x v="5"/>
    <x v="2"/>
    <x v="4"/>
    <x v="33"/>
    <x v="1"/>
    <x v="0"/>
    <n v="0"/>
  </r>
  <r>
    <x v="0"/>
    <x v="5"/>
    <x v="2"/>
    <x v="4"/>
    <x v="33"/>
    <x v="1"/>
    <x v="1"/>
    <n v="0"/>
  </r>
  <r>
    <x v="0"/>
    <x v="5"/>
    <x v="2"/>
    <x v="4"/>
    <x v="33"/>
    <x v="1"/>
    <x v="2"/>
    <n v="0"/>
  </r>
  <r>
    <x v="0"/>
    <x v="5"/>
    <x v="2"/>
    <x v="4"/>
    <x v="33"/>
    <x v="1"/>
    <x v="3"/>
    <n v="0"/>
  </r>
  <r>
    <x v="0"/>
    <x v="5"/>
    <x v="2"/>
    <x v="4"/>
    <x v="33"/>
    <x v="1"/>
    <x v="4"/>
    <n v="0"/>
  </r>
  <r>
    <x v="0"/>
    <x v="5"/>
    <x v="2"/>
    <x v="4"/>
    <x v="33"/>
    <x v="1"/>
    <x v="5"/>
    <n v="0"/>
  </r>
  <r>
    <x v="0"/>
    <x v="5"/>
    <x v="2"/>
    <x v="4"/>
    <x v="33"/>
    <x v="1"/>
    <x v="6"/>
    <n v="0"/>
  </r>
  <r>
    <x v="0"/>
    <x v="5"/>
    <x v="2"/>
    <x v="4"/>
    <x v="34"/>
    <x v="1"/>
    <x v="0"/>
    <n v="9.6179610840869305"/>
  </r>
  <r>
    <x v="0"/>
    <x v="5"/>
    <x v="2"/>
    <x v="4"/>
    <x v="34"/>
    <x v="1"/>
    <x v="1"/>
    <n v="30.652866751977946"/>
  </r>
  <r>
    <x v="0"/>
    <x v="5"/>
    <x v="2"/>
    <x v="4"/>
    <x v="34"/>
    <x v="1"/>
    <x v="2"/>
    <n v="96.119568953312339"/>
  </r>
  <r>
    <x v="0"/>
    <x v="5"/>
    <x v="2"/>
    <x v="4"/>
    <x v="34"/>
    <x v="1"/>
    <x v="3"/>
    <n v="297.35986136120249"/>
  </r>
  <r>
    <x v="0"/>
    <x v="5"/>
    <x v="2"/>
    <x v="4"/>
    <x v="34"/>
    <x v="1"/>
    <x v="4"/>
    <n v="1101.2955363596309"/>
  </r>
  <r>
    <x v="0"/>
    <x v="5"/>
    <x v="2"/>
    <x v="4"/>
    <x v="34"/>
    <x v="1"/>
    <x v="5"/>
    <n v="3300.2477875116724"/>
  </r>
  <r>
    <x v="0"/>
    <x v="5"/>
    <x v="2"/>
    <x v="4"/>
    <x v="34"/>
    <x v="1"/>
    <x v="6"/>
    <n v="8650.448076338098"/>
  </r>
  <r>
    <x v="0"/>
    <x v="5"/>
    <x v="2"/>
    <x v="6"/>
    <x v="35"/>
    <x v="1"/>
    <x v="0"/>
    <n v="1.8052235740494404"/>
  </r>
  <r>
    <x v="0"/>
    <x v="5"/>
    <x v="2"/>
    <x v="6"/>
    <x v="35"/>
    <x v="1"/>
    <x v="1"/>
    <n v="2.550315158063428"/>
  </r>
  <r>
    <x v="0"/>
    <x v="5"/>
    <x v="2"/>
    <x v="6"/>
    <x v="35"/>
    <x v="1"/>
    <x v="2"/>
    <n v="5.3277505910258149"/>
  </r>
  <r>
    <x v="0"/>
    <x v="5"/>
    <x v="2"/>
    <x v="6"/>
    <x v="35"/>
    <x v="1"/>
    <x v="3"/>
    <n v="11.418744493154852"/>
  </r>
  <r>
    <x v="0"/>
    <x v="5"/>
    <x v="2"/>
    <x v="6"/>
    <x v="35"/>
    <x v="1"/>
    <x v="4"/>
    <n v="23.121596188112409"/>
  </r>
  <r>
    <x v="0"/>
    <x v="5"/>
    <x v="2"/>
    <x v="6"/>
    <x v="35"/>
    <x v="1"/>
    <x v="5"/>
    <n v="40.024501068954258"/>
  </r>
  <r>
    <x v="0"/>
    <x v="5"/>
    <x v="2"/>
    <x v="6"/>
    <x v="35"/>
    <x v="1"/>
    <x v="6"/>
    <n v="69.938380372925423"/>
  </r>
  <r>
    <x v="0"/>
    <x v="5"/>
    <x v="2"/>
    <x v="6"/>
    <x v="36"/>
    <x v="1"/>
    <x v="0"/>
    <n v="0.49615191511114565"/>
  </r>
  <r>
    <x v="0"/>
    <x v="5"/>
    <x v="2"/>
    <x v="6"/>
    <x v="36"/>
    <x v="1"/>
    <x v="1"/>
    <n v="0.75693096067651777"/>
  </r>
  <r>
    <x v="0"/>
    <x v="5"/>
    <x v="2"/>
    <x v="6"/>
    <x v="36"/>
    <x v="1"/>
    <x v="2"/>
    <n v="1.6044851443824026"/>
  </r>
  <r>
    <x v="0"/>
    <x v="5"/>
    <x v="2"/>
    <x v="6"/>
    <x v="36"/>
    <x v="1"/>
    <x v="3"/>
    <n v="3.5365479208747774"/>
  </r>
  <r>
    <x v="0"/>
    <x v="5"/>
    <x v="2"/>
    <x v="6"/>
    <x v="36"/>
    <x v="1"/>
    <x v="4"/>
    <n v="7.4109770156746038"/>
  </r>
  <r>
    <x v="0"/>
    <x v="5"/>
    <x v="2"/>
    <x v="6"/>
    <x v="36"/>
    <x v="1"/>
    <x v="5"/>
    <n v="13.464365693785945"/>
  </r>
  <r>
    <x v="0"/>
    <x v="5"/>
    <x v="2"/>
    <x v="6"/>
    <x v="36"/>
    <x v="1"/>
    <x v="6"/>
    <n v="24.42821374311459"/>
  </r>
  <r>
    <x v="0"/>
    <x v="5"/>
    <x v="2"/>
    <x v="6"/>
    <x v="37"/>
    <x v="1"/>
    <x v="0"/>
    <n v="0.17041896781230165"/>
  </r>
  <r>
    <x v="0"/>
    <x v="5"/>
    <x v="2"/>
    <x v="6"/>
    <x v="37"/>
    <x v="1"/>
    <x v="1"/>
    <n v="0.29577526805993792"/>
  </r>
  <r>
    <x v="0"/>
    <x v="5"/>
    <x v="2"/>
    <x v="6"/>
    <x v="37"/>
    <x v="1"/>
    <x v="2"/>
    <n v="0.61187241515669932"/>
  </r>
  <r>
    <x v="0"/>
    <x v="5"/>
    <x v="2"/>
    <x v="6"/>
    <x v="37"/>
    <x v="1"/>
    <x v="3"/>
    <n v="1.29369098039813"/>
  </r>
  <r>
    <x v="0"/>
    <x v="5"/>
    <x v="2"/>
    <x v="6"/>
    <x v="37"/>
    <x v="1"/>
    <x v="4"/>
    <n v="2.7205634243297396"/>
  </r>
  <r>
    <x v="0"/>
    <x v="5"/>
    <x v="2"/>
    <x v="6"/>
    <x v="37"/>
    <x v="1"/>
    <x v="5"/>
    <n v="5.0286982157382489"/>
  </r>
  <r>
    <x v="0"/>
    <x v="5"/>
    <x v="2"/>
    <x v="6"/>
    <x v="37"/>
    <x v="1"/>
    <x v="6"/>
    <n v="9.4969035432609434"/>
  </r>
  <r>
    <x v="0"/>
    <x v="5"/>
    <x v="2"/>
    <x v="6"/>
    <x v="38"/>
    <x v="1"/>
    <x v="0"/>
    <n v="2.659610129944173"/>
  </r>
  <r>
    <x v="0"/>
    <x v="5"/>
    <x v="2"/>
    <x v="6"/>
    <x v="38"/>
    <x v="1"/>
    <x v="1"/>
    <n v="5.6635793424336835"/>
  </r>
  <r>
    <x v="0"/>
    <x v="5"/>
    <x v="2"/>
    <x v="6"/>
    <x v="38"/>
    <x v="1"/>
    <x v="2"/>
    <n v="9.2397069350988001"/>
  </r>
  <r>
    <x v="0"/>
    <x v="5"/>
    <x v="2"/>
    <x v="6"/>
    <x v="38"/>
    <x v="1"/>
    <x v="3"/>
    <n v="18.608191876553963"/>
  </r>
  <r>
    <x v="0"/>
    <x v="5"/>
    <x v="2"/>
    <x v="6"/>
    <x v="38"/>
    <x v="1"/>
    <x v="4"/>
    <n v="38.028434424699228"/>
  </r>
  <r>
    <x v="0"/>
    <x v="5"/>
    <x v="2"/>
    <x v="6"/>
    <x v="38"/>
    <x v="1"/>
    <x v="5"/>
    <n v="66.957108676110323"/>
  </r>
  <r>
    <x v="0"/>
    <x v="5"/>
    <x v="2"/>
    <x v="6"/>
    <x v="38"/>
    <x v="1"/>
    <x v="6"/>
    <n v="115.38213973139085"/>
  </r>
  <r>
    <x v="0"/>
    <x v="5"/>
    <x v="3"/>
    <x v="5"/>
    <x v="39"/>
    <x v="1"/>
    <x v="0"/>
    <n v="0"/>
  </r>
  <r>
    <x v="0"/>
    <x v="5"/>
    <x v="3"/>
    <x v="5"/>
    <x v="39"/>
    <x v="1"/>
    <x v="1"/>
    <n v="0"/>
  </r>
  <r>
    <x v="0"/>
    <x v="5"/>
    <x v="3"/>
    <x v="5"/>
    <x v="39"/>
    <x v="1"/>
    <x v="2"/>
    <n v="0"/>
  </r>
  <r>
    <x v="0"/>
    <x v="5"/>
    <x v="3"/>
    <x v="5"/>
    <x v="39"/>
    <x v="1"/>
    <x v="3"/>
    <n v="0"/>
  </r>
  <r>
    <x v="0"/>
    <x v="5"/>
    <x v="3"/>
    <x v="5"/>
    <x v="39"/>
    <x v="1"/>
    <x v="4"/>
    <n v="0"/>
  </r>
  <r>
    <x v="0"/>
    <x v="5"/>
    <x v="3"/>
    <x v="5"/>
    <x v="39"/>
    <x v="1"/>
    <x v="5"/>
    <n v="0"/>
  </r>
  <r>
    <x v="0"/>
    <x v="5"/>
    <x v="3"/>
    <x v="5"/>
    <x v="39"/>
    <x v="1"/>
    <x v="6"/>
    <n v="0"/>
  </r>
  <r>
    <x v="0"/>
    <x v="5"/>
    <x v="2"/>
    <x v="6"/>
    <x v="40"/>
    <x v="1"/>
    <x v="0"/>
    <n v="2.6454199466657577"/>
  </r>
  <r>
    <x v="0"/>
    <x v="5"/>
    <x v="2"/>
    <x v="6"/>
    <x v="40"/>
    <x v="1"/>
    <x v="1"/>
    <n v="5.8717377212554993"/>
  </r>
  <r>
    <x v="0"/>
    <x v="5"/>
    <x v="2"/>
    <x v="6"/>
    <x v="40"/>
    <x v="1"/>
    <x v="2"/>
    <n v="10.24092174439253"/>
  </r>
  <r>
    <x v="0"/>
    <x v="5"/>
    <x v="2"/>
    <x v="6"/>
    <x v="40"/>
    <x v="1"/>
    <x v="3"/>
    <n v="21.20695141361514"/>
  </r>
  <r>
    <x v="0"/>
    <x v="5"/>
    <x v="2"/>
    <x v="6"/>
    <x v="40"/>
    <x v="1"/>
    <x v="4"/>
    <n v="44.040994930054921"/>
  </r>
  <r>
    <x v="0"/>
    <x v="5"/>
    <x v="2"/>
    <x v="6"/>
    <x v="40"/>
    <x v="1"/>
    <x v="5"/>
    <n v="77.085645092846988"/>
  </r>
  <r>
    <x v="0"/>
    <x v="5"/>
    <x v="2"/>
    <x v="6"/>
    <x v="40"/>
    <x v="1"/>
    <x v="6"/>
    <n v="132.68124025107653"/>
  </r>
  <r>
    <x v="0"/>
    <x v="5"/>
    <x v="2"/>
    <x v="6"/>
    <x v="41"/>
    <x v="1"/>
    <x v="0"/>
    <n v="0.88065875062076682"/>
  </r>
  <r>
    <x v="0"/>
    <x v="5"/>
    <x v="2"/>
    <x v="6"/>
    <x v="41"/>
    <x v="1"/>
    <x v="1"/>
    <n v="1.7593051607740442"/>
  </r>
  <r>
    <x v="0"/>
    <x v="5"/>
    <x v="2"/>
    <x v="6"/>
    <x v="41"/>
    <x v="1"/>
    <x v="2"/>
    <n v="3.2993177431649015"/>
  </r>
  <r>
    <x v="0"/>
    <x v="5"/>
    <x v="2"/>
    <x v="6"/>
    <x v="41"/>
    <x v="1"/>
    <x v="3"/>
    <n v="6.9125251853158849"/>
  </r>
  <r>
    <x v="0"/>
    <x v="5"/>
    <x v="2"/>
    <x v="6"/>
    <x v="41"/>
    <x v="1"/>
    <x v="4"/>
    <n v="14.182361775485122"/>
  </r>
  <r>
    <x v="0"/>
    <x v="5"/>
    <x v="2"/>
    <x v="6"/>
    <x v="41"/>
    <x v="1"/>
    <x v="5"/>
    <n v="24.765748929449892"/>
  </r>
  <r>
    <x v="0"/>
    <x v="5"/>
    <x v="2"/>
    <x v="6"/>
    <x v="41"/>
    <x v="1"/>
    <x v="6"/>
    <n v="42.743815196720526"/>
  </r>
  <r>
    <x v="0"/>
    <x v="5"/>
    <x v="2"/>
    <x v="6"/>
    <x v="42"/>
    <x v="1"/>
    <x v="0"/>
    <n v="1.1744182473877562"/>
  </r>
  <r>
    <x v="0"/>
    <x v="5"/>
    <x v="2"/>
    <x v="6"/>
    <x v="42"/>
    <x v="1"/>
    <x v="1"/>
    <n v="2.5464637152672469"/>
  </r>
  <r>
    <x v="0"/>
    <x v="5"/>
    <x v="2"/>
    <x v="6"/>
    <x v="42"/>
    <x v="1"/>
    <x v="2"/>
    <n v="4.7639371053180977"/>
  </r>
  <r>
    <x v="0"/>
    <x v="5"/>
    <x v="2"/>
    <x v="6"/>
    <x v="42"/>
    <x v="1"/>
    <x v="3"/>
    <n v="9.6414877733102369"/>
  </r>
  <r>
    <x v="0"/>
    <x v="5"/>
    <x v="2"/>
    <x v="6"/>
    <x v="42"/>
    <x v="1"/>
    <x v="4"/>
    <n v="19.577214996768987"/>
  </r>
  <r>
    <x v="0"/>
    <x v="5"/>
    <x v="2"/>
    <x v="6"/>
    <x v="42"/>
    <x v="1"/>
    <x v="5"/>
    <n v="33.782714667184379"/>
  </r>
  <r>
    <x v="0"/>
    <x v="5"/>
    <x v="2"/>
    <x v="6"/>
    <x v="42"/>
    <x v="1"/>
    <x v="6"/>
    <n v="56.803910397765378"/>
  </r>
  <r>
    <x v="0"/>
    <x v="5"/>
    <x v="2"/>
    <x v="6"/>
    <x v="43"/>
    <x v="1"/>
    <x v="0"/>
    <n v="214.04003024255672"/>
  </r>
  <r>
    <x v="0"/>
    <x v="5"/>
    <x v="2"/>
    <x v="6"/>
    <x v="43"/>
    <x v="1"/>
    <x v="1"/>
    <n v="324.76416509619679"/>
  </r>
  <r>
    <x v="0"/>
    <x v="5"/>
    <x v="2"/>
    <x v="6"/>
    <x v="43"/>
    <x v="1"/>
    <x v="2"/>
    <n v="551.80093635205003"/>
  </r>
  <r>
    <x v="0"/>
    <x v="5"/>
    <x v="2"/>
    <x v="6"/>
    <x v="43"/>
    <x v="1"/>
    <x v="3"/>
    <n v="1017.6301672888158"/>
  </r>
  <r>
    <x v="0"/>
    <x v="5"/>
    <x v="2"/>
    <x v="6"/>
    <x v="43"/>
    <x v="1"/>
    <x v="4"/>
    <n v="1909.4639659971199"/>
  </r>
  <r>
    <x v="0"/>
    <x v="5"/>
    <x v="2"/>
    <x v="6"/>
    <x v="43"/>
    <x v="1"/>
    <x v="5"/>
    <n v="3158.0343749717172"/>
  </r>
  <r>
    <x v="0"/>
    <x v="5"/>
    <x v="2"/>
    <x v="6"/>
    <x v="43"/>
    <x v="1"/>
    <x v="6"/>
    <n v="4994.3027932519944"/>
  </r>
  <r>
    <x v="0"/>
    <x v="7"/>
    <x v="4"/>
    <x v="7"/>
    <x v="61"/>
    <x v="1"/>
    <x v="0"/>
    <n v="47.196030822979658"/>
  </r>
  <r>
    <x v="0"/>
    <x v="7"/>
    <x v="4"/>
    <x v="7"/>
    <x v="61"/>
    <x v="1"/>
    <x v="1"/>
    <n v="178.68000863739243"/>
  </r>
  <r>
    <x v="0"/>
    <x v="7"/>
    <x v="4"/>
    <x v="7"/>
    <x v="61"/>
    <x v="1"/>
    <x v="2"/>
    <n v="597.52357131174062"/>
  </r>
  <r>
    <x v="0"/>
    <x v="7"/>
    <x v="4"/>
    <x v="7"/>
    <x v="61"/>
    <x v="1"/>
    <x v="3"/>
    <n v="1813.9288076302885"/>
  </r>
  <r>
    <x v="0"/>
    <x v="7"/>
    <x v="4"/>
    <x v="7"/>
    <x v="61"/>
    <x v="1"/>
    <x v="4"/>
    <n v="3362.5292940000008"/>
  </r>
  <r>
    <x v="0"/>
    <x v="7"/>
    <x v="4"/>
    <x v="7"/>
    <x v="61"/>
    <x v="1"/>
    <x v="5"/>
    <n v="5063.8090943999996"/>
  </r>
  <r>
    <x v="0"/>
    <x v="7"/>
    <x v="4"/>
    <x v="7"/>
    <x v="61"/>
    <x v="1"/>
    <x v="6"/>
    <n v="6805.4064809999991"/>
  </r>
  <r>
    <x v="0"/>
    <x v="7"/>
    <x v="4"/>
    <x v="7"/>
    <x v="62"/>
    <x v="1"/>
    <x v="0"/>
    <n v="6.5402719414560426"/>
  </r>
  <r>
    <x v="0"/>
    <x v="7"/>
    <x v="4"/>
    <x v="7"/>
    <x v="62"/>
    <x v="1"/>
    <x v="1"/>
    <n v="29.755786682773572"/>
  </r>
  <r>
    <x v="0"/>
    <x v="7"/>
    <x v="4"/>
    <x v="7"/>
    <x v="62"/>
    <x v="1"/>
    <x v="2"/>
    <n v="113.90828466551483"/>
  </r>
  <r>
    <x v="0"/>
    <x v="7"/>
    <x v="4"/>
    <x v="7"/>
    <x v="62"/>
    <x v="1"/>
    <x v="3"/>
    <n v="1332.4935812399999"/>
  </r>
  <r>
    <x v="0"/>
    <x v="7"/>
    <x v="4"/>
    <x v="7"/>
    <x v="62"/>
    <x v="1"/>
    <x v="4"/>
    <n v="4591.741024859999"/>
  </r>
  <r>
    <x v="0"/>
    <x v="7"/>
    <x v="4"/>
    <x v="7"/>
    <x v="62"/>
    <x v="1"/>
    <x v="5"/>
    <n v="8577.2887740000006"/>
  </r>
  <r>
    <x v="0"/>
    <x v="7"/>
    <x v="4"/>
    <x v="7"/>
    <x v="62"/>
    <x v="1"/>
    <x v="6"/>
    <n v="12100.262429640004"/>
  </r>
  <r>
    <x v="0"/>
    <x v="7"/>
    <x v="4"/>
    <x v="7"/>
    <x v="63"/>
    <x v="1"/>
    <x v="0"/>
    <n v="0"/>
  </r>
  <r>
    <x v="0"/>
    <x v="7"/>
    <x v="4"/>
    <x v="7"/>
    <x v="63"/>
    <x v="1"/>
    <x v="1"/>
    <n v="0"/>
  </r>
  <r>
    <x v="0"/>
    <x v="7"/>
    <x v="4"/>
    <x v="7"/>
    <x v="63"/>
    <x v="1"/>
    <x v="2"/>
    <n v="0"/>
  </r>
  <r>
    <x v="0"/>
    <x v="7"/>
    <x v="4"/>
    <x v="7"/>
    <x v="63"/>
    <x v="1"/>
    <x v="3"/>
    <n v="0"/>
  </r>
  <r>
    <x v="0"/>
    <x v="7"/>
    <x v="4"/>
    <x v="7"/>
    <x v="63"/>
    <x v="1"/>
    <x v="4"/>
    <n v="0"/>
  </r>
  <r>
    <x v="0"/>
    <x v="7"/>
    <x v="4"/>
    <x v="7"/>
    <x v="63"/>
    <x v="1"/>
    <x v="5"/>
    <n v="0"/>
  </r>
  <r>
    <x v="0"/>
    <x v="7"/>
    <x v="4"/>
    <x v="7"/>
    <x v="63"/>
    <x v="1"/>
    <x v="6"/>
    <n v="0"/>
  </r>
  <r>
    <x v="0"/>
    <x v="7"/>
    <x v="4"/>
    <x v="7"/>
    <x v="64"/>
    <x v="1"/>
    <x v="0"/>
    <n v="295.27549978036836"/>
  </r>
  <r>
    <x v="0"/>
    <x v="7"/>
    <x v="4"/>
    <x v="7"/>
    <x v="64"/>
    <x v="1"/>
    <x v="1"/>
    <n v="976.7395349898776"/>
  </r>
  <r>
    <x v="0"/>
    <x v="7"/>
    <x v="4"/>
    <x v="7"/>
    <x v="64"/>
    <x v="1"/>
    <x v="2"/>
    <n v="2371.6252499885859"/>
  </r>
  <r>
    <x v="0"/>
    <x v="7"/>
    <x v="4"/>
    <x v="7"/>
    <x v="64"/>
    <x v="1"/>
    <x v="3"/>
    <n v="3212.987835181008"/>
  </r>
  <r>
    <x v="0"/>
    <x v="7"/>
    <x v="4"/>
    <x v="7"/>
    <x v="64"/>
    <x v="1"/>
    <x v="4"/>
    <n v="4229.9084575574852"/>
  </r>
  <r>
    <x v="0"/>
    <x v="7"/>
    <x v="4"/>
    <x v="7"/>
    <x v="64"/>
    <x v="1"/>
    <x v="5"/>
    <n v="5866.1277551723924"/>
  </r>
  <r>
    <x v="0"/>
    <x v="7"/>
    <x v="4"/>
    <x v="7"/>
    <x v="64"/>
    <x v="1"/>
    <x v="6"/>
    <n v="9151.7846065810008"/>
  </r>
  <r>
    <x v="0"/>
    <x v="5"/>
    <x v="4"/>
    <x v="7"/>
    <x v="44"/>
    <x v="1"/>
    <x v="0"/>
    <n v="141.21999447759785"/>
  </r>
  <r>
    <x v="0"/>
    <x v="5"/>
    <x v="4"/>
    <x v="7"/>
    <x v="44"/>
    <x v="1"/>
    <x v="1"/>
    <n v="357.71696497881447"/>
  </r>
  <r>
    <x v="0"/>
    <x v="5"/>
    <x v="4"/>
    <x v="7"/>
    <x v="44"/>
    <x v="1"/>
    <x v="2"/>
    <n v="794.68801151602202"/>
  </r>
  <r>
    <x v="0"/>
    <x v="5"/>
    <x v="4"/>
    <x v="7"/>
    <x v="44"/>
    <x v="1"/>
    <x v="3"/>
    <n v="1793.8336219588107"/>
  </r>
  <r>
    <x v="0"/>
    <x v="5"/>
    <x v="4"/>
    <x v="7"/>
    <x v="44"/>
    <x v="1"/>
    <x v="4"/>
    <n v="3248.8921083747368"/>
  </r>
  <r>
    <x v="0"/>
    <x v="5"/>
    <x v="4"/>
    <x v="7"/>
    <x v="44"/>
    <x v="1"/>
    <x v="5"/>
    <n v="6240.7848401271194"/>
  </r>
  <r>
    <x v="0"/>
    <x v="5"/>
    <x v="4"/>
    <x v="7"/>
    <x v="44"/>
    <x v="1"/>
    <x v="6"/>
    <n v="11439.731301837955"/>
  </r>
  <r>
    <x v="0"/>
    <x v="5"/>
    <x v="4"/>
    <x v="7"/>
    <x v="45"/>
    <x v="1"/>
    <x v="0"/>
    <n v="0"/>
  </r>
  <r>
    <x v="0"/>
    <x v="5"/>
    <x v="4"/>
    <x v="7"/>
    <x v="45"/>
    <x v="1"/>
    <x v="1"/>
    <n v="0"/>
  </r>
  <r>
    <x v="0"/>
    <x v="5"/>
    <x v="4"/>
    <x v="7"/>
    <x v="45"/>
    <x v="1"/>
    <x v="2"/>
    <n v="0"/>
  </r>
  <r>
    <x v="0"/>
    <x v="5"/>
    <x v="4"/>
    <x v="7"/>
    <x v="45"/>
    <x v="1"/>
    <x v="3"/>
    <n v="0"/>
  </r>
  <r>
    <x v="0"/>
    <x v="5"/>
    <x v="4"/>
    <x v="7"/>
    <x v="45"/>
    <x v="1"/>
    <x v="4"/>
    <n v="0"/>
  </r>
  <r>
    <x v="0"/>
    <x v="5"/>
    <x v="4"/>
    <x v="7"/>
    <x v="45"/>
    <x v="1"/>
    <x v="5"/>
    <n v="0"/>
  </r>
  <r>
    <x v="0"/>
    <x v="5"/>
    <x v="4"/>
    <x v="7"/>
    <x v="45"/>
    <x v="1"/>
    <x v="6"/>
    <n v="0"/>
  </r>
  <r>
    <x v="0"/>
    <x v="5"/>
    <x v="4"/>
    <x v="7"/>
    <x v="46"/>
    <x v="1"/>
    <x v="0"/>
    <n v="0"/>
  </r>
  <r>
    <x v="0"/>
    <x v="5"/>
    <x v="4"/>
    <x v="7"/>
    <x v="46"/>
    <x v="1"/>
    <x v="1"/>
    <n v="0"/>
  </r>
  <r>
    <x v="0"/>
    <x v="5"/>
    <x v="4"/>
    <x v="7"/>
    <x v="46"/>
    <x v="1"/>
    <x v="2"/>
    <n v="0"/>
  </r>
  <r>
    <x v="0"/>
    <x v="5"/>
    <x v="4"/>
    <x v="7"/>
    <x v="46"/>
    <x v="1"/>
    <x v="3"/>
    <n v="0"/>
  </r>
  <r>
    <x v="0"/>
    <x v="5"/>
    <x v="4"/>
    <x v="7"/>
    <x v="46"/>
    <x v="1"/>
    <x v="4"/>
    <n v="0"/>
  </r>
  <r>
    <x v="0"/>
    <x v="5"/>
    <x v="4"/>
    <x v="7"/>
    <x v="46"/>
    <x v="1"/>
    <x v="5"/>
    <n v="0"/>
  </r>
  <r>
    <x v="0"/>
    <x v="5"/>
    <x v="4"/>
    <x v="7"/>
    <x v="46"/>
    <x v="1"/>
    <x v="6"/>
    <n v="0"/>
  </r>
  <r>
    <x v="0"/>
    <x v="5"/>
    <x v="5"/>
    <x v="8"/>
    <x v="51"/>
    <x v="1"/>
    <x v="0"/>
    <n v="6.0087284777437846"/>
  </r>
  <r>
    <x v="0"/>
    <x v="5"/>
    <x v="5"/>
    <x v="8"/>
    <x v="51"/>
    <x v="1"/>
    <x v="1"/>
    <n v="11.360279505771409"/>
  </r>
  <r>
    <x v="0"/>
    <x v="5"/>
    <x v="5"/>
    <x v="8"/>
    <x v="51"/>
    <x v="1"/>
    <x v="2"/>
    <n v="33.226856608672129"/>
  </r>
  <r>
    <x v="0"/>
    <x v="5"/>
    <x v="5"/>
    <x v="8"/>
    <x v="51"/>
    <x v="1"/>
    <x v="3"/>
    <n v="99.653311487856115"/>
  </r>
  <r>
    <x v="0"/>
    <x v="5"/>
    <x v="5"/>
    <x v="8"/>
    <x v="51"/>
    <x v="1"/>
    <x v="4"/>
    <n v="151.08810967912055"/>
  </r>
  <r>
    <x v="0"/>
    <x v="5"/>
    <x v="5"/>
    <x v="8"/>
    <x v="51"/>
    <x v="1"/>
    <x v="5"/>
    <n v="364.35355053986621"/>
  </r>
  <r>
    <x v="0"/>
    <x v="5"/>
    <x v="5"/>
    <x v="8"/>
    <x v="51"/>
    <x v="1"/>
    <x v="6"/>
    <n v="721.68474544036258"/>
  </r>
  <r>
    <x v="0"/>
    <x v="5"/>
    <x v="3"/>
    <x v="5"/>
    <x v="52"/>
    <x v="1"/>
    <x v="0"/>
    <n v="0"/>
  </r>
  <r>
    <x v="0"/>
    <x v="5"/>
    <x v="3"/>
    <x v="5"/>
    <x v="52"/>
    <x v="1"/>
    <x v="1"/>
    <n v="0"/>
  </r>
  <r>
    <x v="0"/>
    <x v="5"/>
    <x v="3"/>
    <x v="5"/>
    <x v="52"/>
    <x v="1"/>
    <x v="2"/>
    <n v="0"/>
  </r>
  <r>
    <x v="0"/>
    <x v="5"/>
    <x v="3"/>
    <x v="5"/>
    <x v="52"/>
    <x v="1"/>
    <x v="3"/>
    <n v="0"/>
  </r>
  <r>
    <x v="0"/>
    <x v="5"/>
    <x v="3"/>
    <x v="5"/>
    <x v="52"/>
    <x v="1"/>
    <x v="4"/>
    <n v="0"/>
  </r>
  <r>
    <x v="0"/>
    <x v="5"/>
    <x v="3"/>
    <x v="5"/>
    <x v="52"/>
    <x v="1"/>
    <x v="5"/>
    <n v="0"/>
  </r>
  <r>
    <x v="0"/>
    <x v="5"/>
    <x v="3"/>
    <x v="5"/>
    <x v="52"/>
    <x v="1"/>
    <x v="6"/>
    <n v="0"/>
  </r>
  <r>
    <x v="0"/>
    <x v="5"/>
    <x v="5"/>
    <x v="8"/>
    <x v="53"/>
    <x v="1"/>
    <x v="0"/>
    <n v="26.628861099743045"/>
  </r>
  <r>
    <x v="0"/>
    <x v="5"/>
    <x v="5"/>
    <x v="8"/>
    <x v="53"/>
    <x v="1"/>
    <x v="1"/>
    <n v="63.246555452155256"/>
  </r>
  <r>
    <x v="0"/>
    <x v="5"/>
    <x v="5"/>
    <x v="8"/>
    <x v="53"/>
    <x v="1"/>
    <x v="2"/>
    <n v="196.73096051346127"/>
  </r>
  <r>
    <x v="0"/>
    <x v="5"/>
    <x v="5"/>
    <x v="8"/>
    <x v="53"/>
    <x v="1"/>
    <x v="3"/>
    <n v="475.04759164243467"/>
  </r>
  <r>
    <x v="0"/>
    <x v="5"/>
    <x v="5"/>
    <x v="8"/>
    <x v="53"/>
    <x v="1"/>
    <x v="4"/>
    <n v="619.54260654239908"/>
  </r>
  <r>
    <x v="0"/>
    <x v="5"/>
    <x v="5"/>
    <x v="8"/>
    <x v="53"/>
    <x v="1"/>
    <x v="5"/>
    <n v="1211.3283448033096"/>
  </r>
  <r>
    <x v="0"/>
    <x v="5"/>
    <x v="5"/>
    <x v="8"/>
    <x v="53"/>
    <x v="1"/>
    <x v="6"/>
    <n v="2018.3493734900401"/>
  </r>
  <r>
    <x v="0"/>
    <x v="5"/>
    <x v="4"/>
    <x v="7"/>
    <x v="47"/>
    <x v="1"/>
    <x v="0"/>
    <n v="0"/>
  </r>
  <r>
    <x v="0"/>
    <x v="5"/>
    <x v="4"/>
    <x v="7"/>
    <x v="47"/>
    <x v="1"/>
    <x v="1"/>
    <n v="0"/>
  </r>
  <r>
    <x v="0"/>
    <x v="5"/>
    <x v="4"/>
    <x v="7"/>
    <x v="47"/>
    <x v="1"/>
    <x v="2"/>
    <n v="0"/>
  </r>
  <r>
    <x v="0"/>
    <x v="5"/>
    <x v="4"/>
    <x v="7"/>
    <x v="47"/>
    <x v="1"/>
    <x v="3"/>
    <n v="0"/>
  </r>
  <r>
    <x v="0"/>
    <x v="5"/>
    <x v="4"/>
    <x v="7"/>
    <x v="47"/>
    <x v="1"/>
    <x v="4"/>
    <n v="0"/>
  </r>
  <r>
    <x v="0"/>
    <x v="5"/>
    <x v="4"/>
    <x v="7"/>
    <x v="47"/>
    <x v="1"/>
    <x v="5"/>
    <n v="0"/>
  </r>
  <r>
    <x v="0"/>
    <x v="5"/>
    <x v="4"/>
    <x v="7"/>
    <x v="47"/>
    <x v="1"/>
    <x v="6"/>
    <n v="0"/>
  </r>
  <r>
    <x v="0"/>
    <x v="5"/>
    <x v="4"/>
    <x v="7"/>
    <x v="48"/>
    <x v="1"/>
    <x v="0"/>
    <n v="0"/>
  </r>
  <r>
    <x v="0"/>
    <x v="5"/>
    <x v="4"/>
    <x v="7"/>
    <x v="48"/>
    <x v="1"/>
    <x v="1"/>
    <n v="0"/>
  </r>
  <r>
    <x v="0"/>
    <x v="5"/>
    <x v="4"/>
    <x v="7"/>
    <x v="48"/>
    <x v="1"/>
    <x v="2"/>
    <n v="0"/>
  </r>
  <r>
    <x v="0"/>
    <x v="5"/>
    <x v="4"/>
    <x v="7"/>
    <x v="48"/>
    <x v="1"/>
    <x v="3"/>
    <n v="0"/>
  </r>
  <r>
    <x v="0"/>
    <x v="5"/>
    <x v="4"/>
    <x v="7"/>
    <x v="48"/>
    <x v="1"/>
    <x v="4"/>
    <n v="0"/>
  </r>
  <r>
    <x v="0"/>
    <x v="5"/>
    <x v="4"/>
    <x v="7"/>
    <x v="48"/>
    <x v="1"/>
    <x v="5"/>
    <n v="0"/>
  </r>
  <r>
    <x v="0"/>
    <x v="5"/>
    <x v="4"/>
    <x v="7"/>
    <x v="48"/>
    <x v="1"/>
    <x v="6"/>
    <n v="0"/>
  </r>
  <r>
    <x v="0"/>
    <x v="5"/>
    <x v="4"/>
    <x v="7"/>
    <x v="49"/>
    <x v="1"/>
    <x v="0"/>
    <n v="0"/>
  </r>
  <r>
    <x v="0"/>
    <x v="5"/>
    <x v="4"/>
    <x v="7"/>
    <x v="49"/>
    <x v="1"/>
    <x v="1"/>
    <n v="0"/>
  </r>
  <r>
    <x v="0"/>
    <x v="5"/>
    <x v="4"/>
    <x v="7"/>
    <x v="49"/>
    <x v="1"/>
    <x v="2"/>
    <n v="0"/>
  </r>
  <r>
    <x v="0"/>
    <x v="5"/>
    <x v="4"/>
    <x v="7"/>
    <x v="49"/>
    <x v="1"/>
    <x v="3"/>
    <n v="0"/>
  </r>
  <r>
    <x v="0"/>
    <x v="5"/>
    <x v="4"/>
    <x v="7"/>
    <x v="49"/>
    <x v="1"/>
    <x v="4"/>
    <n v="0"/>
  </r>
  <r>
    <x v="0"/>
    <x v="5"/>
    <x v="4"/>
    <x v="7"/>
    <x v="49"/>
    <x v="1"/>
    <x v="5"/>
    <n v="0"/>
  </r>
  <r>
    <x v="0"/>
    <x v="5"/>
    <x v="4"/>
    <x v="7"/>
    <x v="49"/>
    <x v="1"/>
    <x v="6"/>
    <n v="0"/>
  </r>
  <r>
    <x v="0"/>
    <x v="5"/>
    <x v="4"/>
    <x v="7"/>
    <x v="50"/>
    <x v="1"/>
    <x v="0"/>
    <n v="0"/>
  </r>
  <r>
    <x v="0"/>
    <x v="5"/>
    <x v="4"/>
    <x v="7"/>
    <x v="50"/>
    <x v="1"/>
    <x v="1"/>
    <n v="0"/>
  </r>
  <r>
    <x v="0"/>
    <x v="5"/>
    <x v="4"/>
    <x v="7"/>
    <x v="50"/>
    <x v="1"/>
    <x v="2"/>
    <n v="0"/>
  </r>
  <r>
    <x v="0"/>
    <x v="5"/>
    <x v="4"/>
    <x v="7"/>
    <x v="50"/>
    <x v="1"/>
    <x v="3"/>
    <n v="0"/>
  </r>
  <r>
    <x v="0"/>
    <x v="5"/>
    <x v="4"/>
    <x v="7"/>
    <x v="50"/>
    <x v="1"/>
    <x v="4"/>
    <n v="0"/>
  </r>
  <r>
    <x v="0"/>
    <x v="5"/>
    <x v="4"/>
    <x v="7"/>
    <x v="50"/>
    <x v="1"/>
    <x v="5"/>
    <n v="0"/>
  </r>
  <r>
    <x v="0"/>
    <x v="5"/>
    <x v="4"/>
    <x v="7"/>
    <x v="50"/>
    <x v="1"/>
    <x v="6"/>
    <n v="0"/>
  </r>
  <r>
    <x v="0"/>
    <x v="5"/>
    <x v="4"/>
    <x v="7"/>
    <x v="54"/>
    <x v="1"/>
    <x v="0"/>
    <n v="0"/>
  </r>
  <r>
    <x v="0"/>
    <x v="5"/>
    <x v="4"/>
    <x v="7"/>
    <x v="54"/>
    <x v="1"/>
    <x v="1"/>
    <n v="0"/>
  </r>
  <r>
    <x v="0"/>
    <x v="5"/>
    <x v="4"/>
    <x v="7"/>
    <x v="54"/>
    <x v="1"/>
    <x v="2"/>
    <n v="0"/>
  </r>
  <r>
    <x v="0"/>
    <x v="5"/>
    <x v="4"/>
    <x v="7"/>
    <x v="54"/>
    <x v="1"/>
    <x v="3"/>
    <n v="0"/>
  </r>
  <r>
    <x v="0"/>
    <x v="5"/>
    <x v="4"/>
    <x v="7"/>
    <x v="54"/>
    <x v="1"/>
    <x v="4"/>
    <n v="0"/>
  </r>
  <r>
    <x v="0"/>
    <x v="5"/>
    <x v="4"/>
    <x v="7"/>
    <x v="54"/>
    <x v="1"/>
    <x v="5"/>
    <n v="0"/>
  </r>
  <r>
    <x v="0"/>
    <x v="5"/>
    <x v="4"/>
    <x v="7"/>
    <x v="54"/>
    <x v="1"/>
    <x v="6"/>
    <n v="0"/>
  </r>
  <r>
    <x v="0"/>
    <x v="5"/>
    <x v="4"/>
    <x v="7"/>
    <x v="55"/>
    <x v="1"/>
    <x v="0"/>
    <n v="0"/>
  </r>
  <r>
    <x v="0"/>
    <x v="5"/>
    <x v="4"/>
    <x v="7"/>
    <x v="55"/>
    <x v="1"/>
    <x v="1"/>
    <n v="0"/>
  </r>
  <r>
    <x v="0"/>
    <x v="5"/>
    <x v="4"/>
    <x v="7"/>
    <x v="55"/>
    <x v="1"/>
    <x v="2"/>
    <n v="0"/>
  </r>
  <r>
    <x v="0"/>
    <x v="5"/>
    <x v="4"/>
    <x v="7"/>
    <x v="55"/>
    <x v="1"/>
    <x v="3"/>
    <n v="0"/>
  </r>
  <r>
    <x v="0"/>
    <x v="5"/>
    <x v="4"/>
    <x v="7"/>
    <x v="55"/>
    <x v="1"/>
    <x v="4"/>
    <n v="0"/>
  </r>
  <r>
    <x v="0"/>
    <x v="5"/>
    <x v="4"/>
    <x v="7"/>
    <x v="55"/>
    <x v="1"/>
    <x v="5"/>
    <n v="0"/>
  </r>
  <r>
    <x v="0"/>
    <x v="5"/>
    <x v="4"/>
    <x v="7"/>
    <x v="55"/>
    <x v="1"/>
    <x v="6"/>
    <n v="0"/>
  </r>
  <r>
    <x v="0"/>
    <x v="5"/>
    <x v="4"/>
    <x v="7"/>
    <x v="56"/>
    <x v="1"/>
    <x v="0"/>
    <n v="0"/>
  </r>
  <r>
    <x v="0"/>
    <x v="5"/>
    <x v="4"/>
    <x v="7"/>
    <x v="56"/>
    <x v="1"/>
    <x v="1"/>
    <n v="0"/>
  </r>
  <r>
    <x v="0"/>
    <x v="5"/>
    <x v="4"/>
    <x v="7"/>
    <x v="56"/>
    <x v="1"/>
    <x v="2"/>
    <n v="0"/>
  </r>
  <r>
    <x v="0"/>
    <x v="5"/>
    <x v="4"/>
    <x v="7"/>
    <x v="56"/>
    <x v="1"/>
    <x v="3"/>
    <n v="0"/>
  </r>
  <r>
    <x v="0"/>
    <x v="5"/>
    <x v="4"/>
    <x v="7"/>
    <x v="56"/>
    <x v="1"/>
    <x v="4"/>
    <n v="0"/>
  </r>
  <r>
    <x v="0"/>
    <x v="5"/>
    <x v="4"/>
    <x v="7"/>
    <x v="56"/>
    <x v="1"/>
    <x v="5"/>
    <n v="0"/>
  </r>
  <r>
    <x v="0"/>
    <x v="5"/>
    <x v="4"/>
    <x v="7"/>
    <x v="56"/>
    <x v="1"/>
    <x v="6"/>
    <n v="0"/>
  </r>
  <r>
    <x v="0"/>
    <x v="5"/>
    <x v="4"/>
    <x v="7"/>
    <x v="57"/>
    <x v="1"/>
    <x v="0"/>
    <n v="25.652481109175163"/>
  </r>
  <r>
    <x v="0"/>
    <x v="5"/>
    <x v="4"/>
    <x v="7"/>
    <x v="57"/>
    <x v="1"/>
    <x v="1"/>
    <n v="83.768608946577331"/>
  </r>
  <r>
    <x v="0"/>
    <x v="5"/>
    <x v="4"/>
    <x v="7"/>
    <x v="57"/>
    <x v="1"/>
    <x v="2"/>
    <n v="306.09543197203527"/>
  </r>
  <r>
    <x v="0"/>
    <x v="5"/>
    <x v="4"/>
    <x v="7"/>
    <x v="57"/>
    <x v="1"/>
    <x v="3"/>
    <n v="997.92934200011791"/>
  </r>
  <r>
    <x v="0"/>
    <x v="5"/>
    <x v="4"/>
    <x v="7"/>
    <x v="57"/>
    <x v="1"/>
    <x v="4"/>
    <n v="3396.076981752698"/>
  </r>
  <r>
    <x v="0"/>
    <x v="5"/>
    <x v="4"/>
    <x v="7"/>
    <x v="57"/>
    <x v="1"/>
    <x v="5"/>
    <n v="8902.3507075035905"/>
  </r>
  <r>
    <x v="0"/>
    <x v="5"/>
    <x v="4"/>
    <x v="7"/>
    <x v="57"/>
    <x v="1"/>
    <x v="6"/>
    <n v="22199.815892801318"/>
  </r>
  <r>
    <x v="0"/>
    <x v="5"/>
    <x v="4"/>
    <x v="7"/>
    <x v="58"/>
    <x v="1"/>
    <x v="0"/>
    <n v="24.426550613832994"/>
  </r>
  <r>
    <x v="0"/>
    <x v="5"/>
    <x v="4"/>
    <x v="7"/>
    <x v="58"/>
    <x v="1"/>
    <x v="1"/>
    <n v="49.791465312036699"/>
  </r>
  <r>
    <x v="0"/>
    <x v="5"/>
    <x v="4"/>
    <x v="7"/>
    <x v="58"/>
    <x v="1"/>
    <x v="2"/>
    <n v="101.27643957783631"/>
  </r>
  <r>
    <x v="0"/>
    <x v="5"/>
    <x v="4"/>
    <x v="7"/>
    <x v="58"/>
    <x v="1"/>
    <x v="3"/>
    <n v="176.68950126803685"/>
  </r>
  <r>
    <x v="0"/>
    <x v="5"/>
    <x v="4"/>
    <x v="7"/>
    <x v="58"/>
    <x v="1"/>
    <x v="4"/>
    <n v="222.11654783070193"/>
  </r>
  <r>
    <x v="0"/>
    <x v="5"/>
    <x v="4"/>
    <x v="7"/>
    <x v="58"/>
    <x v="1"/>
    <x v="5"/>
    <n v="302.92098176287283"/>
  </r>
  <r>
    <x v="0"/>
    <x v="5"/>
    <x v="4"/>
    <x v="7"/>
    <x v="58"/>
    <x v="1"/>
    <x v="6"/>
    <n v="430.83752707681469"/>
  </r>
  <r>
    <x v="0"/>
    <x v="5"/>
    <x v="4"/>
    <x v="7"/>
    <x v="59"/>
    <x v="1"/>
    <x v="0"/>
    <n v="0"/>
  </r>
  <r>
    <x v="0"/>
    <x v="5"/>
    <x v="4"/>
    <x v="7"/>
    <x v="59"/>
    <x v="1"/>
    <x v="1"/>
    <n v="0"/>
  </r>
  <r>
    <x v="0"/>
    <x v="5"/>
    <x v="4"/>
    <x v="7"/>
    <x v="59"/>
    <x v="1"/>
    <x v="2"/>
    <n v="0"/>
  </r>
  <r>
    <x v="0"/>
    <x v="5"/>
    <x v="4"/>
    <x v="7"/>
    <x v="59"/>
    <x v="1"/>
    <x v="3"/>
    <n v="0"/>
  </r>
  <r>
    <x v="0"/>
    <x v="5"/>
    <x v="4"/>
    <x v="7"/>
    <x v="59"/>
    <x v="1"/>
    <x v="4"/>
    <n v="0"/>
  </r>
  <r>
    <x v="0"/>
    <x v="5"/>
    <x v="4"/>
    <x v="7"/>
    <x v="59"/>
    <x v="1"/>
    <x v="5"/>
    <n v="0"/>
  </r>
  <r>
    <x v="0"/>
    <x v="5"/>
    <x v="4"/>
    <x v="7"/>
    <x v="59"/>
    <x v="1"/>
    <x v="6"/>
    <n v="0"/>
  </r>
  <r>
    <x v="0"/>
    <x v="5"/>
    <x v="4"/>
    <x v="7"/>
    <x v="60"/>
    <x v="1"/>
    <x v="0"/>
    <n v="7.0391938587814451E-2"/>
  </r>
  <r>
    <x v="0"/>
    <x v="5"/>
    <x v="4"/>
    <x v="7"/>
    <x v="60"/>
    <x v="1"/>
    <x v="1"/>
    <n v="0.26211355534861219"/>
  </r>
  <r>
    <x v="0"/>
    <x v="5"/>
    <x v="4"/>
    <x v="7"/>
    <x v="60"/>
    <x v="1"/>
    <x v="2"/>
    <n v="0.78204704569780681"/>
  </r>
  <r>
    <x v="0"/>
    <x v="5"/>
    <x v="4"/>
    <x v="7"/>
    <x v="60"/>
    <x v="1"/>
    <x v="3"/>
    <n v="2.5963605899058799"/>
  </r>
  <r>
    <x v="0"/>
    <x v="5"/>
    <x v="4"/>
    <x v="7"/>
    <x v="60"/>
    <x v="1"/>
    <x v="4"/>
    <n v="7.9588720295845752"/>
  </r>
  <r>
    <x v="0"/>
    <x v="5"/>
    <x v="4"/>
    <x v="7"/>
    <x v="60"/>
    <x v="1"/>
    <x v="5"/>
    <n v="19.28818411517716"/>
  </r>
  <r>
    <x v="0"/>
    <x v="5"/>
    <x v="4"/>
    <x v="7"/>
    <x v="60"/>
    <x v="1"/>
    <x v="6"/>
    <n v="44.828858621316364"/>
  </r>
  <r>
    <x v="0"/>
    <x v="5"/>
    <x v="3"/>
    <x v="5"/>
    <x v="65"/>
    <x v="1"/>
    <x v="0"/>
    <n v="0"/>
  </r>
  <r>
    <x v="0"/>
    <x v="5"/>
    <x v="3"/>
    <x v="5"/>
    <x v="65"/>
    <x v="1"/>
    <x v="1"/>
    <n v="0"/>
  </r>
  <r>
    <x v="0"/>
    <x v="5"/>
    <x v="3"/>
    <x v="5"/>
    <x v="65"/>
    <x v="1"/>
    <x v="2"/>
    <n v="0"/>
  </r>
  <r>
    <x v="0"/>
    <x v="5"/>
    <x v="3"/>
    <x v="5"/>
    <x v="65"/>
    <x v="1"/>
    <x v="3"/>
    <n v="0"/>
  </r>
  <r>
    <x v="0"/>
    <x v="5"/>
    <x v="3"/>
    <x v="5"/>
    <x v="65"/>
    <x v="1"/>
    <x v="4"/>
    <n v="0"/>
  </r>
  <r>
    <x v="0"/>
    <x v="5"/>
    <x v="3"/>
    <x v="5"/>
    <x v="65"/>
    <x v="1"/>
    <x v="5"/>
    <n v="0"/>
  </r>
  <r>
    <x v="0"/>
    <x v="5"/>
    <x v="3"/>
    <x v="5"/>
    <x v="65"/>
    <x v="1"/>
    <x v="6"/>
    <n v="0"/>
  </r>
  <r>
    <x v="0"/>
    <x v="5"/>
    <x v="3"/>
    <x v="5"/>
    <x v="66"/>
    <x v="1"/>
    <x v="0"/>
    <n v="20.868434918633021"/>
  </r>
  <r>
    <x v="0"/>
    <x v="5"/>
    <x v="3"/>
    <x v="5"/>
    <x v="66"/>
    <x v="1"/>
    <x v="1"/>
    <n v="37.582315347334642"/>
  </r>
  <r>
    <x v="0"/>
    <x v="5"/>
    <x v="3"/>
    <x v="5"/>
    <x v="66"/>
    <x v="1"/>
    <x v="2"/>
    <n v="91.440837040740874"/>
  </r>
  <r>
    <x v="0"/>
    <x v="5"/>
    <x v="3"/>
    <x v="5"/>
    <x v="66"/>
    <x v="1"/>
    <x v="3"/>
    <n v="203.77631488334646"/>
  </r>
  <r>
    <x v="0"/>
    <x v="5"/>
    <x v="3"/>
    <x v="5"/>
    <x v="66"/>
    <x v="1"/>
    <x v="4"/>
    <n v="267.23037588405998"/>
  </r>
  <r>
    <x v="0"/>
    <x v="5"/>
    <x v="3"/>
    <x v="5"/>
    <x v="66"/>
    <x v="1"/>
    <x v="5"/>
    <n v="340.25517161142199"/>
  </r>
  <r>
    <x v="0"/>
    <x v="5"/>
    <x v="3"/>
    <x v="5"/>
    <x v="66"/>
    <x v="1"/>
    <x v="6"/>
    <n v="461.3365733324199"/>
  </r>
  <r>
    <x v="0"/>
    <x v="5"/>
    <x v="3"/>
    <x v="5"/>
    <x v="67"/>
    <x v="1"/>
    <x v="0"/>
    <n v="0"/>
  </r>
  <r>
    <x v="0"/>
    <x v="5"/>
    <x v="3"/>
    <x v="5"/>
    <x v="67"/>
    <x v="1"/>
    <x v="1"/>
    <n v="0"/>
  </r>
  <r>
    <x v="0"/>
    <x v="5"/>
    <x v="3"/>
    <x v="5"/>
    <x v="67"/>
    <x v="1"/>
    <x v="2"/>
    <n v="0"/>
  </r>
  <r>
    <x v="0"/>
    <x v="5"/>
    <x v="3"/>
    <x v="5"/>
    <x v="67"/>
    <x v="1"/>
    <x v="3"/>
    <n v="0"/>
  </r>
  <r>
    <x v="0"/>
    <x v="5"/>
    <x v="3"/>
    <x v="5"/>
    <x v="67"/>
    <x v="1"/>
    <x v="4"/>
    <n v="0"/>
  </r>
  <r>
    <x v="0"/>
    <x v="5"/>
    <x v="3"/>
    <x v="5"/>
    <x v="67"/>
    <x v="1"/>
    <x v="5"/>
    <n v="0"/>
  </r>
  <r>
    <x v="0"/>
    <x v="5"/>
    <x v="3"/>
    <x v="5"/>
    <x v="67"/>
    <x v="1"/>
    <x v="6"/>
    <n v="0"/>
  </r>
  <r>
    <x v="0"/>
    <x v="5"/>
    <x v="3"/>
    <x v="5"/>
    <x v="68"/>
    <x v="1"/>
    <x v="0"/>
    <n v="16.462213060740208"/>
  </r>
  <r>
    <x v="0"/>
    <x v="5"/>
    <x v="3"/>
    <x v="5"/>
    <x v="68"/>
    <x v="1"/>
    <x v="1"/>
    <n v="39.962325978693855"/>
  </r>
  <r>
    <x v="0"/>
    <x v="5"/>
    <x v="3"/>
    <x v="5"/>
    <x v="68"/>
    <x v="1"/>
    <x v="2"/>
    <n v="112.90403320856737"/>
  </r>
  <r>
    <x v="0"/>
    <x v="5"/>
    <x v="3"/>
    <x v="5"/>
    <x v="68"/>
    <x v="1"/>
    <x v="3"/>
    <n v="253.49608240655428"/>
  </r>
  <r>
    <x v="0"/>
    <x v="5"/>
    <x v="3"/>
    <x v="5"/>
    <x v="68"/>
    <x v="1"/>
    <x v="4"/>
    <n v="272.67395045062494"/>
  </r>
  <r>
    <x v="0"/>
    <x v="5"/>
    <x v="3"/>
    <x v="5"/>
    <x v="68"/>
    <x v="1"/>
    <x v="5"/>
    <n v="282.64431123075315"/>
  </r>
  <r>
    <x v="0"/>
    <x v="5"/>
    <x v="3"/>
    <x v="5"/>
    <x v="68"/>
    <x v="1"/>
    <x v="6"/>
    <n v="341.54417933416056"/>
  </r>
  <r>
    <x v="0"/>
    <x v="5"/>
    <x v="3"/>
    <x v="5"/>
    <x v="69"/>
    <x v="1"/>
    <x v="0"/>
    <n v="11.149173122728868"/>
  </r>
  <r>
    <x v="0"/>
    <x v="5"/>
    <x v="3"/>
    <x v="5"/>
    <x v="69"/>
    <x v="1"/>
    <x v="1"/>
    <n v="22.751677381373771"/>
  </r>
  <r>
    <x v="0"/>
    <x v="5"/>
    <x v="3"/>
    <x v="5"/>
    <x v="69"/>
    <x v="1"/>
    <x v="2"/>
    <n v="63.031134143549536"/>
  </r>
  <r>
    <x v="0"/>
    <x v="5"/>
    <x v="3"/>
    <x v="5"/>
    <x v="69"/>
    <x v="1"/>
    <x v="3"/>
    <n v="130.10207931172309"/>
  </r>
  <r>
    <x v="0"/>
    <x v="5"/>
    <x v="3"/>
    <x v="5"/>
    <x v="69"/>
    <x v="1"/>
    <x v="4"/>
    <n v="182.6144176012711"/>
  </r>
  <r>
    <x v="0"/>
    <x v="5"/>
    <x v="3"/>
    <x v="5"/>
    <x v="69"/>
    <x v="1"/>
    <x v="5"/>
    <n v="302.94804017305864"/>
  </r>
  <r>
    <x v="0"/>
    <x v="5"/>
    <x v="3"/>
    <x v="5"/>
    <x v="69"/>
    <x v="1"/>
    <x v="6"/>
    <n v="575.96131482511669"/>
  </r>
  <r>
    <x v="0"/>
    <x v="5"/>
    <x v="3"/>
    <x v="5"/>
    <x v="70"/>
    <x v="1"/>
    <x v="0"/>
    <n v="27.819202773253764"/>
  </r>
  <r>
    <x v="0"/>
    <x v="5"/>
    <x v="3"/>
    <x v="5"/>
    <x v="70"/>
    <x v="1"/>
    <x v="1"/>
    <n v="42.188741416688281"/>
  </r>
  <r>
    <x v="0"/>
    <x v="5"/>
    <x v="3"/>
    <x v="5"/>
    <x v="70"/>
    <x v="1"/>
    <x v="2"/>
    <n v="116.59151003245503"/>
  </r>
  <r>
    <x v="0"/>
    <x v="5"/>
    <x v="3"/>
    <x v="5"/>
    <x v="70"/>
    <x v="1"/>
    <x v="3"/>
    <n v="334.52418357035771"/>
  </r>
  <r>
    <x v="0"/>
    <x v="5"/>
    <x v="3"/>
    <x v="5"/>
    <x v="70"/>
    <x v="1"/>
    <x v="4"/>
    <n v="439.9814010735484"/>
  </r>
  <r>
    <x v="0"/>
    <x v="5"/>
    <x v="3"/>
    <x v="5"/>
    <x v="70"/>
    <x v="1"/>
    <x v="5"/>
    <n v="649.45486815003483"/>
  </r>
  <r>
    <x v="0"/>
    <x v="5"/>
    <x v="3"/>
    <x v="5"/>
    <x v="70"/>
    <x v="1"/>
    <x v="6"/>
    <n v="2540.2997162996894"/>
  </r>
  <r>
    <x v="0"/>
    <x v="5"/>
    <x v="3"/>
    <x v="5"/>
    <x v="71"/>
    <x v="1"/>
    <x v="0"/>
    <n v="134.94698680604569"/>
  </r>
  <r>
    <x v="0"/>
    <x v="5"/>
    <x v="3"/>
    <x v="5"/>
    <x v="71"/>
    <x v="1"/>
    <x v="1"/>
    <n v="184.79267996984191"/>
  </r>
  <r>
    <x v="0"/>
    <x v="5"/>
    <x v="3"/>
    <x v="5"/>
    <x v="71"/>
    <x v="1"/>
    <x v="2"/>
    <n v="417.45504329791288"/>
  </r>
  <r>
    <x v="0"/>
    <x v="5"/>
    <x v="3"/>
    <x v="5"/>
    <x v="71"/>
    <x v="1"/>
    <x v="3"/>
    <n v="970.48974557594488"/>
  </r>
  <r>
    <x v="0"/>
    <x v="5"/>
    <x v="3"/>
    <x v="5"/>
    <x v="71"/>
    <x v="1"/>
    <x v="4"/>
    <n v="985.94401087274139"/>
  </r>
  <r>
    <x v="0"/>
    <x v="5"/>
    <x v="3"/>
    <x v="5"/>
    <x v="71"/>
    <x v="1"/>
    <x v="5"/>
    <n v="1177.3231015353947"/>
  </r>
  <r>
    <x v="0"/>
    <x v="5"/>
    <x v="3"/>
    <x v="5"/>
    <x v="71"/>
    <x v="1"/>
    <x v="6"/>
    <n v="1581.2541392895819"/>
  </r>
  <r>
    <x v="0"/>
    <x v="5"/>
    <x v="3"/>
    <x v="5"/>
    <x v="72"/>
    <x v="1"/>
    <x v="0"/>
    <n v="46.987103466947381"/>
  </r>
  <r>
    <x v="0"/>
    <x v="5"/>
    <x v="3"/>
    <x v="5"/>
    <x v="72"/>
    <x v="1"/>
    <x v="1"/>
    <n v="83.528811955801899"/>
  </r>
  <r>
    <x v="0"/>
    <x v="5"/>
    <x v="3"/>
    <x v="5"/>
    <x v="72"/>
    <x v="1"/>
    <x v="2"/>
    <n v="208.44565097990147"/>
  </r>
  <r>
    <x v="0"/>
    <x v="5"/>
    <x v="3"/>
    <x v="5"/>
    <x v="72"/>
    <x v="1"/>
    <x v="3"/>
    <n v="425.37469514586263"/>
  </r>
  <r>
    <x v="0"/>
    <x v="5"/>
    <x v="3"/>
    <x v="5"/>
    <x v="72"/>
    <x v="1"/>
    <x v="4"/>
    <n v="466.97742350956469"/>
  </r>
  <r>
    <x v="0"/>
    <x v="5"/>
    <x v="3"/>
    <x v="5"/>
    <x v="72"/>
    <x v="1"/>
    <x v="5"/>
    <n v="622.04283289852447"/>
  </r>
  <r>
    <x v="0"/>
    <x v="5"/>
    <x v="3"/>
    <x v="5"/>
    <x v="72"/>
    <x v="1"/>
    <x v="6"/>
    <n v="1426.8928369732605"/>
  </r>
  <r>
    <x v="0"/>
    <x v="5"/>
    <x v="3"/>
    <x v="5"/>
    <x v="73"/>
    <x v="1"/>
    <x v="0"/>
    <n v="3.0750006292009147"/>
  </r>
  <r>
    <x v="0"/>
    <x v="5"/>
    <x v="3"/>
    <x v="5"/>
    <x v="73"/>
    <x v="1"/>
    <x v="1"/>
    <n v="5.4843480853761415"/>
  </r>
  <r>
    <x v="0"/>
    <x v="5"/>
    <x v="3"/>
    <x v="5"/>
    <x v="73"/>
    <x v="1"/>
    <x v="2"/>
    <n v="12.310855617754674"/>
  </r>
  <r>
    <x v="0"/>
    <x v="5"/>
    <x v="3"/>
    <x v="5"/>
    <x v="73"/>
    <x v="1"/>
    <x v="3"/>
    <n v="24.941987741851438"/>
  </r>
  <r>
    <x v="0"/>
    <x v="5"/>
    <x v="3"/>
    <x v="5"/>
    <x v="73"/>
    <x v="1"/>
    <x v="4"/>
    <n v="33.423595161468199"/>
  </r>
  <r>
    <x v="0"/>
    <x v="5"/>
    <x v="3"/>
    <x v="5"/>
    <x v="73"/>
    <x v="1"/>
    <x v="5"/>
    <n v="46.044509699968259"/>
  </r>
  <r>
    <x v="0"/>
    <x v="5"/>
    <x v="3"/>
    <x v="5"/>
    <x v="73"/>
    <x v="1"/>
    <x v="6"/>
    <n v="27.870810198780184"/>
  </r>
  <r>
    <x v="0"/>
    <x v="5"/>
    <x v="5"/>
    <x v="8"/>
    <x v="74"/>
    <x v="1"/>
    <x v="0"/>
    <n v="2.8142064520720438"/>
  </r>
  <r>
    <x v="0"/>
    <x v="5"/>
    <x v="5"/>
    <x v="8"/>
    <x v="74"/>
    <x v="1"/>
    <x v="1"/>
    <n v="4.8303276648517501"/>
  </r>
  <r>
    <x v="0"/>
    <x v="5"/>
    <x v="5"/>
    <x v="8"/>
    <x v="74"/>
    <x v="1"/>
    <x v="2"/>
    <n v="11.705821653089204"/>
  </r>
  <r>
    <x v="0"/>
    <x v="5"/>
    <x v="5"/>
    <x v="8"/>
    <x v="74"/>
    <x v="1"/>
    <x v="3"/>
    <n v="20.219554612083563"/>
  </r>
  <r>
    <x v="0"/>
    <x v="5"/>
    <x v="5"/>
    <x v="8"/>
    <x v="74"/>
    <x v="1"/>
    <x v="4"/>
    <n v="17.488345795517557"/>
  </r>
  <r>
    <x v="0"/>
    <x v="5"/>
    <x v="5"/>
    <x v="8"/>
    <x v="74"/>
    <x v="1"/>
    <x v="5"/>
    <n v="26.246187857753213"/>
  </r>
  <r>
    <x v="0"/>
    <x v="5"/>
    <x v="5"/>
    <x v="8"/>
    <x v="74"/>
    <x v="1"/>
    <x v="6"/>
    <n v="34.035497965740802"/>
  </r>
  <r>
    <x v="0"/>
    <x v="5"/>
    <x v="5"/>
    <x v="8"/>
    <x v="75"/>
    <x v="1"/>
    <x v="0"/>
    <n v="47.725596292762717"/>
  </r>
  <r>
    <x v="0"/>
    <x v="5"/>
    <x v="5"/>
    <x v="8"/>
    <x v="75"/>
    <x v="1"/>
    <x v="1"/>
    <n v="93.513696103682662"/>
  </r>
  <r>
    <x v="0"/>
    <x v="5"/>
    <x v="5"/>
    <x v="8"/>
    <x v="75"/>
    <x v="1"/>
    <x v="2"/>
    <n v="204.75145998434655"/>
  </r>
  <r>
    <x v="0"/>
    <x v="5"/>
    <x v="5"/>
    <x v="8"/>
    <x v="75"/>
    <x v="1"/>
    <x v="3"/>
    <n v="505.3715319772088"/>
  </r>
  <r>
    <x v="0"/>
    <x v="5"/>
    <x v="5"/>
    <x v="8"/>
    <x v="75"/>
    <x v="1"/>
    <x v="4"/>
    <n v="687.7452286484986"/>
  </r>
  <r>
    <x v="0"/>
    <x v="5"/>
    <x v="5"/>
    <x v="8"/>
    <x v="75"/>
    <x v="1"/>
    <x v="5"/>
    <n v="1261.4016357929299"/>
  </r>
  <r>
    <x v="0"/>
    <x v="5"/>
    <x v="5"/>
    <x v="8"/>
    <x v="75"/>
    <x v="1"/>
    <x v="6"/>
    <n v="2213.4607147357028"/>
  </r>
  <r>
    <x v="0"/>
    <x v="5"/>
    <x v="5"/>
    <x v="8"/>
    <x v="76"/>
    <x v="1"/>
    <x v="0"/>
    <n v="38.17275092479921"/>
  </r>
  <r>
    <x v="0"/>
    <x v="5"/>
    <x v="5"/>
    <x v="8"/>
    <x v="76"/>
    <x v="1"/>
    <x v="1"/>
    <n v="70.050403220937795"/>
  </r>
  <r>
    <x v="0"/>
    <x v="5"/>
    <x v="5"/>
    <x v="8"/>
    <x v="76"/>
    <x v="1"/>
    <x v="2"/>
    <n v="122.41946114694032"/>
  </r>
  <r>
    <x v="0"/>
    <x v="5"/>
    <x v="5"/>
    <x v="8"/>
    <x v="76"/>
    <x v="1"/>
    <x v="3"/>
    <n v="261.04389582551579"/>
  </r>
  <r>
    <x v="0"/>
    <x v="5"/>
    <x v="5"/>
    <x v="8"/>
    <x v="76"/>
    <x v="1"/>
    <x v="4"/>
    <n v="319.13258110550248"/>
  </r>
  <r>
    <x v="0"/>
    <x v="5"/>
    <x v="5"/>
    <x v="8"/>
    <x v="76"/>
    <x v="1"/>
    <x v="5"/>
    <n v="535.2414830582245"/>
  </r>
  <r>
    <x v="0"/>
    <x v="5"/>
    <x v="5"/>
    <x v="8"/>
    <x v="76"/>
    <x v="1"/>
    <x v="6"/>
    <n v="776.66628520431414"/>
  </r>
  <r>
    <x v="0"/>
    <x v="5"/>
    <x v="5"/>
    <x v="8"/>
    <x v="77"/>
    <x v="1"/>
    <x v="0"/>
    <n v="14.795403311616528"/>
  </r>
  <r>
    <x v="0"/>
    <x v="5"/>
    <x v="5"/>
    <x v="8"/>
    <x v="77"/>
    <x v="1"/>
    <x v="1"/>
    <n v="29.577620743678747"/>
  </r>
  <r>
    <x v="0"/>
    <x v="5"/>
    <x v="5"/>
    <x v="8"/>
    <x v="77"/>
    <x v="1"/>
    <x v="2"/>
    <n v="87.307925871622245"/>
  </r>
  <r>
    <x v="0"/>
    <x v="5"/>
    <x v="5"/>
    <x v="8"/>
    <x v="77"/>
    <x v="1"/>
    <x v="3"/>
    <n v="204.87954884608166"/>
  </r>
  <r>
    <x v="0"/>
    <x v="5"/>
    <x v="5"/>
    <x v="8"/>
    <x v="77"/>
    <x v="1"/>
    <x v="4"/>
    <n v="217.11882958957349"/>
  </r>
  <r>
    <x v="0"/>
    <x v="5"/>
    <x v="5"/>
    <x v="8"/>
    <x v="77"/>
    <x v="1"/>
    <x v="5"/>
    <n v="403.12718155180028"/>
  </r>
  <r>
    <x v="0"/>
    <x v="5"/>
    <x v="5"/>
    <x v="8"/>
    <x v="77"/>
    <x v="1"/>
    <x v="6"/>
    <n v="789.06213558489765"/>
  </r>
  <r>
    <x v="0"/>
    <x v="5"/>
    <x v="5"/>
    <x v="8"/>
    <x v="78"/>
    <x v="1"/>
    <x v="0"/>
    <n v="24.617239661954819"/>
  </r>
  <r>
    <x v="0"/>
    <x v="5"/>
    <x v="5"/>
    <x v="8"/>
    <x v="78"/>
    <x v="1"/>
    <x v="1"/>
    <n v="39.93525219777122"/>
  </r>
  <r>
    <x v="0"/>
    <x v="5"/>
    <x v="5"/>
    <x v="8"/>
    <x v="78"/>
    <x v="1"/>
    <x v="2"/>
    <n v="95.837552068356231"/>
  </r>
  <r>
    <x v="0"/>
    <x v="5"/>
    <x v="5"/>
    <x v="8"/>
    <x v="78"/>
    <x v="1"/>
    <x v="3"/>
    <n v="288.01057939864586"/>
  </r>
  <r>
    <x v="0"/>
    <x v="5"/>
    <x v="5"/>
    <x v="8"/>
    <x v="78"/>
    <x v="1"/>
    <x v="4"/>
    <n v="492.44800589711605"/>
  </r>
  <r>
    <x v="0"/>
    <x v="5"/>
    <x v="5"/>
    <x v="8"/>
    <x v="78"/>
    <x v="1"/>
    <x v="5"/>
    <n v="880.39304392565464"/>
  </r>
  <r>
    <x v="0"/>
    <x v="5"/>
    <x v="5"/>
    <x v="8"/>
    <x v="78"/>
    <x v="1"/>
    <x v="6"/>
    <n v="1778.2619081824757"/>
  </r>
  <r>
    <x v="0"/>
    <x v="5"/>
    <x v="5"/>
    <x v="8"/>
    <x v="79"/>
    <x v="1"/>
    <x v="0"/>
    <n v="6.5666501941362085"/>
  </r>
  <r>
    <x v="0"/>
    <x v="5"/>
    <x v="5"/>
    <x v="8"/>
    <x v="79"/>
    <x v="1"/>
    <x v="1"/>
    <n v="13.463433245218921"/>
  </r>
  <r>
    <x v="0"/>
    <x v="5"/>
    <x v="5"/>
    <x v="8"/>
    <x v="79"/>
    <x v="1"/>
    <x v="2"/>
    <n v="29.886618963147402"/>
  </r>
  <r>
    <x v="0"/>
    <x v="5"/>
    <x v="5"/>
    <x v="8"/>
    <x v="79"/>
    <x v="1"/>
    <x v="3"/>
    <n v="68.439486318135735"/>
  </r>
  <r>
    <x v="0"/>
    <x v="5"/>
    <x v="5"/>
    <x v="8"/>
    <x v="79"/>
    <x v="1"/>
    <x v="4"/>
    <n v="78.827418358416026"/>
  </r>
  <r>
    <x v="0"/>
    <x v="5"/>
    <x v="5"/>
    <x v="8"/>
    <x v="79"/>
    <x v="1"/>
    <x v="5"/>
    <n v="137.02050676452745"/>
  </r>
  <r>
    <x v="0"/>
    <x v="5"/>
    <x v="5"/>
    <x v="8"/>
    <x v="79"/>
    <x v="1"/>
    <x v="6"/>
    <n v="239.70848917590811"/>
  </r>
  <r>
    <x v="0"/>
    <x v="5"/>
    <x v="5"/>
    <x v="8"/>
    <x v="80"/>
    <x v="1"/>
    <x v="0"/>
    <n v="140.65955909805564"/>
  </r>
  <r>
    <x v="0"/>
    <x v="5"/>
    <x v="5"/>
    <x v="8"/>
    <x v="80"/>
    <x v="1"/>
    <x v="1"/>
    <n v="350.46921069633134"/>
  </r>
  <r>
    <x v="0"/>
    <x v="5"/>
    <x v="5"/>
    <x v="8"/>
    <x v="80"/>
    <x v="1"/>
    <x v="2"/>
    <n v="1297.2425552037473"/>
  </r>
  <r>
    <x v="0"/>
    <x v="5"/>
    <x v="5"/>
    <x v="8"/>
    <x v="80"/>
    <x v="1"/>
    <x v="3"/>
    <n v="3025.8883657418596"/>
  </r>
  <r>
    <x v="0"/>
    <x v="5"/>
    <x v="5"/>
    <x v="8"/>
    <x v="80"/>
    <x v="1"/>
    <x v="4"/>
    <n v="3737.6511280603886"/>
  </r>
  <r>
    <x v="0"/>
    <x v="5"/>
    <x v="5"/>
    <x v="8"/>
    <x v="80"/>
    <x v="1"/>
    <x v="5"/>
    <n v="6103.6705115899604"/>
  </r>
  <r>
    <x v="0"/>
    <x v="5"/>
    <x v="5"/>
    <x v="8"/>
    <x v="80"/>
    <x v="1"/>
    <x v="6"/>
    <n v="10549.077222715725"/>
  </r>
  <r>
    <x v="0"/>
    <x v="5"/>
    <x v="5"/>
    <x v="8"/>
    <x v="81"/>
    <x v="1"/>
    <x v="0"/>
    <n v="37.976478493829859"/>
  </r>
  <r>
    <x v="0"/>
    <x v="5"/>
    <x v="5"/>
    <x v="8"/>
    <x v="81"/>
    <x v="1"/>
    <x v="1"/>
    <n v="93.70404064227678"/>
  </r>
  <r>
    <x v="0"/>
    <x v="5"/>
    <x v="5"/>
    <x v="8"/>
    <x v="81"/>
    <x v="1"/>
    <x v="2"/>
    <n v="200.69072730212014"/>
  </r>
  <r>
    <x v="0"/>
    <x v="5"/>
    <x v="5"/>
    <x v="8"/>
    <x v="81"/>
    <x v="1"/>
    <x v="3"/>
    <n v="354.05425594165808"/>
  </r>
  <r>
    <x v="0"/>
    <x v="5"/>
    <x v="5"/>
    <x v="8"/>
    <x v="81"/>
    <x v="1"/>
    <x v="4"/>
    <n v="456.322152859212"/>
  </r>
  <r>
    <x v="0"/>
    <x v="5"/>
    <x v="5"/>
    <x v="8"/>
    <x v="81"/>
    <x v="1"/>
    <x v="5"/>
    <n v="839.60843543389456"/>
  </r>
  <r>
    <x v="0"/>
    <x v="5"/>
    <x v="5"/>
    <x v="8"/>
    <x v="81"/>
    <x v="1"/>
    <x v="6"/>
    <n v="1439.5766272706587"/>
  </r>
  <r>
    <x v="0"/>
    <x v="5"/>
    <x v="5"/>
    <x v="8"/>
    <x v="82"/>
    <x v="1"/>
    <x v="0"/>
    <n v="68.012665131331545"/>
  </r>
  <r>
    <x v="0"/>
    <x v="5"/>
    <x v="5"/>
    <x v="8"/>
    <x v="82"/>
    <x v="1"/>
    <x v="1"/>
    <n v="151.37600152834762"/>
  </r>
  <r>
    <x v="0"/>
    <x v="5"/>
    <x v="5"/>
    <x v="8"/>
    <x v="82"/>
    <x v="1"/>
    <x v="2"/>
    <n v="348.95044996902067"/>
  </r>
  <r>
    <x v="0"/>
    <x v="5"/>
    <x v="5"/>
    <x v="8"/>
    <x v="82"/>
    <x v="1"/>
    <x v="3"/>
    <n v="713.9286917133204"/>
  </r>
  <r>
    <x v="0"/>
    <x v="5"/>
    <x v="5"/>
    <x v="8"/>
    <x v="82"/>
    <x v="1"/>
    <x v="4"/>
    <n v="806.21938672638851"/>
  </r>
  <r>
    <x v="0"/>
    <x v="5"/>
    <x v="5"/>
    <x v="8"/>
    <x v="82"/>
    <x v="1"/>
    <x v="5"/>
    <n v="1265.4161642935537"/>
  </r>
  <r>
    <x v="0"/>
    <x v="5"/>
    <x v="5"/>
    <x v="8"/>
    <x v="82"/>
    <x v="1"/>
    <x v="6"/>
    <n v="1863.0127140307347"/>
  </r>
  <r>
    <x v="0"/>
    <x v="5"/>
    <x v="5"/>
    <x v="8"/>
    <x v="83"/>
    <x v="1"/>
    <x v="0"/>
    <n v="39.11787778682703"/>
  </r>
  <r>
    <x v="0"/>
    <x v="5"/>
    <x v="5"/>
    <x v="8"/>
    <x v="83"/>
    <x v="1"/>
    <x v="1"/>
    <n v="72.84603771297428"/>
  </r>
  <r>
    <x v="0"/>
    <x v="5"/>
    <x v="5"/>
    <x v="8"/>
    <x v="83"/>
    <x v="1"/>
    <x v="2"/>
    <n v="157.43638535990178"/>
  </r>
  <r>
    <x v="0"/>
    <x v="5"/>
    <x v="5"/>
    <x v="8"/>
    <x v="83"/>
    <x v="1"/>
    <x v="3"/>
    <n v="276.02506474792369"/>
  </r>
  <r>
    <x v="0"/>
    <x v="5"/>
    <x v="5"/>
    <x v="8"/>
    <x v="83"/>
    <x v="1"/>
    <x v="4"/>
    <n v="339.71443514942769"/>
  </r>
  <r>
    <x v="0"/>
    <x v="5"/>
    <x v="5"/>
    <x v="8"/>
    <x v="83"/>
    <x v="1"/>
    <x v="5"/>
    <n v="619.09940502561722"/>
  </r>
  <r>
    <x v="0"/>
    <x v="5"/>
    <x v="5"/>
    <x v="8"/>
    <x v="83"/>
    <x v="1"/>
    <x v="6"/>
    <n v="934.65603229619774"/>
  </r>
  <r>
    <x v="0"/>
    <x v="8"/>
    <x v="0"/>
    <x v="0"/>
    <x v="0"/>
    <x v="1"/>
    <x v="0"/>
    <n v="0"/>
  </r>
  <r>
    <x v="0"/>
    <x v="8"/>
    <x v="0"/>
    <x v="0"/>
    <x v="0"/>
    <x v="1"/>
    <x v="1"/>
    <n v="0"/>
  </r>
  <r>
    <x v="0"/>
    <x v="8"/>
    <x v="0"/>
    <x v="0"/>
    <x v="0"/>
    <x v="1"/>
    <x v="2"/>
    <n v="0"/>
  </r>
  <r>
    <x v="0"/>
    <x v="8"/>
    <x v="0"/>
    <x v="0"/>
    <x v="0"/>
    <x v="1"/>
    <x v="3"/>
    <n v="0"/>
  </r>
  <r>
    <x v="0"/>
    <x v="8"/>
    <x v="0"/>
    <x v="0"/>
    <x v="0"/>
    <x v="1"/>
    <x v="4"/>
    <n v="0"/>
  </r>
  <r>
    <x v="0"/>
    <x v="8"/>
    <x v="0"/>
    <x v="0"/>
    <x v="0"/>
    <x v="1"/>
    <x v="5"/>
    <n v="0"/>
  </r>
  <r>
    <x v="0"/>
    <x v="8"/>
    <x v="0"/>
    <x v="0"/>
    <x v="0"/>
    <x v="1"/>
    <x v="6"/>
    <n v="0"/>
  </r>
  <r>
    <x v="0"/>
    <x v="8"/>
    <x v="0"/>
    <x v="1"/>
    <x v="1"/>
    <x v="1"/>
    <x v="0"/>
    <n v="0"/>
  </r>
  <r>
    <x v="0"/>
    <x v="8"/>
    <x v="0"/>
    <x v="1"/>
    <x v="1"/>
    <x v="1"/>
    <x v="1"/>
    <n v="0"/>
  </r>
  <r>
    <x v="0"/>
    <x v="8"/>
    <x v="0"/>
    <x v="1"/>
    <x v="1"/>
    <x v="1"/>
    <x v="2"/>
    <n v="0"/>
  </r>
  <r>
    <x v="0"/>
    <x v="8"/>
    <x v="0"/>
    <x v="1"/>
    <x v="1"/>
    <x v="1"/>
    <x v="3"/>
    <n v="0"/>
  </r>
  <r>
    <x v="0"/>
    <x v="8"/>
    <x v="0"/>
    <x v="1"/>
    <x v="1"/>
    <x v="1"/>
    <x v="4"/>
    <n v="0"/>
  </r>
  <r>
    <x v="0"/>
    <x v="8"/>
    <x v="0"/>
    <x v="1"/>
    <x v="1"/>
    <x v="1"/>
    <x v="5"/>
    <n v="0"/>
  </r>
  <r>
    <x v="0"/>
    <x v="8"/>
    <x v="0"/>
    <x v="1"/>
    <x v="1"/>
    <x v="1"/>
    <x v="6"/>
    <n v="0"/>
  </r>
  <r>
    <x v="0"/>
    <x v="8"/>
    <x v="0"/>
    <x v="1"/>
    <x v="2"/>
    <x v="1"/>
    <x v="0"/>
    <n v="36.845818369309619"/>
  </r>
  <r>
    <x v="0"/>
    <x v="8"/>
    <x v="0"/>
    <x v="1"/>
    <x v="2"/>
    <x v="1"/>
    <x v="1"/>
    <n v="113.12377389413835"/>
  </r>
  <r>
    <x v="0"/>
    <x v="8"/>
    <x v="0"/>
    <x v="1"/>
    <x v="2"/>
    <x v="1"/>
    <x v="2"/>
    <n v="255.08304853890846"/>
  </r>
  <r>
    <x v="0"/>
    <x v="8"/>
    <x v="0"/>
    <x v="1"/>
    <x v="2"/>
    <x v="1"/>
    <x v="3"/>
    <n v="577.00569497347112"/>
  </r>
  <r>
    <x v="0"/>
    <x v="8"/>
    <x v="0"/>
    <x v="1"/>
    <x v="2"/>
    <x v="1"/>
    <x v="4"/>
    <n v="853.98020238838899"/>
  </r>
  <r>
    <x v="0"/>
    <x v="8"/>
    <x v="0"/>
    <x v="1"/>
    <x v="2"/>
    <x v="1"/>
    <x v="5"/>
    <n v="1288.365722867946"/>
  </r>
  <r>
    <x v="0"/>
    <x v="8"/>
    <x v="0"/>
    <x v="1"/>
    <x v="2"/>
    <x v="1"/>
    <x v="6"/>
    <n v="2154.9989190054494"/>
  </r>
  <r>
    <x v="0"/>
    <x v="8"/>
    <x v="0"/>
    <x v="1"/>
    <x v="3"/>
    <x v="1"/>
    <x v="0"/>
    <n v="7.009615558036896"/>
  </r>
  <r>
    <x v="0"/>
    <x v="8"/>
    <x v="0"/>
    <x v="1"/>
    <x v="3"/>
    <x v="1"/>
    <x v="1"/>
    <n v="39.735789547886085"/>
  </r>
  <r>
    <x v="0"/>
    <x v="8"/>
    <x v="0"/>
    <x v="1"/>
    <x v="3"/>
    <x v="1"/>
    <x v="2"/>
    <n v="102.01193222369596"/>
  </r>
  <r>
    <x v="0"/>
    <x v="8"/>
    <x v="0"/>
    <x v="1"/>
    <x v="3"/>
    <x v="1"/>
    <x v="3"/>
    <n v="273.49784492094193"/>
  </r>
  <r>
    <x v="0"/>
    <x v="8"/>
    <x v="0"/>
    <x v="1"/>
    <x v="3"/>
    <x v="1"/>
    <x v="4"/>
    <n v="635.13427725563758"/>
  </r>
  <r>
    <x v="0"/>
    <x v="8"/>
    <x v="0"/>
    <x v="1"/>
    <x v="3"/>
    <x v="1"/>
    <x v="5"/>
    <n v="1058.5948662717039"/>
  </r>
  <r>
    <x v="0"/>
    <x v="8"/>
    <x v="0"/>
    <x v="1"/>
    <x v="3"/>
    <x v="1"/>
    <x v="6"/>
    <n v="1788.1221237244358"/>
  </r>
  <r>
    <x v="0"/>
    <x v="8"/>
    <x v="0"/>
    <x v="1"/>
    <x v="4"/>
    <x v="1"/>
    <x v="0"/>
    <n v="0.88465489773372374"/>
  </r>
  <r>
    <x v="0"/>
    <x v="8"/>
    <x v="0"/>
    <x v="1"/>
    <x v="4"/>
    <x v="1"/>
    <x v="1"/>
    <n v="1.7019134659273749"/>
  </r>
  <r>
    <x v="0"/>
    <x v="8"/>
    <x v="0"/>
    <x v="1"/>
    <x v="4"/>
    <x v="1"/>
    <x v="2"/>
    <n v="4.2009824186899909"/>
  </r>
  <r>
    <x v="0"/>
    <x v="8"/>
    <x v="0"/>
    <x v="1"/>
    <x v="4"/>
    <x v="1"/>
    <x v="3"/>
    <n v="8.4980575198897021"/>
  </r>
  <r>
    <x v="0"/>
    <x v="8"/>
    <x v="0"/>
    <x v="1"/>
    <x v="4"/>
    <x v="1"/>
    <x v="4"/>
    <n v="17.265253380845575"/>
  </r>
  <r>
    <x v="0"/>
    <x v="8"/>
    <x v="0"/>
    <x v="1"/>
    <x v="4"/>
    <x v="1"/>
    <x v="5"/>
    <n v="26.988413740657723"/>
  </r>
  <r>
    <x v="0"/>
    <x v="8"/>
    <x v="0"/>
    <x v="1"/>
    <x v="4"/>
    <x v="1"/>
    <x v="6"/>
    <n v="40.976265597143588"/>
  </r>
  <r>
    <x v="0"/>
    <x v="8"/>
    <x v="0"/>
    <x v="1"/>
    <x v="5"/>
    <x v="1"/>
    <x v="0"/>
    <n v="23.333875581369931"/>
  </r>
  <r>
    <x v="0"/>
    <x v="8"/>
    <x v="0"/>
    <x v="1"/>
    <x v="5"/>
    <x v="1"/>
    <x v="1"/>
    <n v="107.21775833793095"/>
  </r>
  <r>
    <x v="0"/>
    <x v="8"/>
    <x v="0"/>
    <x v="1"/>
    <x v="5"/>
    <x v="1"/>
    <x v="2"/>
    <n v="393.54910654576446"/>
  </r>
  <r>
    <x v="0"/>
    <x v="8"/>
    <x v="0"/>
    <x v="1"/>
    <x v="5"/>
    <x v="1"/>
    <x v="3"/>
    <n v="1153.6271876238416"/>
  </r>
  <r>
    <x v="0"/>
    <x v="8"/>
    <x v="0"/>
    <x v="1"/>
    <x v="5"/>
    <x v="1"/>
    <x v="4"/>
    <n v="3233.9704859885965"/>
  </r>
  <r>
    <x v="0"/>
    <x v="8"/>
    <x v="0"/>
    <x v="1"/>
    <x v="5"/>
    <x v="1"/>
    <x v="5"/>
    <n v="3942.0692067171822"/>
  </r>
  <r>
    <x v="0"/>
    <x v="8"/>
    <x v="0"/>
    <x v="1"/>
    <x v="5"/>
    <x v="1"/>
    <x v="6"/>
    <n v="6205.8274569684691"/>
  </r>
  <r>
    <x v="0"/>
    <x v="8"/>
    <x v="0"/>
    <x v="1"/>
    <x v="6"/>
    <x v="1"/>
    <x v="0"/>
    <n v="56.220953490147572"/>
  </r>
  <r>
    <x v="0"/>
    <x v="8"/>
    <x v="0"/>
    <x v="1"/>
    <x v="6"/>
    <x v="1"/>
    <x v="1"/>
    <n v="130.48400882653448"/>
  </r>
  <r>
    <x v="0"/>
    <x v="8"/>
    <x v="0"/>
    <x v="1"/>
    <x v="6"/>
    <x v="1"/>
    <x v="2"/>
    <n v="290.59047466237968"/>
  </r>
  <r>
    <x v="0"/>
    <x v="8"/>
    <x v="0"/>
    <x v="1"/>
    <x v="6"/>
    <x v="1"/>
    <x v="3"/>
    <n v="669.64116308450548"/>
  </r>
  <r>
    <x v="0"/>
    <x v="8"/>
    <x v="0"/>
    <x v="1"/>
    <x v="6"/>
    <x v="1"/>
    <x v="4"/>
    <n v="1516.7744389887182"/>
  </r>
  <r>
    <x v="0"/>
    <x v="8"/>
    <x v="0"/>
    <x v="1"/>
    <x v="6"/>
    <x v="1"/>
    <x v="5"/>
    <n v="2656.6997243024771"/>
  </r>
  <r>
    <x v="0"/>
    <x v="8"/>
    <x v="0"/>
    <x v="1"/>
    <x v="6"/>
    <x v="1"/>
    <x v="6"/>
    <n v="4429.6479036947248"/>
  </r>
  <r>
    <x v="0"/>
    <x v="8"/>
    <x v="0"/>
    <x v="1"/>
    <x v="7"/>
    <x v="1"/>
    <x v="0"/>
    <n v="70.228000848947957"/>
  </r>
  <r>
    <x v="0"/>
    <x v="8"/>
    <x v="0"/>
    <x v="1"/>
    <x v="7"/>
    <x v="1"/>
    <x v="1"/>
    <n v="272.49152363395791"/>
  </r>
  <r>
    <x v="0"/>
    <x v="8"/>
    <x v="0"/>
    <x v="1"/>
    <x v="7"/>
    <x v="1"/>
    <x v="2"/>
    <n v="857.03618846256609"/>
  </r>
  <r>
    <x v="0"/>
    <x v="8"/>
    <x v="0"/>
    <x v="1"/>
    <x v="7"/>
    <x v="1"/>
    <x v="3"/>
    <n v="2276.0707200070688"/>
  </r>
  <r>
    <x v="0"/>
    <x v="8"/>
    <x v="0"/>
    <x v="1"/>
    <x v="7"/>
    <x v="1"/>
    <x v="4"/>
    <n v="4850.0287523003681"/>
  </r>
  <r>
    <x v="0"/>
    <x v="8"/>
    <x v="0"/>
    <x v="1"/>
    <x v="7"/>
    <x v="1"/>
    <x v="5"/>
    <n v="7713.4759601356536"/>
  </r>
  <r>
    <x v="0"/>
    <x v="8"/>
    <x v="0"/>
    <x v="1"/>
    <x v="7"/>
    <x v="1"/>
    <x v="6"/>
    <n v="11945.353755920603"/>
  </r>
  <r>
    <x v="0"/>
    <x v="8"/>
    <x v="0"/>
    <x v="1"/>
    <x v="8"/>
    <x v="1"/>
    <x v="0"/>
    <n v="4.1688684569791357E-2"/>
  </r>
  <r>
    <x v="0"/>
    <x v="8"/>
    <x v="0"/>
    <x v="1"/>
    <x v="8"/>
    <x v="1"/>
    <x v="1"/>
    <n v="0.28518426710425726"/>
  </r>
  <r>
    <x v="0"/>
    <x v="8"/>
    <x v="0"/>
    <x v="1"/>
    <x v="8"/>
    <x v="1"/>
    <x v="2"/>
    <n v="0.75492518303577805"/>
  </r>
  <r>
    <x v="0"/>
    <x v="8"/>
    <x v="0"/>
    <x v="1"/>
    <x v="8"/>
    <x v="1"/>
    <x v="3"/>
    <n v="1.7609699082917236"/>
  </r>
  <r>
    <x v="0"/>
    <x v="8"/>
    <x v="0"/>
    <x v="1"/>
    <x v="8"/>
    <x v="1"/>
    <x v="4"/>
    <n v="3.7647080675346976"/>
  </r>
  <r>
    <x v="0"/>
    <x v="8"/>
    <x v="0"/>
    <x v="1"/>
    <x v="8"/>
    <x v="1"/>
    <x v="5"/>
    <n v="6.1604940428791988"/>
  </r>
  <r>
    <x v="0"/>
    <x v="8"/>
    <x v="0"/>
    <x v="1"/>
    <x v="8"/>
    <x v="1"/>
    <x v="6"/>
    <n v="9.2601493524314105"/>
  </r>
  <r>
    <x v="0"/>
    <x v="8"/>
    <x v="0"/>
    <x v="1"/>
    <x v="9"/>
    <x v="1"/>
    <x v="0"/>
    <n v="43.785822070718581"/>
  </r>
  <r>
    <x v="0"/>
    <x v="8"/>
    <x v="0"/>
    <x v="1"/>
    <x v="9"/>
    <x v="1"/>
    <x v="1"/>
    <n v="141.2070894751601"/>
  </r>
  <r>
    <x v="0"/>
    <x v="8"/>
    <x v="0"/>
    <x v="1"/>
    <x v="9"/>
    <x v="1"/>
    <x v="2"/>
    <n v="412.53214489913864"/>
  </r>
  <r>
    <x v="0"/>
    <x v="8"/>
    <x v="0"/>
    <x v="1"/>
    <x v="9"/>
    <x v="1"/>
    <x v="3"/>
    <n v="1055.2584862814649"/>
  </r>
  <r>
    <x v="0"/>
    <x v="8"/>
    <x v="0"/>
    <x v="1"/>
    <x v="9"/>
    <x v="1"/>
    <x v="4"/>
    <n v="1744.2032981345521"/>
  </r>
  <r>
    <x v="0"/>
    <x v="8"/>
    <x v="0"/>
    <x v="1"/>
    <x v="9"/>
    <x v="1"/>
    <x v="5"/>
    <n v="2298.8300885880644"/>
  </r>
  <r>
    <x v="0"/>
    <x v="8"/>
    <x v="0"/>
    <x v="1"/>
    <x v="9"/>
    <x v="1"/>
    <x v="6"/>
    <n v="3782.3475411370891"/>
  </r>
  <r>
    <x v="0"/>
    <x v="8"/>
    <x v="0"/>
    <x v="1"/>
    <x v="10"/>
    <x v="1"/>
    <x v="0"/>
    <n v="59.546032914167"/>
  </r>
  <r>
    <x v="0"/>
    <x v="8"/>
    <x v="0"/>
    <x v="1"/>
    <x v="10"/>
    <x v="1"/>
    <x v="1"/>
    <n v="185.2319940882966"/>
  </r>
  <r>
    <x v="0"/>
    <x v="8"/>
    <x v="0"/>
    <x v="1"/>
    <x v="10"/>
    <x v="1"/>
    <x v="2"/>
    <n v="473.44635393276741"/>
  </r>
  <r>
    <x v="0"/>
    <x v="8"/>
    <x v="0"/>
    <x v="1"/>
    <x v="10"/>
    <x v="1"/>
    <x v="3"/>
    <n v="1094.3535058113227"/>
  </r>
  <r>
    <x v="0"/>
    <x v="8"/>
    <x v="0"/>
    <x v="1"/>
    <x v="10"/>
    <x v="1"/>
    <x v="4"/>
    <n v="1950.7126162555003"/>
  </r>
  <r>
    <x v="0"/>
    <x v="8"/>
    <x v="0"/>
    <x v="1"/>
    <x v="10"/>
    <x v="1"/>
    <x v="5"/>
    <n v="3097.591012237167"/>
  </r>
  <r>
    <x v="0"/>
    <x v="8"/>
    <x v="0"/>
    <x v="1"/>
    <x v="10"/>
    <x v="1"/>
    <x v="6"/>
    <n v="5584.6107135544271"/>
  </r>
  <r>
    <x v="0"/>
    <x v="8"/>
    <x v="0"/>
    <x v="0"/>
    <x v="11"/>
    <x v="1"/>
    <x v="0"/>
    <n v="5.4984580651210778E-2"/>
  </r>
  <r>
    <x v="0"/>
    <x v="8"/>
    <x v="0"/>
    <x v="0"/>
    <x v="11"/>
    <x v="1"/>
    <x v="1"/>
    <n v="0.73667352961785348"/>
  </r>
  <r>
    <x v="0"/>
    <x v="8"/>
    <x v="0"/>
    <x v="0"/>
    <x v="11"/>
    <x v="1"/>
    <x v="2"/>
    <n v="9.1955474515384914"/>
  </r>
  <r>
    <x v="0"/>
    <x v="8"/>
    <x v="0"/>
    <x v="0"/>
    <x v="11"/>
    <x v="1"/>
    <x v="3"/>
    <n v="113.16420570988976"/>
  </r>
  <r>
    <x v="0"/>
    <x v="8"/>
    <x v="0"/>
    <x v="0"/>
    <x v="11"/>
    <x v="1"/>
    <x v="4"/>
    <n v="344.83583049685063"/>
  </r>
  <r>
    <x v="0"/>
    <x v="8"/>
    <x v="0"/>
    <x v="0"/>
    <x v="11"/>
    <x v="1"/>
    <x v="5"/>
    <n v="490.02055435170604"/>
  </r>
  <r>
    <x v="0"/>
    <x v="8"/>
    <x v="0"/>
    <x v="0"/>
    <x v="11"/>
    <x v="1"/>
    <x v="6"/>
    <n v="1354.9784823639218"/>
  </r>
  <r>
    <x v="0"/>
    <x v="8"/>
    <x v="0"/>
    <x v="0"/>
    <x v="12"/>
    <x v="1"/>
    <x v="0"/>
    <n v="0"/>
  </r>
  <r>
    <x v="0"/>
    <x v="8"/>
    <x v="0"/>
    <x v="0"/>
    <x v="12"/>
    <x v="1"/>
    <x v="1"/>
    <n v="0"/>
  </r>
  <r>
    <x v="0"/>
    <x v="8"/>
    <x v="0"/>
    <x v="0"/>
    <x v="12"/>
    <x v="1"/>
    <x v="2"/>
    <n v="0"/>
  </r>
  <r>
    <x v="0"/>
    <x v="8"/>
    <x v="0"/>
    <x v="0"/>
    <x v="12"/>
    <x v="1"/>
    <x v="3"/>
    <n v="0"/>
  </r>
  <r>
    <x v="0"/>
    <x v="8"/>
    <x v="0"/>
    <x v="0"/>
    <x v="12"/>
    <x v="1"/>
    <x v="4"/>
    <n v="0"/>
  </r>
  <r>
    <x v="0"/>
    <x v="8"/>
    <x v="0"/>
    <x v="0"/>
    <x v="12"/>
    <x v="1"/>
    <x v="5"/>
    <n v="0"/>
  </r>
  <r>
    <x v="0"/>
    <x v="8"/>
    <x v="0"/>
    <x v="0"/>
    <x v="12"/>
    <x v="1"/>
    <x v="6"/>
    <n v="0"/>
  </r>
  <r>
    <x v="0"/>
    <x v="8"/>
    <x v="0"/>
    <x v="0"/>
    <x v="13"/>
    <x v="1"/>
    <x v="0"/>
    <n v="0"/>
  </r>
  <r>
    <x v="0"/>
    <x v="8"/>
    <x v="0"/>
    <x v="0"/>
    <x v="13"/>
    <x v="1"/>
    <x v="1"/>
    <n v="0"/>
  </r>
  <r>
    <x v="0"/>
    <x v="8"/>
    <x v="0"/>
    <x v="0"/>
    <x v="13"/>
    <x v="1"/>
    <x v="2"/>
    <n v="0"/>
  </r>
  <r>
    <x v="0"/>
    <x v="8"/>
    <x v="0"/>
    <x v="0"/>
    <x v="13"/>
    <x v="1"/>
    <x v="3"/>
    <n v="0"/>
  </r>
  <r>
    <x v="0"/>
    <x v="8"/>
    <x v="0"/>
    <x v="0"/>
    <x v="13"/>
    <x v="1"/>
    <x v="4"/>
    <n v="0"/>
  </r>
  <r>
    <x v="0"/>
    <x v="8"/>
    <x v="0"/>
    <x v="0"/>
    <x v="13"/>
    <x v="1"/>
    <x v="5"/>
    <n v="0"/>
  </r>
  <r>
    <x v="0"/>
    <x v="8"/>
    <x v="0"/>
    <x v="0"/>
    <x v="13"/>
    <x v="1"/>
    <x v="6"/>
    <n v="0"/>
  </r>
  <r>
    <x v="0"/>
    <x v="8"/>
    <x v="0"/>
    <x v="2"/>
    <x v="14"/>
    <x v="1"/>
    <x v="0"/>
    <n v="5.9029901387292585E-8"/>
  </r>
  <r>
    <x v="0"/>
    <x v="8"/>
    <x v="0"/>
    <x v="2"/>
    <x v="14"/>
    <x v="1"/>
    <x v="1"/>
    <n v="3.7437374036151895E-7"/>
  </r>
  <r>
    <x v="0"/>
    <x v="8"/>
    <x v="0"/>
    <x v="2"/>
    <x v="14"/>
    <x v="1"/>
    <x v="2"/>
    <n v="2.4254153456422053E-6"/>
  </r>
  <r>
    <x v="0"/>
    <x v="8"/>
    <x v="0"/>
    <x v="2"/>
    <x v="14"/>
    <x v="1"/>
    <x v="3"/>
    <n v="1.4778988408117056E-5"/>
  </r>
  <r>
    <x v="0"/>
    <x v="8"/>
    <x v="0"/>
    <x v="2"/>
    <x v="14"/>
    <x v="1"/>
    <x v="4"/>
    <n v="5.9457567293126601E-5"/>
  </r>
  <r>
    <x v="0"/>
    <x v="8"/>
    <x v="0"/>
    <x v="2"/>
    <x v="14"/>
    <x v="1"/>
    <x v="5"/>
    <n v="6.9470830903080576E-5"/>
  </r>
  <r>
    <x v="0"/>
    <x v="8"/>
    <x v="0"/>
    <x v="2"/>
    <x v="14"/>
    <x v="1"/>
    <x v="6"/>
    <n v="1.3097345898613452E-4"/>
  </r>
  <r>
    <x v="0"/>
    <x v="8"/>
    <x v="0"/>
    <x v="2"/>
    <x v="15"/>
    <x v="1"/>
    <x v="0"/>
    <n v="8.6180946742115333E-5"/>
  </r>
  <r>
    <x v="0"/>
    <x v="8"/>
    <x v="0"/>
    <x v="2"/>
    <x v="15"/>
    <x v="1"/>
    <x v="1"/>
    <n v="2.7290148110530678E-4"/>
  </r>
  <r>
    <x v="0"/>
    <x v="8"/>
    <x v="0"/>
    <x v="2"/>
    <x v="15"/>
    <x v="1"/>
    <x v="2"/>
    <n v="9.6689366842871052E-4"/>
  </r>
  <r>
    <x v="0"/>
    <x v="8"/>
    <x v="0"/>
    <x v="2"/>
    <x v="15"/>
    <x v="1"/>
    <x v="3"/>
    <n v="3.1429030336572552E-3"/>
  </r>
  <r>
    <x v="0"/>
    <x v="8"/>
    <x v="0"/>
    <x v="2"/>
    <x v="15"/>
    <x v="1"/>
    <x v="4"/>
    <n v="8.4892757443381945E-3"/>
  </r>
  <r>
    <x v="0"/>
    <x v="8"/>
    <x v="0"/>
    <x v="2"/>
    <x v="15"/>
    <x v="1"/>
    <x v="5"/>
    <n v="1.2951936765225266E-2"/>
  </r>
  <r>
    <x v="0"/>
    <x v="8"/>
    <x v="0"/>
    <x v="2"/>
    <x v="15"/>
    <x v="1"/>
    <x v="6"/>
    <n v="2.2529549734457779E-2"/>
  </r>
  <r>
    <x v="0"/>
    <x v="8"/>
    <x v="0"/>
    <x v="2"/>
    <x v="16"/>
    <x v="1"/>
    <x v="0"/>
    <n v="2.4707535364461396E-6"/>
  </r>
  <r>
    <x v="0"/>
    <x v="8"/>
    <x v="0"/>
    <x v="2"/>
    <x v="16"/>
    <x v="1"/>
    <x v="1"/>
    <n v="5.4846117301866235E-5"/>
  </r>
  <r>
    <x v="0"/>
    <x v="8"/>
    <x v="0"/>
    <x v="2"/>
    <x v="16"/>
    <x v="1"/>
    <x v="2"/>
    <n v="2.2839588157709E-4"/>
  </r>
  <r>
    <x v="0"/>
    <x v="8"/>
    <x v="0"/>
    <x v="2"/>
    <x v="16"/>
    <x v="1"/>
    <x v="3"/>
    <n v="5.2043730914291537E-4"/>
  </r>
  <r>
    <x v="0"/>
    <x v="8"/>
    <x v="0"/>
    <x v="2"/>
    <x v="16"/>
    <x v="1"/>
    <x v="4"/>
    <n v="1.0831685514136788E-3"/>
  </r>
  <r>
    <x v="0"/>
    <x v="8"/>
    <x v="0"/>
    <x v="2"/>
    <x v="16"/>
    <x v="1"/>
    <x v="5"/>
    <n v="2.1631461379010967E-3"/>
  </r>
  <r>
    <x v="0"/>
    <x v="8"/>
    <x v="0"/>
    <x v="2"/>
    <x v="16"/>
    <x v="1"/>
    <x v="6"/>
    <n v="3.8876443806420309E-3"/>
  </r>
  <r>
    <x v="0"/>
    <x v="8"/>
    <x v="0"/>
    <x v="0"/>
    <x v="17"/>
    <x v="1"/>
    <x v="0"/>
    <n v="0"/>
  </r>
  <r>
    <x v="0"/>
    <x v="8"/>
    <x v="0"/>
    <x v="0"/>
    <x v="17"/>
    <x v="1"/>
    <x v="1"/>
    <n v="0"/>
  </r>
  <r>
    <x v="0"/>
    <x v="8"/>
    <x v="0"/>
    <x v="0"/>
    <x v="17"/>
    <x v="1"/>
    <x v="2"/>
    <n v="0"/>
  </r>
  <r>
    <x v="0"/>
    <x v="8"/>
    <x v="0"/>
    <x v="0"/>
    <x v="17"/>
    <x v="1"/>
    <x v="3"/>
    <n v="0"/>
  </r>
  <r>
    <x v="0"/>
    <x v="8"/>
    <x v="0"/>
    <x v="0"/>
    <x v="17"/>
    <x v="1"/>
    <x v="4"/>
    <n v="0"/>
  </r>
  <r>
    <x v="0"/>
    <x v="8"/>
    <x v="0"/>
    <x v="0"/>
    <x v="17"/>
    <x v="1"/>
    <x v="5"/>
    <n v="0"/>
  </r>
  <r>
    <x v="0"/>
    <x v="8"/>
    <x v="0"/>
    <x v="0"/>
    <x v="17"/>
    <x v="1"/>
    <x v="6"/>
    <n v="0"/>
  </r>
  <r>
    <x v="0"/>
    <x v="8"/>
    <x v="0"/>
    <x v="2"/>
    <x v="18"/>
    <x v="1"/>
    <x v="0"/>
    <n v="0"/>
  </r>
  <r>
    <x v="0"/>
    <x v="8"/>
    <x v="0"/>
    <x v="2"/>
    <x v="18"/>
    <x v="1"/>
    <x v="1"/>
    <n v="0"/>
  </r>
  <r>
    <x v="0"/>
    <x v="8"/>
    <x v="0"/>
    <x v="2"/>
    <x v="18"/>
    <x v="1"/>
    <x v="2"/>
    <n v="0"/>
  </r>
  <r>
    <x v="0"/>
    <x v="8"/>
    <x v="0"/>
    <x v="2"/>
    <x v="18"/>
    <x v="1"/>
    <x v="3"/>
    <n v="0"/>
  </r>
  <r>
    <x v="0"/>
    <x v="8"/>
    <x v="0"/>
    <x v="2"/>
    <x v="18"/>
    <x v="1"/>
    <x v="4"/>
    <n v="0"/>
  </r>
  <r>
    <x v="0"/>
    <x v="8"/>
    <x v="0"/>
    <x v="2"/>
    <x v="18"/>
    <x v="1"/>
    <x v="5"/>
    <n v="0"/>
  </r>
  <r>
    <x v="0"/>
    <x v="8"/>
    <x v="0"/>
    <x v="2"/>
    <x v="18"/>
    <x v="1"/>
    <x v="6"/>
    <n v="0"/>
  </r>
  <r>
    <x v="0"/>
    <x v="8"/>
    <x v="1"/>
    <x v="3"/>
    <x v="19"/>
    <x v="1"/>
    <x v="0"/>
    <n v="0.3802486032866656"/>
  </r>
  <r>
    <x v="0"/>
    <x v="8"/>
    <x v="1"/>
    <x v="3"/>
    <x v="19"/>
    <x v="1"/>
    <x v="1"/>
    <n v="0.94548550504786799"/>
  </r>
  <r>
    <x v="0"/>
    <x v="8"/>
    <x v="1"/>
    <x v="3"/>
    <x v="19"/>
    <x v="1"/>
    <x v="2"/>
    <n v="2.6508040304800349"/>
  </r>
  <r>
    <x v="0"/>
    <x v="8"/>
    <x v="1"/>
    <x v="3"/>
    <x v="19"/>
    <x v="1"/>
    <x v="3"/>
    <n v="7.1893013572867828"/>
  </r>
  <r>
    <x v="0"/>
    <x v="8"/>
    <x v="1"/>
    <x v="3"/>
    <x v="19"/>
    <x v="1"/>
    <x v="4"/>
    <n v="12.213329697332005"/>
  </r>
  <r>
    <x v="0"/>
    <x v="8"/>
    <x v="1"/>
    <x v="3"/>
    <x v="19"/>
    <x v="1"/>
    <x v="5"/>
    <n v="15.472709424830466"/>
  </r>
  <r>
    <x v="0"/>
    <x v="8"/>
    <x v="1"/>
    <x v="3"/>
    <x v="19"/>
    <x v="1"/>
    <x v="6"/>
    <n v="23.789400206460833"/>
  </r>
  <r>
    <x v="0"/>
    <x v="8"/>
    <x v="1"/>
    <x v="3"/>
    <x v="20"/>
    <x v="1"/>
    <x v="0"/>
    <n v="2.2832775229322064"/>
  </r>
  <r>
    <x v="0"/>
    <x v="8"/>
    <x v="1"/>
    <x v="3"/>
    <x v="20"/>
    <x v="1"/>
    <x v="1"/>
    <n v="5.4525649436148846"/>
  </r>
  <r>
    <x v="0"/>
    <x v="8"/>
    <x v="1"/>
    <x v="3"/>
    <x v="20"/>
    <x v="1"/>
    <x v="2"/>
    <n v="13.638228226453634"/>
  </r>
  <r>
    <x v="0"/>
    <x v="8"/>
    <x v="1"/>
    <x v="3"/>
    <x v="20"/>
    <x v="1"/>
    <x v="3"/>
    <n v="34.31519022132472"/>
  </r>
  <r>
    <x v="0"/>
    <x v="8"/>
    <x v="1"/>
    <x v="3"/>
    <x v="20"/>
    <x v="1"/>
    <x v="4"/>
    <n v="55.389638720567746"/>
  </r>
  <r>
    <x v="0"/>
    <x v="8"/>
    <x v="1"/>
    <x v="3"/>
    <x v="20"/>
    <x v="1"/>
    <x v="5"/>
    <n v="74.724562706410794"/>
  </r>
  <r>
    <x v="0"/>
    <x v="8"/>
    <x v="1"/>
    <x v="3"/>
    <x v="20"/>
    <x v="1"/>
    <x v="6"/>
    <n v="96.717209596097291"/>
  </r>
  <r>
    <x v="0"/>
    <x v="8"/>
    <x v="1"/>
    <x v="3"/>
    <x v="21"/>
    <x v="1"/>
    <x v="0"/>
    <n v="0.5770307865714015"/>
  </r>
  <r>
    <x v="0"/>
    <x v="8"/>
    <x v="1"/>
    <x v="3"/>
    <x v="21"/>
    <x v="1"/>
    <x v="1"/>
    <n v="1.413453197757784"/>
  </r>
  <r>
    <x v="0"/>
    <x v="8"/>
    <x v="1"/>
    <x v="3"/>
    <x v="21"/>
    <x v="1"/>
    <x v="2"/>
    <n v="3.5279496594330131"/>
  </r>
  <r>
    <x v="0"/>
    <x v="8"/>
    <x v="1"/>
    <x v="3"/>
    <x v="21"/>
    <x v="1"/>
    <x v="3"/>
    <n v="8.5192086183213505"/>
  </r>
  <r>
    <x v="0"/>
    <x v="8"/>
    <x v="1"/>
    <x v="3"/>
    <x v="21"/>
    <x v="1"/>
    <x v="4"/>
    <n v="13.181187929808853"/>
  </r>
  <r>
    <x v="0"/>
    <x v="8"/>
    <x v="1"/>
    <x v="3"/>
    <x v="21"/>
    <x v="1"/>
    <x v="5"/>
    <n v="17.440615693786878"/>
  </r>
  <r>
    <x v="0"/>
    <x v="8"/>
    <x v="1"/>
    <x v="3"/>
    <x v="21"/>
    <x v="1"/>
    <x v="6"/>
    <n v="25.305099293117113"/>
  </r>
  <r>
    <x v="0"/>
    <x v="8"/>
    <x v="1"/>
    <x v="3"/>
    <x v="22"/>
    <x v="1"/>
    <x v="0"/>
    <n v="0"/>
  </r>
  <r>
    <x v="0"/>
    <x v="8"/>
    <x v="1"/>
    <x v="3"/>
    <x v="22"/>
    <x v="1"/>
    <x v="1"/>
    <n v="0"/>
  </r>
  <r>
    <x v="0"/>
    <x v="8"/>
    <x v="1"/>
    <x v="3"/>
    <x v="22"/>
    <x v="1"/>
    <x v="2"/>
    <n v="0"/>
  </r>
  <r>
    <x v="0"/>
    <x v="8"/>
    <x v="1"/>
    <x v="3"/>
    <x v="22"/>
    <x v="1"/>
    <x v="3"/>
    <n v="0"/>
  </r>
  <r>
    <x v="0"/>
    <x v="8"/>
    <x v="1"/>
    <x v="3"/>
    <x v="22"/>
    <x v="1"/>
    <x v="4"/>
    <n v="0"/>
  </r>
  <r>
    <x v="0"/>
    <x v="8"/>
    <x v="1"/>
    <x v="3"/>
    <x v="22"/>
    <x v="1"/>
    <x v="5"/>
    <n v="0"/>
  </r>
  <r>
    <x v="0"/>
    <x v="8"/>
    <x v="1"/>
    <x v="3"/>
    <x v="22"/>
    <x v="1"/>
    <x v="6"/>
    <n v="0"/>
  </r>
  <r>
    <x v="0"/>
    <x v="8"/>
    <x v="1"/>
    <x v="3"/>
    <x v="23"/>
    <x v="1"/>
    <x v="0"/>
    <n v="0"/>
  </r>
  <r>
    <x v="0"/>
    <x v="8"/>
    <x v="1"/>
    <x v="3"/>
    <x v="23"/>
    <x v="1"/>
    <x v="1"/>
    <n v="0"/>
  </r>
  <r>
    <x v="0"/>
    <x v="8"/>
    <x v="1"/>
    <x v="3"/>
    <x v="23"/>
    <x v="1"/>
    <x v="2"/>
    <n v="0"/>
  </r>
  <r>
    <x v="0"/>
    <x v="8"/>
    <x v="1"/>
    <x v="3"/>
    <x v="23"/>
    <x v="1"/>
    <x v="3"/>
    <n v="0"/>
  </r>
  <r>
    <x v="0"/>
    <x v="8"/>
    <x v="1"/>
    <x v="3"/>
    <x v="23"/>
    <x v="1"/>
    <x v="4"/>
    <n v="0"/>
  </r>
  <r>
    <x v="0"/>
    <x v="8"/>
    <x v="1"/>
    <x v="3"/>
    <x v="23"/>
    <x v="1"/>
    <x v="5"/>
    <n v="0"/>
  </r>
  <r>
    <x v="0"/>
    <x v="8"/>
    <x v="1"/>
    <x v="3"/>
    <x v="23"/>
    <x v="1"/>
    <x v="6"/>
    <n v="0"/>
  </r>
  <r>
    <x v="0"/>
    <x v="8"/>
    <x v="1"/>
    <x v="3"/>
    <x v="24"/>
    <x v="1"/>
    <x v="0"/>
    <n v="0"/>
  </r>
  <r>
    <x v="0"/>
    <x v="8"/>
    <x v="1"/>
    <x v="3"/>
    <x v="24"/>
    <x v="1"/>
    <x v="1"/>
    <n v="0"/>
  </r>
  <r>
    <x v="0"/>
    <x v="8"/>
    <x v="1"/>
    <x v="3"/>
    <x v="24"/>
    <x v="1"/>
    <x v="2"/>
    <n v="0"/>
  </r>
  <r>
    <x v="0"/>
    <x v="8"/>
    <x v="1"/>
    <x v="3"/>
    <x v="24"/>
    <x v="1"/>
    <x v="3"/>
    <n v="0"/>
  </r>
  <r>
    <x v="0"/>
    <x v="8"/>
    <x v="1"/>
    <x v="3"/>
    <x v="24"/>
    <x v="1"/>
    <x v="4"/>
    <n v="0"/>
  </r>
  <r>
    <x v="0"/>
    <x v="8"/>
    <x v="1"/>
    <x v="3"/>
    <x v="24"/>
    <x v="1"/>
    <x v="5"/>
    <n v="0"/>
  </r>
  <r>
    <x v="0"/>
    <x v="8"/>
    <x v="1"/>
    <x v="3"/>
    <x v="24"/>
    <x v="1"/>
    <x v="6"/>
    <n v="0"/>
  </r>
  <r>
    <x v="0"/>
    <x v="8"/>
    <x v="1"/>
    <x v="3"/>
    <x v="25"/>
    <x v="1"/>
    <x v="0"/>
    <n v="2.4476848038799321"/>
  </r>
  <r>
    <x v="0"/>
    <x v="8"/>
    <x v="1"/>
    <x v="3"/>
    <x v="25"/>
    <x v="1"/>
    <x v="1"/>
    <n v="8.2371487434187785"/>
  </r>
  <r>
    <x v="0"/>
    <x v="8"/>
    <x v="1"/>
    <x v="3"/>
    <x v="25"/>
    <x v="1"/>
    <x v="2"/>
    <n v="33.157747994438132"/>
  </r>
  <r>
    <x v="0"/>
    <x v="8"/>
    <x v="1"/>
    <x v="3"/>
    <x v="25"/>
    <x v="1"/>
    <x v="3"/>
    <n v="116.18768971450395"/>
  </r>
  <r>
    <x v="0"/>
    <x v="8"/>
    <x v="1"/>
    <x v="3"/>
    <x v="25"/>
    <x v="1"/>
    <x v="4"/>
    <n v="257.10965250000004"/>
  </r>
  <r>
    <x v="0"/>
    <x v="8"/>
    <x v="1"/>
    <x v="3"/>
    <x v="25"/>
    <x v="1"/>
    <x v="5"/>
    <n v="379.39490946374991"/>
  </r>
  <r>
    <x v="0"/>
    <x v="8"/>
    <x v="1"/>
    <x v="3"/>
    <x v="25"/>
    <x v="1"/>
    <x v="6"/>
    <n v="548.90570331916149"/>
  </r>
  <r>
    <x v="0"/>
    <x v="8"/>
    <x v="2"/>
    <x v="4"/>
    <x v="26"/>
    <x v="1"/>
    <x v="0"/>
    <n v="1348.983174514937"/>
  </r>
  <r>
    <x v="0"/>
    <x v="8"/>
    <x v="2"/>
    <x v="4"/>
    <x v="26"/>
    <x v="1"/>
    <x v="1"/>
    <n v="2485.7161873075579"/>
  </r>
  <r>
    <x v="0"/>
    <x v="8"/>
    <x v="2"/>
    <x v="4"/>
    <x v="26"/>
    <x v="1"/>
    <x v="2"/>
    <n v="4175.1980418453959"/>
  </r>
  <r>
    <x v="0"/>
    <x v="8"/>
    <x v="2"/>
    <x v="4"/>
    <x v="26"/>
    <x v="1"/>
    <x v="3"/>
    <n v="6944.5760982363236"/>
  </r>
  <r>
    <x v="0"/>
    <x v="8"/>
    <x v="2"/>
    <x v="4"/>
    <x v="26"/>
    <x v="1"/>
    <x v="4"/>
    <n v="7881.0262032175979"/>
  </r>
  <r>
    <x v="0"/>
    <x v="8"/>
    <x v="2"/>
    <x v="4"/>
    <x v="26"/>
    <x v="1"/>
    <x v="5"/>
    <n v="10771.491453752526"/>
  </r>
  <r>
    <x v="0"/>
    <x v="8"/>
    <x v="2"/>
    <x v="4"/>
    <x v="26"/>
    <x v="1"/>
    <x v="6"/>
    <n v="12650.283654725079"/>
  </r>
  <r>
    <x v="0"/>
    <x v="8"/>
    <x v="2"/>
    <x v="4"/>
    <x v="27"/>
    <x v="1"/>
    <x v="0"/>
    <n v="113.31887677899556"/>
  </r>
  <r>
    <x v="0"/>
    <x v="8"/>
    <x v="2"/>
    <x v="4"/>
    <x v="27"/>
    <x v="1"/>
    <x v="1"/>
    <n v="522.66048942761336"/>
  </r>
  <r>
    <x v="0"/>
    <x v="8"/>
    <x v="2"/>
    <x v="4"/>
    <x v="27"/>
    <x v="1"/>
    <x v="2"/>
    <n v="1775.1448846477522"/>
  </r>
  <r>
    <x v="0"/>
    <x v="8"/>
    <x v="2"/>
    <x v="4"/>
    <x v="27"/>
    <x v="1"/>
    <x v="3"/>
    <n v="5723.8308937461452"/>
  </r>
  <r>
    <x v="0"/>
    <x v="8"/>
    <x v="2"/>
    <x v="4"/>
    <x v="27"/>
    <x v="1"/>
    <x v="4"/>
    <n v="17677.08544457567"/>
  </r>
  <r>
    <x v="0"/>
    <x v="8"/>
    <x v="2"/>
    <x v="4"/>
    <x v="27"/>
    <x v="1"/>
    <x v="5"/>
    <n v="26334.771206061203"/>
  </r>
  <r>
    <x v="0"/>
    <x v="8"/>
    <x v="2"/>
    <x v="4"/>
    <x v="27"/>
    <x v="1"/>
    <x v="6"/>
    <n v="42648.623801523005"/>
  </r>
  <r>
    <x v="0"/>
    <x v="8"/>
    <x v="2"/>
    <x v="4"/>
    <x v="28"/>
    <x v="1"/>
    <x v="0"/>
    <n v="84.439983957733531"/>
  </r>
  <r>
    <x v="0"/>
    <x v="8"/>
    <x v="2"/>
    <x v="4"/>
    <x v="28"/>
    <x v="1"/>
    <x v="1"/>
    <n v="415.16331616523667"/>
  </r>
  <r>
    <x v="0"/>
    <x v="8"/>
    <x v="2"/>
    <x v="4"/>
    <x v="28"/>
    <x v="1"/>
    <x v="2"/>
    <n v="840.47790966415994"/>
  </r>
  <r>
    <x v="0"/>
    <x v="8"/>
    <x v="2"/>
    <x v="4"/>
    <x v="28"/>
    <x v="1"/>
    <x v="3"/>
    <n v="1552.4818283583147"/>
  </r>
  <r>
    <x v="0"/>
    <x v="8"/>
    <x v="2"/>
    <x v="4"/>
    <x v="28"/>
    <x v="1"/>
    <x v="4"/>
    <n v="3088.5894414174859"/>
  </r>
  <r>
    <x v="0"/>
    <x v="8"/>
    <x v="2"/>
    <x v="4"/>
    <x v="28"/>
    <x v="1"/>
    <x v="5"/>
    <n v="5485.0372861516262"/>
  </r>
  <r>
    <x v="0"/>
    <x v="8"/>
    <x v="2"/>
    <x v="4"/>
    <x v="28"/>
    <x v="1"/>
    <x v="6"/>
    <n v="7893.6713951508364"/>
  </r>
  <r>
    <x v="0"/>
    <x v="8"/>
    <x v="2"/>
    <x v="4"/>
    <x v="29"/>
    <x v="1"/>
    <x v="0"/>
    <n v="1337.2061430440906"/>
  </r>
  <r>
    <x v="0"/>
    <x v="8"/>
    <x v="2"/>
    <x v="4"/>
    <x v="29"/>
    <x v="1"/>
    <x v="1"/>
    <n v="2951.7283703788362"/>
  </r>
  <r>
    <x v="0"/>
    <x v="8"/>
    <x v="2"/>
    <x v="4"/>
    <x v="29"/>
    <x v="1"/>
    <x v="2"/>
    <n v="5479.474489539045"/>
  </r>
  <r>
    <x v="0"/>
    <x v="8"/>
    <x v="2"/>
    <x v="4"/>
    <x v="29"/>
    <x v="1"/>
    <x v="3"/>
    <n v="12057.802081517995"/>
  </r>
  <r>
    <x v="0"/>
    <x v="8"/>
    <x v="2"/>
    <x v="4"/>
    <x v="29"/>
    <x v="1"/>
    <x v="4"/>
    <n v="17155.310167298274"/>
  </r>
  <r>
    <x v="0"/>
    <x v="8"/>
    <x v="2"/>
    <x v="4"/>
    <x v="29"/>
    <x v="1"/>
    <x v="5"/>
    <n v="24740.572400200672"/>
  </r>
  <r>
    <x v="0"/>
    <x v="8"/>
    <x v="2"/>
    <x v="4"/>
    <x v="29"/>
    <x v="1"/>
    <x v="6"/>
    <n v="35367.567752498966"/>
  </r>
  <r>
    <x v="0"/>
    <x v="8"/>
    <x v="3"/>
    <x v="5"/>
    <x v="30"/>
    <x v="1"/>
    <x v="0"/>
    <n v="1.0073541755044546"/>
  </r>
  <r>
    <x v="0"/>
    <x v="8"/>
    <x v="3"/>
    <x v="5"/>
    <x v="30"/>
    <x v="1"/>
    <x v="1"/>
    <n v="3.7494565911881335"/>
  </r>
  <r>
    <x v="0"/>
    <x v="8"/>
    <x v="3"/>
    <x v="5"/>
    <x v="30"/>
    <x v="1"/>
    <x v="2"/>
    <n v="38.983749333612394"/>
  </r>
  <r>
    <x v="0"/>
    <x v="8"/>
    <x v="3"/>
    <x v="5"/>
    <x v="30"/>
    <x v="1"/>
    <x v="3"/>
    <n v="240.54528833838481"/>
  </r>
  <r>
    <x v="0"/>
    <x v="8"/>
    <x v="3"/>
    <x v="5"/>
    <x v="30"/>
    <x v="1"/>
    <x v="4"/>
    <n v="561.15418495846211"/>
  </r>
  <r>
    <x v="0"/>
    <x v="8"/>
    <x v="3"/>
    <x v="5"/>
    <x v="30"/>
    <x v="1"/>
    <x v="5"/>
    <n v="711.10580273935841"/>
  </r>
  <r>
    <x v="0"/>
    <x v="8"/>
    <x v="3"/>
    <x v="5"/>
    <x v="30"/>
    <x v="1"/>
    <x v="6"/>
    <n v="849.58428171049684"/>
  </r>
  <r>
    <x v="0"/>
    <x v="8"/>
    <x v="2"/>
    <x v="4"/>
    <x v="31"/>
    <x v="1"/>
    <x v="0"/>
    <n v="1.7545117473542724"/>
  </r>
  <r>
    <x v="0"/>
    <x v="8"/>
    <x v="2"/>
    <x v="4"/>
    <x v="31"/>
    <x v="1"/>
    <x v="1"/>
    <n v="8.316262438314169"/>
  </r>
  <r>
    <x v="0"/>
    <x v="8"/>
    <x v="2"/>
    <x v="4"/>
    <x v="31"/>
    <x v="1"/>
    <x v="2"/>
    <n v="38.938692031576707"/>
  </r>
  <r>
    <x v="0"/>
    <x v="8"/>
    <x v="2"/>
    <x v="4"/>
    <x v="31"/>
    <x v="1"/>
    <x v="3"/>
    <n v="180.70458472598082"/>
  </r>
  <r>
    <x v="0"/>
    <x v="8"/>
    <x v="2"/>
    <x v="4"/>
    <x v="31"/>
    <x v="1"/>
    <x v="4"/>
    <n v="684.08754246174237"/>
  </r>
  <r>
    <x v="0"/>
    <x v="8"/>
    <x v="2"/>
    <x v="4"/>
    <x v="31"/>
    <x v="1"/>
    <x v="5"/>
    <n v="1034.5569711612209"/>
  </r>
  <r>
    <x v="0"/>
    <x v="8"/>
    <x v="2"/>
    <x v="4"/>
    <x v="31"/>
    <x v="1"/>
    <x v="6"/>
    <n v="1495.8786085338991"/>
  </r>
  <r>
    <x v="0"/>
    <x v="8"/>
    <x v="2"/>
    <x v="4"/>
    <x v="32"/>
    <x v="1"/>
    <x v="0"/>
    <n v="0"/>
  </r>
  <r>
    <x v="0"/>
    <x v="8"/>
    <x v="2"/>
    <x v="4"/>
    <x v="32"/>
    <x v="1"/>
    <x v="1"/>
    <n v="0"/>
  </r>
  <r>
    <x v="0"/>
    <x v="8"/>
    <x v="2"/>
    <x v="4"/>
    <x v="32"/>
    <x v="1"/>
    <x v="2"/>
    <n v="0"/>
  </r>
  <r>
    <x v="0"/>
    <x v="8"/>
    <x v="2"/>
    <x v="4"/>
    <x v="32"/>
    <x v="1"/>
    <x v="3"/>
    <n v="0"/>
  </r>
  <r>
    <x v="0"/>
    <x v="8"/>
    <x v="2"/>
    <x v="4"/>
    <x v="32"/>
    <x v="1"/>
    <x v="4"/>
    <n v="342.7710551991305"/>
  </r>
  <r>
    <x v="0"/>
    <x v="8"/>
    <x v="2"/>
    <x v="4"/>
    <x v="32"/>
    <x v="1"/>
    <x v="5"/>
    <n v="434.82136640268357"/>
  </r>
  <r>
    <x v="0"/>
    <x v="8"/>
    <x v="2"/>
    <x v="4"/>
    <x v="32"/>
    <x v="1"/>
    <x v="6"/>
    <n v="0"/>
  </r>
  <r>
    <x v="0"/>
    <x v="8"/>
    <x v="2"/>
    <x v="4"/>
    <x v="33"/>
    <x v="1"/>
    <x v="0"/>
    <n v="1.1840841270100683E-7"/>
  </r>
  <r>
    <x v="0"/>
    <x v="8"/>
    <x v="2"/>
    <x v="4"/>
    <x v="33"/>
    <x v="1"/>
    <x v="1"/>
    <n v="9.5416723897220585E-7"/>
  </r>
  <r>
    <x v="0"/>
    <x v="8"/>
    <x v="2"/>
    <x v="4"/>
    <x v="33"/>
    <x v="1"/>
    <x v="2"/>
    <n v="1.3352716645843668E-5"/>
  </r>
  <r>
    <x v="0"/>
    <x v="8"/>
    <x v="2"/>
    <x v="4"/>
    <x v="33"/>
    <x v="1"/>
    <x v="3"/>
    <n v="4.2031628448518178E-5"/>
  </r>
  <r>
    <x v="0"/>
    <x v="8"/>
    <x v="2"/>
    <x v="4"/>
    <x v="33"/>
    <x v="1"/>
    <x v="4"/>
    <n v="1.8450800282166985E-4"/>
  </r>
  <r>
    <x v="0"/>
    <x v="8"/>
    <x v="2"/>
    <x v="4"/>
    <x v="33"/>
    <x v="1"/>
    <x v="5"/>
    <n v="2.7976905877074703E-4"/>
  </r>
  <r>
    <x v="0"/>
    <x v="8"/>
    <x v="2"/>
    <x v="4"/>
    <x v="33"/>
    <x v="1"/>
    <x v="6"/>
    <n v="6.1125028639105077E-4"/>
  </r>
  <r>
    <x v="0"/>
    <x v="8"/>
    <x v="2"/>
    <x v="4"/>
    <x v="34"/>
    <x v="1"/>
    <x v="0"/>
    <n v="1.3663952332678904"/>
  </r>
  <r>
    <x v="0"/>
    <x v="8"/>
    <x v="2"/>
    <x v="4"/>
    <x v="34"/>
    <x v="1"/>
    <x v="1"/>
    <n v="5.9491129193085968"/>
  </r>
  <r>
    <x v="0"/>
    <x v="8"/>
    <x v="2"/>
    <x v="4"/>
    <x v="34"/>
    <x v="1"/>
    <x v="2"/>
    <n v="26.180041030754293"/>
  </r>
  <r>
    <x v="0"/>
    <x v="8"/>
    <x v="2"/>
    <x v="4"/>
    <x v="34"/>
    <x v="1"/>
    <x v="3"/>
    <n v="102.08167284059004"/>
  </r>
  <r>
    <x v="0"/>
    <x v="8"/>
    <x v="2"/>
    <x v="4"/>
    <x v="34"/>
    <x v="1"/>
    <x v="4"/>
    <n v="180.94151214253347"/>
  </r>
  <r>
    <x v="0"/>
    <x v="8"/>
    <x v="2"/>
    <x v="4"/>
    <x v="34"/>
    <x v="1"/>
    <x v="5"/>
    <n v="278.51375913587549"/>
  </r>
  <r>
    <x v="0"/>
    <x v="8"/>
    <x v="2"/>
    <x v="4"/>
    <x v="34"/>
    <x v="1"/>
    <x v="6"/>
    <n v="512.30346535980607"/>
  </r>
  <r>
    <x v="0"/>
    <x v="8"/>
    <x v="2"/>
    <x v="6"/>
    <x v="35"/>
    <x v="1"/>
    <x v="0"/>
    <n v="13.362696100261022"/>
  </r>
  <r>
    <x v="0"/>
    <x v="8"/>
    <x v="2"/>
    <x v="6"/>
    <x v="35"/>
    <x v="1"/>
    <x v="1"/>
    <n v="27.069796053930524"/>
  </r>
  <r>
    <x v="0"/>
    <x v="8"/>
    <x v="2"/>
    <x v="6"/>
    <x v="35"/>
    <x v="1"/>
    <x v="2"/>
    <n v="57.931353775786576"/>
  </r>
  <r>
    <x v="0"/>
    <x v="8"/>
    <x v="2"/>
    <x v="6"/>
    <x v="35"/>
    <x v="1"/>
    <x v="3"/>
    <n v="117.26479416921823"/>
  </r>
  <r>
    <x v="0"/>
    <x v="8"/>
    <x v="2"/>
    <x v="6"/>
    <x v="35"/>
    <x v="1"/>
    <x v="4"/>
    <n v="167.13512250606576"/>
  </r>
  <r>
    <x v="0"/>
    <x v="8"/>
    <x v="2"/>
    <x v="6"/>
    <x v="35"/>
    <x v="1"/>
    <x v="5"/>
    <n v="266.5565295684172"/>
  </r>
  <r>
    <x v="0"/>
    <x v="8"/>
    <x v="2"/>
    <x v="6"/>
    <x v="35"/>
    <x v="1"/>
    <x v="6"/>
    <n v="317.14516392936099"/>
  </r>
  <r>
    <x v="0"/>
    <x v="8"/>
    <x v="2"/>
    <x v="6"/>
    <x v="36"/>
    <x v="1"/>
    <x v="0"/>
    <n v="32.562895931340897"/>
  </r>
  <r>
    <x v="0"/>
    <x v="8"/>
    <x v="2"/>
    <x v="6"/>
    <x v="36"/>
    <x v="1"/>
    <x v="1"/>
    <n v="65.383917076999836"/>
  </r>
  <r>
    <x v="0"/>
    <x v="8"/>
    <x v="2"/>
    <x v="6"/>
    <x v="36"/>
    <x v="1"/>
    <x v="2"/>
    <n v="144.76734272660883"/>
  </r>
  <r>
    <x v="0"/>
    <x v="8"/>
    <x v="2"/>
    <x v="6"/>
    <x v="36"/>
    <x v="1"/>
    <x v="3"/>
    <n v="315.94792479479088"/>
  </r>
  <r>
    <x v="0"/>
    <x v="8"/>
    <x v="2"/>
    <x v="6"/>
    <x v="36"/>
    <x v="1"/>
    <x v="4"/>
    <n v="431.76872724016022"/>
  </r>
  <r>
    <x v="0"/>
    <x v="8"/>
    <x v="2"/>
    <x v="6"/>
    <x v="36"/>
    <x v="1"/>
    <x v="5"/>
    <n v="709.43923714263792"/>
  </r>
  <r>
    <x v="0"/>
    <x v="8"/>
    <x v="2"/>
    <x v="6"/>
    <x v="36"/>
    <x v="1"/>
    <x v="6"/>
    <n v="965.71036613801095"/>
  </r>
  <r>
    <x v="0"/>
    <x v="8"/>
    <x v="2"/>
    <x v="6"/>
    <x v="37"/>
    <x v="1"/>
    <x v="0"/>
    <n v="14.271040916879706"/>
  </r>
  <r>
    <x v="0"/>
    <x v="8"/>
    <x v="2"/>
    <x v="6"/>
    <x v="37"/>
    <x v="1"/>
    <x v="1"/>
    <n v="31.104519618052269"/>
  </r>
  <r>
    <x v="0"/>
    <x v="8"/>
    <x v="2"/>
    <x v="6"/>
    <x v="37"/>
    <x v="1"/>
    <x v="2"/>
    <n v="63.070535146981861"/>
  </r>
  <r>
    <x v="0"/>
    <x v="8"/>
    <x v="2"/>
    <x v="6"/>
    <x v="37"/>
    <x v="1"/>
    <x v="3"/>
    <n v="128.23435883967599"/>
  </r>
  <r>
    <x v="0"/>
    <x v="8"/>
    <x v="2"/>
    <x v="6"/>
    <x v="37"/>
    <x v="1"/>
    <x v="4"/>
    <n v="167.41864397096145"/>
  </r>
  <r>
    <x v="0"/>
    <x v="8"/>
    <x v="2"/>
    <x v="6"/>
    <x v="37"/>
    <x v="1"/>
    <x v="5"/>
    <n v="275.35122626524668"/>
  </r>
  <r>
    <x v="0"/>
    <x v="8"/>
    <x v="2"/>
    <x v="6"/>
    <x v="37"/>
    <x v="1"/>
    <x v="6"/>
    <n v="371.70272832073402"/>
  </r>
  <r>
    <x v="0"/>
    <x v="8"/>
    <x v="2"/>
    <x v="6"/>
    <x v="38"/>
    <x v="1"/>
    <x v="0"/>
    <n v="10.668749462091672"/>
  </r>
  <r>
    <x v="0"/>
    <x v="8"/>
    <x v="2"/>
    <x v="6"/>
    <x v="38"/>
    <x v="1"/>
    <x v="1"/>
    <n v="26.159042243603274"/>
  </r>
  <r>
    <x v="0"/>
    <x v="8"/>
    <x v="2"/>
    <x v="6"/>
    <x v="38"/>
    <x v="1"/>
    <x v="2"/>
    <n v="62.46908198957172"/>
  </r>
  <r>
    <x v="0"/>
    <x v="8"/>
    <x v="2"/>
    <x v="6"/>
    <x v="38"/>
    <x v="1"/>
    <x v="3"/>
    <n v="139.41834352247389"/>
  </r>
  <r>
    <x v="0"/>
    <x v="8"/>
    <x v="2"/>
    <x v="6"/>
    <x v="38"/>
    <x v="1"/>
    <x v="4"/>
    <n v="192.22720883117751"/>
  </r>
  <r>
    <x v="0"/>
    <x v="8"/>
    <x v="2"/>
    <x v="6"/>
    <x v="38"/>
    <x v="1"/>
    <x v="5"/>
    <n v="314.4208520634906"/>
  </r>
  <r>
    <x v="0"/>
    <x v="8"/>
    <x v="2"/>
    <x v="6"/>
    <x v="38"/>
    <x v="1"/>
    <x v="6"/>
    <n v="398.22281960987527"/>
  </r>
  <r>
    <x v="0"/>
    <x v="8"/>
    <x v="3"/>
    <x v="5"/>
    <x v="39"/>
    <x v="1"/>
    <x v="0"/>
    <n v="4.7450669585465342"/>
  </r>
  <r>
    <x v="0"/>
    <x v="8"/>
    <x v="3"/>
    <x v="5"/>
    <x v="39"/>
    <x v="1"/>
    <x v="1"/>
    <n v="10.225973776879616"/>
  </r>
  <r>
    <x v="0"/>
    <x v="8"/>
    <x v="3"/>
    <x v="5"/>
    <x v="39"/>
    <x v="1"/>
    <x v="2"/>
    <n v="57.259651393271568"/>
  </r>
  <r>
    <x v="0"/>
    <x v="8"/>
    <x v="3"/>
    <x v="5"/>
    <x v="39"/>
    <x v="1"/>
    <x v="3"/>
    <n v="243.03620434826612"/>
  </r>
  <r>
    <x v="0"/>
    <x v="8"/>
    <x v="3"/>
    <x v="5"/>
    <x v="39"/>
    <x v="1"/>
    <x v="4"/>
    <n v="489.45092904095247"/>
  </r>
  <r>
    <x v="0"/>
    <x v="8"/>
    <x v="3"/>
    <x v="5"/>
    <x v="39"/>
    <x v="1"/>
    <x v="5"/>
    <n v="562.04323856085193"/>
  </r>
  <r>
    <x v="0"/>
    <x v="8"/>
    <x v="3"/>
    <x v="5"/>
    <x v="39"/>
    <x v="1"/>
    <x v="6"/>
    <n v="665.54797895955005"/>
  </r>
  <r>
    <x v="0"/>
    <x v="8"/>
    <x v="2"/>
    <x v="6"/>
    <x v="40"/>
    <x v="1"/>
    <x v="0"/>
    <n v="21.172278530357154"/>
  </r>
  <r>
    <x v="0"/>
    <x v="8"/>
    <x v="2"/>
    <x v="6"/>
    <x v="40"/>
    <x v="1"/>
    <x v="1"/>
    <n v="49.781235937078748"/>
  </r>
  <r>
    <x v="0"/>
    <x v="8"/>
    <x v="2"/>
    <x v="6"/>
    <x v="40"/>
    <x v="1"/>
    <x v="2"/>
    <n v="114.11068135493495"/>
  </r>
  <r>
    <x v="0"/>
    <x v="8"/>
    <x v="2"/>
    <x v="6"/>
    <x v="40"/>
    <x v="1"/>
    <x v="3"/>
    <n v="249.09424334701106"/>
  </r>
  <r>
    <x v="0"/>
    <x v="8"/>
    <x v="2"/>
    <x v="6"/>
    <x v="40"/>
    <x v="1"/>
    <x v="4"/>
    <n v="355.19883143252264"/>
  </r>
  <r>
    <x v="0"/>
    <x v="8"/>
    <x v="2"/>
    <x v="6"/>
    <x v="40"/>
    <x v="1"/>
    <x v="5"/>
    <n v="595.70549433476117"/>
  </r>
  <r>
    <x v="0"/>
    <x v="8"/>
    <x v="2"/>
    <x v="6"/>
    <x v="40"/>
    <x v="1"/>
    <x v="6"/>
    <n v="756.76208316154225"/>
  </r>
  <r>
    <x v="0"/>
    <x v="8"/>
    <x v="2"/>
    <x v="6"/>
    <x v="41"/>
    <x v="1"/>
    <x v="0"/>
    <n v="31.918267328464559"/>
  </r>
  <r>
    <x v="0"/>
    <x v="8"/>
    <x v="2"/>
    <x v="6"/>
    <x v="41"/>
    <x v="1"/>
    <x v="1"/>
    <n v="72.339414685742042"/>
  </r>
  <r>
    <x v="0"/>
    <x v="8"/>
    <x v="2"/>
    <x v="6"/>
    <x v="41"/>
    <x v="1"/>
    <x v="2"/>
    <n v="168.19134433247888"/>
  </r>
  <r>
    <x v="0"/>
    <x v="8"/>
    <x v="2"/>
    <x v="6"/>
    <x v="41"/>
    <x v="1"/>
    <x v="3"/>
    <n v="374.22742350113009"/>
  </r>
  <r>
    <x v="0"/>
    <x v="8"/>
    <x v="2"/>
    <x v="6"/>
    <x v="41"/>
    <x v="1"/>
    <x v="4"/>
    <n v="526.40637119262578"/>
  </r>
  <r>
    <x v="0"/>
    <x v="8"/>
    <x v="2"/>
    <x v="6"/>
    <x v="41"/>
    <x v="1"/>
    <x v="5"/>
    <n v="893.15894468610679"/>
  </r>
  <r>
    <x v="0"/>
    <x v="8"/>
    <x v="2"/>
    <x v="6"/>
    <x v="41"/>
    <x v="1"/>
    <x v="6"/>
    <n v="1119.5831683849558"/>
  </r>
  <r>
    <x v="0"/>
    <x v="8"/>
    <x v="2"/>
    <x v="6"/>
    <x v="42"/>
    <x v="1"/>
    <x v="0"/>
    <n v="25.894188403465815"/>
  </r>
  <r>
    <x v="0"/>
    <x v="8"/>
    <x v="2"/>
    <x v="6"/>
    <x v="42"/>
    <x v="1"/>
    <x v="1"/>
    <n v="57.011224912091848"/>
  </r>
  <r>
    <x v="0"/>
    <x v="8"/>
    <x v="2"/>
    <x v="6"/>
    <x v="42"/>
    <x v="1"/>
    <x v="2"/>
    <n v="127.66236733318367"/>
  </r>
  <r>
    <x v="0"/>
    <x v="8"/>
    <x v="2"/>
    <x v="6"/>
    <x v="42"/>
    <x v="1"/>
    <x v="3"/>
    <n v="268.1355526104154"/>
  </r>
  <r>
    <x v="0"/>
    <x v="8"/>
    <x v="2"/>
    <x v="6"/>
    <x v="42"/>
    <x v="1"/>
    <x v="4"/>
    <n v="378.91639883201913"/>
  </r>
  <r>
    <x v="0"/>
    <x v="8"/>
    <x v="2"/>
    <x v="6"/>
    <x v="42"/>
    <x v="1"/>
    <x v="5"/>
    <n v="643.04118218726762"/>
  </r>
  <r>
    <x v="0"/>
    <x v="8"/>
    <x v="2"/>
    <x v="6"/>
    <x v="42"/>
    <x v="1"/>
    <x v="6"/>
    <n v="898.54560390527854"/>
  </r>
  <r>
    <x v="0"/>
    <x v="8"/>
    <x v="2"/>
    <x v="6"/>
    <x v="43"/>
    <x v="1"/>
    <x v="0"/>
    <n v="33.765059300473119"/>
  </r>
  <r>
    <x v="0"/>
    <x v="8"/>
    <x v="2"/>
    <x v="6"/>
    <x v="43"/>
    <x v="1"/>
    <x v="1"/>
    <n v="78.569520890488434"/>
  </r>
  <r>
    <x v="0"/>
    <x v="8"/>
    <x v="2"/>
    <x v="6"/>
    <x v="43"/>
    <x v="1"/>
    <x v="2"/>
    <n v="158.67328694938334"/>
  </r>
  <r>
    <x v="0"/>
    <x v="8"/>
    <x v="2"/>
    <x v="6"/>
    <x v="43"/>
    <x v="1"/>
    <x v="3"/>
    <n v="300.98006504509289"/>
  </r>
  <r>
    <x v="0"/>
    <x v="8"/>
    <x v="2"/>
    <x v="6"/>
    <x v="43"/>
    <x v="1"/>
    <x v="4"/>
    <n v="358.14099309705489"/>
  </r>
  <r>
    <x v="0"/>
    <x v="8"/>
    <x v="2"/>
    <x v="6"/>
    <x v="43"/>
    <x v="1"/>
    <x v="5"/>
    <n v="519.22305898167747"/>
  </r>
  <r>
    <x v="0"/>
    <x v="8"/>
    <x v="2"/>
    <x v="6"/>
    <x v="43"/>
    <x v="1"/>
    <x v="6"/>
    <n v="655.82460366595137"/>
  </r>
  <r>
    <x v="0"/>
    <x v="5"/>
    <x v="4"/>
    <x v="7"/>
    <x v="61"/>
    <x v="1"/>
    <x v="0"/>
    <n v="0"/>
  </r>
  <r>
    <x v="0"/>
    <x v="5"/>
    <x v="4"/>
    <x v="7"/>
    <x v="61"/>
    <x v="1"/>
    <x v="1"/>
    <n v="0"/>
  </r>
  <r>
    <x v="0"/>
    <x v="5"/>
    <x v="4"/>
    <x v="7"/>
    <x v="61"/>
    <x v="1"/>
    <x v="2"/>
    <n v="0"/>
  </r>
  <r>
    <x v="0"/>
    <x v="5"/>
    <x v="4"/>
    <x v="7"/>
    <x v="61"/>
    <x v="1"/>
    <x v="3"/>
    <n v="0"/>
  </r>
  <r>
    <x v="0"/>
    <x v="5"/>
    <x v="4"/>
    <x v="7"/>
    <x v="61"/>
    <x v="1"/>
    <x v="4"/>
    <n v="0"/>
  </r>
  <r>
    <x v="0"/>
    <x v="5"/>
    <x v="4"/>
    <x v="7"/>
    <x v="61"/>
    <x v="1"/>
    <x v="5"/>
    <n v="0"/>
  </r>
  <r>
    <x v="0"/>
    <x v="5"/>
    <x v="4"/>
    <x v="7"/>
    <x v="61"/>
    <x v="1"/>
    <x v="6"/>
    <n v="0"/>
  </r>
  <r>
    <x v="0"/>
    <x v="5"/>
    <x v="4"/>
    <x v="7"/>
    <x v="62"/>
    <x v="1"/>
    <x v="0"/>
    <n v="0"/>
  </r>
  <r>
    <x v="0"/>
    <x v="5"/>
    <x v="4"/>
    <x v="7"/>
    <x v="62"/>
    <x v="1"/>
    <x v="1"/>
    <n v="0"/>
  </r>
  <r>
    <x v="0"/>
    <x v="5"/>
    <x v="4"/>
    <x v="7"/>
    <x v="62"/>
    <x v="1"/>
    <x v="2"/>
    <n v="0"/>
  </r>
  <r>
    <x v="0"/>
    <x v="5"/>
    <x v="4"/>
    <x v="7"/>
    <x v="62"/>
    <x v="1"/>
    <x v="3"/>
    <n v="0"/>
  </r>
  <r>
    <x v="0"/>
    <x v="5"/>
    <x v="4"/>
    <x v="7"/>
    <x v="62"/>
    <x v="1"/>
    <x v="4"/>
    <n v="0"/>
  </r>
  <r>
    <x v="0"/>
    <x v="5"/>
    <x v="4"/>
    <x v="7"/>
    <x v="62"/>
    <x v="1"/>
    <x v="5"/>
    <n v="0"/>
  </r>
  <r>
    <x v="0"/>
    <x v="5"/>
    <x v="4"/>
    <x v="7"/>
    <x v="62"/>
    <x v="1"/>
    <x v="6"/>
    <n v="0"/>
  </r>
  <r>
    <x v="0"/>
    <x v="5"/>
    <x v="4"/>
    <x v="7"/>
    <x v="63"/>
    <x v="1"/>
    <x v="0"/>
    <n v="1.1802566603100983"/>
  </r>
  <r>
    <x v="0"/>
    <x v="5"/>
    <x v="4"/>
    <x v="7"/>
    <x v="63"/>
    <x v="1"/>
    <x v="1"/>
    <n v="3.8041423039796283"/>
  </r>
  <r>
    <x v="0"/>
    <x v="5"/>
    <x v="4"/>
    <x v="7"/>
    <x v="63"/>
    <x v="1"/>
    <x v="2"/>
    <n v="12.126548972192325"/>
  </r>
  <r>
    <x v="0"/>
    <x v="5"/>
    <x v="4"/>
    <x v="7"/>
    <x v="63"/>
    <x v="1"/>
    <x v="3"/>
    <n v="40.280678708045563"/>
  </r>
  <r>
    <x v="0"/>
    <x v="5"/>
    <x v="4"/>
    <x v="7"/>
    <x v="63"/>
    <x v="1"/>
    <x v="4"/>
    <n v="131.86349617563255"/>
  </r>
  <r>
    <x v="0"/>
    <x v="5"/>
    <x v="4"/>
    <x v="7"/>
    <x v="63"/>
    <x v="1"/>
    <x v="5"/>
    <n v="358.60043482074821"/>
  </r>
  <r>
    <x v="0"/>
    <x v="5"/>
    <x v="4"/>
    <x v="7"/>
    <x v="63"/>
    <x v="1"/>
    <x v="6"/>
    <n v="848.26918059715092"/>
  </r>
  <r>
    <x v="0"/>
    <x v="5"/>
    <x v="4"/>
    <x v="7"/>
    <x v="64"/>
    <x v="1"/>
    <x v="0"/>
    <n v="4333.0061763714102"/>
  </r>
  <r>
    <x v="0"/>
    <x v="5"/>
    <x v="4"/>
    <x v="7"/>
    <x v="64"/>
    <x v="1"/>
    <x v="1"/>
    <n v="8833.4443455424716"/>
  </r>
  <r>
    <x v="0"/>
    <x v="5"/>
    <x v="4"/>
    <x v="7"/>
    <x v="64"/>
    <x v="1"/>
    <x v="2"/>
    <n v="21969.93692186493"/>
  </r>
  <r>
    <x v="0"/>
    <x v="5"/>
    <x v="4"/>
    <x v="7"/>
    <x v="64"/>
    <x v="1"/>
    <x v="3"/>
    <n v="55456.135905053059"/>
  </r>
  <r>
    <x v="0"/>
    <x v="5"/>
    <x v="4"/>
    <x v="7"/>
    <x v="64"/>
    <x v="1"/>
    <x v="4"/>
    <n v="106817.38532705689"/>
  </r>
  <r>
    <x v="0"/>
    <x v="5"/>
    <x v="4"/>
    <x v="7"/>
    <x v="64"/>
    <x v="1"/>
    <x v="5"/>
    <n v="209842.36353350081"/>
  </r>
  <r>
    <x v="0"/>
    <x v="5"/>
    <x v="4"/>
    <x v="7"/>
    <x v="64"/>
    <x v="1"/>
    <x v="6"/>
    <n v="442223.00773843523"/>
  </r>
  <r>
    <x v="0"/>
    <x v="8"/>
    <x v="4"/>
    <x v="7"/>
    <x v="44"/>
    <x v="1"/>
    <x v="0"/>
    <n v="408.29818842448486"/>
  </r>
  <r>
    <x v="0"/>
    <x v="8"/>
    <x v="4"/>
    <x v="7"/>
    <x v="44"/>
    <x v="1"/>
    <x v="1"/>
    <n v="1532.426749003939"/>
  </r>
  <r>
    <x v="0"/>
    <x v="8"/>
    <x v="4"/>
    <x v="7"/>
    <x v="44"/>
    <x v="1"/>
    <x v="2"/>
    <n v="5893.7016774926151"/>
  </r>
  <r>
    <x v="0"/>
    <x v="8"/>
    <x v="4"/>
    <x v="7"/>
    <x v="44"/>
    <x v="1"/>
    <x v="3"/>
    <n v="23055.606178051028"/>
  </r>
  <r>
    <x v="0"/>
    <x v="8"/>
    <x v="4"/>
    <x v="7"/>
    <x v="44"/>
    <x v="1"/>
    <x v="4"/>
    <n v="35504.965041848751"/>
  </r>
  <r>
    <x v="0"/>
    <x v="8"/>
    <x v="4"/>
    <x v="7"/>
    <x v="44"/>
    <x v="1"/>
    <x v="5"/>
    <n v="56202.829180793677"/>
  </r>
  <r>
    <x v="0"/>
    <x v="8"/>
    <x v="4"/>
    <x v="7"/>
    <x v="44"/>
    <x v="1"/>
    <x v="6"/>
    <n v="113715.78765147376"/>
  </r>
  <r>
    <x v="0"/>
    <x v="8"/>
    <x v="4"/>
    <x v="7"/>
    <x v="45"/>
    <x v="1"/>
    <x v="0"/>
    <n v="0"/>
  </r>
  <r>
    <x v="0"/>
    <x v="8"/>
    <x v="4"/>
    <x v="7"/>
    <x v="45"/>
    <x v="1"/>
    <x v="1"/>
    <n v="0"/>
  </r>
  <r>
    <x v="0"/>
    <x v="8"/>
    <x v="4"/>
    <x v="7"/>
    <x v="45"/>
    <x v="1"/>
    <x v="2"/>
    <n v="0"/>
  </r>
  <r>
    <x v="0"/>
    <x v="8"/>
    <x v="4"/>
    <x v="7"/>
    <x v="45"/>
    <x v="1"/>
    <x v="3"/>
    <n v="0"/>
  </r>
  <r>
    <x v="0"/>
    <x v="8"/>
    <x v="4"/>
    <x v="7"/>
    <x v="45"/>
    <x v="1"/>
    <x v="4"/>
    <n v="0"/>
  </r>
  <r>
    <x v="0"/>
    <x v="8"/>
    <x v="4"/>
    <x v="7"/>
    <x v="45"/>
    <x v="1"/>
    <x v="5"/>
    <n v="0"/>
  </r>
  <r>
    <x v="0"/>
    <x v="8"/>
    <x v="4"/>
    <x v="7"/>
    <x v="45"/>
    <x v="1"/>
    <x v="6"/>
    <n v="0"/>
  </r>
  <r>
    <x v="0"/>
    <x v="8"/>
    <x v="4"/>
    <x v="7"/>
    <x v="46"/>
    <x v="1"/>
    <x v="0"/>
    <n v="0"/>
  </r>
  <r>
    <x v="0"/>
    <x v="8"/>
    <x v="4"/>
    <x v="7"/>
    <x v="46"/>
    <x v="1"/>
    <x v="1"/>
    <n v="0"/>
  </r>
  <r>
    <x v="0"/>
    <x v="8"/>
    <x v="4"/>
    <x v="7"/>
    <x v="46"/>
    <x v="1"/>
    <x v="2"/>
    <n v="0"/>
  </r>
  <r>
    <x v="0"/>
    <x v="8"/>
    <x v="4"/>
    <x v="7"/>
    <x v="46"/>
    <x v="1"/>
    <x v="3"/>
    <n v="0"/>
  </r>
  <r>
    <x v="0"/>
    <x v="8"/>
    <x v="4"/>
    <x v="7"/>
    <x v="46"/>
    <x v="1"/>
    <x v="4"/>
    <n v="0"/>
  </r>
  <r>
    <x v="0"/>
    <x v="8"/>
    <x v="4"/>
    <x v="7"/>
    <x v="46"/>
    <x v="1"/>
    <x v="5"/>
    <n v="0"/>
  </r>
  <r>
    <x v="0"/>
    <x v="8"/>
    <x v="4"/>
    <x v="7"/>
    <x v="46"/>
    <x v="1"/>
    <x v="6"/>
    <n v="0"/>
  </r>
  <r>
    <x v="0"/>
    <x v="8"/>
    <x v="5"/>
    <x v="8"/>
    <x v="51"/>
    <x v="1"/>
    <x v="0"/>
    <n v="0"/>
  </r>
  <r>
    <x v="0"/>
    <x v="8"/>
    <x v="5"/>
    <x v="8"/>
    <x v="51"/>
    <x v="1"/>
    <x v="1"/>
    <n v="0"/>
  </r>
  <r>
    <x v="0"/>
    <x v="8"/>
    <x v="5"/>
    <x v="8"/>
    <x v="51"/>
    <x v="1"/>
    <x v="2"/>
    <n v="0"/>
  </r>
  <r>
    <x v="0"/>
    <x v="8"/>
    <x v="5"/>
    <x v="8"/>
    <x v="51"/>
    <x v="1"/>
    <x v="3"/>
    <n v="0.19967355200665993"/>
  </r>
  <r>
    <x v="0"/>
    <x v="8"/>
    <x v="5"/>
    <x v="8"/>
    <x v="51"/>
    <x v="1"/>
    <x v="4"/>
    <n v="1.451469783872521"/>
  </r>
  <r>
    <x v="0"/>
    <x v="8"/>
    <x v="5"/>
    <x v="8"/>
    <x v="51"/>
    <x v="1"/>
    <x v="5"/>
    <n v="2.4012097803951735"/>
  </r>
  <r>
    <x v="0"/>
    <x v="8"/>
    <x v="5"/>
    <x v="8"/>
    <x v="51"/>
    <x v="1"/>
    <x v="6"/>
    <n v="2.5419819107751587"/>
  </r>
  <r>
    <x v="0"/>
    <x v="8"/>
    <x v="3"/>
    <x v="5"/>
    <x v="52"/>
    <x v="1"/>
    <x v="0"/>
    <n v="7.1958890190507111E-3"/>
  </r>
  <r>
    <x v="0"/>
    <x v="8"/>
    <x v="3"/>
    <x v="5"/>
    <x v="52"/>
    <x v="1"/>
    <x v="1"/>
    <n v="7.059974315354324E-2"/>
  </r>
  <r>
    <x v="0"/>
    <x v="8"/>
    <x v="3"/>
    <x v="5"/>
    <x v="52"/>
    <x v="1"/>
    <x v="2"/>
    <n v="1.1918831290374863"/>
  </r>
  <r>
    <x v="0"/>
    <x v="8"/>
    <x v="3"/>
    <x v="5"/>
    <x v="52"/>
    <x v="1"/>
    <x v="3"/>
    <n v="10.097572517194113"/>
  </r>
  <r>
    <x v="0"/>
    <x v="8"/>
    <x v="3"/>
    <x v="5"/>
    <x v="52"/>
    <x v="1"/>
    <x v="4"/>
    <n v="74.850492143681322"/>
  </r>
  <r>
    <x v="0"/>
    <x v="8"/>
    <x v="3"/>
    <x v="5"/>
    <x v="52"/>
    <x v="1"/>
    <x v="5"/>
    <n v="110.96410066084853"/>
  </r>
  <r>
    <x v="0"/>
    <x v="8"/>
    <x v="3"/>
    <x v="5"/>
    <x v="52"/>
    <x v="1"/>
    <x v="6"/>
    <n v="215.38901182371347"/>
  </r>
  <r>
    <x v="0"/>
    <x v="8"/>
    <x v="5"/>
    <x v="8"/>
    <x v="53"/>
    <x v="1"/>
    <x v="0"/>
    <n v="44.568975982264291"/>
  </r>
  <r>
    <x v="0"/>
    <x v="8"/>
    <x v="5"/>
    <x v="8"/>
    <x v="53"/>
    <x v="1"/>
    <x v="1"/>
    <n v="303.19784941569816"/>
  </r>
  <r>
    <x v="0"/>
    <x v="8"/>
    <x v="5"/>
    <x v="8"/>
    <x v="53"/>
    <x v="1"/>
    <x v="2"/>
    <n v="640.40164663186044"/>
  </r>
  <r>
    <x v="0"/>
    <x v="8"/>
    <x v="5"/>
    <x v="8"/>
    <x v="53"/>
    <x v="1"/>
    <x v="3"/>
    <n v="1129.0582309582142"/>
  </r>
  <r>
    <x v="0"/>
    <x v="8"/>
    <x v="5"/>
    <x v="8"/>
    <x v="53"/>
    <x v="1"/>
    <x v="4"/>
    <n v="1919.9052342432624"/>
  </r>
  <r>
    <x v="0"/>
    <x v="8"/>
    <x v="5"/>
    <x v="8"/>
    <x v="53"/>
    <x v="1"/>
    <x v="5"/>
    <n v="3029.7683638227431"/>
  </r>
  <r>
    <x v="0"/>
    <x v="8"/>
    <x v="5"/>
    <x v="8"/>
    <x v="53"/>
    <x v="1"/>
    <x v="6"/>
    <n v="4142.5765822155972"/>
  </r>
  <r>
    <x v="0"/>
    <x v="8"/>
    <x v="4"/>
    <x v="7"/>
    <x v="47"/>
    <x v="1"/>
    <x v="0"/>
    <n v="0"/>
  </r>
  <r>
    <x v="0"/>
    <x v="8"/>
    <x v="4"/>
    <x v="7"/>
    <x v="47"/>
    <x v="1"/>
    <x v="1"/>
    <n v="0"/>
  </r>
  <r>
    <x v="0"/>
    <x v="8"/>
    <x v="4"/>
    <x v="7"/>
    <x v="47"/>
    <x v="1"/>
    <x v="2"/>
    <n v="0"/>
  </r>
  <r>
    <x v="0"/>
    <x v="8"/>
    <x v="4"/>
    <x v="7"/>
    <x v="47"/>
    <x v="1"/>
    <x v="3"/>
    <n v="0"/>
  </r>
  <r>
    <x v="0"/>
    <x v="8"/>
    <x v="4"/>
    <x v="7"/>
    <x v="47"/>
    <x v="1"/>
    <x v="4"/>
    <n v="0"/>
  </r>
  <r>
    <x v="0"/>
    <x v="8"/>
    <x v="4"/>
    <x v="7"/>
    <x v="47"/>
    <x v="1"/>
    <x v="5"/>
    <n v="0"/>
  </r>
  <r>
    <x v="0"/>
    <x v="8"/>
    <x v="4"/>
    <x v="7"/>
    <x v="47"/>
    <x v="1"/>
    <x v="6"/>
    <n v="0"/>
  </r>
  <r>
    <x v="0"/>
    <x v="8"/>
    <x v="4"/>
    <x v="7"/>
    <x v="48"/>
    <x v="1"/>
    <x v="0"/>
    <n v="0"/>
  </r>
  <r>
    <x v="0"/>
    <x v="8"/>
    <x v="4"/>
    <x v="7"/>
    <x v="48"/>
    <x v="1"/>
    <x v="1"/>
    <n v="0"/>
  </r>
  <r>
    <x v="0"/>
    <x v="8"/>
    <x v="4"/>
    <x v="7"/>
    <x v="48"/>
    <x v="1"/>
    <x v="2"/>
    <n v="0"/>
  </r>
  <r>
    <x v="0"/>
    <x v="8"/>
    <x v="4"/>
    <x v="7"/>
    <x v="48"/>
    <x v="1"/>
    <x v="3"/>
    <n v="0"/>
  </r>
  <r>
    <x v="0"/>
    <x v="8"/>
    <x v="4"/>
    <x v="7"/>
    <x v="48"/>
    <x v="1"/>
    <x v="4"/>
    <n v="0"/>
  </r>
  <r>
    <x v="0"/>
    <x v="8"/>
    <x v="4"/>
    <x v="7"/>
    <x v="48"/>
    <x v="1"/>
    <x v="5"/>
    <n v="0"/>
  </r>
  <r>
    <x v="0"/>
    <x v="8"/>
    <x v="4"/>
    <x v="7"/>
    <x v="48"/>
    <x v="1"/>
    <x v="6"/>
    <n v="0"/>
  </r>
  <r>
    <x v="0"/>
    <x v="8"/>
    <x v="4"/>
    <x v="7"/>
    <x v="49"/>
    <x v="1"/>
    <x v="0"/>
    <n v="0"/>
  </r>
  <r>
    <x v="0"/>
    <x v="8"/>
    <x v="4"/>
    <x v="7"/>
    <x v="49"/>
    <x v="1"/>
    <x v="1"/>
    <n v="0"/>
  </r>
  <r>
    <x v="0"/>
    <x v="8"/>
    <x v="4"/>
    <x v="7"/>
    <x v="49"/>
    <x v="1"/>
    <x v="2"/>
    <n v="0"/>
  </r>
  <r>
    <x v="0"/>
    <x v="8"/>
    <x v="4"/>
    <x v="7"/>
    <x v="49"/>
    <x v="1"/>
    <x v="3"/>
    <n v="0"/>
  </r>
  <r>
    <x v="0"/>
    <x v="8"/>
    <x v="4"/>
    <x v="7"/>
    <x v="49"/>
    <x v="1"/>
    <x v="4"/>
    <n v="0"/>
  </r>
  <r>
    <x v="0"/>
    <x v="8"/>
    <x v="4"/>
    <x v="7"/>
    <x v="49"/>
    <x v="1"/>
    <x v="5"/>
    <n v="0"/>
  </r>
  <r>
    <x v="0"/>
    <x v="8"/>
    <x v="4"/>
    <x v="7"/>
    <x v="49"/>
    <x v="1"/>
    <x v="6"/>
    <n v="0"/>
  </r>
  <r>
    <x v="0"/>
    <x v="8"/>
    <x v="4"/>
    <x v="7"/>
    <x v="50"/>
    <x v="1"/>
    <x v="0"/>
    <n v="0"/>
  </r>
  <r>
    <x v="0"/>
    <x v="8"/>
    <x v="4"/>
    <x v="7"/>
    <x v="50"/>
    <x v="1"/>
    <x v="1"/>
    <n v="0"/>
  </r>
  <r>
    <x v="0"/>
    <x v="8"/>
    <x v="4"/>
    <x v="7"/>
    <x v="50"/>
    <x v="1"/>
    <x v="2"/>
    <n v="0"/>
  </r>
  <r>
    <x v="0"/>
    <x v="8"/>
    <x v="4"/>
    <x v="7"/>
    <x v="50"/>
    <x v="1"/>
    <x v="3"/>
    <n v="0"/>
  </r>
  <r>
    <x v="0"/>
    <x v="8"/>
    <x v="4"/>
    <x v="7"/>
    <x v="50"/>
    <x v="1"/>
    <x v="4"/>
    <n v="0"/>
  </r>
  <r>
    <x v="0"/>
    <x v="8"/>
    <x v="4"/>
    <x v="7"/>
    <x v="50"/>
    <x v="1"/>
    <x v="5"/>
    <n v="0"/>
  </r>
  <r>
    <x v="0"/>
    <x v="8"/>
    <x v="4"/>
    <x v="7"/>
    <x v="50"/>
    <x v="1"/>
    <x v="6"/>
    <n v="0"/>
  </r>
  <r>
    <x v="0"/>
    <x v="8"/>
    <x v="4"/>
    <x v="7"/>
    <x v="54"/>
    <x v="1"/>
    <x v="0"/>
    <n v="0"/>
  </r>
  <r>
    <x v="0"/>
    <x v="8"/>
    <x v="4"/>
    <x v="7"/>
    <x v="54"/>
    <x v="1"/>
    <x v="1"/>
    <n v="0"/>
  </r>
  <r>
    <x v="0"/>
    <x v="8"/>
    <x v="4"/>
    <x v="7"/>
    <x v="54"/>
    <x v="1"/>
    <x v="2"/>
    <n v="0"/>
  </r>
  <r>
    <x v="0"/>
    <x v="8"/>
    <x v="4"/>
    <x v="7"/>
    <x v="54"/>
    <x v="1"/>
    <x v="3"/>
    <n v="0"/>
  </r>
  <r>
    <x v="0"/>
    <x v="8"/>
    <x v="4"/>
    <x v="7"/>
    <x v="54"/>
    <x v="1"/>
    <x v="4"/>
    <n v="0"/>
  </r>
  <r>
    <x v="0"/>
    <x v="8"/>
    <x v="4"/>
    <x v="7"/>
    <x v="54"/>
    <x v="1"/>
    <x v="5"/>
    <n v="0"/>
  </r>
  <r>
    <x v="0"/>
    <x v="8"/>
    <x v="4"/>
    <x v="7"/>
    <x v="54"/>
    <x v="1"/>
    <x v="6"/>
    <n v="0"/>
  </r>
  <r>
    <x v="0"/>
    <x v="8"/>
    <x v="4"/>
    <x v="7"/>
    <x v="55"/>
    <x v="1"/>
    <x v="0"/>
    <n v="0"/>
  </r>
  <r>
    <x v="0"/>
    <x v="8"/>
    <x v="4"/>
    <x v="7"/>
    <x v="55"/>
    <x v="1"/>
    <x v="1"/>
    <n v="0"/>
  </r>
  <r>
    <x v="0"/>
    <x v="8"/>
    <x v="4"/>
    <x v="7"/>
    <x v="55"/>
    <x v="1"/>
    <x v="2"/>
    <n v="0"/>
  </r>
  <r>
    <x v="0"/>
    <x v="8"/>
    <x v="4"/>
    <x v="7"/>
    <x v="55"/>
    <x v="1"/>
    <x v="3"/>
    <n v="0"/>
  </r>
  <r>
    <x v="0"/>
    <x v="8"/>
    <x v="4"/>
    <x v="7"/>
    <x v="55"/>
    <x v="1"/>
    <x v="4"/>
    <n v="0"/>
  </r>
  <r>
    <x v="0"/>
    <x v="8"/>
    <x v="4"/>
    <x v="7"/>
    <x v="55"/>
    <x v="1"/>
    <x v="5"/>
    <n v="0"/>
  </r>
  <r>
    <x v="0"/>
    <x v="8"/>
    <x v="4"/>
    <x v="7"/>
    <x v="55"/>
    <x v="1"/>
    <x v="6"/>
    <n v="0"/>
  </r>
  <r>
    <x v="0"/>
    <x v="8"/>
    <x v="4"/>
    <x v="7"/>
    <x v="56"/>
    <x v="1"/>
    <x v="0"/>
    <n v="0"/>
  </r>
  <r>
    <x v="0"/>
    <x v="8"/>
    <x v="4"/>
    <x v="7"/>
    <x v="56"/>
    <x v="1"/>
    <x v="1"/>
    <n v="0"/>
  </r>
  <r>
    <x v="0"/>
    <x v="8"/>
    <x v="4"/>
    <x v="7"/>
    <x v="56"/>
    <x v="1"/>
    <x v="2"/>
    <n v="0"/>
  </r>
  <r>
    <x v="0"/>
    <x v="8"/>
    <x v="4"/>
    <x v="7"/>
    <x v="56"/>
    <x v="1"/>
    <x v="3"/>
    <n v="0"/>
  </r>
  <r>
    <x v="0"/>
    <x v="8"/>
    <x v="4"/>
    <x v="7"/>
    <x v="56"/>
    <x v="1"/>
    <x v="4"/>
    <n v="0"/>
  </r>
  <r>
    <x v="0"/>
    <x v="8"/>
    <x v="4"/>
    <x v="7"/>
    <x v="56"/>
    <x v="1"/>
    <x v="5"/>
    <n v="0"/>
  </r>
  <r>
    <x v="0"/>
    <x v="8"/>
    <x v="4"/>
    <x v="7"/>
    <x v="56"/>
    <x v="1"/>
    <x v="6"/>
    <n v="0"/>
  </r>
  <r>
    <x v="0"/>
    <x v="8"/>
    <x v="4"/>
    <x v="7"/>
    <x v="57"/>
    <x v="1"/>
    <x v="0"/>
    <n v="64.409266245083614"/>
  </r>
  <r>
    <x v="0"/>
    <x v="8"/>
    <x v="4"/>
    <x v="7"/>
    <x v="57"/>
    <x v="1"/>
    <x v="1"/>
    <n v="140.26811628741865"/>
  </r>
  <r>
    <x v="0"/>
    <x v="8"/>
    <x v="4"/>
    <x v="7"/>
    <x v="57"/>
    <x v="1"/>
    <x v="2"/>
    <n v="286.58120456414281"/>
  </r>
  <r>
    <x v="0"/>
    <x v="8"/>
    <x v="4"/>
    <x v="7"/>
    <x v="57"/>
    <x v="1"/>
    <x v="3"/>
    <n v="1019.6485268142621"/>
  </r>
  <r>
    <x v="0"/>
    <x v="8"/>
    <x v="4"/>
    <x v="7"/>
    <x v="57"/>
    <x v="1"/>
    <x v="4"/>
    <n v="1827.0757744555951"/>
  </r>
  <r>
    <x v="0"/>
    <x v="8"/>
    <x v="4"/>
    <x v="7"/>
    <x v="57"/>
    <x v="1"/>
    <x v="5"/>
    <n v="2496.4162759020101"/>
  </r>
  <r>
    <x v="0"/>
    <x v="8"/>
    <x v="4"/>
    <x v="7"/>
    <x v="57"/>
    <x v="1"/>
    <x v="6"/>
    <n v="4431.9107326605317"/>
  </r>
  <r>
    <x v="0"/>
    <x v="8"/>
    <x v="4"/>
    <x v="7"/>
    <x v="58"/>
    <x v="1"/>
    <x v="0"/>
    <n v="1753.4911124685489"/>
  </r>
  <r>
    <x v="0"/>
    <x v="8"/>
    <x v="4"/>
    <x v="7"/>
    <x v="58"/>
    <x v="1"/>
    <x v="1"/>
    <n v="2954.9449580378468"/>
  </r>
  <r>
    <x v="0"/>
    <x v="8"/>
    <x v="4"/>
    <x v="7"/>
    <x v="58"/>
    <x v="1"/>
    <x v="2"/>
    <n v="4407.1760460998066"/>
  </r>
  <r>
    <x v="0"/>
    <x v="8"/>
    <x v="4"/>
    <x v="7"/>
    <x v="58"/>
    <x v="1"/>
    <x v="3"/>
    <n v="5815.852333590221"/>
  </r>
  <r>
    <x v="0"/>
    <x v="8"/>
    <x v="4"/>
    <x v="7"/>
    <x v="58"/>
    <x v="1"/>
    <x v="4"/>
    <n v="5171.0107323000011"/>
  </r>
  <r>
    <x v="0"/>
    <x v="8"/>
    <x v="4"/>
    <x v="7"/>
    <x v="58"/>
    <x v="1"/>
    <x v="5"/>
    <n v="5413.259167763551"/>
  </r>
  <r>
    <x v="0"/>
    <x v="8"/>
    <x v="4"/>
    <x v="7"/>
    <x v="58"/>
    <x v="1"/>
    <x v="6"/>
    <n v="6055.211099752335"/>
  </r>
  <r>
    <x v="0"/>
    <x v="8"/>
    <x v="4"/>
    <x v="7"/>
    <x v="59"/>
    <x v="1"/>
    <x v="0"/>
    <n v="169.76220720032629"/>
  </r>
  <r>
    <x v="0"/>
    <x v="8"/>
    <x v="4"/>
    <x v="7"/>
    <x v="59"/>
    <x v="1"/>
    <x v="1"/>
    <n v="122.25723884120855"/>
  </r>
  <r>
    <x v="0"/>
    <x v="8"/>
    <x v="4"/>
    <x v="7"/>
    <x v="59"/>
    <x v="1"/>
    <x v="2"/>
    <n v="169.06063434238555"/>
  </r>
  <r>
    <x v="0"/>
    <x v="8"/>
    <x v="4"/>
    <x v="7"/>
    <x v="59"/>
    <x v="1"/>
    <x v="3"/>
    <n v="336.2627246122853"/>
  </r>
  <r>
    <x v="0"/>
    <x v="8"/>
    <x v="4"/>
    <x v="7"/>
    <x v="59"/>
    <x v="1"/>
    <x v="4"/>
    <n v="420.45503232000004"/>
  </r>
  <r>
    <x v="0"/>
    <x v="8"/>
    <x v="4"/>
    <x v="7"/>
    <x v="59"/>
    <x v="1"/>
    <x v="5"/>
    <n v="986.56616255999995"/>
  </r>
  <r>
    <x v="0"/>
    <x v="8"/>
    <x v="4"/>
    <x v="7"/>
    <x v="59"/>
    <x v="1"/>
    <x v="6"/>
    <n v="1850.9021143916634"/>
  </r>
  <r>
    <x v="0"/>
    <x v="8"/>
    <x v="4"/>
    <x v="7"/>
    <x v="60"/>
    <x v="1"/>
    <x v="0"/>
    <n v="0"/>
  </r>
  <r>
    <x v="0"/>
    <x v="8"/>
    <x v="4"/>
    <x v="7"/>
    <x v="60"/>
    <x v="1"/>
    <x v="1"/>
    <n v="0"/>
  </r>
  <r>
    <x v="0"/>
    <x v="8"/>
    <x v="4"/>
    <x v="7"/>
    <x v="60"/>
    <x v="1"/>
    <x v="2"/>
    <n v="0"/>
  </r>
  <r>
    <x v="0"/>
    <x v="8"/>
    <x v="4"/>
    <x v="7"/>
    <x v="60"/>
    <x v="1"/>
    <x v="3"/>
    <n v="0"/>
  </r>
  <r>
    <x v="0"/>
    <x v="8"/>
    <x v="4"/>
    <x v="7"/>
    <x v="60"/>
    <x v="1"/>
    <x v="4"/>
    <n v="0"/>
  </r>
  <r>
    <x v="0"/>
    <x v="8"/>
    <x v="4"/>
    <x v="7"/>
    <x v="60"/>
    <x v="1"/>
    <x v="5"/>
    <n v="0"/>
  </r>
  <r>
    <x v="0"/>
    <x v="8"/>
    <x v="4"/>
    <x v="7"/>
    <x v="60"/>
    <x v="1"/>
    <x v="6"/>
    <n v="0"/>
  </r>
  <r>
    <x v="0"/>
    <x v="8"/>
    <x v="3"/>
    <x v="5"/>
    <x v="65"/>
    <x v="1"/>
    <x v="0"/>
    <n v="95.58838428180232"/>
  </r>
  <r>
    <x v="0"/>
    <x v="8"/>
    <x v="3"/>
    <x v="5"/>
    <x v="65"/>
    <x v="1"/>
    <x v="1"/>
    <n v="277.04272366621359"/>
  </r>
  <r>
    <x v="0"/>
    <x v="8"/>
    <x v="3"/>
    <x v="5"/>
    <x v="65"/>
    <x v="1"/>
    <x v="2"/>
    <n v="410.66930053771756"/>
  </r>
  <r>
    <x v="0"/>
    <x v="8"/>
    <x v="3"/>
    <x v="5"/>
    <x v="65"/>
    <x v="1"/>
    <x v="3"/>
    <n v="624.13142320132101"/>
  </r>
  <r>
    <x v="0"/>
    <x v="8"/>
    <x v="3"/>
    <x v="5"/>
    <x v="65"/>
    <x v="1"/>
    <x v="4"/>
    <n v="684.22715863424321"/>
  </r>
  <r>
    <x v="0"/>
    <x v="8"/>
    <x v="3"/>
    <x v="5"/>
    <x v="65"/>
    <x v="1"/>
    <x v="5"/>
    <n v="1301.0773524606529"/>
  </r>
  <r>
    <x v="0"/>
    <x v="8"/>
    <x v="3"/>
    <x v="5"/>
    <x v="65"/>
    <x v="1"/>
    <x v="6"/>
    <n v="1604.3515696030129"/>
  </r>
  <r>
    <x v="0"/>
    <x v="8"/>
    <x v="3"/>
    <x v="5"/>
    <x v="66"/>
    <x v="1"/>
    <x v="0"/>
    <n v="0"/>
  </r>
  <r>
    <x v="0"/>
    <x v="8"/>
    <x v="3"/>
    <x v="5"/>
    <x v="66"/>
    <x v="1"/>
    <x v="1"/>
    <n v="0"/>
  </r>
  <r>
    <x v="0"/>
    <x v="8"/>
    <x v="3"/>
    <x v="5"/>
    <x v="66"/>
    <x v="1"/>
    <x v="2"/>
    <n v="0"/>
  </r>
  <r>
    <x v="0"/>
    <x v="8"/>
    <x v="3"/>
    <x v="5"/>
    <x v="66"/>
    <x v="1"/>
    <x v="3"/>
    <n v="0"/>
  </r>
  <r>
    <x v="0"/>
    <x v="8"/>
    <x v="3"/>
    <x v="5"/>
    <x v="66"/>
    <x v="1"/>
    <x v="4"/>
    <n v="0"/>
  </r>
  <r>
    <x v="0"/>
    <x v="8"/>
    <x v="3"/>
    <x v="5"/>
    <x v="66"/>
    <x v="1"/>
    <x v="5"/>
    <n v="0"/>
  </r>
  <r>
    <x v="0"/>
    <x v="8"/>
    <x v="3"/>
    <x v="5"/>
    <x v="66"/>
    <x v="1"/>
    <x v="6"/>
    <n v="0"/>
  </r>
  <r>
    <x v="0"/>
    <x v="8"/>
    <x v="3"/>
    <x v="5"/>
    <x v="67"/>
    <x v="1"/>
    <x v="0"/>
    <n v="0"/>
  </r>
  <r>
    <x v="0"/>
    <x v="8"/>
    <x v="3"/>
    <x v="5"/>
    <x v="67"/>
    <x v="1"/>
    <x v="1"/>
    <n v="0"/>
  </r>
  <r>
    <x v="0"/>
    <x v="8"/>
    <x v="3"/>
    <x v="5"/>
    <x v="67"/>
    <x v="1"/>
    <x v="2"/>
    <n v="0"/>
  </r>
  <r>
    <x v="0"/>
    <x v="8"/>
    <x v="3"/>
    <x v="5"/>
    <x v="67"/>
    <x v="1"/>
    <x v="3"/>
    <n v="0"/>
  </r>
  <r>
    <x v="0"/>
    <x v="8"/>
    <x v="3"/>
    <x v="5"/>
    <x v="67"/>
    <x v="1"/>
    <x v="4"/>
    <n v="0"/>
  </r>
  <r>
    <x v="0"/>
    <x v="8"/>
    <x v="3"/>
    <x v="5"/>
    <x v="67"/>
    <x v="1"/>
    <x v="5"/>
    <n v="0"/>
  </r>
  <r>
    <x v="0"/>
    <x v="8"/>
    <x v="3"/>
    <x v="5"/>
    <x v="67"/>
    <x v="1"/>
    <x v="6"/>
    <n v="0"/>
  </r>
  <r>
    <x v="0"/>
    <x v="8"/>
    <x v="3"/>
    <x v="5"/>
    <x v="68"/>
    <x v="1"/>
    <x v="0"/>
    <n v="8.7587712342082025"/>
  </r>
  <r>
    <x v="0"/>
    <x v="8"/>
    <x v="3"/>
    <x v="5"/>
    <x v="68"/>
    <x v="1"/>
    <x v="1"/>
    <n v="38.880042803521917"/>
  </r>
  <r>
    <x v="0"/>
    <x v="8"/>
    <x v="3"/>
    <x v="5"/>
    <x v="68"/>
    <x v="1"/>
    <x v="2"/>
    <n v="133.36931506942042"/>
  </r>
  <r>
    <x v="0"/>
    <x v="8"/>
    <x v="3"/>
    <x v="5"/>
    <x v="68"/>
    <x v="1"/>
    <x v="3"/>
    <n v="443.38004895778727"/>
  </r>
  <r>
    <x v="0"/>
    <x v="8"/>
    <x v="3"/>
    <x v="5"/>
    <x v="68"/>
    <x v="1"/>
    <x v="4"/>
    <n v="1509.457955275245"/>
  </r>
  <r>
    <x v="0"/>
    <x v="8"/>
    <x v="3"/>
    <x v="5"/>
    <x v="68"/>
    <x v="1"/>
    <x v="5"/>
    <n v="2123.7419519975483"/>
  </r>
  <r>
    <x v="0"/>
    <x v="8"/>
    <x v="3"/>
    <x v="5"/>
    <x v="68"/>
    <x v="1"/>
    <x v="6"/>
    <n v="3520.9531547398665"/>
  </r>
  <r>
    <x v="0"/>
    <x v="8"/>
    <x v="3"/>
    <x v="5"/>
    <x v="69"/>
    <x v="1"/>
    <x v="0"/>
    <n v="39.415214539955826"/>
  </r>
  <r>
    <x v="0"/>
    <x v="8"/>
    <x v="3"/>
    <x v="5"/>
    <x v="69"/>
    <x v="1"/>
    <x v="1"/>
    <n v="136.66543349861712"/>
  </r>
  <r>
    <x v="0"/>
    <x v="8"/>
    <x v="3"/>
    <x v="5"/>
    <x v="69"/>
    <x v="1"/>
    <x v="2"/>
    <n v="482.78175041683562"/>
  </r>
  <r>
    <x v="0"/>
    <x v="8"/>
    <x v="3"/>
    <x v="5"/>
    <x v="69"/>
    <x v="1"/>
    <x v="3"/>
    <n v="6414.6547416898593"/>
  </r>
  <r>
    <x v="0"/>
    <x v="8"/>
    <x v="3"/>
    <x v="5"/>
    <x v="69"/>
    <x v="1"/>
    <x v="4"/>
    <n v="10039.350963308792"/>
  </r>
  <r>
    <x v="0"/>
    <x v="8"/>
    <x v="3"/>
    <x v="5"/>
    <x v="69"/>
    <x v="1"/>
    <x v="5"/>
    <n v="15613.321544068178"/>
  </r>
  <r>
    <x v="0"/>
    <x v="8"/>
    <x v="3"/>
    <x v="5"/>
    <x v="69"/>
    <x v="1"/>
    <x v="6"/>
    <n v="22160.83281626512"/>
  </r>
  <r>
    <x v="0"/>
    <x v="8"/>
    <x v="3"/>
    <x v="5"/>
    <x v="70"/>
    <x v="1"/>
    <x v="0"/>
    <n v="9.0008645406393946"/>
  </r>
  <r>
    <x v="0"/>
    <x v="8"/>
    <x v="3"/>
    <x v="5"/>
    <x v="70"/>
    <x v="1"/>
    <x v="1"/>
    <n v="25.530426769676954"/>
  </r>
  <r>
    <x v="0"/>
    <x v="8"/>
    <x v="3"/>
    <x v="5"/>
    <x v="70"/>
    <x v="1"/>
    <x v="2"/>
    <n v="86.187615376841165"/>
  </r>
  <r>
    <x v="0"/>
    <x v="8"/>
    <x v="3"/>
    <x v="5"/>
    <x v="70"/>
    <x v="1"/>
    <x v="3"/>
    <n v="289.21916858935197"/>
  </r>
  <r>
    <x v="0"/>
    <x v="8"/>
    <x v="3"/>
    <x v="5"/>
    <x v="70"/>
    <x v="1"/>
    <x v="4"/>
    <n v="880.40616538634413"/>
  </r>
  <r>
    <x v="0"/>
    <x v="8"/>
    <x v="3"/>
    <x v="5"/>
    <x v="70"/>
    <x v="1"/>
    <x v="5"/>
    <n v="1270.6534858601085"/>
  </r>
  <r>
    <x v="0"/>
    <x v="8"/>
    <x v="3"/>
    <x v="5"/>
    <x v="70"/>
    <x v="1"/>
    <x v="6"/>
    <n v="1875.7070023951719"/>
  </r>
  <r>
    <x v="0"/>
    <x v="8"/>
    <x v="3"/>
    <x v="5"/>
    <x v="71"/>
    <x v="1"/>
    <x v="0"/>
    <n v="0.42263191726854937"/>
  </r>
  <r>
    <x v="0"/>
    <x v="8"/>
    <x v="3"/>
    <x v="5"/>
    <x v="71"/>
    <x v="1"/>
    <x v="1"/>
    <n v="1.1852818192053918"/>
  </r>
  <r>
    <x v="0"/>
    <x v="8"/>
    <x v="3"/>
    <x v="5"/>
    <x v="71"/>
    <x v="1"/>
    <x v="2"/>
    <n v="3.4170106023090958"/>
  </r>
  <r>
    <x v="0"/>
    <x v="8"/>
    <x v="3"/>
    <x v="5"/>
    <x v="71"/>
    <x v="1"/>
    <x v="3"/>
    <n v="9.2932663958719459"/>
  </r>
  <r>
    <x v="0"/>
    <x v="8"/>
    <x v="3"/>
    <x v="5"/>
    <x v="71"/>
    <x v="1"/>
    <x v="4"/>
    <n v="23.021973489201091"/>
  </r>
  <r>
    <x v="0"/>
    <x v="8"/>
    <x v="3"/>
    <x v="5"/>
    <x v="71"/>
    <x v="1"/>
    <x v="5"/>
    <n v="45.50327390075995"/>
  </r>
  <r>
    <x v="0"/>
    <x v="8"/>
    <x v="3"/>
    <x v="5"/>
    <x v="71"/>
    <x v="1"/>
    <x v="6"/>
    <n v="88.826171668193851"/>
  </r>
  <r>
    <x v="0"/>
    <x v="8"/>
    <x v="3"/>
    <x v="5"/>
    <x v="72"/>
    <x v="1"/>
    <x v="0"/>
    <n v="0"/>
  </r>
  <r>
    <x v="0"/>
    <x v="8"/>
    <x v="3"/>
    <x v="5"/>
    <x v="72"/>
    <x v="1"/>
    <x v="1"/>
    <n v="0"/>
  </r>
  <r>
    <x v="0"/>
    <x v="8"/>
    <x v="3"/>
    <x v="5"/>
    <x v="72"/>
    <x v="1"/>
    <x v="2"/>
    <n v="0"/>
  </r>
  <r>
    <x v="0"/>
    <x v="8"/>
    <x v="3"/>
    <x v="5"/>
    <x v="72"/>
    <x v="1"/>
    <x v="3"/>
    <n v="0"/>
  </r>
  <r>
    <x v="0"/>
    <x v="8"/>
    <x v="3"/>
    <x v="5"/>
    <x v="72"/>
    <x v="1"/>
    <x v="4"/>
    <n v="0"/>
  </r>
  <r>
    <x v="0"/>
    <x v="8"/>
    <x v="3"/>
    <x v="5"/>
    <x v="72"/>
    <x v="1"/>
    <x v="5"/>
    <n v="0"/>
  </r>
  <r>
    <x v="0"/>
    <x v="8"/>
    <x v="3"/>
    <x v="5"/>
    <x v="72"/>
    <x v="1"/>
    <x v="6"/>
    <n v="0"/>
  </r>
  <r>
    <x v="0"/>
    <x v="8"/>
    <x v="3"/>
    <x v="5"/>
    <x v="73"/>
    <x v="1"/>
    <x v="0"/>
    <n v="2.8616460244061082"/>
  </r>
  <r>
    <x v="0"/>
    <x v="8"/>
    <x v="3"/>
    <x v="5"/>
    <x v="73"/>
    <x v="1"/>
    <x v="1"/>
    <n v="8.512311416006229"/>
  </r>
  <r>
    <x v="0"/>
    <x v="8"/>
    <x v="3"/>
    <x v="5"/>
    <x v="73"/>
    <x v="1"/>
    <x v="2"/>
    <n v="260.97387280108086"/>
  </r>
  <r>
    <x v="0"/>
    <x v="8"/>
    <x v="3"/>
    <x v="5"/>
    <x v="73"/>
    <x v="1"/>
    <x v="3"/>
    <n v="467.5655835836771"/>
  </r>
  <r>
    <x v="0"/>
    <x v="8"/>
    <x v="3"/>
    <x v="5"/>
    <x v="73"/>
    <x v="1"/>
    <x v="4"/>
    <n v="701.30662677156283"/>
  </r>
  <r>
    <x v="0"/>
    <x v="8"/>
    <x v="3"/>
    <x v="5"/>
    <x v="73"/>
    <x v="1"/>
    <x v="5"/>
    <n v="1071.1604956263777"/>
  </r>
  <r>
    <x v="0"/>
    <x v="8"/>
    <x v="3"/>
    <x v="5"/>
    <x v="73"/>
    <x v="1"/>
    <x v="6"/>
    <n v="2009.7336520717467"/>
  </r>
  <r>
    <x v="0"/>
    <x v="8"/>
    <x v="5"/>
    <x v="8"/>
    <x v="74"/>
    <x v="1"/>
    <x v="0"/>
    <n v="3.0133634151857893"/>
  </r>
  <r>
    <x v="0"/>
    <x v="8"/>
    <x v="5"/>
    <x v="8"/>
    <x v="74"/>
    <x v="1"/>
    <x v="1"/>
    <n v="7.237427957359893"/>
  </r>
  <r>
    <x v="0"/>
    <x v="8"/>
    <x v="5"/>
    <x v="8"/>
    <x v="74"/>
    <x v="1"/>
    <x v="2"/>
    <n v="16.348122531620174"/>
  </r>
  <r>
    <x v="0"/>
    <x v="8"/>
    <x v="5"/>
    <x v="8"/>
    <x v="74"/>
    <x v="1"/>
    <x v="3"/>
    <n v="35.138575501711728"/>
  </r>
  <r>
    <x v="0"/>
    <x v="8"/>
    <x v="5"/>
    <x v="8"/>
    <x v="74"/>
    <x v="1"/>
    <x v="4"/>
    <n v="73.2303717731521"/>
  </r>
  <r>
    <x v="0"/>
    <x v="8"/>
    <x v="5"/>
    <x v="8"/>
    <x v="74"/>
    <x v="1"/>
    <x v="5"/>
    <n v="120.64714836496353"/>
  </r>
  <r>
    <x v="0"/>
    <x v="8"/>
    <x v="5"/>
    <x v="8"/>
    <x v="74"/>
    <x v="1"/>
    <x v="6"/>
    <n v="166.5733342655214"/>
  </r>
  <r>
    <x v="0"/>
    <x v="8"/>
    <x v="5"/>
    <x v="8"/>
    <x v="75"/>
    <x v="1"/>
    <x v="0"/>
    <n v="43.054373084000019"/>
  </r>
  <r>
    <x v="0"/>
    <x v="8"/>
    <x v="5"/>
    <x v="8"/>
    <x v="75"/>
    <x v="1"/>
    <x v="1"/>
    <n v="118.02424650063006"/>
  </r>
  <r>
    <x v="0"/>
    <x v="8"/>
    <x v="5"/>
    <x v="8"/>
    <x v="75"/>
    <x v="1"/>
    <x v="2"/>
    <n v="309.13486895238094"/>
  </r>
  <r>
    <x v="0"/>
    <x v="8"/>
    <x v="5"/>
    <x v="8"/>
    <x v="75"/>
    <x v="1"/>
    <x v="3"/>
    <n v="801.40102972686987"/>
  </r>
  <r>
    <x v="0"/>
    <x v="8"/>
    <x v="5"/>
    <x v="8"/>
    <x v="75"/>
    <x v="1"/>
    <x v="4"/>
    <n v="1296.5563109124625"/>
  </r>
  <r>
    <x v="0"/>
    <x v="8"/>
    <x v="5"/>
    <x v="8"/>
    <x v="75"/>
    <x v="1"/>
    <x v="5"/>
    <n v="2270.3003630248272"/>
  </r>
  <r>
    <x v="0"/>
    <x v="8"/>
    <x v="5"/>
    <x v="8"/>
    <x v="75"/>
    <x v="1"/>
    <x v="6"/>
    <n v="3935.461461737551"/>
  </r>
  <r>
    <x v="0"/>
    <x v="8"/>
    <x v="5"/>
    <x v="8"/>
    <x v="76"/>
    <x v="1"/>
    <x v="0"/>
    <n v="53.671057190214256"/>
  </r>
  <r>
    <x v="0"/>
    <x v="8"/>
    <x v="5"/>
    <x v="8"/>
    <x v="76"/>
    <x v="1"/>
    <x v="1"/>
    <n v="132.38562075612154"/>
  </r>
  <r>
    <x v="0"/>
    <x v="8"/>
    <x v="5"/>
    <x v="8"/>
    <x v="76"/>
    <x v="1"/>
    <x v="2"/>
    <n v="345.08939238826673"/>
  </r>
  <r>
    <x v="0"/>
    <x v="8"/>
    <x v="5"/>
    <x v="8"/>
    <x v="76"/>
    <x v="1"/>
    <x v="3"/>
    <n v="916.97742085592427"/>
  </r>
  <r>
    <x v="0"/>
    <x v="8"/>
    <x v="5"/>
    <x v="8"/>
    <x v="76"/>
    <x v="1"/>
    <x v="4"/>
    <n v="1422.2112932131547"/>
  </r>
  <r>
    <x v="0"/>
    <x v="8"/>
    <x v="5"/>
    <x v="8"/>
    <x v="76"/>
    <x v="1"/>
    <x v="5"/>
    <n v="2413.3885116968945"/>
  </r>
  <r>
    <x v="0"/>
    <x v="8"/>
    <x v="5"/>
    <x v="8"/>
    <x v="76"/>
    <x v="1"/>
    <x v="6"/>
    <n v="3609.8488389359686"/>
  </r>
  <r>
    <x v="0"/>
    <x v="8"/>
    <x v="5"/>
    <x v="8"/>
    <x v="77"/>
    <x v="1"/>
    <x v="0"/>
    <n v="162.26755757375795"/>
  </r>
  <r>
    <x v="0"/>
    <x v="8"/>
    <x v="5"/>
    <x v="8"/>
    <x v="77"/>
    <x v="1"/>
    <x v="1"/>
    <n v="412.53580058011187"/>
  </r>
  <r>
    <x v="0"/>
    <x v="8"/>
    <x v="5"/>
    <x v="8"/>
    <x v="77"/>
    <x v="1"/>
    <x v="2"/>
    <n v="1052.5878895592655"/>
  </r>
  <r>
    <x v="0"/>
    <x v="8"/>
    <x v="5"/>
    <x v="8"/>
    <x v="77"/>
    <x v="1"/>
    <x v="3"/>
    <n v="2817.5332478123964"/>
  </r>
  <r>
    <x v="0"/>
    <x v="8"/>
    <x v="5"/>
    <x v="8"/>
    <x v="77"/>
    <x v="1"/>
    <x v="4"/>
    <n v="4281.6795301743059"/>
  </r>
  <r>
    <x v="0"/>
    <x v="8"/>
    <x v="5"/>
    <x v="8"/>
    <x v="77"/>
    <x v="1"/>
    <x v="5"/>
    <n v="6365.7955420291228"/>
  </r>
  <r>
    <x v="0"/>
    <x v="8"/>
    <x v="5"/>
    <x v="8"/>
    <x v="77"/>
    <x v="1"/>
    <x v="6"/>
    <n v="8402.0068386241419"/>
  </r>
  <r>
    <x v="0"/>
    <x v="8"/>
    <x v="5"/>
    <x v="8"/>
    <x v="78"/>
    <x v="1"/>
    <x v="0"/>
    <n v="41.157659157438509"/>
  </r>
  <r>
    <x v="0"/>
    <x v="8"/>
    <x v="5"/>
    <x v="8"/>
    <x v="78"/>
    <x v="1"/>
    <x v="1"/>
    <n v="102.71110729910133"/>
  </r>
  <r>
    <x v="0"/>
    <x v="8"/>
    <x v="5"/>
    <x v="8"/>
    <x v="78"/>
    <x v="1"/>
    <x v="2"/>
    <n v="239.72819024100235"/>
  </r>
  <r>
    <x v="0"/>
    <x v="8"/>
    <x v="5"/>
    <x v="8"/>
    <x v="78"/>
    <x v="1"/>
    <x v="3"/>
    <n v="575.64644654728306"/>
  </r>
  <r>
    <x v="0"/>
    <x v="8"/>
    <x v="5"/>
    <x v="8"/>
    <x v="78"/>
    <x v="1"/>
    <x v="4"/>
    <n v="868.56237327620056"/>
  </r>
  <r>
    <x v="0"/>
    <x v="8"/>
    <x v="5"/>
    <x v="8"/>
    <x v="78"/>
    <x v="1"/>
    <x v="5"/>
    <n v="1426.4820483307394"/>
  </r>
  <r>
    <x v="0"/>
    <x v="8"/>
    <x v="5"/>
    <x v="8"/>
    <x v="78"/>
    <x v="1"/>
    <x v="6"/>
    <n v="2165.4101813216612"/>
  </r>
  <r>
    <x v="0"/>
    <x v="8"/>
    <x v="5"/>
    <x v="8"/>
    <x v="79"/>
    <x v="1"/>
    <x v="0"/>
    <n v="33.525534649499015"/>
  </r>
  <r>
    <x v="0"/>
    <x v="8"/>
    <x v="5"/>
    <x v="8"/>
    <x v="79"/>
    <x v="1"/>
    <x v="1"/>
    <n v="81.838615826318147"/>
  </r>
  <r>
    <x v="0"/>
    <x v="8"/>
    <x v="5"/>
    <x v="8"/>
    <x v="79"/>
    <x v="1"/>
    <x v="2"/>
    <n v="193.86949358909777"/>
  </r>
  <r>
    <x v="0"/>
    <x v="8"/>
    <x v="5"/>
    <x v="8"/>
    <x v="79"/>
    <x v="1"/>
    <x v="3"/>
    <n v="429.09375433206242"/>
  </r>
  <r>
    <x v="0"/>
    <x v="8"/>
    <x v="5"/>
    <x v="8"/>
    <x v="79"/>
    <x v="1"/>
    <x v="4"/>
    <n v="739.80797751080172"/>
  </r>
  <r>
    <x v="0"/>
    <x v="8"/>
    <x v="5"/>
    <x v="8"/>
    <x v="79"/>
    <x v="1"/>
    <x v="5"/>
    <n v="1375.321574712061"/>
  </r>
  <r>
    <x v="0"/>
    <x v="8"/>
    <x v="5"/>
    <x v="8"/>
    <x v="79"/>
    <x v="1"/>
    <x v="6"/>
    <n v="1839.590226410447"/>
  </r>
  <r>
    <x v="0"/>
    <x v="8"/>
    <x v="5"/>
    <x v="8"/>
    <x v="80"/>
    <x v="1"/>
    <x v="0"/>
    <n v="2.276051919622478"/>
  </r>
  <r>
    <x v="0"/>
    <x v="8"/>
    <x v="5"/>
    <x v="8"/>
    <x v="80"/>
    <x v="1"/>
    <x v="1"/>
    <n v="5.0978165214972293"/>
  </r>
  <r>
    <x v="0"/>
    <x v="8"/>
    <x v="5"/>
    <x v="8"/>
    <x v="80"/>
    <x v="1"/>
    <x v="2"/>
    <n v="17.004754202875578"/>
  </r>
  <r>
    <x v="0"/>
    <x v="8"/>
    <x v="5"/>
    <x v="8"/>
    <x v="80"/>
    <x v="1"/>
    <x v="3"/>
    <n v="10.904454503697966"/>
  </r>
  <r>
    <x v="0"/>
    <x v="8"/>
    <x v="5"/>
    <x v="8"/>
    <x v="80"/>
    <x v="1"/>
    <x v="4"/>
    <n v="16.271640865201469"/>
  </r>
  <r>
    <x v="0"/>
    <x v="8"/>
    <x v="5"/>
    <x v="8"/>
    <x v="80"/>
    <x v="1"/>
    <x v="5"/>
    <n v="22.94625981599135"/>
  </r>
  <r>
    <x v="0"/>
    <x v="8"/>
    <x v="5"/>
    <x v="8"/>
    <x v="80"/>
    <x v="1"/>
    <x v="6"/>
    <n v="32.084187614883838"/>
  </r>
  <r>
    <x v="0"/>
    <x v="8"/>
    <x v="5"/>
    <x v="8"/>
    <x v="81"/>
    <x v="1"/>
    <x v="0"/>
    <n v="30.805978343622368"/>
  </r>
  <r>
    <x v="0"/>
    <x v="8"/>
    <x v="5"/>
    <x v="8"/>
    <x v="81"/>
    <x v="1"/>
    <x v="1"/>
    <n v="83.28882424662855"/>
  </r>
  <r>
    <x v="0"/>
    <x v="8"/>
    <x v="5"/>
    <x v="8"/>
    <x v="81"/>
    <x v="1"/>
    <x v="2"/>
    <n v="216.41971080779354"/>
  </r>
  <r>
    <x v="0"/>
    <x v="8"/>
    <x v="5"/>
    <x v="8"/>
    <x v="81"/>
    <x v="1"/>
    <x v="3"/>
    <n v="548.01590138153847"/>
  </r>
  <r>
    <x v="0"/>
    <x v="8"/>
    <x v="5"/>
    <x v="8"/>
    <x v="81"/>
    <x v="1"/>
    <x v="4"/>
    <n v="818.27746487837624"/>
  </r>
  <r>
    <x v="0"/>
    <x v="8"/>
    <x v="5"/>
    <x v="8"/>
    <x v="81"/>
    <x v="1"/>
    <x v="5"/>
    <n v="1372.766035307071"/>
  </r>
  <r>
    <x v="0"/>
    <x v="8"/>
    <x v="5"/>
    <x v="8"/>
    <x v="81"/>
    <x v="1"/>
    <x v="6"/>
    <n v="2059.2155557977621"/>
  </r>
  <r>
    <x v="0"/>
    <x v="8"/>
    <x v="5"/>
    <x v="8"/>
    <x v="82"/>
    <x v="1"/>
    <x v="0"/>
    <n v="46.637778518625282"/>
  </r>
  <r>
    <x v="0"/>
    <x v="8"/>
    <x v="5"/>
    <x v="8"/>
    <x v="82"/>
    <x v="1"/>
    <x v="1"/>
    <n v="117.34703208875032"/>
  </r>
  <r>
    <x v="0"/>
    <x v="8"/>
    <x v="5"/>
    <x v="8"/>
    <x v="82"/>
    <x v="1"/>
    <x v="2"/>
    <n v="291.35789941656424"/>
  </r>
  <r>
    <x v="0"/>
    <x v="8"/>
    <x v="5"/>
    <x v="8"/>
    <x v="82"/>
    <x v="1"/>
    <x v="3"/>
    <n v="695.80444342173155"/>
  </r>
  <r>
    <x v="0"/>
    <x v="8"/>
    <x v="5"/>
    <x v="8"/>
    <x v="82"/>
    <x v="1"/>
    <x v="4"/>
    <n v="1030.5479198716334"/>
  </r>
  <r>
    <x v="0"/>
    <x v="8"/>
    <x v="5"/>
    <x v="8"/>
    <x v="82"/>
    <x v="1"/>
    <x v="5"/>
    <n v="1636.0940233455274"/>
  </r>
  <r>
    <x v="0"/>
    <x v="8"/>
    <x v="5"/>
    <x v="8"/>
    <x v="82"/>
    <x v="1"/>
    <x v="6"/>
    <n v="2316.1940908625234"/>
  </r>
  <r>
    <x v="0"/>
    <x v="8"/>
    <x v="5"/>
    <x v="8"/>
    <x v="83"/>
    <x v="1"/>
    <x v="0"/>
    <n v="10.281170535807918"/>
  </r>
  <r>
    <x v="0"/>
    <x v="8"/>
    <x v="5"/>
    <x v="8"/>
    <x v="83"/>
    <x v="1"/>
    <x v="1"/>
    <n v="23.694336059475503"/>
  </r>
  <r>
    <x v="0"/>
    <x v="8"/>
    <x v="5"/>
    <x v="8"/>
    <x v="83"/>
    <x v="1"/>
    <x v="2"/>
    <n v="56.841977250369531"/>
  </r>
  <r>
    <x v="0"/>
    <x v="8"/>
    <x v="5"/>
    <x v="8"/>
    <x v="83"/>
    <x v="1"/>
    <x v="3"/>
    <n v="121.48394263197663"/>
  </r>
  <r>
    <x v="0"/>
    <x v="8"/>
    <x v="5"/>
    <x v="8"/>
    <x v="83"/>
    <x v="1"/>
    <x v="4"/>
    <n v="164.67480389022958"/>
  </r>
  <r>
    <x v="0"/>
    <x v="8"/>
    <x v="5"/>
    <x v="8"/>
    <x v="83"/>
    <x v="1"/>
    <x v="5"/>
    <n v="250.84384482667517"/>
  </r>
  <r>
    <x v="0"/>
    <x v="8"/>
    <x v="5"/>
    <x v="8"/>
    <x v="83"/>
    <x v="1"/>
    <x v="6"/>
    <n v="343.02938976691354"/>
  </r>
  <r>
    <x v="1"/>
    <x v="0"/>
    <x v="0"/>
    <x v="0"/>
    <x v="0"/>
    <x v="1"/>
    <x v="0"/>
    <n v="0"/>
  </r>
  <r>
    <x v="1"/>
    <x v="0"/>
    <x v="0"/>
    <x v="0"/>
    <x v="0"/>
    <x v="1"/>
    <x v="1"/>
    <n v="0"/>
  </r>
  <r>
    <x v="1"/>
    <x v="0"/>
    <x v="0"/>
    <x v="0"/>
    <x v="0"/>
    <x v="1"/>
    <x v="2"/>
    <n v="0"/>
  </r>
  <r>
    <x v="1"/>
    <x v="0"/>
    <x v="0"/>
    <x v="0"/>
    <x v="0"/>
    <x v="1"/>
    <x v="3"/>
    <n v="0"/>
  </r>
  <r>
    <x v="1"/>
    <x v="0"/>
    <x v="0"/>
    <x v="0"/>
    <x v="0"/>
    <x v="1"/>
    <x v="4"/>
    <n v="0"/>
  </r>
  <r>
    <x v="1"/>
    <x v="0"/>
    <x v="0"/>
    <x v="0"/>
    <x v="0"/>
    <x v="1"/>
    <x v="5"/>
    <n v="0"/>
  </r>
  <r>
    <x v="1"/>
    <x v="0"/>
    <x v="0"/>
    <x v="0"/>
    <x v="0"/>
    <x v="1"/>
    <x v="6"/>
    <n v="0"/>
  </r>
  <r>
    <x v="1"/>
    <x v="0"/>
    <x v="0"/>
    <x v="1"/>
    <x v="1"/>
    <x v="1"/>
    <x v="0"/>
    <n v="0"/>
  </r>
  <r>
    <x v="1"/>
    <x v="0"/>
    <x v="0"/>
    <x v="1"/>
    <x v="1"/>
    <x v="1"/>
    <x v="1"/>
    <n v="0"/>
  </r>
  <r>
    <x v="1"/>
    <x v="0"/>
    <x v="0"/>
    <x v="1"/>
    <x v="1"/>
    <x v="1"/>
    <x v="2"/>
    <n v="0"/>
  </r>
  <r>
    <x v="1"/>
    <x v="0"/>
    <x v="0"/>
    <x v="1"/>
    <x v="1"/>
    <x v="1"/>
    <x v="3"/>
    <n v="0"/>
  </r>
  <r>
    <x v="1"/>
    <x v="0"/>
    <x v="0"/>
    <x v="1"/>
    <x v="1"/>
    <x v="1"/>
    <x v="4"/>
    <n v="0"/>
  </r>
  <r>
    <x v="1"/>
    <x v="0"/>
    <x v="0"/>
    <x v="1"/>
    <x v="1"/>
    <x v="1"/>
    <x v="5"/>
    <n v="0"/>
  </r>
  <r>
    <x v="1"/>
    <x v="0"/>
    <x v="0"/>
    <x v="1"/>
    <x v="1"/>
    <x v="1"/>
    <x v="6"/>
    <n v="0"/>
  </r>
  <r>
    <x v="1"/>
    <x v="0"/>
    <x v="0"/>
    <x v="1"/>
    <x v="2"/>
    <x v="1"/>
    <x v="0"/>
    <n v="0"/>
  </r>
  <r>
    <x v="1"/>
    <x v="0"/>
    <x v="0"/>
    <x v="1"/>
    <x v="2"/>
    <x v="1"/>
    <x v="1"/>
    <n v="0"/>
  </r>
  <r>
    <x v="1"/>
    <x v="0"/>
    <x v="0"/>
    <x v="1"/>
    <x v="2"/>
    <x v="1"/>
    <x v="2"/>
    <n v="0"/>
  </r>
  <r>
    <x v="1"/>
    <x v="0"/>
    <x v="0"/>
    <x v="1"/>
    <x v="2"/>
    <x v="1"/>
    <x v="3"/>
    <n v="0"/>
  </r>
  <r>
    <x v="1"/>
    <x v="0"/>
    <x v="0"/>
    <x v="1"/>
    <x v="2"/>
    <x v="1"/>
    <x v="4"/>
    <n v="0"/>
  </r>
  <r>
    <x v="1"/>
    <x v="0"/>
    <x v="0"/>
    <x v="1"/>
    <x v="2"/>
    <x v="1"/>
    <x v="5"/>
    <n v="0"/>
  </r>
  <r>
    <x v="1"/>
    <x v="0"/>
    <x v="0"/>
    <x v="1"/>
    <x v="2"/>
    <x v="1"/>
    <x v="6"/>
    <n v="0"/>
  </r>
  <r>
    <x v="1"/>
    <x v="0"/>
    <x v="0"/>
    <x v="1"/>
    <x v="3"/>
    <x v="1"/>
    <x v="0"/>
    <n v="0"/>
  </r>
  <r>
    <x v="1"/>
    <x v="0"/>
    <x v="0"/>
    <x v="1"/>
    <x v="3"/>
    <x v="1"/>
    <x v="1"/>
    <n v="0"/>
  </r>
  <r>
    <x v="1"/>
    <x v="0"/>
    <x v="0"/>
    <x v="1"/>
    <x v="3"/>
    <x v="1"/>
    <x v="2"/>
    <n v="0"/>
  </r>
  <r>
    <x v="1"/>
    <x v="0"/>
    <x v="0"/>
    <x v="1"/>
    <x v="3"/>
    <x v="1"/>
    <x v="3"/>
    <n v="0"/>
  </r>
  <r>
    <x v="1"/>
    <x v="0"/>
    <x v="0"/>
    <x v="1"/>
    <x v="3"/>
    <x v="1"/>
    <x v="4"/>
    <n v="0"/>
  </r>
  <r>
    <x v="1"/>
    <x v="0"/>
    <x v="0"/>
    <x v="1"/>
    <x v="3"/>
    <x v="1"/>
    <x v="5"/>
    <n v="0"/>
  </r>
  <r>
    <x v="1"/>
    <x v="0"/>
    <x v="0"/>
    <x v="1"/>
    <x v="3"/>
    <x v="1"/>
    <x v="6"/>
    <n v="0"/>
  </r>
  <r>
    <x v="1"/>
    <x v="0"/>
    <x v="0"/>
    <x v="1"/>
    <x v="4"/>
    <x v="1"/>
    <x v="0"/>
    <n v="0"/>
  </r>
  <r>
    <x v="1"/>
    <x v="0"/>
    <x v="0"/>
    <x v="1"/>
    <x v="4"/>
    <x v="1"/>
    <x v="1"/>
    <n v="0"/>
  </r>
  <r>
    <x v="1"/>
    <x v="0"/>
    <x v="0"/>
    <x v="1"/>
    <x v="4"/>
    <x v="1"/>
    <x v="2"/>
    <n v="0"/>
  </r>
  <r>
    <x v="1"/>
    <x v="0"/>
    <x v="0"/>
    <x v="1"/>
    <x v="4"/>
    <x v="1"/>
    <x v="3"/>
    <n v="0"/>
  </r>
  <r>
    <x v="1"/>
    <x v="0"/>
    <x v="0"/>
    <x v="1"/>
    <x v="4"/>
    <x v="1"/>
    <x v="4"/>
    <n v="0"/>
  </r>
  <r>
    <x v="1"/>
    <x v="0"/>
    <x v="0"/>
    <x v="1"/>
    <x v="4"/>
    <x v="1"/>
    <x v="5"/>
    <n v="0"/>
  </r>
  <r>
    <x v="1"/>
    <x v="0"/>
    <x v="0"/>
    <x v="1"/>
    <x v="4"/>
    <x v="1"/>
    <x v="6"/>
    <n v="0"/>
  </r>
  <r>
    <x v="1"/>
    <x v="0"/>
    <x v="0"/>
    <x v="1"/>
    <x v="5"/>
    <x v="1"/>
    <x v="0"/>
    <n v="0"/>
  </r>
  <r>
    <x v="1"/>
    <x v="0"/>
    <x v="0"/>
    <x v="1"/>
    <x v="5"/>
    <x v="1"/>
    <x v="1"/>
    <n v="0"/>
  </r>
  <r>
    <x v="1"/>
    <x v="0"/>
    <x v="0"/>
    <x v="1"/>
    <x v="5"/>
    <x v="1"/>
    <x v="2"/>
    <n v="0"/>
  </r>
  <r>
    <x v="1"/>
    <x v="0"/>
    <x v="0"/>
    <x v="1"/>
    <x v="5"/>
    <x v="1"/>
    <x v="3"/>
    <n v="0"/>
  </r>
  <r>
    <x v="1"/>
    <x v="0"/>
    <x v="0"/>
    <x v="1"/>
    <x v="5"/>
    <x v="1"/>
    <x v="4"/>
    <n v="0"/>
  </r>
  <r>
    <x v="1"/>
    <x v="0"/>
    <x v="0"/>
    <x v="1"/>
    <x v="5"/>
    <x v="1"/>
    <x v="5"/>
    <n v="0"/>
  </r>
  <r>
    <x v="1"/>
    <x v="0"/>
    <x v="0"/>
    <x v="1"/>
    <x v="5"/>
    <x v="1"/>
    <x v="6"/>
    <n v="0"/>
  </r>
  <r>
    <x v="1"/>
    <x v="0"/>
    <x v="0"/>
    <x v="1"/>
    <x v="6"/>
    <x v="1"/>
    <x v="0"/>
    <n v="0"/>
  </r>
  <r>
    <x v="1"/>
    <x v="0"/>
    <x v="0"/>
    <x v="1"/>
    <x v="6"/>
    <x v="1"/>
    <x v="1"/>
    <n v="0"/>
  </r>
  <r>
    <x v="1"/>
    <x v="0"/>
    <x v="0"/>
    <x v="1"/>
    <x v="6"/>
    <x v="1"/>
    <x v="2"/>
    <n v="0"/>
  </r>
  <r>
    <x v="1"/>
    <x v="0"/>
    <x v="0"/>
    <x v="1"/>
    <x v="6"/>
    <x v="1"/>
    <x v="3"/>
    <n v="0"/>
  </r>
  <r>
    <x v="1"/>
    <x v="0"/>
    <x v="0"/>
    <x v="1"/>
    <x v="6"/>
    <x v="1"/>
    <x v="4"/>
    <n v="0"/>
  </r>
  <r>
    <x v="1"/>
    <x v="0"/>
    <x v="0"/>
    <x v="1"/>
    <x v="6"/>
    <x v="1"/>
    <x v="5"/>
    <n v="0"/>
  </r>
  <r>
    <x v="1"/>
    <x v="0"/>
    <x v="0"/>
    <x v="1"/>
    <x v="6"/>
    <x v="1"/>
    <x v="6"/>
    <n v="0"/>
  </r>
  <r>
    <x v="1"/>
    <x v="0"/>
    <x v="0"/>
    <x v="1"/>
    <x v="7"/>
    <x v="1"/>
    <x v="0"/>
    <n v="0"/>
  </r>
  <r>
    <x v="1"/>
    <x v="0"/>
    <x v="0"/>
    <x v="1"/>
    <x v="7"/>
    <x v="1"/>
    <x v="1"/>
    <n v="0"/>
  </r>
  <r>
    <x v="1"/>
    <x v="0"/>
    <x v="0"/>
    <x v="1"/>
    <x v="7"/>
    <x v="1"/>
    <x v="2"/>
    <n v="0"/>
  </r>
  <r>
    <x v="1"/>
    <x v="0"/>
    <x v="0"/>
    <x v="1"/>
    <x v="7"/>
    <x v="1"/>
    <x v="3"/>
    <n v="0"/>
  </r>
  <r>
    <x v="1"/>
    <x v="0"/>
    <x v="0"/>
    <x v="1"/>
    <x v="7"/>
    <x v="1"/>
    <x v="4"/>
    <n v="0"/>
  </r>
  <r>
    <x v="1"/>
    <x v="0"/>
    <x v="0"/>
    <x v="1"/>
    <x v="7"/>
    <x v="1"/>
    <x v="5"/>
    <n v="0"/>
  </r>
  <r>
    <x v="1"/>
    <x v="0"/>
    <x v="0"/>
    <x v="1"/>
    <x v="7"/>
    <x v="1"/>
    <x v="6"/>
    <n v="0"/>
  </r>
  <r>
    <x v="1"/>
    <x v="0"/>
    <x v="0"/>
    <x v="1"/>
    <x v="8"/>
    <x v="1"/>
    <x v="0"/>
    <n v="0"/>
  </r>
  <r>
    <x v="1"/>
    <x v="0"/>
    <x v="0"/>
    <x v="1"/>
    <x v="8"/>
    <x v="1"/>
    <x v="1"/>
    <n v="0"/>
  </r>
  <r>
    <x v="1"/>
    <x v="0"/>
    <x v="0"/>
    <x v="1"/>
    <x v="8"/>
    <x v="1"/>
    <x v="2"/>
    <n v="0"/>
  </r>
  <r>
    <x v="1"/>
    <x v="0"/>
    <x v="0"/>
    <x v="1"/>
    <x v="8"/>
    <x v="1"/>
    <x v="3"/>
    <n v="0"/>
  </r>
  <r>
    <x v="1"/>
    <x v="0"/>
    <x v="0"/>
    <x v="1"/>
    <x v="8"/>
    <x v="1"/>
    <x v="4"/>
    <n v="0"/>
  </r>
  <r>
    <x v="1"/>
    <x v="0"/>
    <x v="0"/>
    <x v="1"/>
    <x v="8"/>
    <x v="1"/>
    <x v="5"/>
    <n v="0"/>
  </r>
  <r>
    <x v="1"/>
    <x v="0"/>
    <x v="0"/>
    <x v="1"/>
    <x v="8"/>
    <x v="1"/>
    <x v="6"/>
    <n v="0"/>
  </r>
  <r>
    <x v="1"/>
    <x v="0"/>
    <x v="0"/>
    <x v="1"/>
    <x v="9"/>
    <x v="1"/>
    <x v="0"/>
    <n v="0"/>
  </r>
  <r>
    <x v="1"/>
    <x v="0"/>
    <x v="0"/>
    <x v="1"/>
    <x v="9"/>
    <x v="1"/>
    <x v="1"/>
    <n v="0"/>
  </r>
  <r>
    <x v="1"/>
    <x v="0"/>
    <x v="0"/>
    <x v="1"/>
    <x v="9"/>
    <x v="1"/>
    <x v="2"/>
    <n v="0"/>
  </r>
  <r>
    <x v="1"/>
    <x v="0"/>
    <x v="0"/>
    <x v="1"/>
    <x v="9"/>
    <x v="1"/>
    <x v="3"/>
    <n v="0"/>
  </r>
  <r>
    <x v="1"/>
    <x v="0"/>
    <x v="0"/>
    <x v="1"/>
    <x v="9"/>
    <x v="1"/>
    <x v="4"/>
    <n v="0"/>
  </r>
  <r>
    <x v="1"/>
    <x v="0"/>
    <x v="0"/>
    <x v="1"/>
    <x v="9"/>
    <x v="1"/>
    <x v="5"/>
    <n v="0"/>
  </r>
  <r>
    <x v="1"/>
    <x v="0"/>
    <x v="0"/>
    <x v="1"/>
    <x v="9"/>
    <x v="1"/>
    <x v="6"/>
    <n v="0"/>
  </r>
  <r>
    <x v="1"/>
    <x v="0"/>
    <x v="0"/>
    <x v="1"/>
    <x v="10"/>
    <x v="1"/>
    <x v="0"/>
    <n v="0"/>
  </r>
  <r>
    <x v="1"/>
    <x v="0"/>
    <x v="0"/>
    <x v="1"/>
    <x v="10"/>
    <x v="1"/>
    <x v="1"/>
    <n v="0"/>
  </r>
  <r>
    <x v="1"/>
    <x v="0"/>
    <x v="0"/>
    <x v="1"/>
    <x v="10"/>
    <x v="1"/>
    <x v="2"/>
    <n v="0"/>
  </r>
  <r>
    <x v="1"/>
    <x v="0"/>
    <x v="0"/>
    <x v="1"/>
    <x v="10"/>
    <x v="1"/>
    <x v="3"/>
    <n v="0"/>
  </r>
  <r>
    <x v="1"/>
    <x v="0"/>
    <x v="0"/>
    <x v="1"/>
    <x v="10"/>
    <x v="1"/>
    <x v="4"/>
    <n v="0"/>
  </r>
  <r>
    <x v="1"/>
    <x v="0"/>
    <x v="0"/>
    <x v="1"/>
    <x v="10"/>
    <x v="1"/>
    <x v="5"/>
    <n v="0"/>
  </r>
  <r>
    <x v="1"/>
    <x v="0"/>
    <x v="0"/>
    <x v="1"/>
    <x v="10"/>
    <x v="1"/>
    <x v="6"/>
    <n v="0"/>
  </r>
  <r>
    <x v="1"/>
    <x v="0"/>
    <x v="0"/>
    <x v="0"/>
    <x v="11"/>
    <x v="1"/>
    <x v="0"/>
    <n v="0"/>
  </r>
  <r>
    <x v="1"/>
    <x v="0"/>
    <x v="0"/>
    <x v="0"/>
    <x v="11"/>
    <x v="1"/>
    <x v="1"/>
    <n v="0"/>
  </r>
  <r>
    <x v="1"/>
    <x v="0"/>
    <x v="0"/>
    <x v="0"/>
    <x v="11"/>
    <x v="1"/>
    <x v="2"/>
    <n v="0"/>
  </r>
  <r>
    <x v="1"/>
    <x v="0"/>
    <x v="0"/>
    <x v="0"/>
    <x v="11"/>
    <x v="1"/>
    <x v="3"/>
    <n v="0"/>
  </r>
  <r>
    <x v="1"/>
    <x v="0"/>
    <x v="0"/>
    <x v="0"/>
    <x v="11"/>
    <x v="1"/>
    <x v="4"/>
    <n v="0"/>
  </r>
  <r>
    <x v="1"/>
    <x v="0"/>
    <x v="0"/>
    <x v="0"/>
    <x v="11"/>
    <x v="1"/>
    <x v="5"/>
    <n v="0"/>
  </r>
  <r>
    <x v="1"/>
    <x v="0"/>
    <x v="0"/>
    <x v="0"/>
    <x v="11"/>
    <x v="1"/>
    <x v="6"/>
    <n v="0"/>
  </r>
  <r>
    <x v="1"/>
    <x v="0"/>
    <x v="0"/>
    <x v="0"/>
    <x v="12"/>
    <x v="1"/>
    <x v="0"/>
    <n v="0"/>
  </r>
  <r>
    <x v="1"/>
    <x v="0"/>
    <x v="0"/>
    <x v="0"/>
    <x v="12"/>
    <x v="1"/>
    <x v="1"/>
    <n v="0"/>
  </r>
  <r>
    <x v="1"/>
    <x v="0"/>
    <x v="0"/>
    <x v="0"/>
    <x v="12"/>
    <x v="1"/>
    <x v="2"/>
    <n v="0"/>
  </r>
  <r>
    <x v="1"/>
    <x v="0"/>
    <x v="0"/>
    <x v="0"/>
    <x v="12"/>
    <x v="1"/>
    <x v="3"/>
    <n v="0"/>
  </r>
  <r>
    <x v="1"/>
    <x v="0"/>
    <x v="0"/>
    <x v="0"/>
    <x v="12"/>
    <x v="1"/>
    <x v="4"/>
    <n v="0"/>
  </r>
  <r>
    <x v="1"/>
    <x v="0"/>
    <x v="0"/>
    <x v="0"/>
    <x v="12"/>
    <x v="1"/>
    <x v="5"/>
    <n v="0"/>
  </r>
  <r>
    <x v="1"/>
    <x v="0"/>
    <x v="0"/>
    <x v="0"/>
    <x v="12"/>
    <x v="1"/>
    <x v="6"/>
    <n v="0"/>
  </r>
  <r>
    <x v="1"/>
    <x v="0"/>
    <x v="0"/>
    <x v="0"/>
    <x v="13"/>
    <x v="1"/>
    <x v="0"/>
    <n v="0"/>
  </r>
  <r>
    <x v="1"/>
    <x v="0"/>
    <x v="0"/>
    <x v="0"/>
    <x v="13"/>
    <x v="1"/>
    <x v="1"/>
    <n v="0"/>
  </r>
  <r>
    <x v="1"/>
    <x v="0"/>
    <x v="0"/>
    <x v="0"/>
    <x v="13"/>
    <x v="1"/>
    <x v="2"/>
    <n v="0"/>
  </r>
  <r>
    <x v="1"/>
    <x v="0"/>
    <x v="0"/>
    <x v="0"/>
    <x v="13"/>
    <x v="1"/>
    <x v="3"/>
    <n v="0"/>
  </r>
  <r>
    <x v="1"/>
    <x v="0"/>
    <x v="0"/>
    <x v="0"/>
    <x v="13"/>
    <x v="1"/>
    <x v="4"/>
    <n v="0"/>
  </r>
  <r>
    <x v="1"/>
    <x v="0"/>
    <x v="0"/>
    <x v="0"/>
    <x v="13"/>
    <x v="1"/>
    <x v="5"/>
    <n v="0"/>
  </r>
  <r>
    <x v="1"/>
    <x v="0"/>
    <x v="0"/>
    <x v="0"/>
    <x v="13"/>
    <x v="1"/>
    <x v="6"/>
    <n v="0"/>
  </r>
  <r>
    <x v="1"/>
    <x v="0"/>
    <x v="0"/>
    <x v="2"/>
    <x v="14"/>
    <x v="1"/>
    <x v="0"/>
    <n v="0"/>
  </r>
  <r>
    <x v="1"/>
    <x v="0"/>
    <x v="0"/>
    <x v="2"/>
    <x v="14"/>
    <x v="1"/>
    <x v="1"/>
    <n v="0"/>
  </r>
  <r>
    <x v="1"/>
    <x v="0"/>
    <x v="0"/>
    <x v="2"/>
    <x v="14"/>
    <x v="1"/>
    <x v="2"/>
    <n v="0"/>
  </r>
  <r>
    <x v="1"/>
    <x v="0"/>
    <x v="0"/>
    <x v="2"/>
    <x v="14"/>
    <x v="1"/>
    <x v="3"/>
    <n v="0"/>
  </r>
  <r>
    <x v="1"/>
    <x v="0"/>
    <x v="0"/>
    <x v="2"/>
    <x v="14"/>
    <x v="1"/>
    <x v="4"/>
    <n v="0"/>
  </r>
  <r>
    <x v="1"/>
    <x v="0"/>
    <x v="0"/>
    <x v="2"/>
    <x v="14"/>
    <x v="1"/>
    <x v="5"/>
    <n v="0"/>
  </r>
  <r>
    <x v="1"/>
    <x v="0"/>
    <x v="0"/>
    <x v="2"/>
    <x v="14"/>
    <x v="1"/>
    <x v="6"/>
    <n v="0"/>
  </r>
  <r>
    <x v="1"/>
    <x v="0"/>
    <x v="0"/>
    <x v="2"/>
    <x v="15"/>
    <x v="1"/>
    <x v="0"/>
    <n v="0"/>
  </r>
  <r>
    <x v="1"/>
    <x v="0"/>
    <x v="0"/>
    <x v="2"/>
    <x v="15"/>
    <x v="1"/>
    <x v="1"/>
    <n v="0"/>
  </r>
  <r>
    <x v="1"/>
    <x v="0"/>
    <x v="0"/>
    <x v="2"/>
    <x v="15"/>
    <x v="1"/>
    <x v="2"/>
    <n v="0"/>
  </r>
  <r>
    <x v="1"/>
    <x v="0"/>
    <x v="0"/>
    <x v="2"/>
    <x v="15"/>
    <x v="1"/>
    <x v="3"/>
    <n v="0"/>
  </r>
  <r>
    <x v="1"/>
    <x v="0"/>
    <x v="0"/>
    <x v="2"/>
    <x v="15"/>
    <x v="1"/>
    <x v="4"/>
    <n v="0"/>
  </r>
  <r>
    <x v="1"/>
    <x v="0"/>
    <x v="0"/>
    <x v="2"/>
    <x v="15"/>
    <x v="1"/>
    <x v="5"/>
    <n v="0"/>
  </r>
  <r>
    <x v="1"/>
    <x v="0"/>
    <x v="0"/>
    <x v="2"/>
    <x v="15"/>
    <x v="1"/>
    <x v="6"/>
    <n v="0"/>
  </r>
  <r>
    <x v="1"/>
    <x v="0"/>
    <x v="0"/>
    <x v="2"/>
    <x v="16"/>
    <x v="1"/>
    <x v="0"/>
    <n v="0"/>
  </r>
  <r>
    <x v="1"/>
    <x v="0"/>
    <x v="0"/>
    <x v="2"/>
    <x v="16"/>
    <x v="1"/>
    <x v="1"/>
    <n v="0"/>
  </r>
  <r>
    <x v="1"/>
    <x v="0"/>
    <x v="0"/>
    <x v="2"/>
    <x v="16"/>
    <x v="1"/>
    <x v="2"/>
    <n v="0"/>
  </r>
  <r>
    <x v="1"/>
    <x v="0"/>
    <x v="0"/>
    <x v="2"/>
    <x v="16"/>
    <x v="1"/>
    <x v="3"/>
    <n v="0"/>
  </r>
  <r>
    <x v="1"/>
    <x v="0"/>
    <x v="0"/>
    <x v="2"/>
    <x v="16"/>
    <x v="1"/>
    <x v="4"/>
    <n v="0"/>
  </r>
  <r>
    <x v="1"/>
    <x v="0"/>
    <x v="0"/>
    <x v="2"/>
    <x v="16"/>
    <x v="1"/>
    <x v="5"/>
    <n v="0"/>
  </r>
  <r>
    <x v="1"/>
    <x v="0"/>
    <x v="0"/>
    <x v="2"/>
    <x v="16"/>
    <x v="1"/>
    <x v="6"/>
    <n v="0"/>
  </r>
  <r>
    <x v="1"/>
    <x v="0"/>
    <x v="0"/>
    <x v="0"/>
    <x v="17"/>
    <x v="1"/>
    <x v="0"/>
    <n v="0"/>
  </r>
  <r>
    <x v="1"/>
    <x v="0"/>
    <x v="0"/>
    <x v="0"/>
    <x v="17"/>
    <x v="1"/>
    <x v="1"/>
    <n v="0"/>
  </r>
  <r>
    <x v="1"/>
    <x v="0"/>
    <x v="0"/>
    <x v="0"/>
    <x v="17"/>
    <x v="1"/>
    <x v="2"/>
    <n v="0"/>
  </r>
  <r>
    <x v="1"/>
    <x v="0"/>
    <x v="0"/>
    <x v="0"/>
    <x v="17"/>
    <x v="1"/>
    <x v="3"/>
    <n v="0"/>
  </r>
  <r>
    <x v="1"/>
    <x v="0"/>
    <x v="0"/>
    <x v="0"/>
    <x v="17"/>
    <x v="1"/>
    <x v="4"/>
    <n v="0"/>
  </r>
  <r>
    <x v="1"/>
    <x v="0"/>
    <x v="0"/>
    <x v="0"/>
    <x v="17"/>
    <x v="1"/>
    <x v="5"/>
    <n v="0"/>
  </r>
  <r>
    <x v="1"/>
    <x v="0"/>
    <x v="0"/>
    <x v="0"/>
    <x v="17"/>
    <x v="1"/>
    <x v="6"/>
    <n v="0"/>
  </r>
  <r>
    <x v="1"/>
    <x v="0"/>
    <x v="0"/>
    <x v="2"/>
    <x v="18"/>
    <x v="1"/>
    <x v="0"/>
    <n v="0"/>
  </r>
  <r>
    <x v="1"/>
    <x v="0"/>
    <x v="0"/>
    <x v="2"/>
    <x v="18"/>
    <x v="1"/>
    <x v="1"/>
    <n v="0"/>
  </r>
  <r>
    <x v="1"/>
    <x v="0"/>
    <x v="0"/>
    <x v="2"/>
    <x v="18"/>
    <x v="1"/>
    <x v="2"/>
    <n v="0"/>
  </r>
  <r>
    <x v="1"/>
    <x v="0"/>
    <x v="0"/>
    <x v="2"/>
    <x v="18"/>
    <x v="1"/>
    <x v="3"/>
    <n v="0"/>
  </r>
  <r>
    <x v="1"/>
    <x v="0"/>
    <x v="0"/>
    <x v="2"/>
    <x v="18"/>
    <x v="1"/>
    <x v="4"/>
    <n v="0"/>
  </r>
  <r>
    <x v="1"/>
    <x v="0"/>
    <x v="0"/>
    <x v="2"/>
    <x v="18"/>
    <x v="1"/>
    <x v="5"/>
    <n v="0"/>
  </r>
  <r>
    <x v="1"/>
    <x v="0"/>
    <x v="0"/>
    <x v="2"/>
    <x v="18"/>
    <x v="1"/>
    <x v="6"/>
    <n v="0"/>
  </r>
  <r>
    <x v="1"/>
    <x v="0"/>
    <x v="1"/>
    <x v="3"/>
    <x v="19"/>
    <x v="1"/>
    <x v="0"/>
    <n v="0"/>
  </r>
  <r>
    <x v="1"/>
    <x v="0"/>
    <x v="1"/>
    <x v="3"/>
    <x v="19"/>
    <x v="1"/>
    <x v="1"/>
    <n v="0"/>
  </r>
  <r>
    <x v="1"/>
    <x v="0"/>
    <x v="1"/>
    <x v="3"/>
    <x v="19"/>
    <x v="1"/>
    <x v="2"/>
    <n v="0"/>
  </r>
  <r>
    <x v="1"/>
    <x v="0"/>
    <x v="1"/>
    <x v="3"/>
    <x v="19"/>
    <x v="1"/>
    <x v="3"/>
    <n v="0"/>
  </r>
  <r>
    <x v="1"/>
    <x v="0"/>
    <x v="1"/>
    <x v="3"/>
    <x v="19"/>
    <x v="1"/>
    <x v="4"/>
    <n v="0"/>
  </r>
  <r>
    <x v="1"/>
    <x v="0"/>
    <x v="1"/>
    <x v="3"/>
    <x v="19"/>
    <x v="1"/>
    <x v="5"/>
    <n v="0"/>
  </r>
  <r>
    <x v="1"/>
    <x v="0"/>
    <x v="1"/>
    <x v="3"/>
    <x v="19"/>
    <x v="1"/>
    <x v="6"/>
    <n v="0"/>
  </r>
  <r>
    <x v="1"/>
    <x v="0"/>
    <x v="1"/>
    <x v="3"/>
    <x v="20"/>
    <x v="1"/>
    <x v="0"/>
    <n v="0"/>
  </r>
  <r>
    <x v="1"/>
    <x v="0"/>
    <x v="1"/>
    <x v="3"/>
    <x v="20"/>
    <x v="1"/>
    <x v="1"/>
    <n v="0"/>
  </r>
  <r>
    <x v="1"/>
    <x v="0"/>
    <x v="1"/>
    <x v="3"/>
    <x v="20"/>
    <x v="1"/>
    <x v="2"/>
    <n v="0"/>
  </r>
  <r>
    <x v="1"/>
    <x v="0"/>
    <x v="1"/>
    <x v="3"/>
    <x v="20"/>
    <x v="1"/>
    <x v="3"/>
    <n v="0"/>
  </r>
  <r>
    <x v="1"/>
    <x v="0"/>
    <x v="1"/>
    <x v="3"/>
    <x v="20"/>
    <x v="1"/>
    <x v="4"/>
    <n v="0"/>
  </r>
  <r>
    <x v="1"/>
    <x v="0"/>
    <x v="1"/>
    <x v="3"/>
    <x v="20"/>
    <x v="1"/>
    <x v="5"/>
    <n v="0"/>
  </r>
  <r>
    <x v="1"/>
    <x v="0"/>
    <x v="1"/>
    <x v="3"/>
    <x v="20"/>
    <x v="1"/>
    <x v="6"/>
    <n v="0"/>
  </r>
  <r>
    <x v="1"/>
    <x v="0"/>
    <x v="1"/>
    <x v="3"/>
    <x v="21"/>
    <x v="1"/>
    <x v="0"/>
    <n v="0"/>
  </r>
  <r>
    <x v="1"/>
    <x v="0"/>
    <x v="1"/>
    <x v="3"/>
    <x v="21"/>
    <x v="1"/>
    <x v="1"/>
    <n v="0"/>
  </r>
  <r>
    <x v="1"/>
    <x v="0"/>
    <x v="1"/>
    <x v="3"/>
    <x v="21"/>
    <x v="1"/>
    <x v="2"/>
    <n v="0"/>
  </r>
  <r>
    <x v="1"/>
    <x v="0"/>
    <x v="1"/>
    <x v="3"/>
    <x v="21"/>
    <x v="1"/>
    <x v="3"/>
    <n v="0"/>
  </r>
  <r>
    <x v="1"/>
    <x v="0"/>
    <x v="1"/>
    <x v="3"/>
    <x v="21"/>
    <x v="1"/>
    <x v="4"/>
    <n v="0"/>
  </r>
  <r>
    <x v="1"/>
    <x v="0"/>
    <x v="1"/>
    <x v="3"/>
    <x v="21"/>
    <x v="1"/>
    <x v="5"/>
    <n v="0"/>
  </r>
  <r>
    <x v="1"/>
    <x v="0"/>
    <x v="1"/>
    <x v="3"/>
    <x v="21"/>
    <x v="1"/>
    <x v="6"/>
    <n v="0"/>
  </r>
  <r>
    <x v="1"/>
    <x v="0"/>
    <x v="1"/>
    <x v="3"/>
    <x v="22"/>
    <x v="1"/>
    <x v="0"/>
    <n v="0"/>
  </r>
  <r>
    <x v="1"/>
    <x v="0"/>
    <x v="1"/>
    <x v="3"/>
    <x v="22"/>
    <x v="1"/>
    <x v="1"/>
    <n v="0"/>
  </r>
  <r>
    <x v="1"/>
    <x v="0"/>
    <x v="1"/>
    <x v="3"/>
    <x v="22"/>
    <x v="1"/>
    <x v="2"/>
    <n v="0"/>
  </r>
  <r>
    <x v="1"/>
    <x v="0"/>
    <x v="1"/>
    <x v="3"/>
    <x v="22"/>
    <x v="1"/>
    <x v="3"/>
    <n v="0"/>
  </r>
  <r>
    <x v="1"/>
    <x v="0"/>
    <x v="1"/>
    <x v="3"/>
    <x v="22"/>
    <x v="1"/>
    <x v="4"/>
    <n v="0"/>
  </r>
  <r>
    <x v="1"/>
    <x v="0"/>
    <x v="1"/>
    <x v="3"/>
    <x v="22"/>
    <x v="1"/>
    <x v="5"/>
    <n v="0"/>
  </r>
  <r>
    <x v="1"/>
    <x v="0"/>
    <x v="1"/>
    <x v="3"/>
    <x v="22"/>
    <x v="1"/>
    <x v="6"/>
    <n v="0"/>
  </r>
  <r>
    <x v="1"/>
    <x v="0"/>
    <x v="1"/>
    <x v="3"/>
    <x v="23"/>
    <x v="1"/>
    <x v="0"/>
    <n v="0"/>
  </r>
  <r>
    <x v="1"/>
    <x v="0"/>
    <x v="1"/>
    <x v="3"/>
    <x v="23"/>
    <x v="1"/>
    <x v="1"/>
    <n v="0"/>
  </r>
  <r>
    <x v="1"/>
    <x v="0"/>
    <x v="1"/>
    <x v="3"/>
    <x v="23"/>
    <x v="1"/>
    <x v="2"/>
    <n v="0"/>
  </r>
  <r>
    <x v="1"/>
    <x v="0"/>
    <x v="1"/>
    <x v="3"/>
    <x v="23"/>
    <x v="1"/>
    <x v="3"/>
    <n v="0"/>
  </r>
  <r>
    <x v="1"/>
    <x v="0"/>
    <x v="1"/>
    <x v="3"/>
    <x v="23"/>
    <x v="1"/>
    <x v="4"/>
    <n v="0"/>
  </r>
  <r>
    <x v="1"/>
    <x v="0"/>
    <x v="1"/>
    <x v="3"/>
    <x v="23"/>
    <x v="1"/>
    <x v="5"/>
    <n v="0"/>
  </r>
  <r>
    <x v="1"/>
    <x v="0"/>
    <x v="1"/>
    <x v="3"/>
    <x v="23"/>
    <x v="1"/>
    <x v="6"/>
    <n v="0"/>
  </r>
  <r>
    <x v="1"/>
    <x v="0"/>
    <x v="1"/>
    <x v="3"/>
    <x v="24"/>
    <x v="1"/>
    <x v="0"/>
    <n v="0"/>
  </r>
  <r>
    <x v="1"/>
    <x v="0"/>
    <x v="1"/>
    <x v="3"/>
    <x v="24"/>
    <x v="1"/>
    <x v="1"/>
    <n v="0"/>
  </r>
  <r>
    <x v="1"/>
    <x v="0"/>
    <x v="1"/>
    <x v="3"/>
    <x v="24"/>
    <x v="1"/>
    <x v="2"/>
    <n v="0"/>
  </r>
  <r>
    <x v="1"/>
    <x v="0"/>
    <x v="1"/>
    <x v="3"/>
    <x v="24"/>
    <x v="1"/>
    <x v="3"/>
    <n v="0"/>
  </r>
  <r>
    <x v="1"/>
    <x v="0"/>
    <x v="1"/>
    <x v="3"/>
    <x v="24"/>
    <x v="1"/>
    <x v="4"/>
    <n v="0"/>
  </r>
  <r>
    <x v="1"/>
    <x v="0"/>
    <x v="1"/>
    <x v="3"/>
    <x v="24"/>
    <x v="1"/>
    <x v="5"/>
    <n v="0"/>
  </r>
  <r>
    <x v="1"/>
    <x v="0"/>
    <x v="1"/>
    <x v="3"/>
    <x v="24"/>
    <x v="1"/>
    <x v="6"/>
    <n v="0"/>
  </r>
  <r>
    <x v="1"/>
    <x v="0"/>
    <x v="1"/>
    <x v="3"/>
    <x v="25"/>
    <x v="1"/>
    <x v="0"/>
    <n v="0"/>
  </r>
  <r>
    <x v="1"/>
    <x v="0"/>
    <x v="1"/>
    <x v="3"/>
    <x v="25"/>
    <x v="1"/>
    <x v="1"/>
    <n v="0"/>
  </r>
  <r>
    <x v="1"/>
    <x v="0"/>
    <x v="1"/>
    <x v="3"/>
    <x v="25"/>
    <x v="1"/>
    <x v="2"/>
    <n v="0"/>
  </r>
  <r>
    <x v="1"/>
    <x v="0"/>
    <x v="1"/>
    <x v="3"/>
    <x v="25"/>
    <x v="1"/>
    <x v="3"/>
    <n v="0"/>
  </r>
  <r>
    <x v="1"/>
    <x v="0"/>
    <x v="1"/>
    <x v="3"/>
    <x v="25"/>
    <x v="1"/>
    <x v="4"/>
    <n v="0"/>
  </r>
  <r>
    <x v="1"/>
    <x v="0"/>
    <x v="1"/>
    <x v="3"/>
    <x v="25"/>
    <x v="1"/>
    <x v="5"/>
    <n v="0"/>
  </r>
  <r>
    <x v="1"/>
    <x v="0"/>
    <x v="1"/>
    <x v="3"/>
    <x v="25"/>
    <x v="1"/>
    <x v="6"/>
    <n v="0"/>
  </r>
  <r>
    <x v="1"/>
    <x v="0"/>
    <x v="2"/>
    <x v="4"/>
    <x v="26"/>
    <x v="1"/>
    <x v="0"/>
    <n v="0"/>
  </r>
  <r>
    <x v="1"/>
    <x v="0"/>
    <x v="2"/>
    <x v="4"/>
    <x v="26"/>
    <x v="1"/>
    <x v="1"/>
    <n v="0"/>
  </r>
  <r>
    <x v="1"/>
    <x v="0"/>
    <x v="2"/>
    <x v="4"/>
    <x v="26"/>
    <x v="1"/>
    <x v="2"/>
    <n v="0"/>
  </r>
  <r>
    <x v="1"/>
    <x v="0"/>
    <x v="2"/>
    <x v="4"/>
    <x v="26"/>
    <x v="1"/>
    <x v="3"/>
    <n v="0"/>
  </r>
  <r>
    <x v="1"/>
    <x v="0"/>
    <x v="2"/>
    <x v="4"/>
    <x v="26"/>
    <x v="1"/>
    <x v="4"/>
    <n v="0"/>
  </r>
  <r>
    <x v="1"/>
    <x v="0"/>
    <x v="2"/>
    <x v="4"/>
    <x v="26"/>
    <x v="1"/>
    <x v="5"/>
    <n v="0"/>
  </r>
  <r>
    <x v="1"/>
    <x v="0"/>
    <x v="2"/>
    <x v="4"/>
    <x v="26"/>
    <x v="1"/>
    <x v="6"/>
    <n v="0"/>
  </r>
  <r>
    <x v="1"/>
    <x v="0"/>
    <x v="2"/>
    <x v="4"/>
    <x v="27"/>
    <x v="1"/>
    <x v="0"/>
    <n v="0"/>
  </r>
  <r>
    <x v="1"/>
    <x v="0"/>
    <x v="2"/>
    <x v="4"/>
    <x v="27"/>
    <x v="1"/>
    <x v="1"/>
    <n v="0"/>
  </r>
  <r>
    <x v="1"/>
    <x v="0"/>
    <x v="2"/>
    <x v="4"/>
    <x v="27"/>
    <x v="1"/>
    <x v="2"/>
    <n v="0"/>
  </r>
  <r>
    <x v="1"/>
    <x v="0"/>
    <x v="2"/>
    <x v="4"/>
    <x v="27"/>
    <x v="1"/>
    <x v="3"/>
    <n v="0"/>
  </r>
  <r>
    <x v="1"/>
    <x v="0"/>
    <x v="2"/>
    <x v="4"/>
    <x v="27"/>
    <x v="1"/>
    <x v="4"/>
    <n v="0"/>
  </r>
  <r>
    <x v="1"/>
    <x v="0"/>
    <x v="2"/>
    <x v="4"/>
    <x v="27"/>
    <x v="1"/>
    <x v="5"/>
    <n v="0"/>
  </r>
  <r>
    <x v="1"/>
    <x v="0"/>
    <x v="2"/>
    <x v="4"/>
    <x v="27"/>
    <x v="1"/>
    <x v="6"/>
    <n v="0"/>
  </r>
  <r>
    <x v="1"/>
    <x v="0"/>
    <x v="2"/>
    <x v="4"/>
    <x v="28"/>
    <x v="1"/>
    <x v="0"/>
    <n v="0"/>
  </r>
  <r>
    <x v="1"/>
    <x v="0"/>
    <x v="2"/>
    <x v="4"/>
    <x v="28"/>
    <x v="1"/>
    <x v="1"/>
    <n v="0"/>
  </r>
  <r>
    <x v="1"/>
    <x v="0"/>
    <x v="2"/>
    <x v="4"/>
    <x v="28"/>
    <x v="1"/>
    <x v="2"/>
    <n v="0"/>
  </r>
  <r>
    <x v="1"/>
    <x v="0"/>
    <x v="2"/>
    <x v="4"/>
    <x v="28"/>
    <x v="1"/>
    <x v="3"/>
    <n v="0"/>
  </r>
  <r>
    <x v="1"/>
    <x v="0"/>
    <x v="2"/>
    <x v="4"/>
    <x v="28"/>
    <x v="1"/>
    <x v="4"/>
    <n v="0"/>
  </r>
  <r>
    <x v="1"/>
    <x v="0"/>
    <x v="2"/>
    <x v="4"/>
    <x v="28"/>
    <x v="1"/>
    <x v="5"/>
    <n v="0"/>
  </r>
  <r>
    <x v="1"/>
    <x v="0"/>
    <x v="2"/>
    <x v="4"/>
    <x v="28"/>
    <x v="1"/>
    <x v="6"/>
    <n v="0"/>
  </r>
  <r>
    <x v="1"/>
    <x v="0"/>
    <x v="2"/>
    <x v="4"/>
    <x v="29"/>
    <x v="1"/>
    <x v="0"/>
    <n v="0"/>
  </r>
  <r>
    <x v="1"/>
    <x v="0"/>
    <x v="2"/>
    <x v="4"/>
    <x v="29"/>
    <x v="1"/>
    <x v="1"/>
    <n v="0"/>
  </r>
  <r>
    <x v="1"/>
    <x v="0"/>
    <x v="2"/>
    <x v="4"/>
    <x v="29"/>
    <x v="1"/>
    <x v="2"/>
    <n v="0"/>
  </r>
  <r>
    <x v="1"/>
    <x v="0"/>
    <x v="2"/>
    <x v="4"/>
    <x v="29"/>
    <x v="1"/>
    <x v="3"/>
    <n v="0"/>
  </r>
  <r>
    <x v="1"/>
    <x v="0"/>
    <x v="2"/>
    <x v="4"/>
    <x v="29"/>
    <x v="1"/>
    <x v="4"/>
    <n v="0"/>
  </r>
  <r>
    <x v="1"/>
    <x v="0"/>
    <x v="2"/>
    <x v="4"/>
    <x v="29"/>
    <x v="1"/>
    <x v="5"/>
    <n v="0"/>
  </r>
  <r>
    <x v="1"/>
    <x v="0"/>
    <x v="2"/>
    <x v="4"/>
    <x v="29"/>
    <x v="1"/>
    <x v="6"/>
    <n v="0"/>
  </r>
  <r>
    <x v="1"/>
    <x v="0"/>
    <x v="3"/>
    <x v="5"/>
    <x v="30"/>
    <x v="1"/>
    <x v="0"/>
    <n v="0"/>
  </r>
  <r>
    <x v="1"/>
    <x v="0"/>
    <x v="3"/>
    <x v="5"/>
    <x v="30"/>
    <x v="1"/>
    <x v="1"/>
    <n v="0"/>
  </r>
  <r>
    <x v="1"/>
    <x v="0"/>
    <x v="3"/>
    <x v="5"/>
    <x v="30"/>
    <x v="1"/>
    <x v="2"/>
    <n v="0"/>
  </r>
  <r>
    <x v="1"/>
    <x v="0"/>
    <x v="3"/>
    <x v="5"/>
    <x v="30"/>
    <x v="1"/>
    <x v="3"/>
    <n v="0"/>
  </r>
  <r>
    <x v="1"/>
    <x v="0"/>
    <x v="3"/>
    <x v="5"/>
    <x v="30"/>
    <x v="1"/>
    <x v="4"/>
    <n v="0"/>
  </r>
  <r>
    <x v="1"/>
    <x v="0"/>
    <x v="3"/>
    <x v="5"/>
    <x v="30"/>
    <x v="1"/>
    <x v="5"/>
    <n v="0"/>
  </r>
  <r>
    <x v="1"/>
    <x v="0"/>
    <x v="3"/>
    <x v="5"/>
    <x v="30"/>
    <x v="1"/>
    <x v="6"/>
    <n v="0"/>
  </r>
  <r>
    <x v="1"/>
    <x v="0"/>
    <x v="2"/>
    <x v="4"/>
    <x v="31"/>
    <x v="1"/>
    <x v="0"/>
    <n v="0"/>
  </r>
  <r>
    <x v="1"/>
    <x v="0"/>
    <x v="2"/>
    <x v="4"/>
    <x v="31"/>
    <x v="1"/>
    <x v="1"/>
    <n v="0"/>
  </r>
  <r>
    <x v="1"/>
    <x v="0"/>
    <x v="2"/>
    <x v="4"/>
    <x v="31"/>
    <x v="1"/>
    <x v="2"/>
    <n v="0"/>
  </r>
  <r>
    <x v="1"/>
    <x v="0"/>
    <x v="2"/>
    <x v="4"/>
    <x v="31"/>
    <x v="1"/>
    <x v="3"/>
    <n v="0"/>
  </r>
  <r>
    <x v="1"/>
    <x v="0"/>
    <x v="2"/>
    <x v="4"/>
    <x v="31"/>
    <x v="1"/>
    <x v="4"/>
    <n v="0"/>
  </r>
  <r>
    <x v="1"/>
    <x v="0"/>
    <x v="2"/>
    <x v="4"/>
    <x v="31"/>
    <x v="1"/>
    <x v="5"/>
    <n v="0"/>
  </r>
  <r>
    <x v="1"/>
    <x v="0"/>
    <x v="2"/>
    <x v="4"/>
    <x v="31"/>
    <x v="1"/>
    <x v="6"/>
    <n v="0"/>
  </r>
  <r>
    <x v="1"/>
    <x v="0"/>
    <x v="2"/>
    <x v="4"/>
    <x v="32"/>
    <x v="1"/>
    <x v="0"/>
    <n v="0"/>
  </r>
  <r>
    <x v="1"/>
    <x v="0"/>
    <x v="2"/>
    <x v="4"/>
    <x v="32"/>
    <x v="1"/>
    <x v="1"/>
    <n v="0"/>
  </r>
  <r>
    <x v="1"/>
    <x v="0"/>
    <x v="2"/>
    <x v="4"/>
    <x v="32"/>
    <x v="1"/>
    <x v="2"/>
    <n v="0"/>
  </r>
  <r>
    <x v="1"/>
    <x v="0"/>
    <x v="2"/>
    <x v="4"/>
    <x v="32"/>
    <x v="1"/>
    <x v="3"/>
    <n v="0"/>
  </r>
  <r>
    <x v="1"/>
    <x v="0"/>
    <x v="2"/>
    <x v="4"/>
    <x v="32"/>
    <x v="1"/>
    <x v="4"/>
    <n v="0"/>
  </r>
  <r>
    <x v="1"/>
    <x v="0"/>
    <x v="2"/>
    <x v="4"/>
    <x v="32"/>
    <x v="1"/>
    <x v="5"/>
    <n v="0"/>
  </r>
  <r>
    <x v="1"/>
    <x v="0"/>
    <x v="2"/>
    <x v="4"/>
    <x v="32"/>
    <x v="1"/>
    <x v="6"/>
    <n v="0"/>
  </r>
  <r>
    <x v="1"/>
    <x v="0"/>
    <x v="2"/>
    <x v="4"/>
    <x v="33"/>
    <x v="1"/>
    <x v="0"/>
    <n v="0"/>
  </r>
  <r>
    <x v="1"/>
    <x v="0"/>
    <x v="2"/>
    <x v="4"/>
    <x v="33"/>
    <x v="1"/>
    <x v="1"/>
    <n v="0"/>
  </r>
  <r>
    <x v="1"/>
    <x v="0"/>
    <x v="2"/>
    <x v="4"/>
    <x v="33"/>
    <x v="1"/>
    <x v="2"/>
    <n v="0"/>
  </r>
  <r>
    <x v="1"/>
    <x v="0"/>
    <x v="2"/>
    <x v="4"/>
    <x v="33"/>
    <x v="1"/>
    <x v="3"/>
    <n v="0"/>
  </r>
  <r>
    <x v="1"/>
    <x v="0"/>
    <x v="2"/>
    <x v="4"/>
    <x v="33"/>
    <x v="1"/>
    <x v="4"/>
    <n v="0"/>
  </r>
  <r>
    <x v="1"/>
    <x v="0"/>
    <x v="2"/>
    <x v="4"/>
    <x v="33"/>
    <x v="1"/>
    <x v="5"/>
    <n v="0"/>
  </r>
  <r>
    <x v="1"/>
    <x v="0"/>
    <x v="2"/>
    <x v="4"/>
    <x v="33"/>
    <x v="1"/>
    <x v="6"/>
    <n v="0"/>
  </r>
  <r>
    <x v="1"/>
    <x v="0"/>
    <x v="2"/>
    <x v="4"/>
    <x v="34"/>
    <x v="1"/>
    <x v="0"/>
    <n v="0"/>
  </r>
  <r>
    <x v="1"/>
    <x v="0"/>
    <x v="2"/>
    <x v="4"/>
    <x v="34"/>
    <x v="1"/>
    <x v="1"/>
    <n v="0"/>
  </r>
  <r>
    <x v="1"/>
    <x v="0"/>
    <x v="2"/>
    <x v="4"/>
    <x v="34"/>
    <x v="1"/>
    <x v="2"/>
    <n v="0"/>
  </r>
  <r>
    <x v="1"/>
    <x v="0"/>
    <x v="2"/>
    <x v="4"/>
    <x v="34"/>
    <x v="1"/>
    <x v="3"/>
    <n v="0"/>
  </r>
  <r>
    <x v="1"/>
    <x v="0"/>
    <x v="2"/>
    <x v="4"/>
    <x v="34"/>
    <x v="1"/>
    <x v="4"/>
    <n v="0"/>
  </r>
  <r>
    <x v="1"/>
    <x v="0"/>
    <x v="2"/>
    <x v="4"/>
    <x v="34"/>
    <x v="1"/>
    <x v="5"/>
    <n v="0"/>
  </r>
  <r>
    <x v="1"/>
    <x v="0"/>
    <x v="2"/>
    <x v="4"/>
    <x v="34"/>
    <x v="1"/>
    <x v="6"/>
    <n v="0"/>
  </r>
  <r>
    <x v="1"/>
    <x v="0"/>
    <x v="2"/>
    <x v="6"/>
    <x v="35"/>
    <x v="1"/>
    <x v="0"/>
    <n v="0"/>
  </r>
  <r>
    <x v="1"/>
    <x v="0"/>
    <x v="2"/>
    <x v="6"/>
    <x v="35"/>
    <x v="1"/>
    <x v="1"/>
    <n v="0"/>
  </r>
  <r>
    <x v="1"/>
    <x v="0"/>
    <x v="2"/>
    <x v="6"/>
    <x v="35"/>
    <x v="1"/>
    <x v="2"/>
    <n v="0"/>
  </r>
  <r>
    <x v="1"/>
    <x v="0"/>
    <x v="2"/>
    <x v="6"/>
    <x v="35"/>
    <x v="1"/>
    <x v="3"/>
    <n v="0"/>
  </r>
  <r>
    <x v="1"/>
    <x v="0"/>
    <x v="2"/>
    <x v="6"/>
    <x v="35"/>
    <x v="1"/>
    <x v="4"/>
    <n v="0"/>
  </r>
  <r>
    <x v="1"/>
    <x v="0"/>
    <x v="2"/>
    <x v="6"/>
    <x v="35"/>
    <x v="1"/>
    <x v="5"/>
    <n v="0"/>
  </r>
  <r>
    <x v="1"/>
    <x v="0"/>
    <x v="2"/>
    <x v="6"/>
    <x v="35"/>
    <x v="1"/>
    <x v="6"/>
    <n v="0"/>
  </r>
  <r>
    <x v="1"/>
    <x v="0"/>
    <x v="2"/>
    <x v="6"/>
    <x v="36"/>
    <x v="1"/>
    <x v="0"/>
    <n v="0"/>
  </r>
  <r>
    <x v="1"/>
    <x v="0"/>
    <x v="2"/>
    <x v="6"/>
    <x v="36"/>
    <x v="1"/>
    <x v="1"/>
    <n v="0"/>
  </r>
  <r>
    <x v="1"/>
    <x v="0"/>
    <x v="2"/>
    <x v="6"/>
    <x v="36"/>
    <x v="1"/>
    <x v="2"/>
    <n v="0"/>
  </r>
  <r>
    <x v="1"/>
    <x v="0"/>
    <x v="2"/>
    <x v="6"/>
    <x v="36"/>
    <x v="1"/>
    <x v="3"/>
    <n v="0"/>
  </r>
  <r>
    <x v="1"/>
    <x v="0"/>
    <x v="2"/>
    <x v="6"/>
    <x v="36"/>
    <x v="1"/>
    <x v="4"/>
    <n v="0"/>
  </r>
  <r>
    <x v="1"/>
    <x v="0"/>
    <x v="2"/>
    <x v="6"/>
    <x v="36"/>
    <x v="1"/>
    <x v="5"/>
    <n v="0"/>
  </r>
  <r>
    <x v="1"/>
    <x v="0"/>
    <x v="2"/>
    <x v="6"/>
    <x v="36"/>
    <x v="1"/>
    <x v="6"/>
    <n v="0"/>
  </r>
  <r>
    <x v="1"/>
    <x v="0"/>
    <x v="2"/>
    <x v="6"/>
    <x v="37"/>
    <x v="1"/>
    <x v="0"/>
    <n v="0"/>
  </r>
  <r>
    <x v="1"/>
    <x v="0"/>
    <x v="2"/>
    <x v="6"/>
    <x v="37"/>
    <x v="1"/>
    <x v="1"/>
    <n v="0"/>
  </r>
  <r>
    <x v="1"/>
    <x v="0"/>
    <x v="2"/>
    <x v="6"/>
    <x v="37"/>
    <x v="1"/>
    <x v="2"/>
    <n v="0"/>
  </r>
  <r>
    <x v="1"/>
    <x v="0"/>
    <x v="2"/>
    <x v="6"/>
    <x v="37"/>
    <x v="1"/>
    <x v="3"/>
    <n v="0"/>
  </r>
  <r>
    <x v="1"/>
    <x v="0"/>
    <x v="2"/>
    <x v="6"/>
    <x v="37"/>
    <x v="1"/>
    <x v="4"/>
    <n v="0"/>
  </r>
  <r>
    <x v="1"/>
    <x v="0"/>
    <x v="2"/>
    <x v="6"/>
    <x v="37"/>
    <x v="1"/>
    <x v="5"/>
    <n v="0"/>
  </r>
  <r>
    <x v="1"/>
    <x v="0"/>
    <x v="2"/>
    <x v="6"/>
    <x v="37"/>
    <x v="1"/>
    <x v="6"/>
    <n v="0"/>
  </r>
  <r>
    <x v="1"/>
    <x v="0"/>
    <x v="2"/>
    <x v="6"/>
    <x v="38"/>
    <x v="1"/>
    <x v="0"/>
    <n v="0"/>
  </r>
  <r>
    <x v="1"/>
    <x v="0"/>
    <x v="2"/>
    <x v="6"/>
    <x v="38"/>
    <x v="1"/>
    <x v="1"/>
    <n v="0"/>
  </r>
  <r>
    <x v="1"/>
    <x v="0"/>
    <x v="2"/>
    <x v="6"/>
    <x v="38"/>
    <x v="1"/>
    <x v="2"/>
    <n v="0"/>
  </r>
  <r>
    <x v="1"/>
    <x v="0"/>
    <x v="2"/>
    <x v="6"/>
    <x v="38"/>
    <x v="1"/>
    <x v="3"/>
    <n v="0"/>
  </r>
  <r>
    <x v="1"/>
    <x v="0"/>
    <x v="2"/>
    <x v="6"/>
    <x v="38"/>
    <x v="1"/>
    <x v="4"/>
    <n v="0"/>
  </r>
  <r>
    <x v="1"/>
    <x v="0"/>
    <x v="2"/>
    <x v="6"/>
    <x v="38"/>
    <x v="1"/>
    <x v="5"/>
    <n v="0"/>
  </r>
  <r>
    <x v="1"/>
    <x v="0"/>
    <x v="2"/>
    <x v="6"/>
    <x v="38"/>
    <x v="1"/>
    <x v="6"/>
    <n v="0"/>
  </r>
  <r>
    <x v="1"/>
    <x v="0"/>
    <x v="3"/>
    <x v="5"/>
    <x v="39"/>
    <x v="1"/>
    <x v="0"/>
    <n v="0"/>
  </r>
  <r>
    <x v="1"/>
    <x v="0"/>
    <x v="3"/>
    <x v="5"/>
    <x v="39"/>
    <x v="1"/>
    <x v="1"/>
    <n v="0"/>
  </r>
  <r>
    <x v="1"/>
    <x v="0"/>
    <x v="3"/>
    <x v="5"/>
    <x v="39"/>
    <x v="1"/>
    <x v="2"/>
    <n v="0"/>
  </r>
  <r>
    <x v="1"/>
    <x v="0"/>
    <x v="3"/>
    <x v="5"/>
    <x v="39"/>
    <x v="1"/>
    <x v="3"/>
    <n v="0"/>
  </r>
  <r>
    <x v="1"/>
    <x v="0"/>
    <x v="3"/>
    <x v="5"/>
    <x v="39"/>
    <x v="1"/>
    <x v="4"/>
    <n v="0"/>
  </r>
  <r>
    <x v="1"/>
    <x v="0"/>
    <x v="3"/>
    <x v="5"/>
    <x v="39"/>
    <x v="1"/>
    <x v="5"/>
    <n v="0"/>
  </r>
  <r>
    <x v="1"/>
    <x v="0"/>
    <x v="3"/>
    <x v="5"/>
    <x v="39"/>
    <x v="1"/>
    <x v="6"/>
    <n v="0"/>
  </r>
  <r>
    <x v="1"/>
    <x v="0"/>
    <x v="2"/>
    <x v="6"/>
    <x v="40"/>
    <x v="1"/>
    <x v="0"/>
    <n v="0"/>
  </r>
  <r>
    <x v="1"/>
    <x v="0"/>
    <x v="2"/>
    <x v="6"/>
    <x v="40"/>
    <x v="1"/>
    <x v="1"/>
    <n v="0"/>
  </r>
  <r>
    <x v="1"/>
    <x v="0"/>
    <x v="2"/>
    <x v="6"/>
    <x v="40"/>
    <x v="1"/>
    <x v="2"/>
    <n v="0"/>
  </r>
  <r>
    <x v="1"/>
    <x v="0"/>
    <x v="2"/>
    <x v="6"/>
    <x v="40"/>
    <x v="1"/>
    <x v="3"/>
    <n v="0"/>
  </r>
  <r>
    <x v="1"/>
    <x v="0"/>
    <x v="2"/>
    <x v="6"/>
    <x v="40"/>
    <x v="1"/>
    <x v="4"/>
    <n v="0"/>
  </r>
  <r>
    <x v="1"/>
    <x v="0"/>
    <x v="2"/>
    <x v="6"/>
    <x v="40"/>
    <x v="1"/>
    <x v="5"/>
    <n v="0"/>
  </r>
  <r>
    <x v="1"/>
    <x v="0"/>
    <x v="2"/>
    <x v="6"/>
    <x v="40"/>
    <x v="1"/>
    <x v="6"/>
    <n v="0"/>
  </r>
  <r>
    <x v="1"/>
    <x v="0"/>
    <x v="2"/>
    <x v="6"/>
    <x v="41"/>
    <x v="1"/>
    <x v="0"/>
    <n v="0"/>
  </r>
  <r>
    <x v="1"/>
    <x v="0"/>
    <x v="2"/>
    <x v="6"/>
    <x v="41"/>
    <x v="1"/>
    <x v="1"/>
    <n v="0"/>
  </r>
  <r>
    <x v="1"/>
    <x v="0"/>
    <x v="2"/>
    <x v="6"/>
    <x v="41"/>
    <x v="1"/>
    <x v="2"/>
    <n v="0"/>
  </r>
  <r>
    <x v="1"/>
    <x v="0"/>
    <x v="2"/>
    <x v="6"/>
    <x v="41"/>
    <x v="1"/>
    <x v="3"/>
    <n v="0"/>
  </r>
  <r>
    <x v="1"/>
    <x v="0"/>
    <x v="2"/>
    <x v="6"/>
    <x v="41"/>
    <x v="1"/>
    <x v="4"/>
    <n v="0"/>
  </r>
  <r>
    <x v="1"/>
    <x v="0"/>
    <x v="2"/>
    <x v="6"/>
    <x v="41"/>
    <x v="1"/>
    <x v="5"/>
    <n v="0"/>
  </r>
  <r>
    <x v="1"/>
    <x v="0"/>
    <x v="2"/>
    <x v="6"/>
    <x v="41"/>
    <x v="1"/>
    <x v="6"/>
    <n v="0"/>
  </r>
  <r>
    <x v="1"/>
    <x v="0"/>
    <x v="2"/>
    <x v="6"/>
    <x v="42"/>
    <x v="1"/>
    <x v="0"/>
    <n v="0"/>
  </r>
  <r>
    <x v="1"/>
    <x v="0"/>
    <x v="2"/>
    <x v="6"/>
    <x v="42"/>
    <x v="1"/>
    <x v="1"/>
    <n v="0"/>
  </r>
  <r>
    <x v="1"/>
    <x v="0"/>
    <x v="2"/>
    <x v="6"/>
    <x v="42"/>
    <x v="1"/>
    <x v="2"/>
    <n v="0"/>
  </r>
  <r>
    <x v="1"/>
    <x v="0"/>
    <x v="2"/>
    <x v="6"/>
    <x v="42"/>
    <x v="1"/>
    <x v="3"/>
    <n v="0"/>
  </r>
  <r>
    <x v="1"/>
    <x v="0"/>
    <x v="2"/>
    <x v="6"/>
    <x v="42"/>
    <x v="1"/>
    <x v="4"/>
    <n v="0"/>
  </r>
  <r>
    <x v="1"/>
    <x v="0"/>
    <x v="2"/>
    <x v="6"/>
    <x v="42"/>
    <x v="1"/>
    <x v="5"/>
    <n v="0"/>
  </r>
  <r>
    <x v="1"/>
    <x v="0"/>
    <x v="2"/>
    <x v="6"/>
    <x v="42"/>
    <x v="1"/>
    <x v="6"/>
    <n v="0"/>
  </r>
  <r>
    <x v="1"/>
    <x v="0"/>
    <x v="2"/>
    <x v="6"/>
    <x v="43"/>
    <x v="1"/>
    <x v="0"/>
    <n v="0"/>
  </r>
  <r>
    <x v="1"/>
    <x v="0"/>
    <x v="2"/>
    <x v="6"/>
    <x v="43"/>
    <x v="1"/>
    <x v="1"/>
    <n v="0"/>
  </r>
  <r>
    <x v="1"/>
    <x v="0"/>
    <x v="2"/>
    <x v="6"/>
    <x v="43"/>
    <x v="1"/>
    <x v="2"/>
    <n v="0"/>
  </r>
  <r>
    <x v="1"/>
    <x v="0"/>
    <x v="2"/>
    <x v="6"/>
    <x v="43"/>
    <x v="1"/>
    <x v="3"/>
    <n v="0"/>
  </r>
  <r>
    <x v="1"/>
    <x v="0"/>
    <x v="2"/>
    <x v="6"/>
    <x v="43"/>
    <x v="1"/>
    <x v="4"/>
    <n v="0"/>
  </r>
  <r>
    <x v="1"/>
    <x v="0"/>
    <x v="2"/>
    <x v="6"/>
    <x v="43"/>
    <x v="1"/>
    <x v="5"/>
    <n v="0"/>
  </r>
  <r>
    <x v="1"/>
    <x v="0"/>
    <x v="2"/>
    <x v="6"/>
    <x v="43"/>
    <x v="1"/>
    <x v="6"/>
    <n v="0"/>
  </r>
  <r>
    <x v="0"/>
    <x v="8"/>
    <x v="4"/>
    <x v="7"/>
    <x v="61"/>
    <x v="1"/>
    <x v="0"/>
    <n v="0"/>
  </r>
  <r>
    <x v="0"/>
    <x v="8"/>
    <x v="4"/>
    <x v="7"/>
    <x v="61"/>
    <x v="1"/>
    <x v="1"/>
    <n v="0"/>
  </r>
  <r>
    <x v="0"/>
    <x v="8"/>
    <x v="4"/>
    <x v="7"/>
    <x v="61"/>
    <x v="1"/>
    <x v="2"/>
    <n v="0"/>
  </r>
  <r>
    <x v="0"/>
    <x v="8"/>
    <x v="4"/>
    <x v="7"/>
    <x v="61"/>
    <x v="1"/>
    <x v="3"/>
    <n v="0"/>
  </r>
  <r>
    <x v="0"/>
    <x v="8"/>
    <x v="4"/>
    <x v="7"/>
    <x v="61"/>
    <x v="1"/>
    <x v="4"/>
    <n v="81.378676920283439"/>
  </r>
  <r>
    <x v="0"/>
    <x v="8"/>
    <x v="4"/>
    <x v="7"/>
    <x v="61"/>
    <x v="1"/>
    <x v="5"/>
    <n v="147.83186583933323"/>
  </r>
  <r>
    <x v="0"/>
    <x v="8"/>
    <x v="4"/>
    <x v="7"/>
    <x v="61"/>
    <x v="1"/>
    <x v="6"/>
    <n v="0"/>
  </r>
  <r>
    <x v="0"/>
    <x v="8"/>
    <x v="4"/>
    <x v="7"/>
    <x v="62"/>
    <x v="1"/>
    <x v="0"/>
    <n v="174.51378586047343"/>
  </r>
  <r>
    <x v="0"/>
    <x v="8"/>
    <x v="4"/>
    <x v="7"/>
    <x v="62"/>
    <x v="1"/>
    <x v="1"/>
    <n v="423.05910678482587"/>
  </r>
  <r>
    <x v="0"/>
    <x v="8"/>
    <x v="4"/>
    <x v="7"/>
    <x v="62"/>
    <x v="1"/>
    <x v="2"/>
    <n v="1126.3746508872168"/>
  </r>
  <r>
    <x v="0"/>
    <x v="8"/>
    <x v="4"/>
    <x v="7"/>
    <x v="62"/>
    <x v="1"/>
    <x v="3"/>
    <n v="2601.6656519499356"/>
  </r>
  <r>
    <x v="0"/>
    <x v="8"/>
    <x v="4"/>
    <x v="7"/>
    <x v="62"/>
    <x v="1"/>
    <x v="4"/>
    <n v="5723.7228353391138"/>
  </r>
  <r>
    <x v="0"/>
    <x v="8"/>
    <x v="4"/>
    <x v="7"/>
    <x v="62"/>
    <x v="1"/>
    <x v="5"/>
    <n v="11014.407665395276"/>
  </r>
  <r>
    <x v="0"/>
    <x v="8"/>
    <x v="4"/>
    <x v="7"/>
    <x v="62"/>
    <x v="1"/>
    <x v="6"/>
    <n v="19685.046585817563"/>
  </r>
  <r>
    <x v="0"/>
    <x v="8"/>
    <x v="4"/>
    <x v="7"/>
    <x v="63"/>
    <x v="1"/>
    <x v="0"/>
    <n v="0"/>
  </r>
  <r>
    <x v="0"/>
    <x v="8"/>
    <x v="4"/>
    <x v="7"/>
    <x v="63"/>
    <x v="1"/>
    <x v="1"/>
    <n v="0"/>
  </r>
  <r>
    <x v="0"/>
    <x v="8"/>
    <x v="4"/>
    <x v="7"/>
    <x v="63"/>
    <x v="1"/>
    <x v="2"/>
    <n v="0"/>
  </r>
  <r>
    <x v="0"/>
    <x v="8"/>
    <x v="4"/>
    <x v="7"/>
    <x v="63"/>
    <x v="1"/>
    <x v="3"/>
    <n v="0"/>
  </r>
  <r>
    <x v="0"/>
    <x v="8"/>
    <x v="4"/>
    <x v="7"/>
    <x v="63"/>
    <x v="1"/>
    <x v="4"/>
    <n v="0"/>
  </r>
  <r>
    <x v="0"/>
    <x v="8"/>
    <x v="4"/>
    <x v="7"/>
    <x v="63"/>
    <x v="1"/>
    <x v="5"/>
    <n v="0"/>
  </r>
  <r>
    <x v="0"/>
    <x v="8"/>
    <x v="4"/>
    <x v="7"/>
    <x v="63"/>
    <x v="1"/>
    <x v="6"/>
    <n v="0"/>
  </r>
  <r>
    <x v="0"/>
    <x v="8"/>
    <x v="4"/>
    <x v="7"/>
    <x v="64"/>
    <x v="1"/>
    <x v="0"/>
    <n v="1352.1859142785295"/>
  </r>
  <r>
    <x v="0"/>
    <x v="8"/>
    <x v="4"/>
    <x v="7"/>
    <x v="64"/>
    <x v="1"/>
    <x v="1"/>
    <n v="5659.2053910399072"/>
  </r>
  <r>
    <x v="0"/>
    <x v="8"/>
    <x v="4"/>
    <x v="7"/>
    <x v="64"/>
    <x v="1"/>
    <x v="2"/>
    <n v="19767.669486676827"/>
  </r>
  <r>
    <x v="0"/>
    <x v="8"/>
    <x v="4"/>
    <x v="7"/>
    <x v="64"/>
    <x v="1"/>
    <x v="3"/>
    <n v="27595.703242497952"/>
  </r>
  <r>
    <x v="0"/>
    <x v="8"/>
    <x v="4"/>
    <x v="7"/>
    <x v="64"/>
    <x v="1"/>
    <x v="4"/>
    <n v="41540.262823511774"/>
  </r>
  <r>
    <x v="0"/>
    <x v="8"/>
    <x v="4"/>
    <x v="7"/>
    <x v="64"/>
    <x v="1"/>
    <x v="5"/>
    <n v="71496.095168696527"/>
  </r>
  <r>
    <x v="0"/>
    <x v="8"/>
    <x v="4"/>
    <x v="7"/>
    <x v="64"/>
    <x v="1"/>
    <x v="6"/>
    <n v="121378.29857083257"/>
  </r>
  <r>
    <x v="1"/>
    <x v="0"/>
    <x v="4"/>
    <x v="7"/>
    <x v="44"/>
    <x v="1"/>
    <x v="0"/>
    <n v="0"/>
  </r>
  <r>
    <x v="1"/>
    <x v="0"/>
    <x v="4"/>
    <x v="7"/>
    <x v="44"/>
    <x v="1"/>
    <x v="1"/>
    <n v="0"/>
  </r>
  <r>
    <x v="1"/>
    <x v="0"/>
    <x v="4"/>
    <x v="7"/>
    <x v="44"/>
    <x v="1"/>
    <x v="2"/>
    <n v="0"/>
  </r>
  <r>
    <x v="1"/>
    <x v="0"/>
    <x v="4"/>
    <x v="7"/>
    <x v="44"/>
    <x v="1"/>
    <x v="3"/>
    <n v="0"/>
  </r>
  <r>
    <x v="1"/>
    <x v="0"/>
    <x v="4"/>
    <x v="7"/>
    <x v="44"/>
    <x v="1"/>
    <x v="4"/>
    <n v="0"/>
  </r>
  <r>
    <x v="1"/>
    <x v="0"/>
    <x v="4"/>
    <x v="7"/>
    <x v="44"/>
    <x v="1"/>
    <x v="5"/>
    <n v="0"/>
  </r>
  <r>
    <x v="1"/>
    <x v="0"/>
    <x v="4"/>
    <x v="7"/>
    <x v="44"/>
    <x v="1"/>
    <x v="6"/>
    <n v="0"/>
  </r>
  <r>
    <x v="1"/>
    <x v="0"/>
    <x v="4"/>
    <x v="7"/>
    <x v="45"/>
    <x v="1"/>
    <x v="0"/>
    <n v="0"/>
  </r>
  <r>
    <x v="1"/>
    <x v="0"/>
    <x v="4"/>
    <x v="7"/>
    <x v="45"/>
    <x v="1"/>
    <x v="1"/>
    <n v="0"/>
  </r>
  <r>
    <x v="1"/>
    <x v="0"/>
    <x v="4"/>
    <x v="7"/>
    <x v="45"/>
    <x v="1"/>
    <x v="2"/>
    <n v="0"/>
  </r>
  <r>
    <x v="1"/>
    <x v="0"/>
    <x v="4"/>
    <x v="7"/>
    <x v="45"/>
    <x v="1"/>
    <x v="3"/>
    <n v="0"/>
  </r>
  <r>
    <x v="1"/>
    <x v="0"/>
    <x v="4"/>
    <x v="7"/>
    <x v="45"/>
    <x v="1"/>
    <x v="4"/>
    <n v="0"/>
  </r>
  <r>
    <x v="1"/>
    <x v="0"/>
    <x v="4"/>
    <x v="7"/>
    <x v="45"/>
    <x v="1"/>
    <x v="5"/>
    <n v="0"/>
  </r>
  <r>
    <x v="1"/>
    <x v="0"/>
    <x v="4"/>
    <x v="7"/>
    <x v="45"/>
    <x v="1"/>
    <x v="6"/>
    <n v="0"/>
  </r>
  <r>
    <x v="1"/>
    <x v="0"/>
    <x v="4"/>
    <x v="7"/>
    <x v="46"/>
    <x v="1"/>
    <x v="0"/>
    <n v="0"/>
  </r>
  <r>
    <x v="1"/>
    <x v="0"/>
    <x v="4"/>
    <x v="7"/>
    <x v="46"/>
    <x v="1"/>
    <x v="1"/>
    <n v="0"/>
  </r>
  <r>
    <x v="1"/>
    <x v="0"/>
    <x v="4"/>
    <x v="7"/>
    <x v="46"/>
    <x v="1"/>
    <x v="2"/>
    <n v="0"/>
  </r>
  <r>
    <x v="1"/>
    <x v="0"/>
    <x v="4"/>
    <x v="7"/>
    <x v="46"/>
    <x v="1"/>
    <x v="3"/>
    <n v="0"/>
  </r>
  <r>
    <x v="1"/>
    <x v="0"/>
    <x v="4"/>
    <x v="7"/>
    <x v="46"/>
    <x v="1"/>
    <x v="4"/>
    <n v="0"/>
  </r>
  <r>
    <x v="1"/>
    <x v="0"/>
    <x v="4"/>
    <x v="7"/>
    <x v="46"/>
    <x v="1"/>
    <x v="5"/>
    <n v="0"/>
  </r>
  <r>
    <x v="1"/>
    <x v="0"/>
    <x v="4"/>
    <x v="7"/>
    <x v="46"/>
    <x v="1"/>
    <x v="6"/>
    <n v="0"/>
  </r>
  <r>
    <x v="1"/>
    <x v="0"/>
    <x v="5"/>
    <x v="8"/>
    <x v="51"/>
    <x v="1"/>
    <x v="0"/>
    <n v="0"/>
  </r>
  <r>
    <x v="1"/>
    <x v="0"/>
    <x v="5"/>
    <x v="8"/>
    <x v="51"/>
    <x v="1"/>
    <x v="1"/>
    <n v="0"/>
  </r>
  <r>
    <x v="1"/>
    <x v="0"/>
    <x v="5"/>
    <x v="8"/>
    <x v="51"/>
    <x v="1"/>
    <x v="2"/>
    <n v="0"/>
  </r>
  <r>
    <x v="1"/>
    <x v="0"/>
    <x v="5"/>
    <x v="8"/>
    <x v="51"/>
    <x v="1"/>
    <x v="3"/>
    <n v="0"/>
  </r>
  <r>
    <x v="1"/>
    <x v="0"/>
    <x v="5"/>
    <x v="8"/>
    <x v="51"/>
    <x v="1"/>
    <x v="4"/>
    <n v="0"/>
  </r>
  <r>
    <x v="1"/>
    <x v="0"/>
    <x v="5"/>
    <x v="8"/>
    <x v="51"/>
    <x v="1"/>
    <x v="5"/>
    <n v="0"/>
  </r>
  <r>
    <x v="1"/>
    <x v="0"/>
    <x v="5"/>
    <x v="8"/>
    <x v="51"/>
    <x v="1"/>
    <x v="6"/>
    <n v="0"/>
  </r>
  <r>
    <x v="1"/>
    <x v="0"/>
    <x v="3"/>
    <x v="5"/>
    <x v="52"/>
    <x v="1"/>
    <x v="0"/>
    <n v="0"/>
  </r>
  <r>
    <x v="1"/>
    <x v="0"/>
    <x v="3"/>
    <x v="5"/>
    <x v="52"/>
    <x v="1"/>
    <x v="1"/>
    <n v="0"/>
  </r>
  <r>
    <x v="1"/>
    <x v="0"/>
    <x v="3"/>
    <x v="5"/>
    <x v="52"/>
    <x v="1"/>
    <x v="2"/>
    <n v="0"/>
  </r>
  <r>
    <x v="1"/>
    <x v="0"/>
    <x v="3"/>
    <x v="5"/>
    <x v="52"/>
    <x v="1"/>
    <x v="3"/>
    <n v="0"/>
  </r>
  <r>
    <x v="1"/>
    <x v="0"/>
    <x v="3"/>
    <x v="5"/>
    <x v="52"/>
    <x v="1"/>
    <x v="4"/>
    <n v="0"/>
  </r>
  <r>
    <x v="1"/>
    <x v="0"/>
    <x v="3"/>
    <x v="5"/>
    <x v="52"/>
    <x v="1"/>
    <x v="5"/>
    <n v="0"/>
  </r>
  <r>
    <x v="1"/>
    <x v="0"/>
    <x v="3"/>
    <x v="5"/>
    <x v="52"/>
    <x v="1"/>
    <x v="6"/>
    <n v="0"/>
  </r>
  <r>
    <x v="1"/>
    <x v="0"/>
    <x v="5"/>
    <x v="8"/>
    <x v="53"/>
    <x v="1"/>
    <x v="0"/>
    <n v="0"/>
  </r>
  <r>
    <x v="1"/>
    <x v="0"/>
    <x v="5"/>
    <x v="8"/>
    <x v="53"/>
    <x v="1"/>
    <x v="1"/>
    <n v="0"/>
  </r>
  <r>
    <x v="1"/>
    <x v="0"/>
    <x v="5"/>
    <x v="8"/>
    <x v="53"/>
    <x v="1"/>
    <x v="2"/>
    <n v="0"/>
  </r>
  <r>
    <x v="1"/>
    <x v="0"/>
    <x v="5"/>
    <x v="8"/>
    <x v="53"/>
    <x v="1"/>
    <x v="3"/>
    <n v="0"/>
  </r>
  <r>
    <x v="1"/>
    <x v="0"/>
    <x v="5"/>
    <x v="8"/>
    <x v="53"/>
    <x v="1"/>
    <x v="4"/>
    <n v="0"/>
  </r>
  <r>
    <x v="1"/>
    <x v="0"/>
    <x v="5"/>
    <x v="8"/>
    <x v="53"/>
    <x v="1"/>
    <x v="5"/>
    <n v="0"/>
  </r>
  <r>
    <x v="1"/>
    <x v="0"/>
    <x v="5"/>
    <x v="8"/>
    <x v="53"/>
    <x v="1"/>
    <x v="6"/>
    <n v="0"/>
  </r>
  <r>
    <x v="1"/>
    <x v="0"/>
    <x v="4"/>
    <x v="7"/>
    <x v="47"/>
    <x v="1"/>
    <x v="0"/>
    <n v="0"/>
  </r>
  <r>
    <x v="1"/>
    <x v="0"/>
    <x v="4"/>
    <x v="7"/>
    <x v="47"/>
    <x v="1"/>
    <x v="1"/>
    <n v="0"/>
  </r>
  <r>
    <x v="1"/>
    <x v="0"/>
    <x v="4"/>
    <x v="7"/>
    <x v="47"/>
    <x v="1"/>
    <x v="2"/>
    <n v="0"/>
  </r>
  <r>
    <x v="1"/>
    <x v="0"/>
    <x v="4"/>
    <x v="7"/>
    <x v="47"/>
    <x v="1"/>
    <x v="3"/>
    <n v="0"/>
  </r>
  <r>
    <x v="1"/>
    <x v="0"/>
    <x v="4"/>
    <x v="7"/>
    <x v="47"/>
    <x v="1"/>
    <x v="4"/>
    <n v="0"/>
  </r>
  <r>
    <x v="1"/>
    <x v="0"/>
    <x v="4"/>
    <x v="7"/>
    <x v="47"/>
    <x v="1"/>
    <x v="5"/>
    <n v="0"/>
  </r>
  <r>
    <x v="1"/>
    <x v="0"/>
    <x v="4"/>
    <x v="7"/>
    <x v="47"/>
    <x v="1"/>
    <x v="6"/>
    <n v="0"/>
  </r>
  <r>
    <x v="1"/>
    <x v="0"/>
    <x v="4"/>
    <x v="7"/>
    <x v="48"/>
    <x v="1"/>
    <x v="0"/>
    <n v="0"/>
  </r>
  <r>
    <x v="1"/>
    <x v="0"/>
    <x v="4"/>
    <x v="7"/>
    <x v="48"/>
    <x v="1"/>
    <x v="1"/>
    <n v="0"/>
  </r>
  <r>
    <x v="1"/>
    <x v="0"/>
    <x v="4"/>
    <x v="7"/>
    <x v="48"/>
    <x v="1"/>
    <x v="2"/>
    <n v="0"/>
  </r>
  <r>
    <x v="1"/>
    <x v="0"/>
    <x v="4"/>
    <x v="7"/>
    <x v="48"/>
    <x v="1"/>
    <x v="3"/>
    <n v="0"/>
  </r>
  <r>
    <x v="1"/>
    <x v="0"/>
    <x v="4"/>
    <x v="7"/>
    <x v="48"/>
    <x v="1"/>
    <x v="4"/>
    <n v="0"/>
  </r>
  <r>
    <x v="1"/>
    <x v="0"/>
    <x v="4"/>
    <x v="7"/>
    <x v="48"/>
    <x v="1"/>
    <x v="5"/>
    <n v="0"/>
  </r>
  <r>
    <x v="1"/>
    <x v="0"/>
    <x v="4"/>
    <x v="7"/>
    <x v="48"/>
    <x v="1"/>
    <x v="6"/>
    <n v="0"/>
  </r>
  <r>
    <x v="1"/>
    <x v="0"/>
    <x v="4"/>
    <x v="7"/>
    <x v="49"/>
    <x v="1"/>
    <x v="0"/>
    <n v="0"/>
  </r>
  <r>
    <x v="1"/>
    <x v="0"/>
    <x v="4"/>
    <x v="7"/>
    <x v="49"/>
    <x v="1"/>
    <x v="1"/>
    <n v="0"/>
  </r>
  <r>
    <x v="1"/>
    <x v="0"/>
    <x v="4"/>
    <x v="7"/>
    <x v="49"/>
    <x v="1"/>
    <x v="2"/>
    <n v="0"/>
  </r>
  <r>
    <x v="1"/>
    <x v="0"/>
    <x v="4"/>
    <x v="7"/>
    <x v="49"/>
    <x v="1"/>
    <x v="3"/>
    <n v="0"/>
  </r>
  <r>
    <x v="1"/>
    <x v="0"/>
    <x v="4"/>
    <x v="7"/>
    <x v="49"/>
    <x v="1"/>
    <x v="4"/>
    <n v="0"/>
  </r>
  <r>
    <x v="1"/>
    <x v="0"/>
    <x v="4"/>
    <x v="7"/>
    <x v="49"/>
    <x v="1"/>
    <x v="5"/>
    <n v="0"/>
  </r>
  <r>
    <x v="1"/>
    <x v="0"/>
    <x v="4"/>
    <x v="7"/>
    <x v="49"/>
    <x v="1"/>
    <x v="6"/>
    <n v="0"/>
  </r>
  <r>
    <x v="1"/>
    <x v="0"/>
    <x v="4"/>
    <x v="7"/>
    <x v="50"/>
    <x v="1"/>
    <x v="0"/>
    <n v="0"/>
  </r>
  <r>
    <x v="1"/>
    <x v="0"/>
    <x v="4"/>
    <x v="7"/>
    <x v="50"/>
    <x v="1"/>
    <x v="1"/>
    <n v="0"/>
  </r>
  <r>
    <x v="1"/>
    <x v="0"/>
    <x v="4"/>
    <x v="7"/>
    <x v="50"/>
    <x v="1"/>
    <x v="2"/>
    <n v="0"/>
  </r>
  <r>
    <x v="1"/>
    <x v="0"/>
    <x v="4"/>
    <x v="7"/>
    <x v="50"/>
    <x v="1"/>
    <x v="3"/>
    <n v="0"/>
  </r>
  <r>
    <x v="1"/>
    <x v="0"/>
    <x v="4"/>
    <x v="7"/>
    <x v="50"/>
    <x v="1"/>
    <x v="4"/>
    <n v="0"/>
  </r>
  <r>
    <x v="1"/>
    <x v="0"/>
    <x v="4"/>
    <x v="7"/>
    <x v="50"/>
    <x v="1"/>
    <x v="5"/>
    <n v="0"/>
  </r>
  <r>
    <x v="1"/>
    <x v="0"/>
    <x v="4"/>
    <x v="7"/>
    <x v="50"/>
    <x v="1"/>
    <x v="6"/>
    <n v="0"/>
  </r>
  <r>
    <x v="1"/>
    <x v="0"/>
    <x v="4"/>
    <x v="7"/>
    <x v="54"/>
    <x v="1"/>
    <x v="0"/>
    <n v="0"/>
  </r>
  <r>
    <x v="1"/>
    <x v="0"/>
    <x v="4"/>
    <x v="7"/>
    <x v="54"/>
    <x v="1"/>
    <x v="1"/>
    <n v="0"/>
  </r>
  <r>
    <x v="1"/>
    <x v="0"/>
    <x v="4"/>
    <x v="7"/>
    <x v="54"/>
    <x v="1"/>
    <x v="2"/>
    <n v="0"/>
  </r>
  <r>
    <x v="1"/>
    <x v="0"/>
    <x v="4"/>
    <x v="7"/>
    <x v="54"/>
    <x v="1"/>
    <x v="3"/>
    <n v="0"/>
  </r>
  <r>
    <x v="1"/>
    <x v="0"/>
    <x v="4"/>
    <x v="7"/>
    <x v="54"/>
    <x v="1"/>
    <x v="4"/>
    <n v="0"/>
  </r>
  <r>
    <x v="1"/>
    <x v="0"/>
    <x v="4"/>
    <x v="7"/>
    <x v="54"/>
    <x v="1"/>
    <x v="5"/>
    <n v="0"/>
  </r>
  <r>
    <x v="1"/>
    <x v="0"/>
    <x v="4"/>
    <x v="7"/>
    <x v="54"/>
    <x v="1"/>
    <x v="6"/>
    <n v="0"/>
  </r>
  <r>
    <x v="1"/>
    <x v="0"/>
    <x v="4"/>
    <x v="7"/>
    <x v="55"/>
    <x v="1"/>
    <x v="0"/>
    <n v="0"/>
  </r>
  <r>
    <x v="1"/>
    <x v="0"/>
    <x v="4"/>
    <x v="7"/>
    <x v="55"/>
    <x v="1"/>
    <x v="1"/>
    <n v="0"/>
  </r>
  <r>
    <x v="1"/>
    <x v="0"/>
    <x v="4"/>
    <x v="7"/>
    <x v="55"/>
    <x v="1"/>
    <x v="2"/>
    <n v="0"/>
  </r>
  <r>
    <x v="1"/>
    <x v="0"/>
    <x v="4"/>
    <x v="7"/>
    <x v="55"/>
    <x v="1"/>
    <x v="3"/>
    <n v="0"/>
  </r>
  <r>
    <x v="1"/>
    <x v="0"/>
    <x v="4"/>
    <x v="7"/>
    <x v="55"/>
    <x v="1"/>
    <x v="4"/>
    <n v="0"/>
  </r>
  <r>
    <x v="1"/>
    <x v="0"/>
    <x v="4"/>
    <x v="7"/>
    <x v="55"/>
    <x v="1"/>
    <x v="5"/>
    <n v="0"/>
  </r>
  <r>
    <x v="1"/>
    <x v="0"/>
    <x v="4"/>
    <x v="7"/>
    <x v="55"/>
    <x v="1"/>
    <x v="6"/>
    <n v="0"/>
  </r>
  <r>
    <x v="1"/>
    <x v="0"/>
    <x v="4"/>
    <x v="7"/>
    <x v="56"/>
    <x v="1"/>
    <x v="0"/>
    <n v="0"/>
  </r>
  <r>
    <x v="1"/>
    <x v="0"/>
    <x v="4"/>
    <x v="7"/>
    <x v="56"/>
    <x v="1"/>
    <x v="1"/>
    <n v="0"/>
  </r>
  <r>
    <x v="1"/>
    <x v="0"/>
    <x v="4"/>
    <x v="7"/>
    <x v="56"/>
    <x v="1"/>
    <x v="2"/>
    <n v="0"/>
  </r>
  <r>
    <x v="1"/>
    <x v="0"/>
    <x v="4"/>
    <x v="7"/>
    <x v="56"/>
    <x v="1"/>
    <x v="3"/>
    <n v="0"/>
  </r>
  <r>
    <x v="1"/>
    <x v="0"/>
    <x v="4"/>
    <x v="7"/>
    <x v="56"/>
    <x v="1"/>
    <x v="4"/>
    <n v="0"/>
  </r>
  <r>
    <x v="1"/>
    <x v="0"/>
    <x v="4"/>
    <x v="7"/>
    <x v="56"/>
    <x v="1"/>
    <x v="5"/>
    <n v="0"/>
  </r>
  <r>
    <x v="1"/>
    <x v="0"/>
    <x v="4"/>
    <x v="7"/>
    <x v="56"/>
    <x v="1"/>
    <x v="6"/>
    <n v="0"/>
  </r>
  <r>
    <x v="1"/>
    <x v="0"/>
    <x v="4"/>
    <x v="7"/>
    <x v="57"/>
    <x v="1"/>
    <x v="0"/>
    <n v="0"/>
  </r>
  <r>
    <x v="1"/>
    <x v="0"/>
    <x v="4"/>
    <x v="7"/>
    <x v="57"/>
    <x v="1"/>
    <x v="1"/>
    <n v="0"/>
  </r>
  <r>
    <x v="1"/>
    <x v="0"/>
    <x v="4"/>
    <x v="7"/>
    <x v="57"/>
    <x v="1"/>
    <x v="2"/>
    <n v="0"/>
  </r>
  <r>
    <x v="1"/>
    <x v="0"/>
    <x v="4"/>
    <x v="7"/>
    <x v="57"/>
    <x v="1"/>
    <x v="3"/>
    <n v="0"/>
  </r>
  <r>
    <x v="1"/>
    <x v="0"/>
    <x v="4"/>
    <x v="7"/>
    <x v="57"/>
    <x v="1"/>
    <x v="4"/>
    <n v="0"/>
  </r>
  <r>
    <x v="1"/>
    <x v="0"/>
    <x v="4"/>
    <x v="7"/>
    <x v="57"/>
    <x v="1"/>
    <x v="5"/>
    <n v="0"/>
  </r>
  <r>
    <x v="1"/>
    <x v="0"/>
    <x v="4"/>
    <x v="7"/>
    <x v="57"/>
    <x v="1"/>
    <x v="6"/>
    <n v="0"/>
  </r>
  <r>
    <x v="1"/>
    <x v="0"/>
    <x v="4"/>
    <x v="7"/>
    <x v="58"/>
    <x v="1"/>
    <x v="0"/>
    <n v="0"/>
  </r>
  <r>
    <x v="1"/>
    <x v="0"/>
    <x v="4"/>
    <x v="7"/>
    <x v="58"/>
    <x v="1"/>
    <x v="1"/>
    <n v="0"/>
  </r>
  <r>
    <x v="1"/>
    <x v="0"/>
    <x v="4"/>
    <x v="7"/>
    <x v="58"/>
    <x v="1"/>
    <x v="2"/>
    <n v="0"/>
  </r>
  <r>
    <x v="1"/>
    <x v="0"/>
    <x v="4"/>
    <x v="7"/>
    <x v="58"/>
    <x v="1"/>
    <x v="3"/>
    <n v="0"/>
  </r>
  <r>
    <x v="1"/>
    <x v="0"/>
    <x v="4"/>
    <x v="7"/>
    <x v="58"/>
    <x v="1"/>
    <x v="4"/>
    <n v="0"/>
  </r>
  <r>
    <x v="1"/>
    <x v="0"/>
    <x v="4"/>
    <x v="7"/>
    <x v="58"/>
    <x v="1"/>
    <x v="5"/>
    <n v="0"/>
  </r>
  <r>
    <x v="1"/>
    <x v="0"/>
    <x v="4"/>
    <x v="7"/>
    <x v="58"/>
    <x v="1"/>
    <x v="6"/>
    <n v="0"/>
  </r>
  <r>
    <x v="1"/>
    <x v="0"/>
    <x v="4"/>
    <x v="7"/>
    <x v="59"/>
    <x v="1"/>
    <x v="0"/>
    <n v="0"/>
  </r>
  <r>
    <x v="1"/>
    <x v="0"/>
    <x v="4"/>
    <x v="7"/>
    <x v="59"/>
    <x v="1"/>
    <x v="1"/>
    <n v="0"/>
  </r>
  <r>
    <x v="1"/>
    <x v="0"/>
    <x v="4"/>
    <x v="7"/>
    <x v="59"/>
    <x v="1"/>
    <x v="2"/>
    <n v="0"/>
  </r>
  <r>
    <x v="1"/>
    <x v="0"/>
    <x v="4"/>
    <x v="7"/>
    <x v="59"/>
    <x v="1"/>
    <x v="3"/>
    <n v="0"/>
  </r>
  <r>
    <x v="1"/>
    <x v="0"/>
    <x v="4"/>
    <x v="7"/>
    <x v="59"/>
    <x v="1"/>
    <x v="4"/>
    <n v="0"/>
  </r>
  <r>
    <x v="1"/>
    <x v="0"/>
    <x v="4"/>
    <x v="7"/>
    <x v="59"/>
    <x v="1"/>
    <x v="5"/>
    <n v="0"/>
  </r>
  <r>
    <x v="1"/>
    <x v="0"/>
    <x v="4"/>
    <x v="7"/>
    <x v="59"/>
    <x v="1"/>
    <x v="6"/>
    <n v="0"/>
  </r>
  <r>
    <x v="1"/>
    <x v="0"/>
    <x v="4"/>
    <x v="7"/>
    <x v="60"/>
    <x v="1"/>
    <x v="0"/>
    <n v="0"/>
  </r>
  <r>
    <x v="1"/>
    <x v="0"/>
    <x v="4"/>
    <x v="7"/>
    <x v="60"/>
    <x v="1"/>
    <x v="1"/>
    <n v="0"/>
  </r>
  <r>
    <x v="1"/>
    <x v="0"/>
    <x v="4"/>
    <x v="7"/>
    <x v="60"/>
    <x v="1"/>
    <x v="2"/>
    <n v="0"/>
  </r>
  <r>
    <x v="1"/>
    <x v="0"/>
    <x v="4"/>
    <x v="7"/>
    <x v="60"/>
    <x v="1"/>
    <x v="3"/>
    <n v="0"/>
  </r>
  <r>
    <x v="1"/>
    <x v="0"/>
    <x v="4"/>
    <x v="7"/>
    <x v="60"/>
    <x v="1"/>
    <x v="4"/>
    <n v="0"/>
  </r>
  <r>
    <x v="1"/>
    <x v="0"/>
    <x v="4"/>
    <x v="7"/>
    <x v="60"/>
    <x v="1"/>
    <x v="5"/>
    <n v="0"/>
  </r>
  <r>
    <x v="1"/>
    <x v="0"/>
    <x v="4"/>
    <x v="7"/>
    <x v="60"/>
    <x v="1"/>
    <x v="6"/>
    <n v="0"/>
  </r>
  <r>
    <x v="1"/>
    <x v="0"/>
    <x v="3"/>
    <x v="5"/>
    <x v="65"/>
    <x v="1"/>
    <x v="0"/>
    <n v="0"/>
  </r>
  <r>
    <x v="1"/>
    <x v="0"/>
    <x v="3"/>
    <x v="5"/>
    <x v="65"/>
    <x v="1"/>
    <x v="1"/>
    <n v="0"/>
  </r>
  <r>
    <x v="1"/>
    <x v="0"/>
    <x v="3"/>
    <x v="5"/>
    <x v="65"/>
    <x v="1"/>
    <x v="2"/>
    <n v="0"/>
  </r>
  <r>
    <x v="1"/>
    <x v="0"/>
    <x v="3"/>
    <x v="5"/>
    <x v="65"/>
    <x v="1"/>
    <x v="3"/>
    <n v="0"/>
  </r>
  <r>
    <x v="1"/>
    <x v="0"/>
    <x v="3"/>
    <x v="5"/>
    <x v="65"/>
    <x v="1"/>
    <x v="4"/>
    <n v="0"/>
  </r>
  <r>
    <x v="1"/>
    <x v="0"/>
    <x v="3"/>
    <x v="5"/>
    <x v="65"/>
    <x v="1"/>
    <x v="5"/>
    <n v="0"/>
  </r>
  <r>
    <x v="1"/>
    <x v="0"/>
    <x v="3"/>
    <x v="5"/>
    <x v="65"/>
    <x v="1"/>
    <x v="6"/>
    <n v="0"/>
  </r>
  <r>
    <x v="1"/>
    <x v="0"/>
    <x v="3"/>
    <x v="5"/>
    <x v="66"/>
    <x v="1"/>
    <x v="0"/>
    <n v="0"/>
  </r>
  <r>
    <x v="1"/>
    <x v="0"/>
    <x v="3"/>
    <x v="5"/>
    <x v="66"/>
    <x v="1"/>
    <x v="1"/>
    <n v="0"/>
  </r>
  <r>
    <x v="1"/>
    <x v="0"/>
    <x v="3"/>
    <x v="5"/>
    <x v="66"/>
    <x v="1"/>
    <x v="2"/>
    <n v="0"/>
  </r>
  <r>
    <x v="1"/>
    <x v="0"/>
    <x v="3"/>
    <x v="5"/>
    <x v="66"/>
    <x v="1"/>
    <x v="3"/>
    <n v="0"/>
  </r>
  <r>
    <x v="1"/>
    <x v="0"/>
    <x v="3"/>
    <x v="5"/>
    <x v="66"/>
    <x v="1"/>
    <x v="4"/>
    <n v="0"/>
  </r>
  <r>
    <x v="1"/>
    <x v="0"/>
    <x v="3"/>
    <x v="5"/>
    <x v="66"/>
    <x v="1"/>
    <x v="5"/>
    <n v="0"/>
  </r>
  <r>
    <x v="1"/>
    <x v="0"/>
    <x v="3"/>
    <x v="5"/>
    <x v="66"/>
    <x v="1"/>
    <x v="6"/>
    <n v="0"/>
  </r>
  <r>
    <x v="1"/>
    <x v="0"/>
    <x v="3"/>
    <x v="5"/>
    <x v="67"/>
    <x v="1"/>
    <x v="0"/>
    <n v="0"/>
  </r>
  <r>
    <x v="1"/>
    <x v="0"/>
    <x v="3"/>
    <x v="5"/>
    <x v="67"/>
    <x v="1"/>
    <x v="1"/>
    <n v="0"/>
  </r>
  <r>
    <x v="1"/>
    <x v="0"/>
    <x v="3"/>
    <x v="5"/>
    <x v="67"/>
    <x v="1"/>
    <x v="2"/>
    <n v="0"/>
  </r>
  <r>
    <x v="1"/>
    <x v="0"/>
    <x v="3"/>
    <x v="5"/>
    <x v="67"/>
    <x v="1"/>
    <x v="3"/>
    <n v="0"/>
  </r>
  <r>
    <x v="1"/>
    <x v="0"/>
    <x v="3"/>
    <x v="5"/>
    <x v="67"/>
    <x v="1"/>
    <x v="4"/>
    <n v="0"/>
  </r>
  <r>
    <x v="1"/>
    <x v="0"/>
    <x v="3"/>
    <x v="5"/>
    <x v="67"/>
    <x v="1"/>
    <x v="5"/>
    <n v="0"/>
  </r>
  <r>
    <x v="1"/>
    <x v="0"/>
    <x v="3"/>
    <x v="5"/>
    <x v="67"/>
    <x v="1"/>
    <x v="6"/>
    <n v="0"/>
  </r>
  <r>
    <x v="1"/>
    <x v="0"/>
    <x v="3"/>
    <x v="5"/>
    <x v="68"/>
    <x v="1"/>
    <x v="0"/>
    <n v="0"/>
  </r>
  <r>
    <x v="1"/>
    <x v="0"/>
    <x v="3"/>
    <x v="5"/>
    <x v="68"/>
    <x v="1"/>
    <x v="1"/>
    <n v="0"/>
  </r>
  <r>
    <x v="1"/>
    <x v="0"/>
    <x v="3"/>
    <x v="5"/>
    <x v="68"/>
    <x v="1"/>
    <x v="2"/>
    <n v="0"/>
  </r>
  <r>
    <x v="1"/>
    <x v="0"/>
    <x v="3"/>
    <x v="5"/>
    <x v="68"/>
    <x v="1"/>
    <x v="3"/>
    <n v="0"/>
  </r>
  <r>
    <x v="1"/>
    <x v="0"/>
    <x v="3"/>
    <x v="5"/>
    <x v="68"/>
    <x v="1"/>
    <x v="4"/>
    <n v="0"/>
  </r>
  <r>
    <x v="1"/>
    <x v="0"/>
    <x v="3"/>
    <x v="5"/>
    <x v="68"/>
    <x v="1"/>
    <x v="5"/>
    <n v="0"/>
  </r>
  <r>
    <x v="1"/>
    <x v="0"/>
    <x v="3"/>
    <x v="5"/>
    <x v="68"/>
    <x v="1"/>
    <x v="6"/>
    <n v="0"/>
  </r>
  <r>
    <x v="1"/>
    <x v="0"/>
    <x v="3"/>
    <x v="5"/>
    <x v="69"/>
    <x v="1"/>
    <x v="0"/>
    <n v="0"/>
  </r>
  <r>
    <x v="1"/>
    <x v="0"/>
    <x v="3"/>
    <x v="5"/>
    <x v="69"/>
    <x v="1"/>
    <x v="1"/>
    <n v="0"/>
  </r>
  <r>
    <x v="1"/>
    <x v="0"/>
    <x v="3"/>
    <x v="5"/>
    <x v="69"/>
    <x v="1"/>
    <x v="2"/>
    <n v="0"/>
  </r>
  <r>
    <x v="1"/>
    <x v="0"/>
    <x v="3"/>
    <x v="5"/>
    <x v="69"/>
    <x v="1"/>
    <x v="3"/>
    <n v="0"/>
  </r>
  <r>
    <x v="1"/>
    <x v="0"/>
    <x v="3"/>
    <x v="5"/>
    <x v="69"/>
    <x v="1"/>
    <x v="4"/>
    <n v="0"/>
  </r>
  <r>
    <x v="1"/>
    <x v="0"/>
    <x v="3"/>
    <x v="5"/>
    <x v="69"/>
    <x v="1"/>
    <x v="5"/>
    <n v="0"/>
  </r>
  <r>
    <x v="1"/>
    <x v="0"/>
    <x v="3"/>
    <x v="5"/>
    <x v="69"/>
    <x v="1"/>
    <x v="6"/>
    <n v="0"/>
  </r>
  <r>
    <x v="1"/>
    <x v="0"/>
    <x v="3"/>
    <x v="5"/>
    <x v="70"/>
    <x v="1"/>
    <x v="0"/>
    <n v="0"/>
  </r>
  <r>
    <x v="1"/>
    <x v="0"/>
    <x v="3"/>
    <x v="5"/>
    <x v="70"/>
    <x v="1"/>
    <x v="1"/>
    <n v="0"/>
  </r>
  <r>
    <x v="1"/>
    <x v="0"/>
    <x v="3"/>
    <x v="5"/>
    <x v="70"/>
    <x v="1"/>
    <x v="2"/>
    <n v="0"/>
  </r>
  <r>
    <x v="1"/>
    <x v="0"/>
    <x v="3"/>
    <x v="5"/>
    <x v="70"/>
    <x v="1"/>
    <x v="3"/>
    <n v="0"/>
  </r>
  <r>
    <x v="1"/>
    <x v="0"/>
    <x v="3"/>
    <x v="5"/>
    <x v="70"/>
    <x v="1"/>
    <x v="4"/>
    <n v="0"/>
  </r>
  <r>
    <x v="1"/>
    <x v="0"/>
    <x v="3"/>
    <x v="5"/>
    <x v="70"/>
    <x v="1"/>
    <x v="5"/>
    <n v="0"/>
  </r>
  <r>
    <x v="1"/>
    <x v="0"/>
    <x v="3"/>
    <x v="5"/>
    <x v="70"/>
    <x v="1"/>
    <x v="6"/>
    <n v="0"/>
  </r>
  <r>
    <x v="1"/>
    <x v="0"/>
    <x v="3"/>
    <x v="5"/>
    <x v="71"/>
    <x v="1"/>
    <x v="0"/>
    <n v="0"/>
  </r>
  <r>
    <x v="1"/>
    <x v="0"/>
    <x v="3"/>
    <x v="5"/>
    <x v="71"/>
    <x v="1"/>
    <x v="1"/>
    <n v="0"/>
  </r>
  <r>
    <x v="1"/>
    <x v="0"/>
    <x v="3"/>
    <x v="5"/>
    <x v="71"/>
    <x v="1"/>
    <x v="2"/>
    <n v="0"/>
  </r>
  <r>
    <x v="1"/>
    <x v="0"/>
    <x v="3"/>
    <x v="5"/>
    <x v="71"/>
    <x v="1"/>
    <x v="3"/>
    <n v="0"/>
  </r>
  <r>
    <x v="1"/>
    <x v="0"/>
    <x v="3"/>
    <x v="5"/>
    <x v="71"/>
    <x v="1"/>
    <x v="4"/>
    <n v="0"/>
  </r>
  <r>
    <x v="1"/>
    <x v="0"/>
    <x v="3"/>
    <x v="5"/>
    <x v="71"/>
    <x v="1"/>
    <x v="5"/>
    <n v="0"/>
  </r>
  <r>
    <x v="1"/>
    <x v="0"/>
    <x v="3"/>
    <x v="5"/>
    <x v="71"/>
    <x v="1"/>
    <x v="6"/>
    <n v="0"/>
  </r>
  <r>
    <x v="1"/>
    <x v="0"/>
    <x v="3"/>
    <x v="5"/>
    <x v="72"/>
    <x v="1"/>
    <x v="0"/>
    <n v="0"/>
  </r>
  <r>
    <x v="1"/>
    <x v="0"/>
    <x v="3"/>
    <x v="5"/>
    <x v="72"/>
    <x v="1"/>
    <x v="1"/>
    <n v="0"/>
  </r>
  <r>
    <x v="1"/>
    <x v="0"/>
    <x v="3"/>
    <x v="5"/>
    <x v="72"/>
    <x v="1"/>
    <x v="2"/>
    <n v="0"/>
  </r>
  <r>
    <x v="1"/>
    <x v="0"/>
    <x v="3"/>
    <x v="5"/>
    <x v="72"/>
    <x v="1"/>
    <x v="3"/>
    <n v="0"/>
  </r>
  <r>
    <x v="1"/>
    <x v="0"/>
    <x v="3"/>
    <x v="5"/>
    <x v="72"/>
    <x v="1"/>
    <x v="4"/>
    <n v="0"/>
  </r>
  <r>
    <x v="1"/>
    <x v="0"/>
    <x v="3"/>
    <x v="5"/>
    <x v="72"/>
    <x v="1"/>
    <x v="5"/>
    <n v="0"/>
  </r>
  <r>
    <x v="1"/>
    <x v="0"/>
    <x v="3"/>
    <x v="5"/>
    <x v="72"/>
    <x v="1"/>
    <x v="6"/>
    <n v="0"/>
  </r>
  <r>
    <x v="1"/>
    <x v="0"/>
    <x v="3"/>
    <x v="5"/>
    <x v="73"/>
    <x v="1"/>
    <x v="0"/>
    <n v="0"/>
  </r>
  <r>
    <x v="1"/>
    <x v="0"/>
    <x v="3"/>
    <x v="5"/>
    <x v="73"/>
    <x v="1"/>
    <x v="1"/>
    <n v="0"/>
  </r>
  <r>
    <x v="1"/>
    <x v="0"/>
    <x v="3"/>
    <x v="5"/>
    <x v="73"/>
    <x v="1"/>
    <x v="2"/>
    <n v="0"/>
  </r>
  <r>
    <x v="1"/>
    <x v="0"/>
    <x v="3"/>
    <x v="5"/>
    <x v="73"/>
    <x v="1"/>
    <x v="3"/>
    <n v="0"/>
  </r>
  <r>
    <x v="1"/>
    <x v="0"/>
    <x v="3"/>
    <x v="5"/>
    <x v="73"/>
    <x v="1"/>
    <x v="4"/>
    <n v="0"/>
  </r>
  <r>
    <x v="1"/>
    <x v="0"/>
    <x v="3"/>
    <x v="5"/>
    <x v="73"/>
    <x v="1"/>
    <x v="5"/>
    <n v="0"/>
  </r>
  <r>
    <x v="1"/>
    <x v="0"/>
    <x v="3"/>
    <x v="5"/>
    <x v="73"/>
    <x v="1"/>
    <x v="6"/>
    <n v="0"/>
  </r>
  <r>
    <x v="1"/>
    <x v="0"/>
    <x v="5"/>
    <x v="8"/>
    <x v="74"/>
    <x v="1"/>
    <x v="0"/>
    <n v="0"/>
  </r>
  <r>
    <x v="1"/>
    <x v="0"/>
    <x v="5"/>
    <x v="8"/>
    <x v="74"/>
    <x v="1"/>
    <x v="1"/>
    <n v="0"/>
  </r>
  <r>
    <x v="1"/>
    <x v="0"/>
    <x v="5"/>
    <x v="8"/>
    <x v="74"/>
    <x v="1"/>
    <x v="2"/>
    <n v="0"/>
  </r>
  <r>
    <x v="1"/>
    <x v="0"/>
    <x v="5"/>
    <x v="8"/>
    <x v="74"/>
    <x v="1"/>
    <x v="3"/>
    <n v="0"/>
  </r>
  <r>
    <x v="1"/>
    <x v="0"/>
    <x v="5"/>
    <x v="8"/>
    <x v="74"/>
    <x v="1"/>
    <x v="4"/>
    <n v="0"/>
  </r>
  <r>
    <x v="1"/>
    <x v="0"/>
    <x v="5"/>
    <x v="8"/>
    <x v="74"/>
    <x v="1"/>
    <x v="5"/>
    <n v="0"/>
  </r>
  <r>
    <x v="1"/>
    <x v="0"/>
    <x v="5"/>
    <x v="8"/>
    <x v="74"/>
    <x v="1"/>
    <x v="6"/>
    <n v="0"/>
  </r>
  <r>
    <x v="1"/>
    <x v="0"/>
    <x v="5"/>
    <x v="8"/>
    <x v="75"/>
    <x v="1"/>
    <x v="0"/>
    <n v="0"/>
  </r>
  <r>
    <x v="1"/>
    <x v="0"/>
    <x v="5"/>
    <x v="8"/>
    <x v="75"/>
    <x v="1"/>
    <x v="1"/>
    <n v="0"/>
  </r>
  <r>
    <x v="1"/>
    <x v="0"/>
    <x v="5"/>
    <x v="8"/>
    <x v="75"/>
    <x v="1"/>
    <x v="2"/>
    <n v="0"/>
  </r>
  <r>
    <x v="1"/>
    <x v="0"/>
    <x v="5"/>
    <x v="8"/>
    <x v="75"/>
    <x v="1"/>
    <x v="3"/>
    <n v="0"/>
  </r>
  <r>
    <x v="1"/>
    <x v="0"/>
    <x v="5"/>
    <x v="8"/>
    <x v="75"/>
    <x v="1"/>
    <x v="4"/>
    <n v="0"/>
  </r>
  <r>
    <x v="1"/>
    <x v="0"/>
    <x v="5"/>
    <x v="8"/>
    <x v="75"/>
    <x v="1"/>
    <x v="5"/>
    <n v="0"/>
  </r>
  <r>
    <x v="1"/>
    <x v="0"/>
    <x v="5"/>
    <x v="8"/>
    <x v="75"/>
    <x v="1"/>
    <x v="6"/>
    <n v="0"/>
  </r>
  <r>
    <x v="1"/>
    <x v="0"/>
    <x v="5"/>
    <x v="8"/>
    <x v="76"/>
    <x v="1"/>
    <x v="0"/>
    <n v="0"/>
  </r>
  <r>
    <x v="1"/>
    <x v="0"/>
    <x v="5"/>
    <x v="8"/>
    <x v="76"/>
    <x v="1"/>
    <x v="1"/>
    <n v="0"/>
  </r>
  <r>
    <x v="1"/>
    <x v="0"/>
    <x v="5"/>
    <x v="8"/>
    <x v="76"/>
    <x v="1"/>
    <x v="2"/>
    <n v="0"/>
  </r>
  <r>
    <x v="1"/>
    <x v="0"/>
    <x v="5"/>
    <x v="8"/>
    <x v="76"/>
    <x v="1"/>
    <x v="3"/>
    <n v="0"/>
  </r>
  <r>
    <x v="1"/>
    <x v="0"/>
    <x v="5"/>
    <x v="8"/>
    <x v="76"/>
    <x v="1"/>
    <x v="4"/>
    <n v="0"/>
  </r>
  <r>
    <x v="1"/>
    <x v="0"/>
    <x v="5"/>
    <x v="8"/>
    <x v="76"/>
    <x v="1"/>
    <x v="5"/>
    <n v="0"/>
  </r>
  <r>
    <x v="1"/>
    <x v="0"/>
    <x v="5"/>
    <x v="8"/>
    <x v="76"/>
    <x v="1"/>
    <x v="6"/>
    <n v="0"/>
  </r>
  <r>
    <x v="1"/>
    <x v="0"/>
    <x v="5"/>
    <x v="8"/>
    <x v="77"/>
    <x v="1"/>
    <x v="0"/>
    <n v="0"/>
  </r>
  <r>
    <x v="1"/>
    <x v="0"/>
    <x v="5"/>
    <x v="8"/>
    <x v="77"/>
    <x v="1"/>
    <x v="1"/>
    <n v="0"/>
  </r>
  <r>
    <x v="1"/>
    <x v="0"/>
    <x v="5"/>
    <x v="8"/>
    <x v="77"/>
    <x v="1"/>
    <x v="2"/>
    <n v="0"/>
  </r>
  <r>
    <x v="1"/>
    <x v="0"/>
    <x v="5"/>
    <x v="8"/>
    <x v="77"/>
    <x v="1"/>
    <x v="3"/>
    <n v="0"/>
  </r>
  <r>
    <x v="1"/>
    <x v="0"/>
    <x v="5"/>
    <x v="8"/>
    <x v="77"/>
    <x v="1"/>
    <x v="4"/>
    <n v="0"/>
  </r>
  <r>
    <x v="1"/>
    <x v="0"/>
    <x v="5"/>
    <x v="8"/>
    <x v="77"/>
    <x v="1"/>
    <x v="5"/>
    <n v="0"/>
  </r>
  <r>
    <x v="1"/>
    <x v="0"/>
    <x v="5"/>
    <x v="8"/>
    <x v="77"/>
    <x v="1"/>
    <x v="6"/>
    <n v="0"/>
  </r>
  <r>
    <x v="1"/>
    <x v="0"/>
    <x v="5"/>
    <x v="8"/>
    <x v="78"/>
    <x v="1"/>
    <x v="0"/>
    <n v="0"/>
  </r>
  <r>
    <x v="1"/>
    <x v="0"/>
    <x v="5"/>
    <x v="8"/>
    <x v="78"/>
    <x v="1"/>
    <x v="1"/>
    <n v="0"/>
  </r>
  <r>
    <x v="1"/>
    <x v="0"/>
    <x v="5"/>
    <x v="8"/>
    <x v="78"/>
    <x v="1"/>
    <x v="2"/>
    <n v="0"/>
  </r>
  <r>
    <x v="1"/>
    <x v="0"/>
    <x v="5"/>
    <x v="8"/>
    <x v="78"/>
    <x v="1"/>
    <x v="3"/>
    <n v="0"/>
  </r>
  <r>
    <x v="1"/>
    <x v="0"/>
    <x v="5"/>
    <x v="8"/>
    <x v="78"/>
    <x v="1"/>
    <x v="4"/>
    <n v="0"/>
  </r>
  <r>
    <x v="1"/>
    <x v="0"/>
    <x v="5"/>
    <x v="8"/>
    <x v="78"/>
    <x v="1"/>
    <x v="5"/>
    <n v="0"/>
  </r>
  <r>
    <x v="1"/>
    <x v="0"/>
    <x v="5"/>
    <x v="8"/>
    <x v="78"/>
    <x v="1"/>
    <x v="6"/>
    <n v="0"/>
  </r>
  <r>
    <x v="1"/>
    <x v="0"/>
    <x v="5"/>
    <x v="8"/>
    <x v="79"/>
    <x v="1"/>
    <x v="0"/>
    <n v="0"/>
  </r>
  <r>
    <x v="1"/>
    <x v="0"/>
    <x v="5"/>
    <x v="8"/>
    <x v="79"/>
    <x v="1"/>
    <x v="1"/>
    <n v="0"/>
  </r>
  <r>
    <x v="1"/>
    <x v="0"/>
    <x v="5"/>
    <x v="8"/>
    <x v="79"/>
    <x v="1"/>
    <x v="2"/>
    <n v="0"/>
  </r>
  <r>
    <x v="1"/>
    <x v="0"/>
    <x v="5"/>
    <x v="8"/>
    <x v="79"/>
    <x v="1"/>
    <x v="3"/>
    <n v="0"/>
  </r>
  <r>
    <x v="1"/>
    <x v="0"/>
    <x v="5"/>
    <x v="8"/>
    <x v="79"/>
    <x v="1"/>
    <x v="4"/>
    <n v="0"/>
  </r>
  <r>
    <x v="1"/>
    <x v="0"/>
    <x v="5"/>
    <x v="8"/>
    <x v="79"/>
    <x v="1"/>
    <x v="5"/>
    <n v="0"/>
  </r>
  <r>
    <x v="1"/>
    <x v="0"/>
    <x v="5"/>
    <x v="8"/>
    <x v="79"/>
    <x v="1"/>
    <x v="6"/>
    <n v="0"/>
  </r>
  <r>
    <x v="1"/>
    <x v="0"/>
    <x v="5"/>
    <x v="8"/>
    <x v="80"/>
    <x v="1"/>
    <x v="0"/>
    <n v="0"/>
  </r>
  <r>
    <x v="1"/>
    <x v="0"/>
    <x v="5"/>
    <x v="8"/>
    <x v="80"/>
    <x v="1"/>
    <x v="1"/>
    <n v="0"/>
  </r>
  <r>
    <x v="1"/>
    <x v="0"/>
    <x v="5"/>
    <x v="8"/>
    <x v="80"/>
    <x v="1"/>
    <x v="2"/>
    <n v="0"/>
  </r>
  <r>
    <x v="1"/>
    <x v="0"/>
    <x v="5"/>
    <x v="8"/>
    <x v="80"/>
    <x v="1"/>
    <x v="3"/>
    <n v="0"/>
  </r>
  <r>
    <x v="1"/>
    <x v="0"/>
    <x v="5"/>
    <x v="8"/>
    <x v="80"/>
    <x v="1"/>
    <x v="4"/>
    <n v="0"/>
  </r>
  <r>
    <x v="1"/>
    <x v="0"/>
    <x v="5"/>
    <x v="8"/>
    <x v="80"/>
    <x v="1"/>
    <x v="5"/>
    <n v="0"/>
  </r>
  <r>
    <x v="1"/>
    <x v="0"/>
    <x v="5"/>
    <x v="8"/>
    <x v="80"/>
    <x v="1"/>
    <x v="6"/>
    <n v="0"/>
  </r>
  <r>
    <x v="1"/>
    <x v="0"/>
    <x v="5"/>
    <x v="8"/>
    <x v="81"/>
    <x v="1"/>
    <x v="0"/>
    <n v="0"/>
  </r>
  <r>
    <x v="1"/>
    <x v="0"/>
    <x v="5"/>
    <x v="8"/>
    <x v="81"/>
    <x v="1"/>
    <x v="1"/>
    <n v="0"/>
  </r>
  <r>
    <x v="1"/>
    <x v="0"/>
    <x v="5"/>
    <x v="8"/>
    <x v="81"/>
    <x v="1"/>
    <x v="2"/>
    <n v="0"/>
  </r>
  <r>
    <x v="1"/>
    <x v="0"/>
    <x v="5"/>
    <x v="8"/>
    <x v="81"/>
    <x v="1"/>
    <x v="3"/>
    <n v="0"/>
  </r>
  <r>
    <x v="1"/>
    <x v="0"/>
    <x v="5"/>
    <x v="8"/>
    <x v="81"/>
    <x v="1"/>
    <x v="4"/>
    <n v="0"/>
  </r>
  <r>
    <x v="1"/>
    <x v="0"/>
    <x v="5"/>
    <x v="8"/>
    <x v="81"/>
    <x v="1"/>
    <x v="5"/>
    <n v="0"/>
  </r>
  <r>
    <x v="1"/>
    <x v="0"/>
    <x v="5"/>
    <x v="8"/>
    <x v="81"/>
    <x v="1"/>
    <x v="6"/>
    <n v="0"/>
  </r>
  <r>
    <x v="1"/>
    <x v="0"/>
    <x v="5"/>
    <x v="8"/>
    <x v="82"/>
    <x v="1"/>
    <x v="0"/>
    <n v="0"/>
  </r>
  <r>
    <x v="1"/>
    <x v="0"/>
    <x v="5"/>
    <x v="8"/>
    <x v="82"/>
    <x v="1"/>
    <x v="1"/>
    <n v="0"/>
  </r>
  <r>
    <x v="1"/>
    <x v="0"/>
    <x v="5"/>
    <x v="8"/>
    <x v="82"/>
    <x v="1"/>
    <x v="2"/>
    <n v="0"/>
  </r>
  <r>
    <x v="1"/>
    <x v="0"/>
    <x v="5"/>
    <x v="8"/>
    <x v="82"/>
    <x v="1"/>
    <x v="3"/>
    <n v="0"/>
  </r>
  <r>
    <x v="1"/>
    <x v="0"/>
    <x v="5"/>
    <x v="8"/>
    <x v="82"/>
    <x v="1"/>
    <x v="4"/>
    <n v="0"/>
  </r>
  <r>
    <x v="1"/>
    <x v="0"/>
    <x v="5"/>
    <x v="8"/>
    <x v="82"/>
    <x v="1"/>
    <x v="5"/>
    <n v="0"/>
  </r>
  <r>
    <x v="1"/>
    <x v="0"/>
    <x v="5"/>
    <x v="8"/>
    <x v="82"/>
    <x v="1"/>
    <x v="6"/>
    <n v="0"/>
  </r>
  <r>
    <x v="1"/>
    <x v="0"/>
    <x v="5"/>
    <x v="8"/>
    <x v="83"/>
    <x v="1"/>
    <x v="0"/>
    <n v="0"/>
  </r>
  <r>
    <x v="1"/>
    <x v="0"/>
    <x v="5"/>
    <x v="8"/>
    <x v="83"/>
    <x v="1"/>
    <x v="1"/>
    <n v="0"/>
  </r>
  <r>
    <x v="1"/>
    <x v="0"/>
    <x v="5"/>
    <x v="8"/>
    <x v="83"/>
    <x v="1"/>
    <x v="2"/>
    <n v="0"/>
  </r>
  <r>
    <x v="1"/>
    <x v="0"/>
    <x v="5"/>
    <x v="8"/>
    <x v="83"/>
    <x v="1"/>
    <x v="3"/>
    <n v="0"/>
  </r>
  <r>
    <x v="1"/>
    <x v="0"/>
    <x v="5"/>
    <x v="8"/>
    <x v="83"/>
    <x v="1"/>
    <x v="4"/>
    <n v="0"/>
  </r>
  <r>
    <x v="1"/>
    <x v="0"/>
    <x v="5"/>
    <x v="8"/>
    <x v="83"/>
    <x v="1"/>
    <x v="5"/>
    <n v="0"/>
  </r>
  <r>
    <x v="1"/>
    <x v="0"/>
    <x v="5"/>
    <x v="8"/>
    <x v="83"/>
    <x v="1"/>
    <x v="6"/>
    <n v="0"/>
  </r>
  <r>
    <x v="1"/>
    <x v="1"/>
    <x v="0"/>
    <x v="0"/>
    <x v="0"/>
    <x v="1"/>
    <x v="0"/>
    <n v="0"/>
  </r>
  <r>
    <x v="1"/>
    <x v="1"/>
    <x v="0"/>
    <x v="0"/>
    <x v="0"/>
    <x v="1"/>
    <x v="1"/>
    <n v="0"/>
  </r>
  <r>
    <x v="1"/>
    <x v="1"/>
    <x v="0"/>
    <x v="0"/>
    <x v="0"/>
    <x v="1"/>
    <x v="2"/>
    <n v="0"/>
  </r>
  <r>
    <x v="1"/>
    <x v="1"/>
    <x v="0"/>
    <x v="0"/>
    <x v="0"/>
    <x v="1"/>
    <x v="3"/>
    <n v="0"/>
  </r>
  <r>
    <x v="1"/>
    <x v="1"/>
    <x v="0"/>
    <x v="0"/>
    <x v="0"/>
    <x v="1"/>
    <x v="4"/>
    <n v="0"/>
  </r>
  <r>
    <x v="1"/>
    <x v="1"/>
    <x v="0"/>
    <x v="0"/>
    <x v="0"/>
    <x v="1"/>
    <x v="5"/>
    <n v="0"/>
  </r>
  <r>
    <x v="1"/>
    <x v="1"/>
    <x v="0"/>
    <x v="0"/>
    <x v="0"/>
    <x v="1"/>
    <x v="6"/>
    <n v="0"/>
  </r>
  <r>
    <x v="1"/>
    <x v="1"/>
    <x v="0"/>
    <x v="1"/>
    <x v="1"/>
    <x v="1"/>
    <x v="0"/>
    <n v="0"/>
  </r>
  <r>
    <x v="1"/>
    <x v="1"/>
    <x v="0"/>
    <x v="1"/>
    <x v="1"/>
    <x v="1"/>
    <x v="1"/>
    <n v="0"/>
  </r>
  <r>
    <x v="1"/>
    <x v="1"/>
    <x v="0"/>
    <x v="1"/>
    <x v="1"/>
    <x v="1"/>
    <x v="2"/>
    <n v="0"/>
  </r>
  <r>
    <x v="1"/>
    <x v="1"/>
    <x v="0"/>
    <x v="1"/>
    <x v="1"/>
    <x v="1"/>
    <x v="3"/>
    <n v="0"/>
  </r>
  <r>
    <x v="1"/>
    <x v="1"/>
    <x v="0"/>
    <x v="1"/>
    <x v="1"/>
    <x v="1"/>
    <x v="4"/>
    <n v="0"/>
  </r>
  <r>
    <x v="1"/>
    <x v="1"/>
    <x v="0"/>
    <x v="1"/>
    <x v="1"/>
    <x v="1"/>
    <x v="5"/>
    <n v="0"/>
  </r>
  <r>
    <x v="1"/>
    <x v="1"/>
    <x v="0"/>
    <x v="1"/>
    <x v="1"/>
    <x v="1"/>
    <x v="6"/>
    <n v="0"/>
  </r>
  <r>
    <x v="1"/>
    <x v="1"/>
    <x v="0"/>
    <x v="1"/>
    <x v="2"/>
    <x v="1"/>
    <x v="0"/>
    <n v="0"/>
  </r>
  <r>
    <x v="1"/>
    <x v="1"/>
    <x v="0"/>
    <x v="1"/>
    <x v="2"/>
    <x v="1"/>
    <x v="1"/>
    <n v="0"/>
  </r>
  <r>
    <x v="1"/>
    <x v="1"/>
    <x v="0"/>
    <x v="1"/>
    <x v="2"/>
    <x v="1"/>
    <x v="2"/>
    <n v="0"/>
  </r>
  <r>
    <x v="1"/>
    <x v="1"/>
    <x v="0"/>
    <x v="1"/>
    <x v="2"/>
    <x v="1"/>
    <x v="3"/>
    <n v="0"/>
  </r>
  <r>
    <x v="1"/>
    <x v="1"/>
    <x v="0"/>
    <x v="1"/>
    <x v="2"/>
    <x v="1"/>
    <x v="4"/>
    <n v="0"/>
  </r>
  <r>
    <x v="1"/>
    <x v="1"/>
    <x v="0"/>
    <x v="1"/>
    <x v="2"/>
    <x v="1"/>
    <x v="5"/>
    <n v="0"/>
  </r>
  <r>
    <x v="1"/>
    <x v="1"/>
    <x v="0"/>
    <x v="1"/>
    <x v="2"/>
    <x v="1"/>
    <x v="6"/>
    <n v="0"/>
  </r>
  <r>
    <x v="1"/>
    <x v="1"/>
    <x v="0"/>
    <x v="1"/>
    <x v="3"/>
    <x v="1"/>
    <x v="0"/>
    <n v="0"/>
  </r>
  <r>
    <x v="1"/>
    <x v="1"/>
    <x v="0"/>
    <x v="1"/>
    <x v="3"/>
    <x v="1"/>
    <x v="1"/>
    <n v="0"/>
  </r>
  <r>
    <x v="1"/>
    <x v="1"/>
    <x v="0"/>
    <x v="1"/>
    <x v="3"/>
    <x v="1"/>
    <x v="2"/>
    <n v="0"/>
  </r>
  <r>
    <x v="1"/>
    <x v="1"/>
    <x v="0"/>
    <x v="1"/>
    <x v="3"/>
    <x v="1"/>
    <x v="3"/>
    <n v="0"/>
  </r>
  <r>
    <x v="1"/>
    <x v="1"/>
    <x v="0"/>
    <x v="1"/>
    <x v="3"/>
    <x v="1"/>
    <x v="4"/>
    <n v="0"/>
  </r>
  <r>
    <x v="1"/>
    <x v="1"/>
    <x v="0"/>
    <x v="1"/>
    <x v="3"/>
    <x v="1"/>
    <x v="5"/>
    <n v="0"/>
  </r>
  <r>
    <x v="1"/>
    <x v="1"/>
    <x v="0"/>
    <x v="1"/>
    <x v="3"/>
    <x v="1"/>
    <x v="6"/>
    <n v="0"/>
  </r>
  <r>
    <x v="1"/>
    <x v="1"/>
    <x v="0"/>
    <x v="1"/>
    <x v="4"/>
    <x v="1"/>
    <x v="0"/>
    <n v="0"/>
  </r>
  <r>
    <x v="1"/>
    <x v="1"/>
    <x v="0"/>
    <x v="1"/>
    <x v="4"/>
    <x v="1"/>
    <x v="1"/>
    <n v="0"/>
  </r>
  <r>
    <x v="1"/>
    <x v="1"/>
    <x v="0"/>
    <x v="1"/>
    <x v="4"/>
    <x v="1"/>
    <x v="2"/>
    <n v="0"/>
  </r>
  <r>
    <x v="1"/>
    <x v="1"/>
    <x v="0"/>
    <x v="1"/>
    <x v="4"/>
    <x v="1"/>
    <x v="3"/>
    <n v="0"/>
  </r>
  <r>
    <x v="1"/>
    <x v="1"/>
    <x v="0"/>
    <x v="1"/>
    <x v="4"/>
    <x v="1"/>
    <x v="4"/>
    <n v="0"/>
  </r>
  <r>
    <x v="1"/>
    <x v="1"/>
    <x v="0"/>
    <x v="1"/>
    <x v="4"/>
    <x v="1"/>
    <x v="5"/>
    <n v="0"/>
  </r>
  <r>
    <x v="1"/>
    <x v="1"/>
    <x v="0"/>
    <x v="1"/>
    <x v="4"/>
    <x v="1"/>
    <x v="6"/>
    <n v="0"/>
  </r>
  <r>
    <x v="1"/>
    <x v="1"/>
    <x v="0"/>
    <x v="1"/>
    <x v="5"/>
    <x v="1"/>
    <x v="0"/>
    <n v="0"/>
  </r>
  <r>
    <x v="1"/>
    <x v="1"/>
    <x v="0"/>
    <x v="1"/>
    <x v="5"/>
    <x v="1"/>
    <x v="1"/>
    <n v="0"/>
  </r>
  <r>
    <x v="1"/>
    <x v="1"/>
    <x v="0"/>
    <x v="1"/>
    <x v="5"/>
    <x v="1"/>
    <x v="2"/>
    <n v="0"/>
  </r>
  <r>
    <x v="1"/>
    <x v="1"/>
    <x v="0"/>
    <x v="1"/>
    <x v="5"/>
    <x v="1"/>
    <x v="3"/>
    <n v="0"/>
  </r>
  <r>
    <x v="1"/>
    <x v="1"/>
    <x v="0"/>
    <x v="1"/>
    <x v="5"/>
    <x v="1"/>
    <x v="4"/>
    <n v="0"/>
  </r>
  <r>
    <x v="1"/>
    <x v="1"/>
    <x v="0"/>
    <x v="1"/>
    <x v="5"/>
    <x v="1"/>
    <x v="5"/>
    <n v="0"/>
  </r>
  <r>
    <x v="1"/>
    <x v="1"/>
    <x v="0"/>
    <x v="1"/>
    <x v="5"/>
    <x v="1"/>
    <x v="6"/>
    <n v="0"/>
  </r>
  <r>
    <x v="1"/>
    <x v="1"/>
    <x v="0"/>
    <x v="1"/>
    <x v="6"/>
    <x v="1"/>
    <x v="0"/>
    <n v="0"/>
  </r>
  <r>
    <x v="1"/>
    <x v="1"/>
    <x v="0"/>
    <x v="1"/>
    <x v="6"/>
    <x v="1"/>
    <x v="1"/>
    <n v="0"/>
  </r>
  <r>
    <x v="1"/>
    <x v="1"/>
    <x v="0"/>
    <x v="1"/>
    <x v="6"/>
    <x v="1"/>
    <x v="2"/>
    <n v="0"/>
  </r>
  <r>
    <x v="1"/>
    <x v="1"/>
    <x v="0"/>
    <x v="1"/>
    <x v="6"/>
    <x v="1"/>
    <x v="3"/>
    <n v="0"/>
  </r>
  <r>
    <x v="1"/>
    <x v="1"/>
    <x v="0"/>
    <x v="1"/>
    <x v="6"/>
    <x v="1"/>
    <x v="4"/>
    <n v="0"/>
  </r>
  <r>
    <x v="1"/>
    <x v="1"/>
    <x v="0"/>
    <x v="1"/>
    <x v="6"/>
    <x v="1"/>
    <x v="5"/>
    <n v="0"/>
  </r>
  <r>
    <x v="1"/>
    <x v="1"/>
    <x v="0"/>
    <x v="1"/>
    <x v="6"/>
    <x v="1"/>
    <x v="6"/>
    <n v="0"/>
  </r>
  <r>
    <x v="1"/>
    <x v="1"/>
    <x v="0"/>
    <x v="1"/>
    <x v="7"/>
    <x v="1"/>
    <x v="0"/>
    <n v="0"/>
  </r>
  <r>
    <x v="1"/>
    <x v="1"/>
    <x v="0"/>
    <x v="1"/>
    <x v="7"/>
    <x v="1"/>
    <x v="1"/>
    <n v="0"/>
  </r>
  <r>
    <x v="1"/>
    <x v="1"/>
    <x v="0"/>
    <x v="1"/>
    <x v="7"/>
    <x v="1"/>
    <x v="2"/>
    <n v="0"/>
  </r>
  <r>
    <x v="1"/>
    <x v="1"/>
    <x v="0"/>
    <x v="1"/>
    <x v="7"/>
    <x v="1"/>
    <x v="3"/>
    <n v="0"/>
  </r>
  <r>
    <x v="1"/>
    <x v="1"/>
    <x v="0"/>
    <x v="1"/>
    <x v="7"/>
    <x v="1"/>
    <x v="4"/>
    <n v="0"/>
  </r>
  <r>
    <x v="1"/>
    <x v="1"/>
    <x v="0"/>
    <x v="1"/>
    <x v="7"/>
    <x v="1"/>
    <x v="5"/>
    <n v="0"/>
  </r>
  <r>
    <x v="1"/>
    <x v="1"/>
    <x v="0"/>
    <x v="1"/>
    <x v="7"/>
    <x v="1"/>
    <x v="6"/>
    <n v="0"/>
  </r>
  <r>
    <x v="1"/>
    <x v="1"/>
    <x v="0"/>
    <x v="1"/>
    <x v="8"/>
    <x v="1"/>
    <x v="0"/>
    <n v="0"/>
  </r>
  <r>
    <x v="1"/>
    <x v="1"/>
    <x v="0"/>
    <x v="1"/>
    <x v="8"/>
    <x v="1"/>
    <x v="1"/>
    <n v="0"/>
  </r>
  <r>
    <x v="1"/>
    <x v="1"/>
    <x v="0"/>
    <x v="1"/>
    <x v="8"/>
    <x v="1"/>
    <x v="2"/>
    <n v="0"/>
  </r>
  <r>
    <x v="1"/>
    <x v="1"/>
    <x v="0"/>
    <x v="1"/>
    <x v="8"/>
    <x v="1"/>
    <x v="3"/>
    <n v="0"/>
  </r>
  <r>
    <x v="1"/>
    <x v="1"/>
    <x v="0"/>
    <x v="1"/>
    <x v="8"/>
    <x v="1"/>
    <x v="4"/>
    <n v="0"/>
  </r>
  <r>
    <x v="1"/>
    <x v="1"/>
    <x v="0"/>
    <x v="1"/>
    <x v="8"/>
    <x v="1"/>
    <x v="5"/>
    <n v="0"/>
  </r>
  <r>
    <x v="1"/>
    <x v="1"/>
    <x v="0"/>
    <x v="1"/>
    <x v="8"/>
    <x v="1"/>
    <x v="6"/>
    <n v="0"/>
  </r>
  <r>
    <x v="1"/>
    <x v="1"/>
    <x v="0"/>
    <x v="1"/>
    <x v="9"/>
    <x v="1"/>
    <x v="0"/>
    <n v="0"/>
  </r>
  <r>
    <x v="1"/>
    <x v="1"/>
    <x v="0"/>
    <x v="1"/>
    <x v="9"/>
    <x v="1"/>
    <x v="1"/>
    <n v="0"/>
  </r>
  <r>
    <x v="1"/>
    <x v="1"/>
    <x v="0"/>
    <x v="1"/>
    <x v="9"/>
    <x v="1"/>
    <x v="2"/>
    <n v="0"/>
  </r>
  <r>
    <x v="1"/>
    <x v="1"/>
    <x v="0"/>
    <x v="1"/>
    <x v="9"/>
    <x v="1"/>
    <x v="3"/>
    <n v="0"/>
  </r>
  <r>
    <x v="1"/>
    <x v="1"/>
    <x v="0"/>
    <x v="1"/>
    <x v="9"/>
    <x v="1"/>
    <x v="4"/>
    <n v="0"/>
  </r>
  <r>
    <x v="1"/>
    <x v="1"/>
    <x v="0"/>
    <x v="1"/>
    <x v="9"/>
    <x v="1"/>
    <x v="5"/>
    <n v="0"/>
  </r>
  <r>
    <x v="1"/>
    <x v="1"/>
    <x v="0"/>
    <x v="1"/>
    <x v="9"/>
    <x v="1"/>
    <x v="6"/>
    <n v="0"/>
  </r>
  <r>
    <x v="1"/>
    <x v="1"/>
    <x v="0"/>
    <x v="1"/>
    <x v="10"/>
    <x v="1"/>
    <x v="0"/>
    <n v="0"/>
  </r>
  <r>
    <x v="1"/>
    <x v="1"/>
    <x v="0"/>
    <x v="1"/>
    <x v="10"/>
    <x v="1"/>
    <x v="1"/>
    <n v="0"/>
  </r>
  <r>
    <x v="1"/>
    <x v="1"/>
    <x v="0"/>
    <x v="1"/>
    <x v="10"/>
    <x v="1"/>
    <x v="2"/>
    <n v="0"/>
  </r>
  <r>
    <x v="1"/>
    <x v="1"/>
    <x v="0"/>
    <x v="1"/>
    <x v="10"/>
    <x v="1"/>
    <x v="3"/>
    <n v="0"/>
  </r>
  <r>
    <x v="1"/>
    <x v="1"/>
    <x v="0"/>
    <x v="1"/>
    <x v="10"/>
    <x v="1"/>
    <x v="4"/>
    <n v="0"/>
  </r>
  <r>
    <x v="1"/>
    <x v="1"/>
    <x v="0"/>
    <x v="1"/>
    <x v="10"/>
    <x v="1"/>
    <x v="5"/>
    <n v="0"/>
  </r>
  <r>
    <x v="1"/>
    <x v="1"/>
    <x v="0"/>
    <x v="1"/>
    <x v="10"/>
    <x v="1"/>
    <x v="6"/>
    <n v="0"/>
  </r>
  <r>
    <x v="1"/>
    <x v="1"/>
    <x v="0"/>
    <x v="0"/>
    <x v="11"/>
    <x v="1"/>
    <x v="0"/>
    <n v="0"/>
  </r>
  <r>
    <x v="1"/>
    <x v="1"/>
    <x v="0"/>
    <x v="0"/>
    <x v="11"/>
    <x v="1"/>
    <x v="1"/>
    <n v="0"/>
  </r>
  <r>
    <x v="1"/>
    <x v="1"/>
    <x v="0"/>
    <x v="0"/>
    <x v="11"/>
    <x v="1"/>
    <x v="2"/>
    <n v="0"/>
  </r>
  <r>
    <x v="1"/>
    <x v="1"/>
    <x v="0"/>
    <x v="0"/>
    <x v="11"/>
    <x v="1"/>
    <x v="3"/>
    <n v="0"/>
  </r>
  <r>
    <x v="1"/>
    <x v="1"/>
    <x v="0"/>
    <x v="0"/>
    <x v="11"/>
    <x v="1"/>
    <x v="4"/>
    <n v="0"/>
  </r>
  <r>
    <x v="1"/>
    <x v="1"/>
    <x v="0"/>
    <x v="0"/>
    <x v="11"/>
    <x v="1"/>
    <x v="5"/>
    <n v="0"/>
  </r>
  <r>
    <x v="1"/>
    <x v="1"/>
    <x v="0"/>
    <x v="0"/>
    <x v="11"/>
    <x v="1"/>
    <x v="6"/>
    <n v="0"/>
  </r>
  <r>
    <x v="1"/>
    <x v="1"/>
    <x v="0"/>
    <x v="0"/>
    <x v="12"/>
    <x v="1"/>
    <x v="0"/>
    <n v="0"/>
  </r>
  <r>
    <x v="1"/>
    <x v="1"/>
    <x v="0"/>
    <x v="0"/>
    <x v="12"/>
    <x v="1"/>
    <x v="1"/>
    <n v="0"/>
  </r>
  <r>
    <x v="1"/>
    <x v="1"/>
    <x v="0"/>
    <x v="0"/>
    <x v="12"/>
    <x v="1"/>
    <x v="2"/>
    <n v="0"/>
  </r>
  <r>
    <x v="1"/>
    <x v="1"/>
    <x v="0"/>
    <x v="0"/>
    <x v="12"/>
    <x v="1"/>
    <x v="3"/>
    <n v="0"/>
  </r>
  <r>
    <x v="1"/>
    <x v="1"/>
    <x v="0"/>
    <x v="0"/>
    <x v="12"/>
    <x v="1"/>
    <x v="4"/>
    <n v="0"/>
  </r>
  <r>
    <x v="1"/>
    <x v="1"/>
    <x v="0"/>
    <x v="0"/>
    <x v="12"/>
    <x v="1"/>
    <x v="5"/>
    <n v="0"/>
  </r>
  <r>
    <x v="1"/>
    <x v="1"/>
    <x v="0"/>
    <x v="0"/>
    <x v="12"/>
    <x v="1"/>
    <x v="6"/>
    <n v="0"/>
  </r>
  <r>
    <x v="1"/>
    <x v="1"/>
    <x v="0"/>
    <x v="0"/>
    <x v="13"/>
    <x v="1"/>
    <x v="0"/>
    <n v="0"/>
  </r>
  <r>
    <x v="1"/>
    <x v="1"/>
    <x v="0"/>
    <x v="0"/>
    <x v="13"/>
    <x v="1"/>
    <x v="1"/>
    <n v="0"/>
  </r>
  <r>
    <x v="1"/>
    <x v="1"/>
    <x v="0"/>
    <x v="0"/>
    <x v="13"/>
    <x v="1"/>
    <x v="2"/>
    <n v="0"/>
  </r>
  <r>
    <x v="1"/>
    <x v="1"/>
    <x v="0"/>
    <x v="0"/>
    <x v="13"/>
    <x v="1"/>
    <x v="3"/>
    <n v="0"/>
  </r>
  <r>
    <x v="1"/>
    <x v="1"/>
    <x v="0"/>
    <x v="0"/>
    <x v="13"/>
    <x v="1"/>
    <x v="4"/>
    <n v="0"/>
  </r>
  <r>
    <x v="1"/>
    <x v="1"/>
    <x v="0"/>
    <x v="0"/>
    <x v="13"/>
    <x v="1"/>
    <x v="5"/>
    <n v="0"/>
  </r>
  <r>
    <x v="1"/>
    <x v="1"/>
    <x v="0"/>
    <x v="0"/>
    <x v="13"/>
    <x v="1"/>
    <x v="6"/>
    <n v="0"/>
  </r>
  <r>
    <x v="1"/>
    <x v="1"/>
    <x v="0"/>
    <x v="2"/>
    <x v="14"/>
    <x v="1"/>
    <x v="0"/>
    <n v="0"/>
  </r>
  <r>
    <x v="1"/>
    <x v="1"/>
    <x v="0"/>
    <x v="2"/>
    <x v="14"/>
    <x v="1"/>
    <x v="1"/>
    <n v="0"/>
  </r>
  <r>
    <x v="1"/>
    <x v="1"/>
    <x v="0"/>
    <x v="2"/>
    <x v="14"/>
    <x v="1"/>
    <x v="2"/>
    <n v="0"/>
  </r>
  <r>
    <x v="1"/>
    <x v="1"/>
    <x v="0"/>
    <x v="2"/>
    <x v="14"/>
    <x v="1"/>
    <x v="3"/>
    <n v="0"/>
  </r>
  <r>
    <x v="1"/>
    <x v="1"/>
    <x v="0"/>
    <x v="2"/>
    <x v="14"/>
    <x v="1"/>
    <x v="4"/>
    <n v="0"/>
  </r>
  <r>
    <x v="1"/>
    <x v="1"/>
    <x v="0"/>
    <x v="2"/>
    <x v="14"/>
    <x v="1"/>
    <x v="5"/>
    <n v="0"/>
  </r>
  <r>
    <x v="1"/>
    <x v="1"/>
    <x v="0"/>
    <x v="2"/>
    <x v="14"/>
    <x v="1"/>
    <x v="6"/>
    <n v="0"/>
  </r>
  <r>
    <x v="1"/>
    <x v="1"/>
    <x v="0"/>
    <x v="2"/>
    <x v="15"/>
    <x v="1"/>
    <x v="0"/>
    <n v="0"/>
  </r>
  <r>
    <x v="1"/>
    <x v="1"/>
    <x v="0"/>
    <x v="2"/>
    <x v="15"/>
    <x v="1"/>
    <x v="1"/>
    <n v="0"/>
  </r>
  <r>
    <x v="1"/>
    <x v="1"/>
    <x v="0"/>
    <x v="2"/>
    <x v="15"/>
    <x v="1"/>
    <x v="2"/>
    <n v="0"/>
  </r>
  <r>
    <x v="1"/>
    <x v="1"/>
    <x v="0"/>
    <x v="2"/>
    <x v="15"/>
    <x v="1"/>
    <x v="3"/>
    <n v="0"/>
  </r>
  <r>
    <x v="1"/>
    <x v="1"/>
    <x v="0"/>
    <x v="2"/>
    <x v="15"/>
    <x v="1"/>
    <x v="4"/>
    <n v="0"/>
  </r>
  <r>
    <x v="1"/>
    <x v="1"/>
    <x v="0"/>
    <x v="2"/>
    <x v="15"/>
    <x v="1"/>
    <x v="5"/>
    <n v="0"/>
  </r>
  <r>
    <x v="1"/>
    <x v="1"/>
    <x v="0"/>
    <x v="2"/>
    <x v="15"/>
    <x v="1"/>
    <x v="6"/>
    <n v="0"/>
  </r>
  <r>
    <x v="1"/>
    <x v="1"/>
    <x v="0"/>
    <x v="2"/>
    <x v="16"/>
    <x v="1"/>
    <x v="0"/>
    <n v="0"/>
  </r>
  <r>
    <x v="1"/>
    <x v="1"/>
    <x v="0"/>
    <x v="2"/>
    <x v="16"/>
    <x v="1"/>
    <x v="1"/>
    <n v="0"/>
  </r>
  <r>
    <x v="1"/>
    <x v="1"/>
    <x v="0"/>
    <x v="2"/>
    <x v="16"/>
    <x v="1"/>
    <x v="2"/>
    <n v="0"/>
  </r>
  <r>
    <x v="1"/>
    <x v="1"/>
    <x v="0"/>
    <x v="2"/>
    <x v="16"/>
    <x v="1"/>
    <x v="3"/>
    <n v="0"/>
  </r>
  <r>
    <x v="1"/>
    <x v="1"/>
    <x v="0"/>
    <x v="2"/>
    <x v="16"/>
    <x v="1"/>
    <x v="4"/>
    <n v="0"/>
  </r>
  <r>
    <x v="1"/>
    <x v="1"/>
    <x v="0"/>
    <x v="2"/>
    <x v="16"/>
    <x v="1"/>
    <x v="5"/>
    <n v="0"/>
  </r>
  <r>
    <x v="1"/>
    <x v="1"/>
    <x v="0"/>
    <x v="2"/>
    <x v="16"/>
    <x v="1"/>
    <x v="6"/>
    <n v="0"/>
  </r>
  <r>
    <x v="1"/>
    <x v="1"/>
    <x v="0"/>
    <x v="0"/>
    <x v="17"/>
    <x v="1"/>
    <x v="0"/>
    <n v="0"/>
  </r>
  <r>
    <x v="1"/>
    <x v="1"/>
    <x v="0"/>
    <x v="0"/>
    <x v="17"/>
    <x v="1"/>
    <x v="1"/>
    <n v="0"/>
  </r>
  <r>
    <x v="1"/>
    <x v="1"/>
    <x v="0"/>
    <x v="0"/>
    <x v="17"/>
    <x v="1"/>
    <x v="2"/>
    <n v="0"/>
  </r>
  <r>
    <x v="1"/>
    <x v="1"/>
    <x v="0"/>
    <x v="0"/>
    <x v="17"/>
    <x v="1"/>
    <x v="3"/>
    <n v="0"/>
  </r>
  <r>
    <x v="1"/>
    <x v="1"/>
    <x v="0"/>
    <x v="0"/>
    <x v="17"/>
    <x v="1"/>
    <x v="4"/>
    <n v="0"/>
  </r>
  <r>
    <x v="1"/>
    <x v="1"/>
    <x v="0"/>
    <x v="0"/>
    <x v="17"/>
    <x v="1"/>
    <x v="5"/>
    <n v="0"/>
  </r>
  <r>
    <x v="1"/>
    <x v="1"/>
    <x v="0"/>
    <x v="0"/>
    <x v="17"/>
    <x v="1"/>
    <x v="6"/>
    <n v="0"/>
  </r>
  <r>
    <x v="1"/>
    <x v="1"/>
    <x v="0"/>
    <x v="2"/>
    <x v="18"/>
    <x v="1"/>
    <x v="0"/>
    <n v="0"/>
  </r>
  <r>
    <x v="1"/>
    <x v="1"/>
    <x v="0"/>
    <x v="2"/>
    <x v="18"/>
    <x v="1"/>
    <x v="1"/>
    <n v="0"/>
  </r>
  <r>
    <x v="1"/>
    <x v="1"/>
    <x v="0"/>
    <x v="2"/>
    <x v="18"/>
    <x v="1"/>
    <x v="2"/>
    <n v="0"/>
  </r>
  <r>
    <x v="1"/>
    <x v="1"/>
    <x v="0"/>
    <x v="2"/>
    <x v="18"/>
    <x v="1"/>
    <x v="3"/>
    <n v="0"/>
  </r>
  <r>
    <x v="1"/>
    <x v="1"/>
    <x v="0"/>
    <x v="2"/>
    <x v="18"/>
    <x v="1"/>
    <x v="4"/>
    <n v="0"/>
  </r>
  <r>
    <x v="1"/>
    <x v="1"/>
    <x v="0"/>
    <x v="2"/>
    <x v="18"/>
    <x v="1"/>
    <x v="5"/>
    <n v="0"/>
  </r>
  <r>
    <x v="1"/>
    <x v="1"/>
    <x v="0"/>
    <x v="2"/>
    <x v="18"/>
    <x v="1"/>
    <x v="6"/>
    <n v="0"/>
  </r>
  <r>
    <x v="1"/>
    <x v="1"/>
    <x v="1"/>
    <x v="3"/>
    <x v="19"/>
    <x v="1"/>
    <x v="0"/>
    <n v="0"/>
  </r>
  <r>
    <x v="1"/>
    <x v="1"/>
    <x v="1"/>
    <x v="3"/>
    <x v="19"/>
    <x v="1"/>
    <x v="1"/>
    <n v="0"/>
  </r>
  <r>
    <x v="1"/>
    <x v="1"/>
    <x v="1"/>
    <x v="3"/>
    <x v="19"/>
    <x v="1"/>
    <x v="2"/>
    <n v="0"/>
  </r>
  <r>
    <x v="1"/>
    <x v="1"/>
    <x v="1"/>
    <x v="3"/>
    <x v="19"/>
    <x v="1"/>
    <x v="3"/>
    <n v="0"/>
  </r>
  <r>
    <x v="1"/>
    <x v="1"/>
    <x v="1"/>
    <x v="3"/>
    <x v="19"/>
    <x v="1"/>
    <x v="4"/>
    <n v="0"/>
  </r>
  <r>
    <x v="1"/>
    <x v="1"/>
    <x v="1"/>
    <x v="3"/>
    <x v="19"/>
    <x v="1"/>
    <x v="5"/>
    <n v="0"/>
  </r>
  <r>
    <x v="1"/>
    <x v="1"/>
    <x v="1"/>
    <x v="3"/>
    <x v="19"/>
    <x v="1"/>
    <x v="6"/>
    <n v="0"/>
  </r>
  <r>
    <x v="1"/>
    <x v="1"/>
    <x v="1"/>
    <x v="3"/>
    <x v="20"/>
    <x v="1"/>
    <x v="0"/>
    <n v="0"/>
  </r>
  <r>
    <x v="1"/>
    <x v="1"/>
    <x v="1"/>
    <x v="3"/>
    <x v="20"/>
    <x v="1"/>
    <x v="1"/>
    <n v="0"/>
  </r>
  <r>
    <x v="1"/>
    <x v="1"/>
    <x v="1"/>
    <x v="3"/>
    <x v="20"/>
    <x v="1"/>
    <x v="2"/>
    <n v="0"/>
  </r>
  <r>
    <x v="1"/>
    <x v="1"/>
    <x v="1"/>
    <x v="3"/>
    <x v="20"/>
    <x v="1"/>
    <x v="3"/>
    <n v="0"/>
  </r>
  <r>
    <x v="1"/>
    <x v="1"/>
    <x v="1"/>
    <x v="3"/>
    <x v="20"/>
    <x v="1"/>
    <x v="4"/>
    <n v="0"/>
  </r>
  <r>
    <x v="1"/>
    <x v="1"/>
    <x v="1"/>
    <x v="3"/>
    <x v="20"/>
    <x v="1"/>
    <x v="5"/>
    <n v="0"/>
  </r>
  <r>
    <x v="1"/>
    <x v="1"/>
    <x v="1"/>
    <x v="3"/>
    <x v="20"/>
    <x v="1"/>
    <x v="6"/>
    <n v="0"/>
  </r>
  <r>
    <x v="1"/>
    <x v="1"/>
    <x v="1"/>
    <x v="3"/>
    <x v="21"/>
    <x v="1"/>
    <x v="0"/>
    <n v="0"/>
  </r>
  <r>
    <x v="1"/>
    <x v="1"/>
    <x v="1"/>
    <x v="3"/>
    <x v="21"/>
    <x v="1"/>
    <x v="1"/>
    <n v="0"/>
  </r>
  <r>
    <x v="1"/>
    <x v="1"/>
    <x v="1"/>
    <x v="3"/>
    <x v="21"/>
    <x v="1"/>
    <x v="2"/>
    <n v="0"/>
  </r>
  <r>
    <x v="1"/>
    <x v="1"/>
    <x v="1"/>
    <x v="3"/>
    <x v="21"/>
    <x v="1"/>
    <x v="3"/>
    <n v="0"/>
  </r>
  <r>
    <x v="1"/>
    <x v="1"/>
    <x v="1"/>
    <x v="3"/>
    <x v="21"/>
    <x v="1"/>
    <x v="4"/>
    <n v="0"/>
  </r>
  <r>
    <x v="1"/>
    <x v="1"/>
    <x v="1"/>
    <x v="3"/>
    <x v="21"/>
    <x v="1"/>
    <x v="5"/>
    <n v="0"/>
  </r>
  <r>
    <x v="1"/>
    <x v="1"/>
    <x v="1"/>
    <x v="3"/>
    <x v="21"/>
    <x v="1"/>
    <x v="6"/>
    <n v="0"/>
  </r>
  <r>
    <x v="1"/>
    <x v="1"/>
    <x v="1"/>
    <x v="3"/>
    <x v="22"/>
    <x v="1"/>
    <x v="0"/>
    <n v="0"/>
  </r>
  <r>
    <x v="1"/>
    <x v="1"/>
    <x v="1"/>
    <x v="3"/>
    <x v="22"/>
    <x v="1"/>
    <x v="1"/>
    <n v="0"/>
  </r>
  <r>
    <x v="1"/>
    <x v="1"/>
    <x v="1"/>
    <x v="3"/>
    <x v="22"/>
    <x v="1"/>
    <x v="2"/>
    <n v="0"/>
  </r>
  <r>
    <x v="1"/>
    <x v="1"/>
    <x v="1"/>
    <x v="3"/>
    <x v="22"/>
    <x v="1"/>
    <x v="3"/>
    <n v="0"/>
  </r>
  <r>
    <x v="1"/>
    <x v="1"/>
    <x v="1"/>
    <x v="3"/>
    <x v="22"/>
    <x v="1"/>
    <x v="4"/>
    <n v="0"/>
  </r>
  <r>
    <x v="1"/>
    <x v="1"/>
    <x v="1"/>
    <x v="3"/>
    <x v="22"/>
    <x v="1"/>
    <x v="5"/>
    <n v="0"/>
  </r>
  <r>
    <x v="1"/>
    <x v="1"/>
    <x v="1"/>
    <x v="3"/>
    <x v="22"/>
    <x v="1"/>
    <x v="6"/>
    <n v="0"/>
  </r>
  <r>
    <x v="1"/>
    <x v="1"/>
    <x v="1"/>
    <x v="3"/>
    <x v="23"/>
    <x v="1"/>
    <x v="0"/>
    <n v="0"/>
  </r>
  <r>
    <x v="1"/>
    <x v="1"/>
    <x v="1"/>
    <x v="3"/>
    <x v="23"/>
    <x v="1"/>
    <x v="1"/>
    <n v="0"/>
  </r>
  <r>
    <x v="1"/>
    <x v="1"/>
    <x v="1"/>
    <x v="3"/>
    <x v="23"/>
    <x v="1"/>
    <x v="2"/>
    <n v="0"/>
  </r>
  <r>
    <x v="1"/>
    <x v="1"/>
    <x v="1"/>
    <x v="3"/>
    <x v="23"/>
    <x v="1"/>
    <x v="3"/>
    <n v="0"/>
  </r>
  <r>
    <x v="1"/>
    <x v="1"/>
    <x v="1"/>
    <x v="3"/>
    <x v="23"/>
    <x v="1"/>
    <x v="4"/>
    <n v="0"/>
  </r>
  <r>
    <x v="1"/>
    <x v="1"/>
    <x v="1"/>
    <x v="3"/>
    <x v="23"/>
    <x v="1"/>
    <x v="5"/>
    <n v="0"/>
  </r>
  <r>
    <x v="1"/>
    <x v="1"/>
    <x v="1"/>
    <x v="3"/>
    <x v="23"/>
    <x v="1"/>
    <x v="6"/>
    <n v="0"/>
  </r>
  <r>
    <x v="1"/>
    <x v="1"/>
    <x v="1"/>
    <x v="3"/>
    <x v="24"/>
    <x v="1"/>
    <x v="0"/>
    <n v="0"/>
  </r>
  <r>
    <x v="1"/>
    <x v="1"/>
    <x v="1"/>
    <x v="3"/>
    <x v="24"/>
    <x v="1"/>
    <x v="1"/>
    <n v="0"/>
  </r>
  <r>
    <x v="1"/>
    <x v="1"/>
    <x v="1"/>
    <x v="3"/>
    <x v="24"/>
    <x v="1"/>
    <x v="2"/>
    <n v="0"/>
  </r>
  <r>
    <x v="1"/>
    <x v="1"/>
    <x v="1"/>
    <x v="3"/>
    <x v="24"/>
    <x v="1"/>
    <x v="3"/>
    <n v="0"/>
  </r>
  <r>
    <x v="1"/>
    <x v="1"/>
    <x v="1"/>
    <x v="3"/>
    <x v="24"/>
    <x v="1"/>
    <x v="4"/>
    <n v="0"/>
  </r>
  <r>
    <x v="1"/>
    <x v="1"/>
    <x v="1"/>
    <x v="3"/>
    <x v="24"/>
    <x v="1"/>
    <x v="5"/>
    <n v="0"/>
  </r>
  <r>
    <x v="1"/>
    <x v="1"/>
    <x v="1"/>
    <x v="3"/>
    <x v="24"/>
    <x v="1"/>
    <x v="6"/>
    <n v="0"/>
  </r>
  <r>
    <x v="1"/>
    <x v="1"/>
    <x v="1"/>
    <x v="3"/>
    <x v="25"/>
    <x v="1"/>
    <x v="0"/>
    <n v="0"/>
  </r>
  <r>
    <x v="1"/>
    <x v="1"/>
    <x v="1"/>
    <x v="3"/>
    <x v="25"/>
    <x v="1"/>
    <x v="1"/>
    <n v="0"/>
  </r>
  <r>
    <x v="1"/>
    <x v="1"/>
    <x v="1"/>
    <x v="3"/>
    <x v="25"/>
    <x v="1"/>
    <x v="2"/>
    <n v="0"/>
  </r>
  <r>
    <x v="1"/>
    <x v="1"/>
    <x v="1"/>
    <x v="3"/>
    <x v="25"/>
    <x v="1"/>
    <x v="3"/>
    <n v="0"/>
  </r>
  <r>
    <x v="1"/>
    <x v="1"/>
    <x v="1"/>
    <x v="3"/>
    <x v="25"/>
    <x v="1"/>
    <x v="4"/>
    <n v="0"/>
  </r>
  <r>
    <x v="1"/>
    <x v="1"/>
    <x v="1"/>
    <x v="3"/>
    <x v="25"/>
    <x v="1"/>
    <x v="5"/>
    <n v="0"/>
  </r>
  <r>
    <x v="1"/>
    <x v="1"/>
    <x v="1"/>
    <x v="3"/>
    <x v="25"/>
    <x v="1"/>
    <x v="6"/>
    <n v="0"/>
  </r>
  <r>
    <x v="1"/>
    <x v="1"/>
    <x v="2"/>
    <x v="4"/>
    <x v="26"/>
    <x v="1"/>
    <x v="0"/>
    <n v="0"/>
  </r>
  <r>
    <x v="1"/>
    <x v="1"/>
    <x v="2"/>
    <x v="4"/>
    <x v="26"/>
    <x v="1"/>
    <x v="1"/>
    <n v="0"/>
  </r>
  <r>
    <x v="1"/>
    <x v="1"/>
    <x v="2"/>
    <x v="4"/>
    <x v="26"/>
    <x v="1"/>
    <x v="2"/>
    <n v="0"/>
  </r>
  <r>
    <x v="1"/>
    <x v="1"/>
    <x v="2"/>
    <x v="4"/>
    <x v="26"/>
    <x v="1"/>
    <x v="3"/>
    <n v="0"/>
  </r>
  <r>
    <x v="1"/>
    <x v="1"/>
    <x v="2"/>
    <x v="4"/>
    <x v="26"/>
    <x v="1"/>
    <x v="4"/>
    <n v="0"/>
  </r>
  <r>
    <x v="1"/>
    <x v="1"/>
    <x v="2"/>
    <x v="4"/>
    <x v="26"/>
    <x v="1"/>
    <x v="5"/>
    <n v="0"/>
  </r>
  <r>
    <x v="1"/>
    <x v="1"/>
    <x v="2"/>
    <x v="4"/>
    <x v="26"/>
    <x v="1"/>
    <x v="6"/>
    <n v="0"/>
  </r>
  <r>
    <x v="1"/>
    <x v="1"/>
    <x v="2"/>
    <x v="4"/>
    <x v="27"/>
    <x v="1"/>
    <x v="0"/>
    <n v="0"/>
  </r>
  <r>
    <x v="1"/>
    <x v="1"/>
    <x v="2"/>
    <x v="4"/>
    <x v="27"/>
    <x v="1"/>
    <x v="1"/>
    <n v="0"/>
  </r>
  <r>
    <x v="1"/>
    <x v="1"/>
    <x v="2"/>
    <x v="4"/>
    <x v="27"/>
    <x v="1"/>
    <x v="2"/>
    <n v="0"/>
  </r>
  <r>
    <x v="1"/>
    <x v="1"/>
    <x v="2"/>
    <x v="4"/>
    <x v="27"/>
    <x v="1"/>
    <x v="3"/>
    <n v="0"/>
  </r>
  <r>
    <x v="1"/>
    <x v="1"/>
    <x v="2"/>
    <x v="4"/>
    <x v="27"/>
    <x v="1"/>
    <x v="4"/>
    <n v="0"/>
  </r>
  <r>
    <x v="1"/>
    <x v="1"/>
    <x v="2"/>
    <x v="4"/>
    <x v="27"/>
    <x v="1"/>
    <x v="5"/>
    <n v="0"/>
  </r>
  <r>
    <x v="1"/>
    <x v="1"/>
    <x v="2"/>
    <x v="4"/>
    <x v="27"/>
    <x v="1"/>
    <x v="6"/>
    <n v="0"/>
  </r>
  <r>
    <x v="1"/>
    <x v="1"/>
    <x v="2"/>
    <x v="4"/>
    <x v="28"/>
    <x v="1"/>
    <x v="0"/>
    <n v="0"/>
  </r>
  <r>
    <x v="1"/>
    <x v="1"/>
    <x v="2"/>
    <x v="4"/>
    <x v="28"/>
    <x v="1"/>
    <x v="1"/>
    <n v="0"/>
  </r>
  <r>
    <x v="1"/>
    <x v="1"/>
    <x v="2"/>
    <x v="4"/>
    <x v="28"/>
    <x v="1"/>
    <x v="2"/>
    <n v="0"/>
  </r>
  <r>
    <x v="1"/>
    <x v="1"/>
    <x v="2"/>
    <x v="4"/>
    <x v="28"/>
    <x v="1"/>
    <x v="3"/>
    <n v="0"/>
  </r>
  <r>
    <x v="1"/>
    <x v="1"/>
    <x v="2"/>
    <x v="4"/>
    <x v="28"/>
    <x v="1"/>
    <x v="4"/>
    <n v="0"/>
  </r>
  <r>
    <x v="1"/>
    <x v="1"/>
    <x v="2"/>
    <x v="4"/>
    <x v="28"/>
    <x v="1"/>
    <x v="5"/>
    <n v="0"/>
  </r>
  <r>
    <x v="1"/>
    <x v="1"/>
    <x v="2"/>
    <x v="4"/>
    <x v="28"/>
    <x v="1"/>
    <x v="6"/>
    <n v="0"/>
  </r>
  <r>
    <x v="1"/>
    <x v="1"/>
    <x v="2"/>
    <x v="4"/>
    <x v="29"/>
    <x v="1"/>
    <x v="0"/>
    <n v="0"/>
  </r>
  <r>
    <x v="1"/>
    <x v="1"/>
    <x v="2"/>
    <x v="4"/>
    <x v="29"/>
    <x v="1"/>
    <x v="1"/>
    <n v="0"/>
  </r>
  <r>
    <x v="1"/>
    <x v="1"/>
    <x v="2"/>
    <x v="4"/>
    <x v="29"/>
    <x v="1"/>
    <x v="2"/>
    <n v="0"/>
  </r>
  <r>
    <x v="1"/>
    <x v="1"/>
    <x v="2"/>
    <x v="4"/>
    <x v="29"/>
    <x v="1"/>
    <x v="3"/>
    <n v="0"/>
  </r>
  <r>
    <x v="1"/>
    <x v="1"/>
    <x v="2"/>
    <x v="4"/>
    <x v="29"/>
    <x v="1"/>
    <x v="4"/>
    <n v="0"/>
  </r>
  <r>
    <x v="1"/>
    <x v="1"/>
    <x v="2"/>
    <x v="4"/>
    <x v="29"/>
    <x v="1"/>
    <x v="5"/>
    <n v="0"/>
  </r>
  <r>
    <x v="1"/>
    <x v="1"/>
    <x v="2"/>
    <x v="4"/>
    <x v="29"/>
    <x v="1"/>
    <x v="6"/>
    <n v="0"/>
  </r>
  <r>
    <x v="1"/>
    <x v="1"/>
    <x v="3"/>
    <x v="5"/>
    <x v="30"/>
    <x v="1"/>
    <x v="0"/>
    <n v="0"/>
  </r>
  <r>
    <x v="1"/>
    <x v="1"/>
    <x v="3"/>
    <x v="5"/>
    <x v="30"/>
    <x v="1"/>
    <x v="1"/>
    <n v="0"/>
  </r>
  <r>
    <x v="1"/>
    <x v="1"/>
    <x v="3"/>
    <x v="5"/>
    <x v="30"/>
    <x v="1"/>
    <x v="2"/>
    <n v="0"/>
  </r>
  <r>
    <x v="1"/>
    <x v="1"/>
    <x v="3"/>
    <x v="5"/>
    <x v="30"/>
    <x v="1"/>
    <x v="3"/>
    <n v="0"/>
  </r>
  <r>
    <x v="1"/>
    <x v="1"/>
    <x v="3"/>
    <x v="5"/>
    <x v="30"/>
    <x v="1"/>
    <x v="4"/>
    <n v="0"/>
  </r>
  <r>
    <x v="1"/>
    <x v="1"/>
    <x v="3"/>
    <x v="5"/>
    <x v="30"/>
    <x v="1"/>
    <x v="5"/>
    <n v="0"/>
  </r>
  <r>
    <x v="1"/>
    <x v="1"/>
    <x v="3"/>
    <x v="5"/>
    <x v="30"/>
    <x v="1"/>
    <x v="6"/>
    <n v="0"/>
  </r>
  <r>
    <x v="1"/>
    <x v="1"/>
    <x v="2"/>
    <x v="4"/>
    <x v="31"/>
    <x v="1"/>
    <x v="0"/>
    <n v="0"/>
  </r>
  <r>
    <x v="1"/>
    <x v="1"/>
    <x v="2"/>
    <x v="4"/>
    <x v="31"/>
    <x v="1"/>
    <x v="1"/>
    <n v="0"/>
  </r>
  <r>
    <x v="1"/>
    <x v="1"/>
    <x v="2"/>
    <x v="4"/>
    <x v="31"/>
    <x v="1"/>
    <x v="2"/>
    <n v="0"/>
  </r>
  <r>
    <x v="1"/>
    <x v="1"/>
    <x v="2"/>
    <x v="4"/>
    <x v="31"/>
    <x v="1"/>
    <x v="3"/>
    <n v="0"/>
  </r>
  <r>
    <x v="1"/>
    <x v="1"/>
    <x v="2"/>
    <x v="4"/>
    <x v="31"/>
    <x v="1"/>
    <x v="4"/>
    <n v="0"/>
  </r>
  <r>
    <x v="1"/>
    <x v="1"/>
    <x v="2"/>
    <x v="4"/>
    <x v="31"/>
    <x v="1"/>
    <x v="5"/>
    <n v="0"/>
  </r>
  <r>
    <x v="1"/>
    <x v="1"/>
    <x v="2"/>
    <x v="4"/>
    <x v="31"/>
    <x v="1"/>
    <x v="6"/>
    <n v="0"/>
  </r>
  <r>
    <x v="1"/>
    <x v="1"/>
    <x v="2"/>
    <x v="4"/>
    <x v="32"/>
    <x v="1"/>
    <x v="0"/>
    <n v="0"/>
  </r>
  <r>
    <x v="1"/>
    <x v="1"/>
    <x v="2"/>
    <x v="4"/>
    <x v="32"/>
    <x v="1"/>
    <x v="1"/>
    <n v="0"/>
  </r>
  <r>
    <x v="1"/>
    <x v="1"/>
    <x v="2"/>
    <x v="4"/>
    <x v="32"/>
    <x v="1"/>
    <x v="2"/>
    <n v="0"/>
  </r>
  <r>
    <x v="1"/>
    <x v="1"/>
    <x v="2"/>
    <x v="4"/>
    <x v="32"/>
    <x v="1"/>
    <x v="3"/>
    <n v="0"/>
  </r>
  <r>
    <x v="1"/>
    <x v="1"/>
    <x v="2"/>
    <x v="4"/>
    <x v="32"/>
    <x v="1"/>
    <x v="4"/>
    <n v="0"/>
  </r>
  <r>
    <x v="1"/>
    <x v="1"/>
    <x v="2"/>
    <x v="4"/>
    <x v="32"/>
    <x v="1"/>
    <x v="5"/>
    <n v="0"/>
  </r>
  <r>
    <x v="1"/>
    <x v="1"/>
    <x v="2"/>
    <x v="4"/>
    <x v="32"/>
    <x v="1"/>
    <x v="6"/>
    <n v="0"/>
  </r>
  <r>
    <x v="1"/>
    <x v="1"/>
    <x v="2"/>
    <x v="4"/>
    <x v="33"/>
    <x v="1"/>
    <x v="0"/>
    <n v="0"/>
  </r>
  <r>
    <x v="1"/>
    <x v="1"/>
    <x v="2"/>
    <x v="4"/>
    <x v="33"/>
    <x v="1"/>
    <x v="1"/>
    <n v="0"/>
  </r>
  <r>
    <x v="1"/>
    <x v="1"/>
    <x v="2"/>
    <x v="4"/>
    <x v="33"/>
    <x v="1"/>
    <x v="2"/>
    <n v="0"/>
  </r>
  <r>
    <x v="1"/>
    <x v="1"/>
    <x v="2"/>
    <x v="4"/>
    <x v="33"/>
    <x v="1"/>
    <x v="3"/>
    <n v="0"/>
  </r>
  <r>
    <x v="1"/>
    <x v="1"/>
    <x v="2"/>
    <x v="4"/>
    <x v="33"/>
    <x v="1"/>
    <x v="4"/>
    <n v="0"/>
  </r>
  <r>
    <x v="1"/>
    <x v="1"/>
    <x v="2"/>
    <x v="4"/>
    <x v="33"/>
    <x v="1"/>
    <x v="5"/>
    <n v="0"/>
  </r>
  <r>
    <x v="1"/>
    <x v="1"/>
    <x v="2"/>
    <x v="4"/>
    <x v="33"/>
    <x v="1"/>
    <x v="6"/>
    <n v="0"/>
  </r>
  <r>
    <x v="1"/>
    <x v="1"/>
    <x v="2"/>
    <x v="4"/>
    <x v="34"/>
    <x v="1"/>
    <x v="0"/>
    <n v="0"/>
  </r>
  <r>
    <x v="1"/>
    <x v="1"/>
    <x v="2"/>
    <x v="4"/>
    <x v="34"/>
    <x v="1"/>
    <x v="1"/>
    <n v="0"/>
  </r>
  <r>
    <x v="1"/>
    <x v="1"/>
    <x v="2"/>
    <x v="4"/>
    <x v="34"/>
    <x v="1"/>
    <x v="2"/>
    <n v="0"/>
  </r>
  <r>
    <x v="1"/>
    <x v="1"/>
    <x v="2"/>
    <x v="4"/>
    <x v="34"/>
    <x v="1"/>
    <x v="3"/>
    <n v="0"/>
  </r>
  <r>
    <x v="1"/>
    <x v="1"/>
    <x v="2"/>
    <x v="4"/>
    <x v="34"/>
    <x v="1"/>
    <x v="4"/>
    <n v="0"/>
  </r>
  <r>
    <x v="1"/>
    <x v="1"/>
    <x v="2"/>
    <x v="4"/>
    <x v="34"/>
    <x v="1"/>
    <x v="5"/>
    <n v="0"/>
  </r>
  <r>
    <x v="1"/>
    <x v="1"/>
    <x v="2"/>
    <x v="4"/>
    <x v="34"/>
    <x v="1"/>
    <x v="6"/>
    <n v="0"/>
  </r>
  <r>
    <x v="1"/>
    <x v="1"/>
    <x v="2"/>
    <x v="6"/>
    <x v="35"/>
    <x v="1"/>
    <x v="0"/>
    <n v="0"/>
  </r>
  <r>
    <x v="1"/>
    <x v="1"/>
    <x v="2"/>
    <x v="6"/>
    <x v="35"/>
    <x v="1"/>
    <x v="1"/>
    <n v="0"/>
  </r>
  <r>
    <x v="1"/>
    <x v="1"/>
    <x v="2"/>
    <x v="6"/>
    <x v="35"/>
    <x v="1"/>
    <x v="2"/>
    <n v="0"/>
  </r>
  <r>
    <x v="1"/>
    <x v="1"/>
    <x v="2"/>
    <x v="6"/>
    <x v="35"/>
    <x v="1"/>
    <x v="3"/>
    <n v="0"/>
  </r>
  <r>
    <x v="1"/>
    <x v="1"/>
    <x v="2"/>
    <x v="6"/>
    <x v="35"/>
    <x v="1"/>
    <x v="4"/>
    <n v="0"/>
  </r>
  <r>
    <x v="1"/>
    <x v="1"/>
    <x v="2"/>
    <x v="6"/>
    <x v="35"/>
    <x v="1"/>
    <x v="5"/>
    <n v="0"/>
  </r>
  <r>
    <x v="1"/>
    <x v="1"/>
    <x v="2"/>
    <x v="6"/>
    <x v="35"/>
    <x v="1"/>
    <x v="6"/>
    <n v="0"/>
  </r>
  <r>
    <x v="1"/>
    <x v="1"/>
    <x v="2"/>
    <x v="6"/>
    <x v="36"/>
    <x v="1"/>
    <x v="0"/>
    <n v="0"/>
  </r>
  <r>
    <x v="1"/>
    <x v="1"/>
    <x v="2"/>
    <x v="6"/>
    <x v="36"/>
    <x v="1"/>
    <x v="1"/>
    <n v="0"/>
  </r>
  <r>
    <x v="1"/>
    <x v="1"/>
    <x v="2"/>
    <x v="6"/>
    <x v="36"/>
    <x v="1"/>
    <x v="2"/>
    <n v="0"/>
  </r>
  <r>
    <x v="1"/>
    <x v="1"/>
    <x v="2"/>
    <x v="6"/>
    <x v="36"/>
    <x v="1"/>
    <x v="3"/>
    <n v="0"/>
  </r>
  <r>
    <x v="1"/>
    <x v="1"/>
    <x v="2"/>
    <x v="6"/>
    <x v="36"/>
    <x v="1"/>
    <x v="4"/>
    <n v="0"/>
  </r>
  <r>
    <x v="1"/>
    <x v="1"/>
    <x v="2"/>
    <x v="6"/>
    <x v="36"/>
    <x v="1"/>
    <x v="5"/>
    <n v="0"/>
  </r>
  <r>
    <x v="1"/>
    <x v="1"/>
    <x v="2"/>
    <x v="6"/>
    <x v="36"/>
    <x v="1"/>
    <x v="6"/>
    <n v="0"/>
  </r>
  <r>
    <x v="1"/>
    <x v="1"/>
    <x v="2"/>
    <x v="6"/>
    <x v="37"/>
    <x v="1"/>
    <x v="0"/>
    <n v="0"/>
  </r>
  <r>
    <x v="1"/>
    <x v="1"/>
    <x v="2"/>
    <x v="6"/>
    <x v="37"/>
    <x v="1"/>
    <x v="1"/>
    <n v="0"/>
  </r>
  <r>
    <x v="1"/>
    <x v="1"/>
    <x v="2"/>
    <x v="6"/>
    <x v="37"/>
    <x v="1"/>
    <x v="2"/>
    <n v="0"/>
  </r>
  <r>
    <x v="1"/>
    <x v="1"/>
    <x v="2"/>
    <x v="6"/>
    <x v="37"/>
    <x v="1"/>
    <x v="3"/>
    <n v="0"/>
  </r>
  <r>
    <x v="1"/>
    <x v="1"/>
    <x v="2"/>
    <x v="6"/>
    <x v="37"/>
    <x v="1"/>
    <x v="4"/>
    <n v="0"/>
  </r>
  <r>
    <x v="1"/>
    <x v="1"/>
    <x v="2"/>
    <x v="6"/>
    <x v="37"/>
    <x v="1"/>
    <x v="5"/>
    <n v="0"/>
  </r>
  <r>
    <x v="1"/>
    <x v="1"/>
    <x v="2"/>
    <x v="6"/>
    <x v="37"/>
    <x v="1"/>
    <x v="6"/>
    <n v="0"/>
  </r>
  <r>
    <x v="1"/>
    <x v="1"/>
    <x v="2"/>
    <x v="6"/>
    <x v="38"/>
    <x v="1"/>
    <x v="0"/>
    <n v="0"/>
  </r>
  <r>
    <x v="1"/>
    <x v="1"/>
    <x v="2"/>
    <x v="6"/>
    <x v="38"/>
    <x v="1"/>
    <x v="1"/>
    <n v="0"/>
  </r>
  <r>
    <x v="1"/>
    <x v="1"/>
    <x v="2"/>
    <x v="6"/>
    <x v="38"/>
    <x v="1"/>
    <x v="2"/>
    <n v="0"/>
  </r>
  <r>
    <x v="1"/>
    <x v="1"/>
    <x v="2"/>
    <x v="6"/>
    <x v="38"/>
    <x v="1"/>
    <x v="3"/>
    <n v="0"/>
  </r>
  <r>
    <x v="1"/>
    <x v="1"/>
    <x v="2"/>
    <x v="6"/>
    <x v="38"/>
    <x v="1"/>
    <x v="4"/>
    <n v="0"/>
  </r>
  <r>
    <x v="1"/>
    <x v="1"/>
    <x v="2"/>
    <x v="6"/>
    <x v="38"/>
    <x v="1"/>
    <x v="5"/>
    <n v="0"/>
  </r>
  <r>
    <x v="1"/>
    <x v="1"/>
    <x v="2"/>
    <x v="6"/>
    <x v="38"/>
    <x v="1"/>
    <x v="6"/>
    <n v="0"/>
  </r>
  <r>
    <x v="1"/>
    <x v="1"/>
    <x v="3"/>
    <x v="5"/>
    <x v="39"/>
    <x v="1"/>
    <x v="0"/>
    <n v="0"/>
  </r>
  <r>
    <x v="1"/>
    <x v="1"/>
    <x v="3"/>
    <x v="5"/>
    <x v="39"/>
    <x v="1"/>
    <x v="1"/>
    <n v="0"/>
  </r>
  <r>
    <x v="1"/>
    <x v="1"/>
    <x v="3"/>
    <x v="5"/>
    <x v="39"/>
    <x v="1"/>
    <x v="2"/>
    <n v="0"/>
  </r>
  <r>
    <x v="1"/>
    <x v="1"/>
    <x v="3"/>
    <x v="5"/>
    <x v="39"/>
    <x v="1"/>
    <x v="3"/>
    <n v="0"/>
  </r>
  <r>
    <x v="1"/>
    <x v="1"/>
    <x v="3"/>
    <x v="5"/>
    <x v="39"/>
    <x v="1"/>
    <x v="4"/>
    <n v="0"/>
  </r>
  <r>
    <x v="1"/>
    <x v="1"/>
    <x v="3"/>
    <x v="5"/>
    <x v="39"/>
    <x v="1"/>
    <x v="5"/>
    <n v="0"/>
  </r>
  <r>
    <x v="1"/>
    <x v="1"/>
    <x v="3"/>
    <x v="5"/>
    <x v="39"/>
    <x v="1"/>
    <x v="6"/>
    <n v="0"/>
  </r>
  <r>
    <x v="1"/>
    <x v="1"/>
    <x v="2"/>
    <x v="6"/>
    <x v="40"/>
    <x v="1"/>
    <x v="0"/>
    <n v="0"/>
  </r>
  <r>
    <x v="1"/>
    <x v="1"/>
    <x v="2"/>
    <x v="6"/>
    <x v="40"/>
    <x v="1"/>
    <x v="1"/>
    <n v="0"/>
  </r>
  <r>
    <x v="1"/>
    <x v="1"/>
    <x v="2"/>
    <x v="6"/>
    <x v="40"/>
    <x v="1"/>
    <x v="2"/>
    <n v="0"/>
  </r>
  <r>
    <x v="1"/>
    <x v="1"/>
    <x v="2"/>
    <x v="6"/>
    <x v="40"/>
    <x v="1"/>
    <x v="3"/>
    <n v="0"/>
  </r>
  <r>
    <x v="1"/>
    <x v="1"/>
    <x v="2"/>
    <x v="6"/>
    <x v="40"/>
    <x v="1"/>
    <x v="4"/>
    <n v="0"/>
  </r>
  <r>
    <x v="1"/>
    <x v="1"/>
    <x v="2"/>
    <x v="6"/>
    <x v="40"/>
    <x v="1"/>
    <x v="5"/>
    <n v="0"/>
  </r>
  <r>
    <x v="1"/>
    <x v="1"/>
    <x v="2"/>
    <x v="6"/>
    <x v="40"/>
    <x v="1"/>
    <x v="6"/>
    <n v="0"/>
  </r>
  <r>
    <x v="1"/>
    <x v="1"/>
    <x v="2"/>
    <x v="6"/>
    <x v="41"/>
    <x v="1"/>
    <x v="0"/>
    <n v="0"/>
  </r>
  <r>
    <x v="1"/>
    <x v="1"/>
    <x v="2"/>
    <x v="6"/>
    <x v="41"/>
    <x v="1"/>
    <x v="1"/>
    <n v="0"/>
  </r>
  <r>
    <x v="1"/>
    <x v="1"/>
    <x v="2"/>
    <x v="6"/>
    <x v="41"/>
    <x v="1"/>
    <x v="2"/>
    <n v="0"/>
  </r>
  <r>
    <x v="1"/>
    <x v="1"/>
    <x v="2"/>
    <x v="6"/>
    <x v="41"/>
    <x v="1"/>
    <x v="3"/>
    <n v="0"/>
  </r>
  <r>
    <x v="1"/>
    <x v="1"/>
    <x v="2"/>
    <x v="6"/>
    <x v="41"/>
    <x v="1"/>
    <x v="4"/>
    <n v="0"/>
  </r>
  <r>
    <x v="1"/>
    <x v="1"/>
    <x v="2"/>
    <x v="6"/>
    <x v="41"/>
    <x v="1"/>
    <x v="5"/>
    <n v="0"/>
  </r>
  <r>
    <x v="1"/>
    <x v="1"/>
    <x v="2"/>
    <x v="6"/>
    <x v="41"/>
    <x v="1"/>
    <x v="6"/>
    <n v="0"/>
  </r>
  <r>
    <x v="1"/>
    <x v="1"/>
    <x v="2"/>
    <x v="6"/>
    <x v="42"/>
    <x v="1"/>
    <x v="0"/>
    <n v="0"/>
  </r>
  <r>
    <x v="1"/>
    <x v="1"/>
    <x v="2"/>
    <x v="6"/>
    <x v="42"/>
    <x v="1"/>
    <x v="1"/>
    <n v="0"/>
  </r>
  <r>
    <x v="1"/>
    <x v="1"/>
    <x v="2"/>
    <x v="6"/>
    <x v="42"/>
    <x v="1"/>
    <x v="2"/>
    <n v="0"/>
  </r>
  <r>
    <x v="1"/>
    <x v="1"/>
    <x v="2"/>
    <x v="6"/>
    <x v="42"/>
    <x v="1"/>
    <x v="3"/>
    <n v="0"/>
  </r>
  <r>
    <x v="1"/>
    <x v="1"/>
    <x v="2"/>
    <x v="6"/>
    <x v="42"/>
    <x v="1"/>
    <x v="4"/>
    <n v="0"/>
  </r>
  <r>
    <x v="1"/>
    <x v="1"/>
    <x v="2"/>
    <x v="6"/>
    <x v="42"/>
    <x v="1"/>
    <x v="5"/>
    <n v="0"/>
  </r>
  <r>
    <x v="1"/>
    <x v="1"/>
    <x v="2"/>
    <x v="6"/>
    <x v="42"/>
    <x v="1"/>
    <x v="6"/>
    <n v="0"/>
  </r>
  <r>
    <x v="1"/>
    <x v="1"/>
    <x v="2"/>
    <x v="6"/>
    <x v="43"/>
    <x v="1"/>
    <x v="0"/>
    <n v="0"/>
  </r>
  <r>
    <x v="1"/>
    <x v="1"/>
    <x v="2"/>
    <x v="6"/>
    <x v="43"/>
    <x v="1"/>
    <x v="1"/>
    <n v="0"/>
  </r>
  <r>
    <x v="1"/>
    <x v="1"/>
    <x v="2"/>
    <x v="6"/>
    <x v="43"/>
    <x v="1"/>
    <x v="2"/>
    <n v="0"/>
  </r>
  <r>
    <x v="1"/>
    <x v="1"/>
    <x v="2"/>
    <x v="6"/>
    <x v="43"/>
    <x v="1"/>
    <x v="3"/>
    <n v="0"/>
  </r>
  <r>
    <x v="1"/>
    <x v="1"/>
    <x v="2"/>
    <x v="6"/>
    <x v="43"/>
    <x v="1"/>
    <x v="4"/>
    <n v="0"/>
  </r>
  <r>
    <x v="1"/>
    <x v="1"/>
    <x v="2"/>
    <x v="6"/>
    <x v="43"/>
    <x v="1"/>
    <x v="5"/>
    <n v="0"/>
  </r>
  <r>
    <x v="1"/>
    <x v="1"/>
    <x v="2"/>
    <x v="6"/>
    <x v="43"/>
    <x v="1"/>
    <x v="6"/>
    <n v="0"/>
  </r>
  <r>
    <x v="1"/>
    <x v="0"/>
    <x v="4"/>
    <x v="7"/>
    <x v="61"/>
    <x v="1"/>
    <x v="0"/>
    <n v="0"/>
  </r>
  <r>
    <x v="1"/>
    <x v="0"/>
    <x v="4"/>
    <x v="7"/>
    <x v="61"/>
    <x v="1"/>
    <x v="1"/>
    <n v="0"/>
  </r>
  <r>
    <x v="1"/>
    <x v="0"/>
    <x v="4"/>
    <x v="7"/>
    <x v="61"/>
    <x v="1"/>
    <x v="2"/>
    <n v="0"/>
  </r>
  <r>
    <x v="1"/>
    <x v="0"/>
    <x v="4"/>
    <x v="7"/>
    <x v="61"/>
    <x v="1"/>
    <x v="3"/>
    <n v="0"/>
  </r>
  <r>
    <x v="1"/>
    <x v="0"/>
    <x v="4"/>
    <x v="7"/>
    <x v="61"/>
    <x v="1"/>
    <x v="4"/>
    <n v="0"/>
  </r>
  <r>
    <x v="1"/>
    <x v="0"/>
    <x v="4"/>
    <x v="7"/>
    <x v="61"/>
    <x v="1"/>
    <x v="5"/>
    <n v="0"/>
  </r>
  <r>
    <x v="1"/>
    <x v="0"/>
    <x v="4"/>
    <x v="7"/>
    <x v="61"/>
    <x v="1"/>
    <x v="6"/>
    <n v="0"/>
  </r>
  <r>
    <x v="1"/>
    <x v="0"/>
    <x v="4"/>
    <x v="7"/>
    <x v="62"/>
    <x v="1"/>
    <x v="0"/>
    <n v="0"/>
  </r>
  <r>
    <x v="1"/>
    <x v="0"/>
    <x v="4"/>
    <x v="7"/>
    <x v="62"/>
    <x v="1"/>
    <x v="1"/>
    <n v="0"/>
  </r>
  <r>
    <x v="1"/>
    <x v="0"/>
    <x v="4"/>
    <x v="7"/>
    <x v="62"/>
    <x v="1"/>
    <x v="2"/>
    <n v="0"/>
  </r>
  <r>
    <x v="1"/>
    <x v="0"/>
    <x v="4"/>
    <x v="7"/>
    <x v="62"/>
    <x v="1"/>
    <x v="3"/>
    <n v="0"/>
  </r>
  <r>
    <x v="1"/>
    <x v="0"/>
    <x v="4"/>
    <x v="7"/>
    <x v="62"/>
    <x v="1"/>
    <x v="4"/>
    <n v="0"/>
  </r>
  <r>
    <x v="1"/>
    <x v="0"/>
    <x v="4"/>
    <x v="7"/>
    <x v="62"/>
    <x v="1"/>
    <x v="5"/>
    <n v="0"/>
  </r>
  <r>
    <x v="1"/>
    <x v="0"/>
    <x v="4"/>
    <x v="7"/>
    <x v="62"/>
    <x v="1"/>
    <x v="6"/>
    <n v="0"/>
  </r>
  <r>
    <x v="1"/>
    <x v="0"/>
    <x v="4"/>
    <x v="7"/>
    <x v="63"/>
    <x v="1"/>
    <x v="0"/>
    <n v="0"/>
  </r>
  <r>
    <x v="1"/>
    <x v="0"/>
    <x v="4"/>
    <x v="7"/>
    <x v="63"/>
    <x v="1"/>
    <x v="1"/>
    <n v="0"/>
  </r>
  <r>
    <x v="1"/>
    <x v="0"/>
    <x v="4"/>
    <x v="7"/>
    <x v="63"/>
    <x v="1"/>
    <x v="2"/>
    <n v="0"/>
  </r>
  <r>
    <x v="1"/>
    <x v="0"/>
    <x v="4"/>
    <x v="7"/>
    <x v="63"/>
    <x v="1"/>
    <x v="3"/>
    <n v="0"/>
  </r>
  <r>
    <x v="1"/>
    <x v="0"/>
    <x v="4"/>
    <x v="7"/>
    <x v="63"/>
    <x v="1"/>
    <x v="4"/>
    <n v="0"/>
  </r>
  <r>
    <x v="1"/>
    <x v="0"/>
    <x v="4"/>
    <x v="7"/>
    <x v="63"/>
    <x v="1"/>
    <x v="5"/>
    <n v="0"/>
  </r>
  <r>
    <x v="1"/>
    <x v="0"/>
    <x v="4"/>
    <x v="7"/>
    <x v="63"/>
    <x v="1"/>
    <x v="6"/>
    <n v="0"/>
  </r>
  <r>
    <x v="1"/>
    <x v="0"/>
    <x v="4"/>
    <x v="7"/>
    <x v="64"/>
    <x v="1"/>
    <x v="0"/>
    <n v="0"/>
  </r>
  <r>
    <x v="1"/>
    <x v="0"/>
    <x v="4"/>
    <x v="7"/>
    <x v="64"/>
    <x v="1"/>
    <x v="1"/>
    <n v="0"/>
  </r>
  <r>
    <x v="1"/>
    <x v="0"/>
    <x v="4"/>
    <x v="7"/>
    <x v="64"/>
    <x v="1"/>
    <x v="2"/>
    <n v="0"/>
  </r>
  <r>
    <x v="1"/>
    <x v="0"/>
    <x v="4"/>
    <x v="7"/>
    <x v="64"/>
    <x v="1"/>
    <x v="3"/>
    <n v="0"/>
  </r>
  <r>
    <x v="1"/>
    <x v="0"/>
    <x v="4"/>
    <x v="7"/>
    <x v="64"/>
    <x v="1"/>
    <x v="4"/>
    <n v="0"/>
  </r>
  <r>
    <x v="1"/>
    <x v="0"/>
    <x v="4"/>
    <x v="7"/>
    <x v="64"/>
    <x v="1"/>
    <x v="5"/>
    <n v="0"/>
  </r>
  <r>
    <x v="1"/>
    <x v="0"/>
    <x v="4"/>
    <x v="7"/>
    <x v="64"/>
    <x v="1"/>
    <x v="6"/>
    <n v="0"/>
  </r>
  <r>
    <x v="1"/>
    <x v="1"/>
    <x v="4"/>
    <x v="7"/>
    <x v="44"/>
    <x v="1"/>
    <x v="0"/>
    <n v="0"/>
  </r>
  <r>
    <x v="1"/>
    <x v="1"/>
    <x v="4"/>
    <x v="7"/>
    <x v="44"/>
    <x v="1"/>
    <x v="1"/>
    <n v="0"/>
  </r>
  <r>
    <x v="1"/>
    <x v="1"/>
    <x v="4"/>
    <x v="7"/>
    <x v="44"/>
    <x v="1"/>
    <x v="2"/>
    <n v="0"/>
  </r>
  <r>
    <x v="1"/>
    <x v="1"/>
    <x v="4"/>
    <x v="7"/>
    <x v="44"/>
    <x v="1"/>
    <x v="3"/>
    <n v="0"/>
  </r>
  <r>
    <x v="1"/>
    <x v="1"/>
    <x v="4"/>
    <x v="7"/>
    <x v="44"/>
    <x v="1"/>
    <x v="4"/>
    <n v="0"/>
  </r>
  <r>
    <x v="1"/>
    <x v="1"/>
    <x v="4"/>
    <x v="7"/>
    <x v="44"/>
    <x v="1"/>
    <x v="5"/>
    <n v="0"/>
  </r>
  <r>
    <x v="1"/>
    <x v="1"/>
    <x v="4"/>
    <x v="7"/>
    <x v="44"/>
    <x v="1"/>
    <x v="6"/>
    <n v="0"/>
  </r>
  <r>
    <x v="1"/>
    <x v="1"/>
    <x v="4"/>
    <x v="7"/>
    <x v="45"/>
    <x v="1"/>
    <x v="0"/>
    <n v="0"/>
  </r>
  <r>
    <x v="1"/>
    <x v="1"/>
    <x v="4"/>
    <x v="7"/>
    <x v="45"/>
    <x v="1"/>
    <x v="1"/>
    <n v="0"/>
  </r>
  <r>
    <x v="1"/>
    <x v="1"/>
    <x v="4"/>
    <x v="7"/>
    <x v="45"/>
    <x v="1"/>
    <x v="2"/>
    <n v="0"/>
  </r>
  <r>
    <x v="1"/>
    <x v="1"/>
    <x v="4"/>
    <x v="7"/>
    <x v="45"/>
    <x v="1"/>
    <x v="3"/>
    <n v="0"/>
  </r>
  <r>
    <x v="1"/>
    <x v="1"/>
    <x v="4"/>
    <x v="7"/>
    <x v="45"/>
    <x v="1"/>
    <x v="4"/>
    <n v="0"/>
  </r>
  <r>
    <x v="1"/>
    <x v="1"/>
    <x v="4"/>
    <x v="7"/>
    <x v="45"/>
    <x v="1"/>
    <x v="5"/>
    <n v="0"/>
  </r>
  <r>
    <x v="1"/>
    <x v="1"/>
    <x v="4"/>
    <x v="7"/>
    <x v="45"/>
    <x v="1"/>
    <x v="6"/>
    <n v="0"/>
  </r>
  <r>
    <x v="1"/>
    <x v="1"/>
    <x v="4"/>
    <x v="7"/>
    <x v="46"/>
    <x v="1"/>
    <x v="0"/>
    <n v="0"/>
  </r>
  <r>
    <x v="1"/>
    <x v="1"/>
    <x v="4"/>
    <x v="7"/>
    <x v="46"/>
    <x v="1"/>
    <x v="1"/>
    <n v="0"/>
  </r>
  <r>
    <x v="1"/>
    <x v="1"/>
    <x v="4"/>
    <x v="7"/>
    <x v="46"/>
    <x v="1"/>
    <x v="2"/>
    <n v="0"/>
  </r>
  <r>
    <x v="1"/>
    <x v="1"/>
    <x v="4"/>
    <x v="7"/>
    <x v="46"/>
    <x v="1"/>
    <x v="3"/>
    <n v="0"/>
  </r>
  <r>
    <x v="1"/>
    <x v="1"/>
    <x v="4"/>
    <x v="7"/>
    <x v="46"/>
    <x v="1"/>
    <x v="4"/>
    <n v="0"/>
  </r>
  <r>
    <x v="1"/>
    <x v="1"/>
    <x v="4"/>
    <x v="7"/>
    <x v="46"/>
    <x v="1"/>
    <x v="5"/>
    <n v="0"/>
  </r>
  <r>
    <x v="1"/>
    <x v="1"/>
    <x v="4"/>
    <x v="7"/>
    <x v="46"/>
    <x v="1"/>
    <x v="6"/>
    <n v="0"/>
  </r>
  <r>
    <x v="1"/>
    <x v="1"/>
    <x v="5"/>
    <x v="8"/>
    <x v="51"/>
    <x v="1"/>
    <x v="0"/>
    <n v="0"/>
  </r>
  <r>
    <x v="1"/>
    <x v="1"/>
    <x v="5"/>
    <x v="8"/>
    <x v="51"/>
    <x v="1"/>
    <x v="1"/>
    <n v="0"/>
  </r>
  <r>
    <x v="1"/>
    <x v="1"/>
    <x v="5"/>
    <x v="8"/>
    <x v="51"/>
    <x v="1"/>
    <x v="2"/>
    <n v="0"/>
  </r>
  <r>
    <x v="1"/>
    <x v="1"/>
    <x v="5"/>
    <x v="8"/>
    <x v="51"/>
    <x v="1"/>
    <x v="3"/>
    <n v="0"/>
  </r>
  <r>
    <x v="1"/>
    <x v="1"/>
    <x v="5"/>
    <x v="8"/>
    <x v="51"/>
    <x v="1"/>
    <x v="4"/>
    <n v="0"/>
  </r>
  <r>
    <x v="1"/>
    <x v="1"/>
    <x v="5"/>
    <x v="8"/>
    <x v="51"/>
    <x v="1"/>
    <x v="5"/>
    <n v="0"/>
  </r>
  <r>
    <x v="1"/>
    <x v="1"/>
    <x v="5"/>
    <x v="8"/>
    <x v="51"/>
    <x v="1"/>
    <x v="6"/>
    <n v="0"/>
  </r>
  <r>
    <x v="1"/>
    <x v="1"/>
    <x v="3"/>
    <x v="5"/>
    <x v="52"/>
    <x v="1"/>
    <x v="0"/>
    <n v="0"/>
  </r>
  <r>
    <x v="1"/>
    <x v="1"/>
    <x v="3"/>
    <x v="5"/>
    <x v="52"/>
    <x v="1"/>
    <x v="1"/>
    <n v="0"/>
  </r>
  <r>
    <x v="1"/>
    <x v="1"/>
    <x v="3"/>
    <x v="5"/>
    <x v="52"/>
    <x v="1"/>
    <x v="2"/>
    <n v="0"/>
  </r>
  <r>
    <x v="1"/>
    <x v="1"/>
    <x v="3"/>
    <x v="5"/>
    <x v="52"/>
    <x v="1"/>
    <x v="3"/>
    <n v="0"/>
  </r>
  <r>
    <x v="1"/>
    <x v="1"/>
    <x v="3"/>
    <x v="5"/>
    <x v="52"/>
    <x v="1"/>
    <x v="4"/>
    <n v="0"/>
  </r>
  <r>
    <x v="1"/>
    <x v="1"/>
    <x v="3"/>
    <x v="5"/>
    <x v="52"/>
    <x v="1"/>
    <x v="5"/>
    <n v="0"/>
  </r>
  <r>
    <x v="1"/>
    <x v="1"/>
    <x v="3"/>
    <x v="5"/>
    <x v="52"/>
    <x v="1"/>
    <x v="6"/>
    <n v="0"/>
  </r>
  <r>
    <x v="1"/>
    <x v="1"/>
    <x v="5"/>
    <x v="8"/>
    <x v="53"/>
    <x v="1"/>
    <x v="0"/>
    <n v="0"/>
  </r>
  <r>
    <x v="1"/>
    <x v="1"/>
    <x v="5"/>
    <x v="8"/>
    <x v="53"/>
    <x v="1"/>
    <x v="1"/>
    <n v="0"/>
  </r>
  <r>
    <x v="1"/>
    <x v="1"/>
    <x v="5"/>
    <x v="8"/>
    <x v="53"/>
    <x v="1"/>
    <x v="2"/>
    <n v="0"/>
  </r>
  <r>
    <x v="1"/>
    <x v="1"/>
    <x v="5"/>
    <x v="8"/>
    <x v="53"/>
    <x v="1"/>
    <x v="3"/>
    <n v="0"/>
  </r>
  <r>
    <x v="1"/>
    <x v="1"/>
    <x v="5"/>
    <x v="8"/>
    <x v="53"/>
    <x v="1"/>
    <x v="4"/>
    <n v="0"/>
  </r>
  <r>
    <x v="1"/>
    <x v="1"/>
    <x v="5"/>
    <x v="8"/>
    <x v="53"/>
    <x v="1"/>
    <x v="5"/>
    <n v="0"/>
  </r>
  <r>
    <x v="1"/>
    <x v="1"/>
    <x v="5"/>
    <x v="8"/>
    <x v="53"/>
    <x v="1"/>
    <x v="6"/>
    <n v="0"/>
  </r>
  <r>
    <x v="1"/>
    <x v="1"/>
    <x v="4"/>
    <x v="7"/>
    <x v="47"/>
    <x v="1"/>
    <x v="0"/>
    <n v="0"/>
  </r>
  <r>
    <x v="1"/>
    <x v="1"/>
    <x v="4"/>
    <x v="7"/>
    <x v="47"/>
    <x v="1"/>
    <x v="1"/>
    <n v="0"/>
  </r>
  <r>
    <x v="1"/>
    <x v="1"/>
    <x v="4"/>
    <x v="7"/>
    <x v="47"/>
    <x v="1"/>
    <x v="2"/>
    <n v="0"/>
  </r>
  <r>
    <x v="1"/>
    <x v="1"/>
    <x v="4"/>
    <x v="7"/>
    <x v="47"/>
    <x v="1"/>
    <x v="3"/>
    <n v="0"/>
  </r>
  <r>
    <x v="1"/>
    <x v="1"/>
    <x v="4"/>
    <x v="7"/>
    <x v="47"/>
    <x v="1"/>
    <x v="4"/>
    <n v="0"/>
  </r>
  <r>
    <x v="1"/>
    <x v="1"/>
    <x v="4"/>
    <x v="7"/>
    <x v="47"/>
    <x v="1"/>
    <x v="5"/>
    <n v="0"/>
  </r>
  <r>
    <x v="1"/>
    <x v="1"/>
    <x v="4"/>
    <x v="7"/>
    <x v="47"/>
    <x v="1"/>
    <x v="6"/>
    <n v="0"/>
  </r>
  <r>
    <x v="1"/>
    <x v="1"/>
    <x v="4"/>
    <x v="7"/>
    <x v="48"/>
    <x v="1"/>
    <x v="0"/>
    <n v="0"/>
  </r>
  <r>
    <x v="1"/>
    <x v="1"/>
    <x v="4"/>
    <x v="7"/>
    <x v="48"/>
    <x v="1"/>
    <x v="1"/>
    <n v="0"/>
  </r>
  <r>
    <x v="1"/>
    <x v="1"/>
    <x v="4"/>
    <x v="7"/>
    <x v="48"/>
    <x v="1"/>
    <x v="2"/>
    <n v="0"/>
  </r>
  <r>
    <x v="1"/>
    <x v="1"/>
    <x v="4"/>
    <x v="7"/>
    <x v="48"/>
    <x v="1"/>
    <x v="3"/>
    <n v="0"/>
  </r>
  <r>
    <x v="1"/>
    <x v="1"/>
    <x v="4"/>
    <x v="7"/>
    <x v="48"/>
    <x v="1"/>
    <x v="4"/>
    <n v="0"/>
  </r>
  <r>
    <x v="1"/>
    <x v="1"/>
    <x v="4"/>
    <x v="7"/>
    <x v="48"/>
    <x v="1"/>
    <x v="5"/>
    <n v="0"/>
  </r>
  <r>
    <x v="1"/>
    <x v="1"/>
    <x v="4"/>
    <x v="7"/>
    <x v="48"/>
    <x v="1"/>
    <x v="6"/>
    <n v="0"/>
  </r>
  <r>
    <x v="1"/>
    <x v="1"/>
    <x v="4"/>
    <x v="7"/>
    <x v="49"/>
    <x v="1"/>
    <x v="0"/>
    <n v="0"/>
  </r>
  <r>
    <x v="1"/>
    <x v="1"/>
    <x v="4"/>
    <x v="7"/>
    <x v="49"/>
    <x v="1"/>
    <x v="1"/>
    <n v="0"/>
  </r>
  <r>
    <x v="1"/>
    <x v="1"/>
    <x v="4"/>
    <x v="7"/>
    <x v="49"/>
    <x v="1"/>
    <x v="2"/>
    <n v="0"/>
  </r>
  <r>
    <x v="1"/>
    <x v="1"/>
    <x v="4"/>
    <x v="7"/>
    <x v="49"/>
    <x v="1"/>
    <x v="3"/>
    <n v="0"/>
  </r>
  <r>
    <x v="1"/>
    <x v="1"/>
    <x v="4"/>
    <x v="7"/>
    <x v="49"/>
    <x v="1"/>
    <x v="4"/>
    <n v="0"/>
  </r>
  <r>
    <x v="1"/>
    <x v="1"/>
    <x v="4"/>
    <x v="7"/>
    <x v="49"/>
    <x v="1"/>
    <x v="5"/>
    <n v="0"/>
  </r>
  <r>
    <x v="1"/>
    <x v="1"/>
    <x v="4"/>
    <x v="7"/>
    <x v="49"/>
    <x v="1"/>
    <x v="6"/>
    <n v="0"/>
  </r>
  <r>
    <x v="1"/>
    <x v="1"/>
    <x v="4"/>
    <x v="7"/>
    <x v="50"/>
    <x v="1"/>
    <x v="0"/>
    <n v="0"/>
  </r>
  <r>
    <x v="1"/>
    <x v="1"/>
    <x v="4"/>
    <x v="7"/>
    <x v="50"/>
    <x v="1"/>
    <x v="1"/>
    <n v="0"/>
  </r>
  <r>
    <x v="1"/>
    <x v="1"/>
    <x v="4"/>
    <x v="7"/>
    <x v="50"/>
    <x v="1"/>
    <x v="2"/>
    <n v="0"/>
  </r>
  <r>
    <x v="1"/>
    <x v="1"/>
    <x v="4"/>
    <x v="7"/>
    <x v="50"/>
    <x v="1"/>
    <x v="3"/>
    <n v="0"/>
  </r>
  <r>
    <x v="1"/>
    <x v="1"/>
    <x v="4"/>
    <x v="7"/>
    <x v="50"/>
    <x v="1"/>
    <x v="4"/>
    <n v="0"/>
  </r>
  <r>
    <x v="1"/>
    <x v="1"/>
    <x v="4"/>
    <x v="7"/>
    <x v="50"/>
    <x v="1"/>
    <x v="5"/>
    <n v="0"/>
  </r>
  <r>
    <x v="1"/>
    <x v="1"/>
    <x v="4"/>
    <x v="7"/>
    <x v="50"/>
    <x v="1"/>
    <x v="6"/>
    <n v="0"/>
  </r>
  <r>
    <x v="1"/>
    <x v="1"/>
    <x v="4"/>
    <x v="7"/>
    <x v="54"/>
    <x v="1"/>
    <x v="0"/>
    <n v="0"/>
  </r>
  <r>
    <x v="1"/>
    <x v="1"/>
    <x v="4"/>
    <x v="7"/>
    <x v="54"/>
    <x v="1"/>
    <x v="1"/>
    <n v="0"/>
  </r>
  <r>
    <x v="1"/>
    <x v="1"/>
    <x v="4"/>
    <x v="7"/>
    <x v="54"/>
    <x v="1"/>
    <x v="2"/>
    <n v="0"/>
  </r>
  <r>
    <x v="1"/>
    <x v="1"/>
    <x v="4"/>
    <x v="7"/>
    <x v="54"/>
    <x v="1"/>
    <x v="3"/>
    <n v="0"/>
  </r>
  <r>
    <x v="1"/>
    <x v="1"/>
    <x v="4"/>
    <x v="7"/>
    <x v="54"/>
    <x v="1"/>
    <x v="4"/>
    <n v="0"/>
  </r>
  <r>
    <x v="1"/>
    <x v="1"/>
    <x v="4"/>
    <x v="7"/>
    <x v="54"/>
    <x v="1"/>
    <x v="5"/>
    <n v="0"/>
  </r>
  <r>
    <x v="1"/>
    <x v="1"/>
    <x v="4"/>
    <x v="7"/>
    <x v="54"/>
    <x v="1"/>
    <x v="6"/>
    <n v="0"/>
  </r>
  <r>
    <x v="1"/>
    <x v="1"/>
    <x v="4"/>
    <x v="7"/>
    <x v="55"/>
    <x v="1"/>
    <x v="0"/>
    <n v="0"/>
  </r>
  <r>
    <x v="1"/>
    <x v="1"/>
    <x v="4"/>
    <x v="7"/>
    <x v="55"/>
    <x v="1"/>
    <x v="1"/>
    <n v="0"/>
  </r>
  <r>
    <x v="1"/>
    <x v="1"/>
    <x v="4"/>
    <x v="7"/>
    <x v="55"/>
    <x v="1"/>
    <x v="2"/>
    <n v="0"/>
  </r>
  <r>
    <x v="1"/>
    <x v="1"/>
    <x v="4"/>
    <x v="7"/>
    <x v="55"/>
    <x v="1"/>
    <x v="3"/>
    <n v="0"/>
  </r>
  <r>
    <x v="1"/>
    <x v="1"/>
    <x v="4"/>
    <x v="7"/>
    <x v="55"/>
    <x v="1"/>
    <x v="4"/>
    <n v="0"/>
  </r>
  <r>
    <x v="1"/>
    <x v="1"/>
    <x v="4"/>
    <x v="7"/>
    <x v="55"/>
    <x v="1"/>
    <x v="5"/>
    <n v="0"/>
  </r>
  <r>
    <x v="1"/>
    <x v="1"/>
    <x v="4"/>
    <x v="7"/>
    <x v="55"/>
    <x v="1"/>
    <x v="6"/>
    <n v="0"/>
  </r>
  <r>
    <x v="1"/>
    <x v="1"/>
    <x v="4"/>
    <x v="7"/>
    <x v="56"/>
    <x v="1"/>
    <x v="0"/>
    <n v="0"/>
  </r>
  <r>
    <x v="1"/>
    <x v="1"/>
    <x v="4"/>
    <x v="7"/>
    <x v="56"/>
    <x v="1"/>
    <x v="1"/>
    <n v="0"/>
  </r>
  <r>
    <x v="1"/>
    <x v="1"/>
    <x v="4"/>
    <x v="7"/>
    <x v="56"/>
    <x v="1"/>
    <x v="2"/>
    <n v="0"/>
  </r>
  <r>
    <x v="1"/>
    <x v="1"/>
    <x v="4"/>
    <x v="7"/>
    <x v="56"/>
    <x v="1"/>
    <x v="3"/>
    <n v="0"/>
  </r>
  <r>
    <x v="1"/>
    <x v="1"/>
    <x v="4"/>
    <x v="7"/>
    <x v="56"/>
    <x v="1"/>
    <x v="4"/>
    <n v="0"/>
  </r>
  <r>
    <x v="1"/>
    <x v="1"/>
    <x v="4"/>
    <x v="7"/>
    <x v="56"/>
    <x v="1"/>
    <x v="5"/>
    <n v="0"/>
  </r>
  <r>
    <x v="1"/>
    <x v="1"/>
    <x v="4"/>
    <x v="7"/>
    <x v="56"/>
    <x v="1"/>
    <x v="6"/>
    <n v="0"/>
  </r>
  <r>
    <x v="1"/>
    <x v="1"/>
    <x v="4"/>
    <x v="7"/>
    <x v="57"/>
    <x v="1"/>
    <x v="0"/>
    <n v="0"/>
  </r>
  <r>
    <x v="1"/>
    <x v="1"/>
    <x v="4"/>
    <x v="7"/>
    <x v="57"/>
    <x v="1"/>
    <x v="1"/>
    <n v="0"/>
  </r>
  <r>
    <x v="1"/>
    <x v="1"/>
    <x v="4"/>
    <x v="7"/>
    <x v="57"/>
    <x v="1"/>
    <x v="2"/>
    <n v="0"/>
  </r>
  <r>
    <x v="1"/>
    <x v="1"/>
    <x v="4"/>
    <x v="7"/>
    <x v="57"/>
    <x v="1"/>
    <x v="3"/>
    <n v="0"/>
  </r>
  <r>
    <x v="1"/>
    <x v="1"/>
    <x v="4"/>
    <x v="7"/>
    <x v="57"/>
    <x v="1"/>
    <x v="4"/>
    <n v="0"/>
  </r>
  <r>
    <x v="1"/>
    <x v="1"/>
    <x v="4"/>
    <x v="7"/>
    <x v="57"/>
    <x v="1"/>
    <x v="5"/>
    <n v="0"/>
  </r>
  <r>
    <x v="1"/>
    <x v="1"/>
    <x v="4"/>
    <x v="7"/>
    <x v="57"/>
    <x v="1"/>
    <x v="6"/>
    <n v="0"/>
  </r>
  <r>
    <x v="1"/>
    <x v="1"/>
    <x v="4"/>
    <x v="7"/>
    <x v="58"/>
    <x v="1"/>
    <x v="0"/>
    <n v="0"/>
  </r>
  <r>
    <x v="1"/>
    <x v="1"/>
    <x v="4"/>
    <x v="7"/>
    <x v="58"/>
    <x v="1"/>
    <x v="1"/>
    <n v="0"/>
  </r>
  <r>
    <x v="1"/>
    <x v="1"/>
    <x v="4"/>
    <x v="7"/>
    <x v="58"/>
    <x v="1"/>
    <x v="2"/>
    <n v="0"/>
  </r>
  <r>
    <x v="1"/>
    <x v="1"/>
    <x v="4"/>
    <x v="7"/>
    <x v="58"/>
    <x v="1"/>
    <x v="3"/>
    <n v="0"/>
  </r>
  <r>
    <x v="1"/>
    <x v="1"/>
    <x v="4"/>
    <x v="7"/>
    <x v="58"/>
    <x v="1"/>
    <x v="4"/>
    <n v="0"/>
  </r>
  <r>
    <x v="1"/>
    <x v="1"/>
    <x v="4"/>
    <x v="7"/>
    <x v="58"/>
    <x v="1"/>
    <x v="5"/>
    <n v="0"/>
  </r>
  <r>
    <x v="1"/>
    <x v="1"/>
    <x v="4"/>
    <x v="7"/>
    <x v="58"/>
    <x v="1"/>
    <x v="6"/>
    <n v="0"/>
  </r>
  <r>
    <x v="1"/>
    <x v="1"/>
    <x v="4"/>
    <x v="7"/>
    <x v="59"/>
    <x v="1"/>
    <x v="0"/>
    <n v="0"/>
  </r>
  <r>
    <x v="1"/>
    <x v="1"/>
    <x v="4"/>
    <x v="7"/>
    <x v="59"/>
    <x v="1"/>
    <x v="1"/>
    <n v="0"/>
  </r>
  <r>
    <x v="1"/>
    <x v="1"/>
    <x v="4"/>
    <x v="7"/>
    <x v="59"/>
    <x v="1"/>
    <x v="2"/>
    <n v="0"/>
  </r>
  <r>
    <x v="1"/>
    <x v="1"/>
    <x v="4"/>
    <x v="7"/>
    <x v="59"/>
    <x v="1"/>
    <x v="3"/>
    <n v="0"/>
  </r>
  <r>
    <x v="1"/>
    <x v="1"/>
    <x v="4"/>
    <x v="7"/>
    <x v="59"/>
    <x v="1"/>
    <x v="4"/>
    <n v="0"/>
  </r>
  <r>
    <x v="1"/>
    <x v="1"/>
    <x v="4"/>
    <x v="7"/>
    <x v="59"/>
    <x v="1"/>
    <x v="5"/>
    <n v="0"/>
  </r>
  <r>
    <x v="1"/>
    <x v="1"/>
    <x v="4"/>
    <x v="7"/>
    <x v="59"/>
    <x v="1"/>
    <x v="6"/>
    <n v="0"/>
  </r>
  <r>
    <x v="1"/>
    <x v="1"/>
    <x v="4"/>
    <x v="7"/>
    <x v="60"/>
    <x v="1"/>
    <x v="0"/>
    <n v="0"/>
  </r>
  <r>
    <x v="1"/>
    <x v="1"/>
    <x v="4"/>
    <x v="7"/>
    <x v="60"/>
    <x v="1"/>
    <x v="1"/>
    <n v="0"/>
  </r>
  <r>
    <x v="1"/>
    <x v="1"/>
    <x v="4"/>
    <x v="7"/>
    <x v="60"/>
    <x v="1"/>
    <x v="2"/>
    <n v="0"/>
  </r>
  <r>
    <x v="1"/>
    <x v="1"/>
    <x v="4"/>
    <x v="7"/>
    <x v="60"/>
    <x v="1"/>
    <x v="3"/>
    <n v="0"/>
  </r>
  <r>
    <x v="1"/>
    <x v="1"/>
    <x v="4"/>
    <x v="7"/>
    <x v="60"/>
    <x v="1"/>
    <x v="4"/>
    <n v="0"/>
  </r>
  <r>
    <x v="1"/>
    <x v="1"/>
    <x v="4"/>
    <x v="7"/>
    <x v="60"/>
    <x v="1"/>
    <x v="5"/>
    <n v="0"/>
  </r>
  <r>
    <x v="1"/>
    <x v="1"/>
    <x v="4"/>
    <x v="7"/>
    <x v="60"/>
    <x v="1"/>
    <x v="6"/>
    <n v="0"/>
  </r>
  <r>
    <x v="1"/>
    <x v="1"/>
    <x v="3"/>
    <x v="5"/>
    <x v="65"/>
    <x v="1"/>
    <x v="0"/>
    <n v="0"/>
  </r>
  <r>
    <x v="1"/>
    <x v="1"/>
    <x v="3"/>
    <x v="5"/>
    <x v="65"/>
    <x v="1"/>
    <x v="1"/>
    <n v="0"/>
  </r>
  <r>
    <x v="1"/>
    <x v="1"/>
    <x v="3"/>
    <x v="5"/>
    <x v="65"/>
    <x v="1"/>
    <x v="2"/>
    <n v="0"/>
  </r>
  <r>
    <x v="1"/>
    <x v="1"/>
    <x v="3"/>
    <x v="5"/>
    <x v="65"/>
    <x v="1"/>
    <x v="3"/>
    <n v="0"/>
  </r>
  <r>
    <x v="1"/>
    <x v="1"/>
    <x v="3"/>
    <x v="5"/>
    <x v="65"/>
    <x v="1"/>
    <x v="4"/>
    <n v="0"/>
  </r>
  <r>
    <x v="1"/>
    <x v="1"/>
    <x v="3"/>
    <x v="5"/>
    <x v="65"/>
    <x v="1"/>
    <x v="5"/>
    <n v="0"/>
  </r>
  <r>
    <x v="1"/>
    <x v="1"/>
    <x v="3"/>
    <x v="5"/>
    <x v="65"/>
    <x v="1"/>
    <x v="6"/>
    <n v="0"/>
  </r>
  <r>
    <x v="1"/>
    <x v="1"/>
    <x v="3"/>
    <x v="5"/>
    <x v="66"/>
    <x v="1"/>
    <x v="0"/>
    <n v="0"/>
  </r>
  <r>
    <x v="1"/>
    <x v="1"/>
    <x v="3"/>
    <x v="5"/>
    <x v="66"/>
    <x v="1"/>
    <x v="1"/>
    <n v="0"/>
  </r>
  <r>
    <x v="1"/>
    <x v="1"/>
    <x v="3"/>
    <x v="5"/>
    <x v="66"/>
    <x v="1"/>
    <x v="2"/>
    <n v="0"/>
  </r>
  <r>
    <x v="1"/>
    <x v="1"/>
    <x v="3"/>
    <x v="5"/>
    <x v="66"/>
    <x v="1"/>
    <x v="3"/>
    <n v="0"/>
  </r>
  <r>
    <x v="1"/>
    <x v="1"/>
    <x v="3"/>
    <x v="5"/>
    <x v="66"/>
    <x v="1"/>
    <x v="4"/>
    <n v="0"/>
  </r>
  <r>
    <x v="1"/>
    <x v="1"/>
    <x v="3"/>
    <x v="5"/>
    <x v="66"/>
    <x v="1"/>
    <x v="5"/>
    <n v="0"/>
  </r>
  <r>
    <x v="1"/>
    <x v="1"/>
    <x v="3"/>
    <x v="5"/>
    <x v="66"/>
    <x v="1"/>
    <x v="6"/>
    <n v="0"/>
  </r>
  <r>
    <x v="1"/>
    <x v="1"/>
    <x v="3"/>
    <x v="5"/>
    <x v="67"/>
    <x v="1"/>
    <x v="0"/>
    <n v="0"/>
  </r>
  <r>
    <x v="1"/>
    <x v="1"/>
    <x v="3"/>
    <x v="5"/>
    <x v="67"/>
    <x v="1"/>
    <x v="1"/>
    <n v="0"/>
  </r>
  <r>
    <x v="1"/>
    <x v="1"/>
    <x v="3"/>
    <x v="5"/>
    <x v="67"/>
    <x v="1"/>
    <x v="2"/>
    <n v="0"/>
  </r>
  <r>
    <x v="1"/>
    <x v="1"/>
    <x v="3"/>
    <x v="5"/>
    <x v="67"/>
    <x v="1"/>
    <x v="3"/>
    <n v="0"/>
  </r>
  <r>
    <x v="1"/>
    <x v="1"/>
    <x v="3"/>
    <x v="5"/>
    <x v="67"/>
    <x v="1"/>
    <x v="4"/>
    <n v="0"/>
  </r>
  <r>
    <x v="1"/>
    <x v="1"/>
    <x v="3"/>
    <x v="5"/>
    <x v="67"/>
    <x v="1"/>
    <x v="5"/>
    <n v="0"/>
  </r>
  <r>
    <x v="1"/>
    <x v="1"/>
    <x v="3"/>
    <x v="5"/>
    <x v="67"/>
    <x v="1"/>
    <x v="6"/>
    <n v="0"/>
  </r>
  <r>
    <x v="1"/>
    <x v="1"/>
    <x v="3"/>
    <x v="5"/>
    <x v="68"/>
    <x v="1"/>
    <x v="0"/>
    <n v="0"/>
  </r>
  <r>
    <x v="1"/>
    <x v="1"/>
    <x v="3"/>
    <x v="5"/>
    <x v="68"/>
    <x v="1"/>
    <x v="1"/>
    <n v="0"/>
  </r>
  <r>
    <x v="1"/>
    <x v="1"/>
    <x v="3"/>
    <x v="5"/>
    <x v="68"/>
    <x v="1"/>
    <x v="2"/>
    <n v="0"/>
  </r>
  <r>
    <x v="1"/>
    <x v="1"/>
    <x v="3"/>
    <x v="5"/>
    <x v="68"/>
    <x v="1"/>
    <x v="3"/>
    <n v="0"/>
  </r>
  <r>
    <x v="1"/>
    <x v="1"/>
    <x v="3"/>
    <x v="5"/>
    <x v="68"/>
    <x v="1"/>
    <x v="4"/>
    <n v="0"/>
  </r>
  <r>
    <x v="1"/>
    <x v="1"/>
    <x v="3"/>
    <x v="5"/>
    <x v="68"/>
    <x v="1"/>
    <x v="5"/>
    <n v="0"/>
  </r>
  <r>
    <x v="1"/>
    <x v="1"/>
    <x v="3"/>
    <x v="5"/>
    <x v="68"/>
    <x v="1"/>
    <x v="6"/>
    <n v="0"/>
  </r>
  <r>
    <x v="1"/>
    <x v="1"/>
    <x v="3"/>
    <x v="5"/>
    <x v="69"/>
    <x v="1"/>
    <x v="0"/>
    <n v="0"/>
  </r>
  <r>
    <x v="1"/>
    <x v="1"/>
    <x v="3"/>
    <x v="5"/>
    <x v="69"/>
    <x v="1"/>
    <x v="1"/>
    <n v="0"/>
  </r>
  <r>
    <x v="1"/>
    <x v="1"/>
    <x v="3"/>
    <x v="5"/>
    <x v="69"/>
    <x v="1"/>
    <x v="2"/>
    <n v="0"/>
  </r>
  <r>
    <x v="1"/>
    <x v="1"/>
    <x v="3"/>
    <x v="5"/>
    <x v="69"/>
    <x v="1"/>
    <x v="3"/>
    <n v="0"/>
  </r>
  <r>
    <x v="1"/>
    <x v="1"/>
    <x v="3"/>
    <x v="5"/>
    <x v="69"/>
    <x v="1"/>
    <x v="4"/>
    <n v="0"/>
  </r>
  <r>
    <x v="1"/>
    <x v="1"/>
    <x v="3"/>
    <x v="5"/>
    <x v="69"/>
    <x v="1"/>
    <x v="5"/>
    <n v="0"/>
  </r>
  <r>
    <x v="1"/>
    <x v="1"/>
    <x v="3"/>
    <x v="5"/>
    <x v="69"/>
    <x v="1"/>
    <x v="6"/>
    <n v="0"/>
  </r>
  <r>
    <x v="1"/>
    <x v="1"/>
    <x v="3"/>
    <x v="5"/>
    <x v="70"/>
    <x v="1"/>
    <x v="0"/>
    <n v="0"/>
  </r>
  <r>
    <x v="1"/>
    <x v="1"/>
    <x v="3"/>
    <x v="5"/>
    <x v="70"/>
    <x v="1"/>
    <x v="1"/>
    <n v="0"/>
  </r>
  <r>
    <x v="1"/>
    <x v="1"/>
    <x v="3"/>
    <x v="5"/>
    <x v="70"/>
    <x v="1"/>
    <x v="2"/>
    <n v="0"/>
  </r>
  <r>
    <x v="1"/>
    <x v="1"/>
    <x v="3"/>
    <x v="5"/>
    <x v="70"/>
    <x v="1"/>
    <x v="3"/>
    <n v="0"/>
  </r>
  <r>
    <x v="1"/>
    <x v="1"/>
    <x v="3"/>
    <x v="5"/>
    <x v="70"/>
    <x v="1"/>
    <x v="4"/>
    <n v="0"/>
  </r>
  <r>
    <x v="1"/>
    <x v="1"/>
    <x v="3"/>
    <x v="5"/>
    <x v="70"/>
    <x v="1"/>
    <x v="5"/>
    <n v="0"/>
  </r>
  <r>
    <x v="1"/>
    <x v="1"/>
    <x v="3"/>
    <x v="5"/>
    <x v="70"/>
    <x v="1"/>
    <x v="6"/>
    <n v="0"/>
  </r>
  <r>
    <x v="1"/>
    <x v="1"/>
    <x v="3"/>
    <x v="5"/>
    <x v="71"/>
    <x v="1"/>
    <x v="0"/>
    <n v="0"/>
  </r>
  <r>
    <x v="1"/>
    <x v="1"/>
    <x v="3"/>
    <x v="5"/>
    <x v="71"/>
    <x v="1"/>
    <x v="1"/>
    <n v="0"/>
  </r>
  <r>
    <x v="1"/>
    <x v="1"/>
    <x v="3"/>
    <x v="5"/>
    <x v="71"/>
    <x v="1"/>
    <x v="2"/>
    <n v="0"/>
  </r>
  <r>
    <x v="1"/>
    <x v="1"/>
    <x v="3"/>
    <x v="5"/>
    <x v="71"/>
    <x v="1"/>
    <x v="3"/>
    <n v="0"/>
  </r>
  <r>
    <x v="1"/>
    <x v="1"/>
    <x v="3"/>
    <x v="5"/>
    <x v="71"/>
    <x v="1"/>
    <x v="4"/>
    <n v="0"/>
  </r>
  <r>
    <x v="1"/>
    <x v="1"/>
    <x v="3"/>
    <x v="5"/>
    <x v="71"/>
    <x v="1"/>
    <x v="5"/>
    <n v="0"/>
  </r>
  <r>
    <x v="1"/>
    <x v="1"/>
    <x v="3"/>
    <x v="5"/>
    <x v="71"/>
    <x v="1"/>
    <x v="6"/>
    <n v="0"/>
  </r>
  <r>
    <x v="1"/>
    <x v="1"/>
    <x v="3"/>
    <x v="5"/>
    <x v="72"/>
    <x v="1"/>
    <x v="0"/>
    <n v="0"/>
  </r>
  <r>
    <x v="1"/>
    <x v="1"/>
    <x v="3"/>
    <x v="5"/>
    <x v="72"/>
    <x v="1"/>
    <x v="1"/>
    <n v="0"/>
  </r>
  <r>
    <x v="1"/>
    <x v="1"/>
    <x v="3"/>
    <x v="5"/>
    <x v="72"/>
    <x v="1"/>
    <x v="2"/>
    <n v="0"/>
  </r>
  <r>
    <x v="1"/>
    <x v="1"/>
    <x v="3"/>
    <x v="5"/>
    <x v="72"/>
    <x v="1"/>
    <x v="3"/>
    <n v="0"/>
  </r>
  <r>
    <x v="1"/>
    <x v="1"/>
    <x v="3"/>
    <x v="5"/>
    <x v="72"/>
    <x v="1"/>
    <x v="4"/>
    <n v="0"/>
  </r>
  <r>
    <x v="1"/>
    <x v="1"/>
    <x v="3"/>
    <x v="5"/>
    <x v="72"/>
    <x v="1"/>
    <x v="5"/>
    <n v="0"/>
  </r>
  <r>
    <x v="1"/>
    <x v="1"/>
    <x v="3"/>
    <x v="5"/>
    <x v="72"/>
    <x v="1"/>
    <x v="6"/>
    <n v="0"/>
  </r>
  <r>
    <x v="1"/>
    <x v="1"/>
    <x v="3"/>
    <x v="5"/>
    <x v="73"/>
    <x v="1"/>
    <x v="0"/>
    <n v="0"/>
  </r>
  <r>
    <x v="1"/>
    <x v="1"/>
    <x v="3"/>
    <x v="5"/>
    <x v="73"/>
    <x v="1"/>
    <x v="1"/>
    <n v="0"/>
  </r>
  <r>
    <x v="1"/>
    <x v="1"/>
    <x v="3"/>
    <x v="5"/>
    <x v="73"/>
    <x v="1"/>
    <x v="2"/>
    <n v="0"/>
  </r>
  <r>
    <x v="1"/>
    <x v="1"/>
    <x v="3"/>
    <x v="5"/>
    <x v="73"/>
    <x v="1"/>
    <x v="3"/>
    <n v="0"/>
  </r>
  <r>
    <x v="1"/>
    <x v="1"/>
    <x v="3"/>
    <x v="5"/>
    <x v="73"/>
    <x v="1"/>
    <x v="4"/>
    <n v="0"/>
  </r>
  <r>
    <x v="1"/>
    <x v="1"/>
    <x v="3"/>
    <x v="5"/>
    <x v="73"/>
    <x v="1"/>
    <x v="5"/>
    <n v="0"/>
  </r>
  <r>
    <x v="1"/>
    <x v="1"/>
    <x v="3"/>
    <x v="5"/>
    <x v="73"/>
    <x v="1"/>
    <x v="6"/>
    <n v="0"/>
  </r>
  <r>
    <x v="1"/>
    <x v="1"/>
    <x v="5"/>
    <x v="8"/>
    <x v="74"/>
    <x v="1"/>
    <x v="0"/>
    <n v="0"/>
  </r>
  <r>
    <x v="1"/>
    <x v="1"/>
    <x v="5"/>
    <x v="8"/>
    <x v="74"/>
    <x v="1"/>
    <x v="1"/>
    <n v="0"/>
  </r>
  <r>
    <x v="1"/>
    <x v="1"/>
    <x v="5"/>
    <x v="8"/>
    <x v="74"/>
    <x v="1"/>
    <x v="2"/>
    <n v="0"/>
  </r>
  <r>
    <x v="1"/>
    <x v="1"/>
    <x v="5"/>
    <x v="8"/>
    <x v="74"/>
    <x v="1"/>
    <x v="3"/>
    <n v="0"/>
  </r>
  <r>
    <x v="1"/>
    <x v="1"/>
    <x v="5"/>
    <x v="8"/>
    <x v="74"/>
    <x v="1"/>
    <x v="4"/>
    <n v="0"/>
  </r>
  <r>
    <x v="1"/>
    <x v="1"/>
    <x v="5"/>
    <x v="8"/>
    <x v="74"/>
    <x v="1"/>
    <x v="5"/>
    <n v="0"/>
  </r>
  <r>
    <x v="1"/>
    <x v="1"/>
    <x v="5"/>
    <x v="8"/>
    <x v="74"/>
    <x v="1"/>
    <x v="6"/>
    <n v="0"/>
  </r>
  <r>
    <x v="1"/>
    <x v="1"/>
    <x v="5"/>
    <x v="8"/>
    <x v="75"/>
    <x v="1"/>
    <x v="0"/>
    <n v="0"/>
  </r>
  <r>
    <x v="1"/>
    <x v="1"/>
    <x v="5"/>
    <x v="8"/>
    <x v="75"/>
    <x v="1"/>
    <x v="1"/>
    <n v="0"/>
  </r>
  <r>
    <x v="1"/>
    <x v="1"/>
    <x v="5"/>
    <x v="8"/>
    <x v="75"/>
    <x v="1"/>
    <x v="2"/>
    <n v="0"/>
  </r>
  <r>
    <x v="1"/>
    <x v="1"/>
    <x v="5"/>
    <x v="8"/>
    <x v="75"/>
    <x v="1"/>
    <x v="3"/>
    <n v="0"/>
  </r>
  <r>
    <x v="1"/>
    <x v="1"/>
    <x v="5"/>
    <x v="8"/>
    <x v="75"/>
    <x v="1"/>
    <x v="4"/>
    <n v="0"/>
  </r>
  <r>
    <x v="1"/>
    <x v="1"/>
    <x v="5"/>
    <x v="8"/>
    <x v="75"/>
    <x v="1"/>
    <x v="5"/>
    <n v="0"/>
  </r>
  <r>
    <x v="1"/>
    <x v="1"/>
    <x v="5"/>
    <x v="8"/>
    <x v="75"/>
    <x v="1"/>
    <x v="6"/>
    <n v="0"/>
  </r>
  <r>
    <x v="1"/>
    <x v="1"/>
    <x v="5"/>
    <x v="8"/>
    <x v="76"/>
    <x v="1"/>
    <x v="0"/>
    <n v="0"/>
  </r>
  <r>
    <x v="1"/>
    <x v="1"/>
    <x v="5"/>
    <x v="8"/>
    <x v="76"/>
    <x v="1"/>
    <x v="1"/>
    <n v="0"/>
  </r>
  <r>
    <x v="1"/>
    <x v="1"/>
    <x v="5"/>
    <x v="8"/>
    <x v="76"/>
    <x v="1"/>
    <x v="2"/>
    <n v="0"/>
  </r>
  <r>
    <x v="1"/>
    <x v="1"/>
    <x v="5"/>
    <x v="8"/>
    <x v="76"/>
    <x v="1"/>
    <x v="3"/>
    <n v="0"/>
  </r>
  <r>
    <x v="1"/>
    <x v="1"/>
    <x v="5"/>
    <x v="8"/>
    <x v="76"/>
    <x v="1"/>
    <x v="4"/>
    <n v="0"/>
  </r>
  <r>
    <x v="1"/>
    <x v="1"/>
    <x v="5"/>
    <x v="8"/>
    <x v="76"/>
    <x v="1"/>
    <x v="5"/>
    <n v="0"/>
  </r>
  <r>
    <x v="1"/>
    <x v="1"/>
    <x v="5"/>
    <x v="8"/>
    <x v="76"/>
    <x v="1"/>
    <x v="6"/>
    <n v="0"/>
  </r>
  <r>
    <x v="1"/>
    <x v="1"/>
    <x v="5"/>
    <x v="8"/>
    <x v="77"/>
    <x v="1"/>
    <x v="0"/>
    <n v="0"/>
  </r>
  <r>
    <x v="1"/>
    <x v="1"/>
    <x v="5"/>
    <x v="8"/>
    <x v="77"/>
    <x v="1"/>
    <x v="1"/>
    <n v="0"/>
  </r>
  <r>
    <x v="1"/>
    <x v="1"/>
    <x v="5"/>
    <x v="8"/>
    <x v="77"/>
    <x v="1"/>
    <x v="2"/>
    <n v="0"/>
  </r>
  <r>
    <x v="1"/>
    <x v="1"/>
    <x v="5"/>
    <x v="8"/>
    <x v="77"/>
    <x v="1"/>
    <x v="3"/>
    <n v="0"/>
  </r>
  <r>
    <x v="1"/>
    <x v="1"/>
    <x v="5"/>
    <x v="8"/>
    <x v="77"/>
    <x v="1"/>
    <x v="4"/>
    <n v="0"/>
  </r>
  <r>
    <x v="1"/>
    <x v="1"/>
    <x v="5"/>
    <x v="8"/>
    <x v="77"/>
    <x v="1"/>
    <x v="5"/>
    <n v="0"/>
  </r>
  <r>
    <x v="1"/>
    <x v="1"/>
    <x v="5"/>
    <x v="8"/>
    <x v="77"/>
    <x v="1"/>
    <x v="6"/>
    <n v="0"/>
  </r>
  <r>
    <x v="1"/>
    <x v="1"/>
    <x v="5"/>
    <x v="8"/>
    <x v="78"/>
    <x v="1"/>
    <x v="0"/>
    <n v="0"/>
  </r>
  <r>
    <x v="1"/>
    <x v="1"/>
    <x v="5"/>
    <x v="8"/>
    <x v="78"/>
    <x v="1"/>
    <x v="1"/>
    <n v="0"/>
  </r>
  <r>
    <x v="1"/>
    <x v="1"/>
    <x v="5"/>
    <x v="8"/>
    <x v="78"/>
    <x v="1"/>
    <x v="2"/>
    <n v="0"/>
  </r>
  <r>
    <x v="1"/>
    <x v="1"/>
    <x v="5"/>
    <x v="8"/>
    <x v="78"/>
    <x v="1"/>
    <x v="3"/>
    <n v="0"/>
  </r>
  <r>
    <x v="1"/>
    <x v="1"/>
    <x v="5"/>
    <x v="8"/>
    <x v="78"/>
    <x v="1"/>
    <x v="4"/>
    <n v="0"/>
  </r>
  <r>
    <x v="1"/>
    <x v="1"/>
    <x v="5"/>
    <x v="8"/>
    <x v="78"/>
    <x v="1"/>
    <x v="5"/>
    <n v="0"/>
  </r>
  <r>
    <x v="1"/>
    <x v="1"/>
    <x v="5"/>
    <x v="8"/>
    <x v="78"/>
    <x v="1"/>
    <x v="6"/>
    <n v="0"/>
  </r>
  <r>
    <x v="1"/>
    <x v="1"/>
    <x v="5"/>
    <x v="8"/>
    <x v="79"/>
    <x v="1"/>
    <x v="0"/>
    <n v="0"/>
  </r>
  <r>
    <x v="1"/>
    <x v="1"/>
    <x v="5"/>
    <x v="8"/>
    <x v="79"/>
    <x v="1"/>
    <x v="1"/>
    <n v="0"/>
  </r>
  <r>
    <x v="1"/>
    <x v="1"/>
    <x v="5"/>
    <x v="8"/>
    <x v="79"/>
    <x v="1"/>
    <x v="2"/>
    <n v="0"/>
  </r>
  <r>
    <x v="1"/>
    <x v="1"/>
    <x v="5"/>
    <x v="8"/>
    <x v="79"/>
    <x v="1"/>
    <x v="3"/>
    <n v="0"/>
  </r>
  <r>
    <x v="1"/>
    <x v="1"/>
    <x v="5"/>
    <x v="8"/>
    <x v="79"/>
    <x v="1"/>
    <x v="4"/>
    <n v="0"/>
  </r>
  <r>
    <x v="1"/>
    <x v="1"/>
    <x v="5"/>
    <x v="8"/>
    <x v="79"/>
    <x v="1"/>
    <x v="5"/>
    <n v="0"/>
  </r>
  <r>
    <x v="1"/>
    <x v="1"/>
    <x v="5"/>
    <x v="8"/>
    <x v="79"/>
    <x v="1"/>
    <x v="6"/>
    <n v="0"/>
  </r>
  <r>
    <x v="1"/>
    <x v="1"/>
    <x v="5"/>
    <x v="8"/>
    <x v="80"/>
    <x v="1"/>
    <x v="0"/>
    <n v="0"/>
  </r>
  <r>
    <x v="1"/>
    <x v="1"/>
    <x v="5"/>
    <x v="8"/>
    <x v="80"/>
    <x v="1"/>
    <x v="1"/>
    <n v="0"/>
  </r>
  <r>
    <x v="1"/>
    <x v="1"/>
    <x v="5"/>
    <x v="8"/>
    <x v="80"/>
    <x v="1"/>
    <x v="2"/>
    <n v="0"/>
  </r>
  <r>
    <x v="1"/>
    <x v="1"/>
    <x v="5"/>
    <x v="8"/>
    <x v="80"/>
    <x v="1"/>
    <x v="3"/>
    <n v="0"/>
  </r>
  <r>
    <x v="1"/>
    <x v="1"/>
    <x v="5"/>
    <x v="8"/>
    <x v="80"/>
    <x v="1"/>
    <x v="4"/>
    <n v="0"/>
  </r>
  <r>
    <x v="1"/>
    <x v="1"/>
    <x v="5"/>
    <x v="8"/>
    <x v="80"/>
    <x v="1"/>
    <x v="5"/>
    <n v="0"/>
  </r>
  <r>
    <x v="1"/>
    <x v="1"/>
    <x v="5"/>
    <x v="8"/>
    <x v="80"/>
    <x v="1"/>
    <x v="6"/>
    <n v="0"/>
  </r>
  <r>
    <x v="1"/>
    <x v="1"/>
    <x v="5"/>
    <x v="8"/>
    <x v="81"/>
    <x v="1"/>
    <x v="0"/>
    <n v="0"/>
  </r>
  <r>
    <x v="1"/>
    <x v="1"/>
    <x v="5"/>
    <x v="8"/>
    <x v="81"/>
    <x v="1"/>
    <x v="1"/>
    <n v="0"/>
  </r>
  <r>
    <x v="1"/>
    <x v="1"/>
    <x v="5"/>
    <x v="8"/>
    <x v="81"/>
    <x v="1"/>
    <x v="2"/>
    <n v="0"/>
  </r>
  <r>
    <x v="1"/>
    <x v="1"/>
    <x v="5"/>
    <x v="8"/>
    <x v="81"/>
    <x v="1"/>
    <x v="3"/>
    <n v="0"/>
  </r>
  <r>
    <x v="1"/>
    <x v="1"/>
    <x v="5"/>
    <x v="8"/>
    <x v="81"/>
    <x v="1"/>
    <x v="4"/>
    <n v="0"/>
  </r>
  <r>
    <x v="1"/>
    <x v="1"/>
    <x v="5"/>
    <x v="8"/>
    <x v="81"/>
    <x v="1"/>
    <x v="5"/>
    <n v="0"/>
  </r>
  <r>
    <x v="1"/>
    <x v="1"/>
    <x v="5"/>
    <x v="8"/>
    <x v="81"/>
    <x v="1"/>
    <x v="6"/>
    <n v="0"/>
  </r>
  <r>
    <x v="1"/>
    <x v="1"/>
    <x v="5"/>
    <x v="8"/>
    <x v="82"/>
    <x v="1"/>
    <x v="0"/>
    <n v="0"/>
  </r>
  <r>
    <x v="1"/>
    <x v="1"/>
    <x v="5"/>
    <x v="8"/>
    <x v="82"/>
    <x v="1"/>
    <x v="1"/>
    <n v="0"/>
  </r>
  <r>
    <x v="1"/>
    <x v="1"/>
    <x v="5"/>
    <x v="8"/>
    <x v="82"/>
    <x v="1"/>
    <x v="2"/>
    <n v="0"/>
  </r>
  <r>
    <x v="1"/>
    <x v="1"/>
    <x v="5"/>
    <x v="8"/>
    <x v="82"/>
    <x v="1"/>
    <x v="3"/>
    <n v="0"/>
  </r>
  <r>
    <x v="1"/>
    <x v="1"/>
    <x v="5"/>
    <x v="8"/>
    <x v="82"/>
    <x v="1"/>
    <x v="4"/>
    <n v="0"/>
  </r>
  <r>
    <x v="1"/>
    <x v="1"/>
    <x v="5"/>
    <x v="8"/>
    <x v="82"/>
    <x v="1"/>
    <x v="5"/>
    <n v="0"/>
  </r>
  <r>
    <x v="1"/>
    <x v="1"/>
    <x v="5"/>
    <x v="8"/>
    <x v="82"/>
    <x v="1"/>
    <x v="6"/>
    <n v="0"/>
  </r>
  <r>
    <x v="1"/>
    <x v="1"/>
    <x v="5"/>
    <x v="8"/>
    <x v="83"/>
    <x v="1"/>
    <x v="0"/>
    <n v="0"/>
  </r>
  <r>
    <x v="1"/>
    <x v="1"/>
    <x v="5"/>
    <x v="8"/>
    <x v="83"/>
    <x v="1"/>
    <x v="1"/>
    <n v="0"/>
  </r>
  <r>
    <x v="1"/>
    <x v="1"/>
    <x v="5"/>
    <x v="8"/>
    <x v="83"/>
    <x v="1"/>
    <x v="2"/>
    <n v="0"/>
  </r>
  <r>
    <x v="1"/>
    <x v="1"/>
    <x v="5"/>
    <x v="8"/>
    <x v="83"/>
    <x v="1"/>
    <x v="3"/>
    <n v="0"/>
  </r>
  <r>
    <x v="1"/>
    <x v="1"/>
    <x v="5"/>
    <x v="8"/>
    <x v="83"/>
    <x v="1"/>
    <x v="4"/>
    <n v="0"/>
  </r>
  <r>
    <x v="1"/>
    <x v="1"/>
    <x v="5"/>
    <x v="8"/>
    <x v="83"/>
    <x v="1"/>
    <x v="5"/>
    <n v="0"/>
  </r>
  <r>
    <x v="1"/>
    <x v="1"/>
    <x v="5"/>
    <x v="8"/>
    <x v="83"/>
    <x v="1"/>
    <x v="6"/>
    <n v="0"/>
  </r>
  <r>
    <x v="1"/>
    <x v="2"/>
    <x v="0"/>
    <x v="0"/>
    <x v="0"/>
    <x v="1"/>
    <x v="0"/>
    <n v="0"/>
  </r>
  <r>
    <x v="1"/>
    <x v="2"/>
    <x v="0"/>
    <x v="0"/>
    <x v="0"/>
    <x v="1"/>
    <x v="1"/>
    <n v="0"/>
  </r>
  <r>
    <x v="1"/>
    <x v="2"/>
    <x v="0"/>
    <x v="0"/>
    <x v="0"/>
    <x v="1"/>
    <x v="2"/>
    <n v="0"/>
  </r>
  <r>
    <x v="1"/>
    <x v="2"/>
    <x v="0"/>
    <x v="0"/>
    <x v="0"/>
    <x v="1"/>
    <x v="3"/>
    <n v="0"/>
  </r>
  <r>
    <x v="1"/>
    <x v="2"/>
    <x v="0"/>
    <x v="0"/>
    <x v="0"/>
    <x v="1"/>
    <x v="4"/>
    <n v="0"/>
  </r>
  <r>
    <x v="1"/>
    <x v="2"/>
    <x v="0"/>
    <x v="0"/>
    <x v="0"/>
    <x v="1"/>
    <x v="5"/>
    <n v="0"/>
  </r>
  <r>
    <x v="1"/>
    <x v="2"/>
    <x v="0"/>
    <x v="0"/>
    <x v="0"/>
    <x v="1"/>
    <x v="6"/>
    <n v="0"/>
  </r>
  <r>
    <x v="1"/>
    <x v="2"/>
    <x v="0"/>
    <x v="1"/>
    <x v="1"/>
    <x v="1"/>
    <x v="0"/>
    <n v="126.47786377497773"/>
  </r>
  <r>
    <x v="1"/>
    <x v="2"/>
    <x v="0"/>
    <x v="1"/>
    <x v="1"/>
    <x v="1"/>
    <x v="1"/>
    <n v="423.23872413336392"/>
  </r>
  <r>
    <x v="1"/>
    <x v="2"/>
    <x v="0"/>
    <x v="1"/>
    <x v="1"/>
    <x v="1"/>
    <x v="2"/>
    <n v="764.76230902469501"/>
  </r>
  <r>
    <x v="1"/>
    <x v="2"/>
    <x v="0"/>
    <x v="1"/>
    <x v="1"/>
    <x v="1"/>
    <x v="3"/>
    <n v="1763.1601894147921"/>
  </r>
  <r>
    <x v="1"/>
    <x v="2"/>
    <x v="0"/>
    <x v="1"/>
    <x v="1"/>
    <x v="1"/>
    <x v="4"/>
    <n v="3099.4839240547053"/>
  </r>
  <r>
    <x v="1"/>
    <x v="2"/>
    <x v="0"/>
    <x v="1"/>
    <x v="1"/>
    <x v="1"/>
    <x v="5"/>
    <n v="4835.1949215253344"/>
  </r>
  <r>
    <x v="1"/>
    <x v="2"/>
    <x v="0"/>
    <x v="1"/>
    <x v="1"/>
    <x v="1"/>
    <x v="6"/>
    <n v="6369.5634432893739"/>
  </r>
  <r>
    <x v="1"/>
    <x v="2"/>
    <x v="0"/>
    <x v="1"/>
    <x v="2"/>
    <x v="1"/>
    <x v="0"/>
    <n v="35.754432660064936"/>
  </r>
  <r>
    <x v="1"/>
    <x v="2"/>
    <x v="0"/>
    <x v="1"/>
    <x v="2"/>
    <x v="1"/>
    <x v="1"/>
    <n v="73.002366179946634"/>
  </r>
  <r>
    <x v="1"/>
    <x v="2"/>
    <x v="0"/>
    <x v="1"/>
    <x v="2"/>
    <x v="1"/>
    <x v="2"/>
    <n v="329.47415020619962"/>
  </r>
  <r>
    <x v="1"/>
    <x v="2"/>
    <x v="0"/>
    <x v="1"/>
    <x v="2"/>
    <x v="1"/>
    <x v="3"/>
    <n v="406.25814246364911"/>
  </r>
  <r>
    <x v="1"/>
    <x v="2"/>
    <x v="0"/>
    <x v="1"/>
    <x v="2"/>
    <x v="1"/>
    <x v="4"/>
    <n v="477.05739046640633"/>
  </r>
  <r>
    <x v="1"/>
    <x v="2"/>
    <x v="0"/>
    <x v="1"/>
    <x v="2"/>
    <x v="1"/>
    <x v="5"/>
    <n v="593.49821913603739"/>
  </r>
  <r>
    <x v="1"/>
    <x v="2"/>
    <x v="0"/>
    <x v="1"/>
    <x v="2"/>
    <x v="1"/>
    <x v="6"/>
    <n v="647.07009637807357"/>
  </r>
  <r>
    <x v="1"/>
    <x v="2"/>
    <x v="0"/>
    <x v="1"/>
    <x v="3"/>
    <x v="1"/>
    <x v="0"/>
    <n v="0"/>
  </r>
  <r>
    <x v="1"/>
    <x v="2"/>
    <x v="0"/>
    <x v="1"/>
    <x v="3"/>
    <x v="1"/>
    <x v="1"/>
    <n v="0"/>
  </r>
  <r>
    <x v="1"/>
    <x v="2"/>
    <x v="0"/>
    <x v="1"/>
    <x v="3"/>
    <x v="1"/>
    <x v="2"/>
    <n v="0"/>
  </r>
  <r>
    <x v="1"/>
    <x v="2"/>
    <x v="0"/>
    <x v="1"/>
    <x v="3"/>
    <x v="1"/>
    <x v="3"/>
    <n v="0"/>
  </r>
  <r>
    <x v="1"/>
    <x v="2"/>
    <x v="0"/>
    <x v="1"/>
    <x v="3"/>
    <x v="1"/>
    <x v="4"/>
    <n v="0"/>
  </r>
  <r>
    <x v="1"/>
    <x v="2"/>
    <x v="0"/>
    <x v="1"/>
    <x v="3"/>
    <x v="1"/>
    <x v="5"/>
    <n v="0"/>
  </r>
  <r>
    <x v="1"/>
    <x v="2"/>
    <x v="0"/>
    <x v="1"/>
    <x v="3"/>
    <x v="1"/>
    <x v="6"/>
    <n v="0"/>
  </r>
  <r>
    <x v="1"/>
    <x v="2"/>
    <x v="0"/>
    <x v="1"/>
    <x v="4"/>
    <x v="1"/>
    <x v="0"/>
    <n v="0"/>
  </r>
  <r>
    <x v="1"/>
    <x v="2"/>
    <x v="0"/>
    <x v="1"/>
    <x v="4"/>
    <x v="1"/>
    <x v="1"/>
    <n v="0"/>
  </r>
  <r>
    <x v="1"/>
    <x v="2"/>
    <x v="0"/>
    <x v="1"/>
    <x v="4"/>
    <x v="1"/>
    <x v="2"/>
    <n v="0"/>
  </r>
  <r>
    <x v="1"/>
    <x v="2"/>
    <x v="0"/>
    <x v="1"/>
    <x v="4"/>
    <x v="1"/>
    <x v="3"/>
    <n v="0"/>
  </r>
  <r>
    <x v="1"/>
    <x v="2"/>
    <x v="0"/>
    <x v="1"/>
    <x v="4"/>
    <x v="1"/>
    <x v="4"/>
    <n v="0"/>
  </r>
  <r>
    <x v="1"/>
    <x v="2"/>
    <x v="0"/>
    <x v="1"/>
    <x v="4"/>
    <x v="1"/>
    <x v="5"/>
    <n v="0"/>
  </r>
  <r>
    <x v="1"/>
    <x v="2"/>
    <x v="0"/>
    <x v="1"/>
    <x v="4"/>
    <x v="1"/>
    <x v="6"/>
    <n v="0"/>
  </r>
  <r>
    <x v="1"/>
    <x v="2"/>
    <x v="0"/>
    <x v="1"/>
    <x v="5"/>
    <x v="1"/>
    <x v="0"/>
    <n v="2.0781655904716372"/>
  </r>
  <r>
    <x v="1"/>
    <x v="2"/>
    <x v="0"/>
    <x v="1"/>
    <x v="5"/>
    <x v="1"/>
    <x v="1"/>
    <n v="4.3968537850169618"/>
  </r>
  <r>
    <x v="1"/>
    <x v="2"/>
    <x v="0"/>
    <x v="1"/>
    <x v="5"/>
    <x v="1"/>
    <x v="2"/>
    <n v="5.2332452888592984"/>
  </r>
  <r>
    <x v="1"/>
    <x v="2"/>
    <x v="0"/>
    <x v="1"/>
    <x v="5"/>
    <x v="1"/>
    <x v="3"/>
    <n v="7.9509286873037279"/>
  </r>
  <r>
    <x v="1"/>
    <x v="2"/>
    <x v="0"/>
    <x v="1"/>
    <x v="5"/>
    <x v="1"/>
    <x v="4"/>
    <n v="10.528779595858316"/>
  </r>
  <r>
    <x v="1"/>
    <x v="2"/>
    <x v="0"/>
    <x v="1"/>
    <x v="5"/>
    <x v="1"/>
    <x v="5"/>
    <n v="14.067866356247098"/>
  </r>
  <r>
    <x v="1"/>
    <x v="2"/>
    <x v="0"/>
    <x v="1"/>
    <x v="5"/>
    <x v="1"/>
    <x v="6"/>
    <n v="14.669276975001129"/>
  </r>
  <r>
    <x v="1"/>
    <x v="2"/>
    <x v="0"/>
    <x v="1"/>
    <x v="6"/>
    <x v="1"/>
    <x v="0"/>
    <n v="0"/>
  </r>
  <r>
    <x v="1"/>
    <x v="2"/>
    <x v="0"/>
    <x v="1"/>
    <x v="6"/>
    <x v="1"/>
    <x v="1"/>
    <n v="0"/>
  </r>
  <r>
    <x v="1"/>
    <x v="2"/>
    <x v="0"/>
    <x v="1"/>
    <x v="6"/>
    <x v="1"/>
    <x v="2"/>
    <n v="0"/>
  </r>
  <r>
    <x v="1"/>
    <x v="2"/>
    <x v="0"/>
    <x v="1"/>
    <x v="6"/>
    <x v="1"/>
    <x v="3"/>
    <n v="0"/>
  </r>
  <r>
    <x v="1"/>
    <x v="2"/>
    <x v="0"/>
    <x v="1"/>
    <x v="6"/>
    <x v="1"/>
    <x v="4"/>
    <n v="0"/>
  </r>
  <r>
    <x v="1"/>
    <x v="2"/>
    <x v="0"/>
    <x v="1"/>
    <x v="6"/>
    <x v="1"/>
    <x v="5"/>
    <n v="0"/>
  </r>
  <r>
    <x v="1"/>
    <x v="2"/>
    <x v="0"/>
    <x v="1"/>
    <x v="6"/>
    <x v="1"/>
    <x v="6"/>
    <n v="0"/>
  </r>
  <r>
    <x v="1"/>
    <x v="2"/>
    <x v="0"/>
    <x v="1"/>
    <x v="7"/>
    <x v="1"/>
    <x v="0"/>
    <n v="36.447324213483924"/>
  </r>
  <r>
    <x v="1"/>
    <x v="2"/>
    <x v="0"/>
    <x v="1"/>
    <x v="7"/>
    <x v="1"/>
    <x v="1"/>
    <n v="78.036279279092042"/>
  </r>
  <r>
    <x v="1"/>
    <x v="2"/>
    <x v="0"/>
    <x v="1"/>
    <x v="7"/>
    <x v="1"/>
    <x v="2"/>
    <n v="139.7094318333767"/>
  </r>
  <r>
    <x v="1"/>
    <x v="2"/>
    <x v="0"/>
    <x v="1"/>
    <x v="7"/>
    <x v="1"/>
    <x v="3"/>
    <n v="151.42055176126502"/>
  </r>
  <r>
    <x v="1"/>
    <x v="2"/>
    <x v="0"/>
    <x v="1"/>
    <x v="7"/>
    <x v="1"/>
    <x v="4"/>
    <n v="113.62244311314655"/>
  </r>
  <r>
    <x v="1"/>
    <x v="2"/>
    <x v="0"/>
    <x v="1"/>
    <x v="7"/>
    <x v="1"/>
    <x v="5"/>
    <n v="143.94906327282186"/>
  </r>
  <r>
    <x v="1"/>
    <x v="2"/>
    <x v="0"/>
    <x v="1"/>
    <x v="7"/>
    <x v="1"/>
    <x v="6"/>
    <n v="131.32576926495028"/>
  </r>
  <r>
    <x v="1"/>
    <x v="2"/>
    <x v="0"/>
    <x v="1"/>
    <x v="8"/>
    <x v="1"/>
    <x v="0"/>
    <n v="0"/>
  </r>
  <r>
    <x v="1"/>
    <x v="2"/>
    <x v="0"/>
    <x v="1"/>
    <x v="8"/>
    <x v="1"/>
    <x v="1"/>
    <n v="0"/>
  </r>
  <r>
    <x v="1"/>
    <x v="2"/>
    <x v="0"/>
    <x v="1"/>
    <x v="8"/>
    <x v="1"/>
    <x v="2"/>
    <n v="0"/>
  </r>
  <r>
    <x v="1"/>
    <x v="2"/>
    <x v="0"/>
    <x v="1"/>
    <x v="8"/>
    <x v="1"/>
    <x v="3"/>
    <n v="0"/>
  </r>
  <r>
    <x v="1"/>
    <x v="2"/>
    <x v="0"/>
    <x v="1"/>
    <x v="8"/>
    <x v="1"/>
    <x v="4"/>
    <n v="0"/>
  </r>
  <r>
    <x v="1"/>
    <x v="2"/>
    <x v="0"/>
    <x v="1"/>
    <x v="8"/>
    <x v="1"/>
    <x v="5"/>
    <n v="0"/>
  </r>
  <r>
    <x v="1"/>
    <x v="2"/>
    <x v="0"/>
    <x v="1"/>
    <x v="8"/>
    <x v="1"/>
    <x v="6"/>
    <n v="0"/>
  </r>
  <r>
    <x v="1"/>
    <x v="2"/>
    <x v="0"/>
    <x v="1"/>
    <x v="9"/>
    <x v="1"/>
    <x v="0"/>
    <n v="8.3376585865471018"/>
  </r>
  <r>
    <x v="1"/>
    <x v="2"/>
    <x v="0"/>
    <x v="1"/>
    <x v="9"/>
    <x v="1"/>
    <x v="1"/>
    <n v="15.888382136459866"/>
  </r>
  <r>
    <x v="1"/>
    <x v="2"/>
    <x v="0"/>
    <x v="1"/>
    <x v="9"/>
    <x v="1"/>
    <x v="2"/>
    <n v="26.358406026718967"/>
  </r>
  <r>
    <x v="1"/>
    <x v="2"/>
    <x v="0"/>
    <x v="1"/>
    <x v="9"/>
    <x v="1"/>
    <x v="3"/>
    <n v="40.032358355771898"/>
  </r>
  <r>
    <x v="1"/>
    <x v="2"/>
    <x v="0"/>
    <x v="1"/>
    <x v="9"/>
    <x v="1"/>
    <x v="4"/>
    <n v="52.024250567642042"/>
  </r>
  <r>
    <x v="1"/>
    <x v="2"/>
    <x v="0"/>
    <x v="1"/>
    <x v="9"/>
    <x v="1"/>
    <x v="5"/>
    <n v="77.236880735303771"/>
  </r>
  <r>
    <x v="1"/>
    <x v="2"/>
    <x v="0"/>
    <x v="1"/>
    <x v="9"/>
    <x v="1"/>
    <x v="6"/>
    <n v="86.47148023553099"/>
  </r>
  <r>
    <x v="1"/>
    <x v="2"/>
    <x v="0"/>
    <x v="1"/>
    <x v="10"/>
    <x v="1"/>
    <x v="0"/>
    <n v="87.229326200857585"/>
  </r>
  <r>
    <x v="1"/>
    <x v="2"/>
    <x v="0"/>
    <x v="1"/>
    <x v="10"/>
    <x v="1"/>
    <x v="1"/>
    <n v="178.22869521835753"/>
  </r>
  <r>
    <x v="1"/>
    <x v="2"/>
    <x v="0"/>
    <x v="1"/>
    <x v="10"/>
    <x v="1"/>
    <x v="2"/>
    <n v="316.17943885122571"/>
  </r>
  <r>
    <x v="1"/>
    <x v="2"/>
    <x v="0"/>
    <x v="1"/>
    <x v="10"/>
    <x v="1"/>
    <x v="3"/>
    <n v="497.05568393737201"/>
  </r>
  <r>
    <x v="1"/>
    <x v="2"/>
    <x v="0"/>
    <x v="1"/>
    <x v="10"/>
    <x v="1"/>
    <x v="4"/>
    <n v="619.14297777393767"/>
  </r>
  <r>
    <x v="1"/>
    <x v="2"/>
    <x v="0"/>
    <x v="1"/>
    <x v="10"/>
    <x v="1"/>
    <x v="5"/>
    <n v="1153.8119359025175"/>
  </r>
  <r>
    <x v="1"/>
    <x v="2"/>
    <x v="0"/>
    <x v="1"/>
    <x v="10"/>
    <x v="1"/>
    <x v="6"/>
    <n v="1527.3475306583609"/>
  </r>
  <r>
    <x v="1"/>
    <x v="2"/>
    <x v="0"/>
    <x v="0"/>
    <x v="11"/>
    <x v="1"/>
    <x v="0"/>
    <n v="0"/>
  </r>
  <r>
    <x v="1"/>
    <x v="2"/>
    <x v="0"/>
    <x v="0"/>
    <x v="11"/>
    <x v="1"/>
    <x v="1"/>
    <n v="0"/>
  </r>
  <r>
    <x v="1"/>
    <x v="2"/>
    <x v="0"/>
    <x v="0"/>
    <x v="11"/>
    <x v="1"/>
    <x v="2"/>
    <n v="0"/>
  </r>
  <r>
    <x v="1"/>
    <x v="2"/>
    <x v="0"/>
    <x v="0"/>
    <x v="11"/>
    <x v="1"/>
    <x v="3"/>
    <n v="0"/>
  </r>
  <r>
    <x v="1"/>
    <x v="2"/>
    <x v="0"/>
    <x v="0"/>
    <x v="11"/>
    <x v="1"/>
    <x v="4"/>
    <n v="0"/>
  </r>
  <r>
    <x v="1"/>
    <x v="2"/>
    <x v="0"/>
    <x v="0"/>
    <x v="11"/>
    <x v="1"/>
    <x v="5"/>
    <n v="0"/>
  </r>
  <r>
    <x v="1"/>
    <x v="2"/>
    <x v="0"/>
    <x v="0"/>
    <x v="11"/>
    <x v="1"/>
    <x v="6"/>
    <n v="0"/>
  </r>
  <r>
    <x v="1"/>
    <x v="2"/>
    <x v="0"/>
    <x v="0"/>
    <x v="12"/>
    <x v="1"/>
    <x v="0"/>
    <n v="0"/>
  </r>
  <r>
    <x v="1"/>
    <x v="2"/>
    <x v="0"/>
    <x v="0"/>
    <x v="12"/>
    <x v="1"/>
    <x v="1"/>
    <n v="0"/>
  </r>
  <r>
    <x v="1"/>
    <x v="2"/>
    <x v="0"/>
    <x v="0"/>
    <x v="12"/>
    <x v="1"/>
    <x v="2"/>
    <n v="0"/>
  </r>
  <r>
    <x v="1"/>
    <x v="2"/>
    <x v="0"/>
    <x v="0"/>
    <x v="12"/>
    <x v="1"/>
    <x v="3"/>
    <n v="0"/>
  </r>
  <r>
    <x v="1"/>
    <x v="2"/>
    <x v="0"/>
    <x v="0"/>
    <x v="12"/>
    <x v="1"/>
    <x v="4"/>
    <n v="0"/>
  </r>
  <r>
    <x v="1"/>
    <x v="2"/>
    <x v="0"/>
    <x v="0"/>
    <x v="12"/>
    <x v="1"/>
    <x v="5"/>
    <n v="0"/>
  </r>
  <r>
    <x v="1"/>
    <x v="2"/>
    <x v="0"/>
    <x v="0"/>
    <x v="12"/>
    <x v="1"/>
    <x v="6"/>
    <n v="0"/>
  </r>
  <r>
    <x v="1"/>
    <x v="2"/>
    <x v="0"/>
    <x v="0"/>
    <x v="13"/>
    <x v="1"/>
    <x v="0"/>
    <n v="0"/>
  </r>
  <r>
    <x v="1"/>
    <x v="2"/>
    <x v="0"/>
    <x v="0"/>
    <x v="13"/>
    <x v="1"/>
    <x v="1"/>
    <n v="0"/>
  </r>
  <r>
    <x v="1"/>
    <x v="2"/>
    <x v="0"/>
    <x v="0"/>
    <x v="13"/>
    <x v="1"/>
    <x v="2"/>
    <n v="0"/>
  </r>
  <r>
    <x v="1"/>
    <x v="2"/>
    <x v="0"/>
    <x v="0"/>
    <x v="13"/>
    <x v="1"/>
    <x v="3"/>
    <n v="0"/>
  </r>
  <r>
    <x v="1"/>
    <x v="2"/>
    <x v="0"/>
    <x v="0"/>
    <x v="13"/>
    <x v="1"/>
    <x v="4"/>
    <n v="0"/>
  </r>
  <r>
    <x v="1"/>
    <x v="2"/>
    <x v="0"/>
    <x v="0"/>
    <x v="13"/>
    <x v="1"/>
    <x v="5"/>
    <n v="0"/>
  </r>
  <r>
    <x v="1"/>
    <x v="2"/>
    <x v="0"/>
    <x v="0"/>
    <x v="13"/>
    <x v="1"/>
    <x v="6"/>
    <n v="0"/>
  </r>
  <r>
    <x v="1"/>
    <x v="2"/>
    <x v="0"/>
    <x v="2"/>
    <x v="14"/>
    <x v="1"/>
    <x v="0"/>
    <n v="0"/>
  </r>
  <r>
    <x v="1"/>
    <x v="2"/>
    <x v="0"/>
    <x v="2"/>
    <x v="14"/>
    <x v="1"/>
    <x v="1"/>
    <n v="0"/>
  </r>
  <r>
    <x v="1"/>
    <x v="2"/>
    <x v="0"/>
    <x v="2"/>
    <x v="14"/>
    <x v="1"/>
    <x v="2"/>
    <n v="0"/>
  </r>
  <r>
    <x v="1"/>
    <x v="2"/>
    <x v="0"/>
    <x v="2"/>
    <x v="14"/>
    <x v="1"/>
    <x v="3"/>
    <n v="0"/>
  </r>
  <r>
    <x v="1"/>
    <x v="2"/>
    <x v="0"/>
    <x v="2"/>
    <x v="14"/>
    <x v="1"/>
    <x v="4"/>
    <n v="0"/>
  </r>
  <r>
    <x v="1"/>
    <x v="2"/>
    <x v="0"/>
    <x v="2"/>
    <x v="14"/>
    <x v="1"/>
    <x v="5"/>
    <n v="0"/>
  </r>
  <r>
    <x v="1"/>
    <x v="2"/>
    <x v="0"/>
    <x v="2"/>
    <x v="14"/>
    <x v="1"/>
    <x v="6"/>
    <n v="0"/>
  </r>
  <r>
    <x v="1"/>
    <x v="2"/>
    <x v="0"/>
    <x v="2"/>
    <x v="15"/>
    <x v="1"/>
    <x v="0"/>
    <n v="627.09031685310413"/>
  </r>
  <r>
    <x v="1"/>
    <x v="2"/>
    <x v="0"/>
    <x v="2"/>
    <x v="15"/>
    <x v="1"/>
    <x v="1"/>
    <n v="947.61952893650675"/>
  </r>
  <r>
    <x v="1"/>
    <x v="2"/>
    <x v="0"/>
    <x v="2"/>
    <x v="15"/>
    <x v="1"/>
    <x v="2"/>
    <n v="1117.051013095057"/>
  </r>
  <r>
    <x v="1"/>
    <x v="2"/>
    <x v="0"/>
    <x v="2"/>
    <x v="15"/>
    <x v="1"/>
    <x v="3"/>
    <n v="1376.3082286072467"/>
  </r>
  <r>
    <x v="1"/>
    <x v="2"/>
    <x v="0"/>
    <x v="2"/>
    <x v="15"/>
    <x v="1"/>
    <x v="4"/>
    <n v="1591.2433118322217"/>
  </r>
  <r>
    <x v="1"/>
    <x v="2"/>
    <x v="0"/>
    <x v="2"/>
    <x v="15"/>
    <x v="1"/>
    <x v="5"/>
    <n v="1863.734721429098"/>
  </r>
  <r>
    <x v="1"/>
    <x v="2"/>
    <x v="0"/>
    <x v="2"/>
    <x v="15"/>
    <x v="1"/>
    <x v="6"/>
    <n v="2104.0443500048691"/>
  </r>
  <r>
    <x v="1"/>
    <x v="2"/>
    <x v="0"/>
    <x v="2"/>
    <x v="16"/>
    <x v="1"/>
    <x v="0"/>
    <n v="6.6688966885467975"/>
  </r>
  <r>
    <x v="1"/>
    <x v="2"/>
    <x v="0"/>
    <x v="2"/>
    <x v="16"/>
    <x v="1"/>
    <x v="1"/>
    <n v="17.975386770938609"/>
  </r>
  <r>
    <x v="1"/>
    <x v="2"/>
    <x v="0"/>
    <x v="2"/>
    <x v="16"/>
    <x v="1"/>
    <x v="2"/>
    <n v="31.709262703278249"/>
  </r>
  <r>
    <x v="1"/>
    <x v="2"/>
    <x v="0"/>
    <x v="2"/>
    <x v="16"/>
    <x v="1"/>
    <x v="3"/>
    <n v="49.578088913496615"/>
  </r>
  <r>
    <x v="1"/>
    <x v="2"/>
    <x v="0"/>
    <x v="2"/>
    <x v="16"/>
    <x v="1"/>
    <x v="4"/>
    <n v="133.28204468935132"/>
  </r>
  <r>
    <x v="1"/>
    <x v="2"/>
    <x v="0"/>
    <x v="2"/>
    <x v="16"/>
    <x v="1"/>
    <x v="5"/>
    <n v="220.03780093023306"/>
  </r>
  <r>
    <x v="1"/>
    <x v="2"/>
    <x v="0"/>
    <x v="2"/>
    <x v="16"/>
    <x v="1"/>
    <x v="6"/>
    <n v="367.21598763789297"/>
  </r>
  <r>
    <x v="1"/>
    <x v="2"/>
    <x v="0"/>
    <x v="0"/>
    <x v="17"/>
    <x v="1"/>
    <x v="0"/>
    <n v="0"/>
  </r>
  <r>
    <x v="1"/>
    <x v="2"/>
    <x v="0"/>
    <x v="0"/>
    <x v="17"/>
    <x v="1"/>
    <x v="1"/>
    <n v="0"/>
  </r>
  <r>
    <x v="1"/>
    <x v="2"/>
    <x v="0"/>
    <x v="0"/>
    <x v="17"/>
    <x v="1"/>
    <x v="2"/>
    <n v="0"/>
  </r>
  <r>
    <x v="1"/>
    <x v="2"/>
    <x v="0"/>
    <x v="0"/>
    <x v="17"/>
    <x v="1"/>
    <x v="3"/>
    <n v="0"/>
  </r>
  <r>
    <x v="1"/>
    <x v="2"/>
    <x v="0"/>
    <x v="0"/>
    <x v="17"/>
    <x v="1"/>
    <x v="4"/>
    <n v="0"/>
  </r>
  <r>
    <x v="1"/>
    <x v="2"/>
    <x v="0"/>
    <x v="0"/>
    <x v="17"/>
    <x v="1"/>
    <x v="5"/>
    <n v="0"/>
  </r>
  <r>
    <x v="1"/>
    <x v="2"/>
    <x v="0"/>
    <x v="0"/>
    <x v="17"/>
    <x v="1"/>
    <x v="6"/>
    <n v="0"/>
  </r>
  <r>
    <x v="1"/>
    <x v="2"/>
    <x v="0"/>
    <x v="2"/>
    <x v="18"/>
    <x v="1"/>
    <x v="0"/>
    <n v="1157.6992073304823"/>
  </r>
  <r>
    <x v="1"/>
    <x v="2"/>
    <x v="0"/>
    <x v="2"/>
    <x v="18"/>
    <x v="1"/>
    <x v="1"/>
    <n v="1854.6902861434512"/>
  </r>
  <r>
    <x v="1"/>
    <x v="2"/>
    <x v="0"/>
    <x v="2"/>
    <x v="18"/>
    <x v="1"/>
    <x v="2"/>
    <n v="2215.604315117097"/>
  </r>
  <r>
    <x v="1"/>
    <x v="2"/>
    <x v="0"/>
    <x v="2"/>
    <x v="18"/>
    <x v="1"/>
    <x v="3"/>
    <n v="2657.159644525877"/>
  </r>
  <r>
    <x v="1"/>
    <x v="2"/>
    <x v="0"/>
    <x v="2"/>
    <x v="18"/>
    <x v="1"/>
    <x v="4"/>
    <n v="3338.2863237632341"/>
  </r>
  <r>
    <x v="1"/>
    <x v="2"/>
    <x v="0"/>
    <x v="2"/>
    <x v="18"/>
    <x v="1"/>
    <x v="5"/>
    <n v="4000.4835848072166"/>
  </r>
  <r>
    <x v="1"/>
    <x v="2"/>
    <x v="0"/>
    <x v="2"/>
    <x v="18"/>
    <x v="1"/>
    <x v="6"/>
    <n v="4501.4453359311683"/>
  </r>
  <r>
    <x v="1"/>
    <x v="2"/>
    <x v="1"/>
    <x v="3"/>
    <x v="19"/>
    <x v="1"/>
    <x v="0"/>
    <n v="0"/>
  </r>
  <r>
    <x v="1"/>
    <x v="2"/>
    <x v="1"/>
    <x v="3"/>
    <x v="19"/>
    <x v="1"/>
    <x v="1"/>
    <n v="0"/>
  </r>
  <r>
    <x v="1"/>
    <x v="2"/>
    <x v="1"/>
    <x v="3"/>
    <x v="19"/>
    <x v="1"/>
    <x v="2"/>
    <n v="0"/>
  </r>
  <r>
    <x v="1"/>
    <x v="2"/>
    <x v="1"/>
    <x v="3"/>
    <x v="19"/>
    <x v="1"/>
    <x v="3"/>
    <n v="0"/>
  </r>
  <r>
    <x v="1"/>
    <x v="2"/>
    <x v="1"/>
    <x v="3"/>
    <x v="19"/>
    <x v="1"/>
    <x v="4"/>
    <n v="0"/>
  </r>
  <r>
    <x v="1"/>
    <x v="2"/>
    <x v="1"/>
    <x v="3"/>
    <x v="19"/>
    <x v="1"/>
    <x v="5"/>
    <n v="0"/>
  </r>
  <r>
    <x v="1"/>
    <x v="2"/>
    <x v="1"/>
    <x v="3"/>
    <x v="19"/>
    <x v="1"/>
    <x v="6"/>
    <n v="0"/>
  </r>
  <r>
    <x v="1"/>
    <x v="2"/>
    <x v="1"/>
    <x v="3"/>
    <x v="20"/>
    <x v="1"/>
    <x v="0"/>
    <n v="0"/>
  </r>
  <r>
    <x v="1"/>
    <x v="2"/>
    <x v="1"/>
    <x v="3"/>
    <x v="20"/>
    <x v="1"/>
    <x v="1"/>
    <n v="0"/>
  </r>
  <r>
    <x v="1"/>
    <x v="2"/>
    <x v="1"/>
    <x v="3"/>
    <x v="20"/>
    <x v="1"/>
    <x v="2"/>
    <n v="0"/>
  </r>
  <r>
    <x v="1"/>
    <x v="2"/>
    <x v="1"/>
    <x v="3"/>
    <x v="20"/>
    <x v="1"/>
    <x v="3"/>
    <n v="0"/>
  </r>
  <r>
    <x v="1"/>
    <x v="2"/>
    <x v="1"/>
    <x v="3"/>
    <x v="20"/>
    <x v="1"/>
    <x v="4"/>
    <n v="0"/>
  </r>
  <r>
    <x v="1"/>
    <x v="2"/>
    <x v="1"/>
    <x v="3"/>
    <x v="20"/>
    <x v="1"/>
    <x v="5"/>
    <n v="0"/>
  </r>
  <r>
    <x v="1"/>
    <x v="2"/>
    <x v="1"/>
    <x v="3"/>
    <x v="20"/>
    <x v="1"/>
    <x v="6"/>
    <n v="0"/>
  </r>
  <r>
    <x v="1"/>
    <x v="2"/>
    <x v="1"/>
    <x v="3"/>
    <x v="21"/>
    <x v="1"/>
    <x v="0"/>
    <n v="0"/>
  </r>
  <r>
    <x v="1"/>
    <x v="2"/>
    <x v="1"/>
    <x v="3"/>
    <x v="21"/>
    <x v="1"/>
    <x v="1"/>
    <n v="0"/>
  </r>
  <r>
    <x v="1"/>
    <x v="2"/>
    <x v="1"/>
    <x v="3"/>
    <x v="21"/>
    <x v="1"/>
    <x v="2"/>
    <n v="0"/>
  </r>
  <r>
    <x v="1"/>
    <x v="2"/>
    <x v="1"/>
    <x v="3"/>
    <x v="21"/>
    <x v="1"/>
    <x v="3"/>
    <n v="0"/>
  </r>
  <r>
    <x v="1"/>
    <x v="2"/>
    <x v="1"/>
    <x v="3"/>
    <x v="21"/>
    <x v="1"/>
    <x v="4"/>
    <n v="0"/>
  </r>
  <r>
    <x v="1"/>
    <x v="2"/>
    <x v="1"/>
    <x v="3"/>
    <x v="21"/>
    <x v="1"/>
    <x v="5"/>
    <n v="0"/>
  </r>
  <r>
    <x v="1"/>
    <x v="2"/>
    <x v="1"/>
    <x v="3"/>
    <x v="21"/>
    <x v="1"/>
    <x v="6"/>
    <n v="0"/>
  </r>
  <r>
    <x v="1"/>
    <x v="2"/>
    <x v="1"/>
    <x v="3"/>
    <x v="22"/>
    <x v="1"/>
    <x v="0"/>
    <n v="0"/>
  </r>
  <r>
    <x v="1"/>
    <x v="2"/>
    <x v="1"/>
    <x v="3"/>
    <x v="22"/>
    <x v="1"/>
    <x v="1"/>
    <n v="0"/>
  </r>
  <r>
    <x v="1"/>
    <x v="2"/>
    <x v="1"/>
    <x v="3"/>
    <x v="22"/>
    <x v="1"/>
    <x v="2"/>
    <n v="0"/>
  </r>
  <r>
    <x v="1"/>
    <x v="2"/>
    <x v="1"/>
    <x v="3"/>
    <x v="22"/>
    <x v="1"/>
    <x v="3"/>
    <n v="0"/>
  </r>
  <r>
    <x v="1"/>
    <x v="2"/>
    <x v="1"/>
    <x v="3"/>
    <x v="22"/>
    <x v="1"/>
    <x v="4"/>
    <n v="0"/>
  </r>
  <r>
    <x v="1"/>
    <x v="2"/>
    <x v="1"/>
    <x v="3"/>
    <x v="22"/>
    <x v="1"/>
    <x v="5"/>
    <n v="0"/>
  </r>
  <r>
    <x v="1"/>
    <x v="2"/>
    <x v="1"/>
    <x v="3"/>
    <x v="22"/>
    <x v="1"/>
    <x v="6"/>
    <n v="0"/>
  </r>
  <r>
    <x v="1"/>
    <x v="2"/>
    <x v="1"/>
    <x v="3"/>
    <x v="23"/>
    <x v="1"/>
    <x v="0"/>
    <n v="0"/>
  </r>
  <r>
    <x v="1"/>
    <x v="2"/>
    <x v="1"/>
    <x v="3"/>
    <x v="23"/>
    <x v="1"/>
    <x v="1"/>
    <n v="0"/>
  </r>
  <r>
    <x v="1"/>
    <x v="2"/>
    <x v="1"/>
    <x v="3"/>
    <x v="23"/>
    <x v="1"/>
    <x v="2"/>
    <n v="0"/>
  </r>
  <r>
    <x v="1"/>
    <x v="2"/>
    <x v="1"/>
    <x v="3"/>
    <x v="23"/>
    <x v="1"/>
    <x v="3"/>
    <n v="0"/>
  </r>
  <r>
    <x v="1"/>
    <x v="2"/>
    <x v="1"/>
    <x v="3"/>
    <x v="23"/>
    <x v="1"/>
    <x v="4"/>
    <n v="0"/>
  </r>
  <r>
    <x v="1"/>
    <x v="2"/>
    <x v="1"/>
    <x v="3"/>
    <x v="23"/>
    <x v="1"/>
    <x v="5"/>
    <n v="0"/>
  </r>
  <r>
    <x v="1"/>
    <x v="2"/>
    <x v="1"/>
    <x v="3"/>
    <x v="23"/>
    <x v="1"/>
    <x v="6"/>
    <n v="0"/>
  </r>
  <r>
    <x v="1"/>
    <x v="2"/>
    <x v="1"/>
    <x v="3"/>
    <x v="24"/>
    <x v="1"/>
    <x v="0"/>
    <n v="0"/>
  </r>
  <r>
    <x v="1"/>
    <x v="2"/>
    <x v="1"/>
    <x v="3"/>
    <x v="24"/>
    <x v="1"/>
    <x v="1"/>
    <n v="0"/>
  </r>
  <r>
    <x v="1"/>
    <x v="2"/>
    <x v="1"/>
    <x v="3"/>
    <x v="24"/>
    <x v="1"/>
    <x v="2"/>
    <n v="0"/>
  </r>
  <r>
    <x v="1"/>
    <x v="2"/>
    <x v="1"/>
    <x v="3"/>
    <x v="24"/>
    <x v="1"/>
    <x v="3"/>
    <n v="0"/>
  </r>
  <r>
    <x v="1"/>
    <x v="2"/>
    <x v="1"/>
    <x v="3"/>
    <x v="24"/>
    <x v="1"/>
    <x v="4"/>
    <n v="0"/>
  </r>
  <r>
    <x v="1"/>
    <x v="2"/>
    <x v="1"/>
    <x v="3"/>
    <x v="24"/>
    <x v="1"/>
    <x v="5"/>
    <n v="0"/>
  </r>
  <r>
    <x v="1"/>
    <x v="2"/>
    <x v="1"/>
    <x v="3"/>
    <x v="24"/>
    <x v="1"/>
    <x v="6"/>
    <n v="0"/>
  </r>
  <r>
    <x v="1"/>
    <x v="2"/>
    <x v="1"/>
    <x v="3"/>
    <x v="25"/>
    <x v="1"/>
    <x v="0"/>
    <n v="0"/>
  </r>
  <r>
    <x v="1"/>
    <x v="2"/>
    <x v="1"/>
    <x v="3"/>
    <x v="25"/>
    <x v="1"/>
    <x v="1"/>
    <n v="0"/>
  </r>
  <r>
    <x v="1"/>
    <x v="2"/>
    <x v="1"/>
    <x v="3"/>
    <x v="25"/>
    <x v="1"/>
    <x v="2"/>
    <n v="0"/>
  </r>
  <r>
    <x v="1"/>
    <x v="2"/>
    <x v="1"/>
    <x v="3"/>
    <x v="25"/>
    <x v="1"/>
    <x v="3"/>
    <n v="0"/>
  </r>
  <r>
    <x v="1"/>
    <x v="2"/>
    <x v="1"/>
    <x v="3"/>
    <x v="25"/>
    <x v="1"/>
    <x v="4"/>
    <n v="0"/>
  </r>
  <r>
    <x v="1"/>
    <x v="2"/>
    <x v="1"/>
    <x v="3"/>
    <x v="25"/>
    <x v="1"/>
    <x v="5"/>
    <n v="0"/>
  </r>
  <r>
    <x v="1"/>
    <x v="2"/>
    <x v="1"/>
    <x v="3"/>
    <x v="25"/>
    <x v="1"/>
    <x v="6"/>
    <n v="0"/>
  </r>
  <r>
    <x v="1"/>
    <x v="2"/>
    <x v="2"/>
    <x v="4"/>
    <x v="26"/>
    <x v="1"/>
    <x v="0"/>
    <n v="0"/>
  </r>
  <r>
    <x v="1"/>
    <x v="2"/>
    <x v="2"/>
    <x v="4"/>
    <x v="26"/>
    <x v="1"/>
    <x v="1"/>
    <n v="0"/>
  </r>
  <r>
    <x v="1"/>
    <x v="2"/>
    <x v="2"/>
    <x v="4"/>
    <x v="26"/>
    <x v="1"/>
    <x v="2"/>
    <n v="0"/>
  </r>
  <r>
    <x v="1"/>
    <x v="2"/>
    <x v="2"/>
    <x v="4"/>
    <x v="26"/>
    <x v="1"/>
    <x v="3"/>
    <n v="0"/>
  </r>
  <r>
    <x v="1"/>
    <x v="2"/>
    <x v="2"/>
    <x v="4"/>
    <x v="26"/>
    <x v="1"/>
    <x v="4"/>
    <n v="0"/>
  </r>
  <r>
    <x v="1"/>
    <x v="2"/>
    <x v="2"/>
    <x v="4"/>
    <x v="26"/>
    <x v="1"/>
    <x v="5"/>
    <n v="0"/>
  </r>
  <r>
    <x v="1"/>
    <x v="2"/>
    <x v="2"/>
    <x v="4"/>
    <x v="26"/>
    <x v="1"/>
    <x v="6"/>
    <n v="0"/>
  </r>
  <r>
    <x v="1"/>
    <x v="2"/>
    <x v="2"/>
    <x v="4"/>
    <x v="27"/>
    <x v="1"/>
    <x v="0"/>
    <n v="0"/>
  </r>
  <r>
    <x v="1"/>
    <x v="2"/>
    <x v="2"/>
    <x v="4"/>
    <x v="27"/>
    <x v="1"/>
    <x v="1"/>
    <n v="0"/>
  </r>
  <r>
    <x v="1"/>
    <x v="2"/>
    <x v="2"/>
    <x v="4"/>
    <x v="27"/>
    <x v="1"/>
    <x v="2"/>
    <n v="0"/>
  </r>
  <r>
    <x v="1"/>
    <x v="2"/>
    <x v="2"/>
    <x v="4"/>
    <x v="27"/>
    <x v="1"/>
    <x v="3"/>
    <n v="0"/>
  </r>
  <r>
    <x v="1"/>
    <x v="2"/>
    <x v="2"/>
    <x v="4"/>
    <x v="27"/>
    <x v="1"/>
    <x v="4"/>
    <n v="0"/>
  </r>
  <r>
    <x v="1"/>
    <x v="2"/>
    <x v="2"/>
    <x v="4"/>
    <x v="27"/>
    <x v="1"/>
    <x v="5"/>
    <n v="0"/>
  </r>
  <r>
    <x v="1"/>
    <x v="2"/>
    <x v="2"/>
    <x v="4"/>
    <x v="27"/>
    <x v="1"/>
    <x v="6"/>
    <n v="0"/>
  </r>
  <r>
    <x v="1"/>
    <x v="2"/>
    <x v="2"/>
    <x v="4"/>
    <x v="28"/>
    <x v="1"/>
    <x v="0"/>
    <n v="0"/>
  </r>
  <r>
    <x v="1"/>
    <x v="2"/>
    <x v="2"/>
    <x v="4"/>
    <x v="28"/>
    <x v="1"/>
    <x v="1"/>
    <n v="0"/>
  </r>
  <r>
    <x v="1"/>
    <x v="2"/>
    <x v="2"/>
    <x v="4"/>
    <x v="28"/>
    <x v="1"/>
    <x v="2"/>
    <n v="0"/>
  </r>
  <r>
    <x v="1"/>
    <x v="2"/>
    <x v="2"/>
    <x v="4"/>
    <x v="28"/>
    <x v="1"/>
    <x v="3"/>
    <n v="0"/>
  </r>
  <r>
    <x v="1"/>
    <x v="2"/>
    <x v="2"/>
    <x v="4"/>
    <x v="28"/>
    <x v="1"/>
    <x v="4"/>
    <n v="0"/>
  </r>
  <r>
    <x v="1"/>
    <x v="2"/>
    <x v="2"/>
    <x v="4"/>
    <x v="28"/>
    <x v="1"/>
    <x v="5"/>
    <n v="0"/>
  </r>
  <r>
    <x v="1"/>
    <x v="2"/>
    <x v="2"/>
    <x v="4"/>
    <x v="28"/>
    <x v="1"/>
    <x v="6"/>
    <n v="0"/>
  </r>
  <r>
    <x v="1"/>
    <x v="2"/>
    <x v="2"/>
    <x v="4"/>
    <x v="29"/>
    <x v="1"/>
    <x v="0"/>
    <n v="0"/>
  </r>
  <r>
    <x v="1"/>
    <x v="2"/>
    <x v="2"/>
    <x v="4"/>
    <x v="29"/>
    <x v="1"/>
    <x v="1"/>
    <n v="0"/>
  </r>
  <r>
    <x v="1"/>
    <x v="2"/>
    <x v="2"/>
    <x v="4"/>
    <x v="29"/>
    <x v="1"/>
    <x v="2"/>
    <n v="0"/>
  </r>
  <r>
    <x v="1"/>
    <x v="2"/>
    <x v="2"/>
    <x v="4"/>
    <x v="29"/>
    <x v="1"/>
    <x v="3"/>
    <n v="0"/>
  </r>
  <r>
    <x v="1"/>
    <x v="2"/>
    <x v="2"/>
    <x v="4"/>
    <x v="29"/>
    <x v="1"/>
    <x v="4"/>
    <n v="0"/>
  </r>
  <r>
    <x v="1"/>
    <x v="2"/>
    <x v="2"/>
    <x v="4"/>
    <x v="29"/>
    <x v="1"/>
    <x v="5"/>
    <n v="0"/>
  </r>
  <r>
    <x v="1"/>
    <x v="2"/>
    <x v="2"/>
    <x v="4"/>
    <x v="29"/>
    <x v="1"/>
    <x v="6"/>
    <n v="0"/>
  </r>
  <r>
    <x v="1"/>
    <x v="2"/>
    <x v="3"/>
    <x v="5"/>
    <x v="30"/>
    <x v="1"/>
    <x v="0"/>
    <n v="414.72586347789593"/>
  </r>
  <r>
    <x v="1"/>
    <x v="2"/>
    <x v="3"/>
    <x v="5"/>
    <x v="30"/>
    <x v="1"/>
    <x v="1"/>
    <n v="433.88401244680176"/>
  </r>
  <r>
    <x v="1"/>
    <x v="2"/>
    <x v="3"/>
    <x v="5"/>
    <x v="30"/>
    <x v="1"/>
    <x v="2"/>
    <n v="798.23352775622755"/>
  </r>
  <r>
    <x v="1"/>
    <x v="2"/>
    <x v="3"/>
    <x v="5"/>
    <x v="30"/>
    <x v="1"/>
    <x v="3"/>
    <n v="907.59764208998502"/>
  </r>
  <r>
    <x v="1"/>
    <x v="2"/>
    <x v="3"/>
    <x v="5"/>
    <x v="30"/>
    <x v="1"/>
    <x v="4"/>
    <n v="1132.7330765414267"/>
  </r>
  <r>
    <x v="1"/>
    <x v="2"/>
    <x v="3"/>
    <x v="5"/>
    <x v="30"/>
    <x v="1"/>
    <x v="5"/>
    <n v="1737.7632899693167"/>
  </r>
  <r>
    <x v="1"/>
    <x v="2"/>
    <x v="3"/>
    <x v="5"/>
    <x v="30"/>
    <x v="1"/>
    <x v="6"/>
    <n v="1903.5799261056432"/>
  </r>
  <r>
    <x v="1"/>
    <x v="2"/>
    <x v="2"/>
    <x v="4"/>
    <x v="31"/>
    <x v="1"/>
    <x v="0"/>
    <n v="0"/>
  </r>
  <r>
    <x v="1"/>
    <x v="2"/>
    <x v="2"/>
    <x v="4"/>
    <x v="31"/>
    <x v="1"/>
    <x v="1"/>
    <n v="0"/>
  </r>
  <r>
    <x v="1"/>
    <x v="2"/>
    <x v="2"/>
    <x v="4"/>
    <x v="31"/>
    <x v="1"/>
    <x v="2"/>
    <n v="0.27500699419794811"/>
  </r>
  <r>
    <x v="1"/>
    <x v="2"/>
    <x v="2"/>
    <x v="4"/>
    <x v="31"/>
    <x v="1"/>
    <x v="3"/>
    <n v="0.66187694405678998"/>
  </r>
  <r>
    <x v="1"/>
    <x v="2"/>
    <x v="2"/>
    <x v="4"/>
    <x v="31"/>
    <x v="1"/>
    <x v="4"/>
    <n v="1.2033885324606655"/>
  </r>
  <r>
    <x v="1"/>
    <x v="2"/>
    <x v="2"/>
    <x v="4"/>
    <x v="31"/>
    <x v="1"/>
    <x v="5"/>
    <n v="1.8617520978562623"/>
  </r>
  <r>
    <x v="1"/>
    <x v="2"/>
    <x v="2"/>
    <x v="4"/>
    <x v="31"/>
    <x v="1"/>
    <x v="6"/>
    <n v="2.3876342519000606"/>
  </r>
  <r>
    <x v="1"/>
    <x v="2"/>
    <x v="2"/>
    <x v="4"/>
    <x v="32"/>
    <x v="1"/>
    <x v="0"/>
    <n v="0"/>
  </r>
  <r>
    <x v="1"/>
    <x v="2"/>
    <x v="2"/>
    <x v="4"/>
    <x v="32"/>
    <x v="1"/>
    <x v="1"/>
    <n v="0"/>
  </r>
  <r>
    <x v="1"/>
    <x v="2"/>
    <x v="2"/>
    <x v="4"/>
    <x v="32"/>
    <x v="1"/>
    <x v="2"/>
    <n v="0"/>
  </r>
  <r>
    <x v="1"/>
    <x v="2"/>
    <x v="2"/>
    <x v="4"/>
    <x v="32"/>
    <x v="1"/>
    <x v="3"/>
    <n v="0"/>
  </r>
  <r>
    <x v="1"/>
    <x v="2"/>
    <x v="2"/>
    <x v="4"/>
    <x v="32"/>
    <x v="1"/>
    <x v="4"/>
    <n v="0"/>
  </r>
  <r>
    <x v="1"/>
    <x v="2"/>
    <x v="2"/>
    <x v="4"/>
    <x v="32"/>
    <x v="1"/>
    <x v="5"/>
    <n v="0"/>
  </r>
  <r>
    <x v="1"/>
    <x v="2"/>
    <x v="2"/>
    <x v="4"/>
    <x v="32"/>
    <x v="1"/>
    <x v="6"/>
    <n v="0"/>
  </r>
  <r>
    <x v="1"/>
    <x v="2"/>
    <x v="2"/>
    <x v="4"/>
    <x v="33"/>
    <x v="1"/>
    <x v="0"/>
    <n v="0"/>
  </r>
  <r>
    <x v="1"/>
    <x v="2"/>
    <x v="2"/>
    <x v="4"/>
    <x v="33"/>
    <x v="1"/>
    <x v="1"/>
    <n v="0"/>
  </r>
  <r>
    <x v="1"/>
    <x v="2"/>
    <x v="2"/>
    <x v="4"/>
    <x v="33"/>
    <x v="1"/>
    <x v="2"/>
    <n v="0"/>
  </r>
  <r>
    <x v="1"/>
    <x v="2"/>
    <x v="2"/>
    <x v="4"/>
    <x v="33"/>
    <x v="1"/>
    <x v="3"/>
    <n v="0"/>
  </r>
  <r>
    <x v="1"/>
    <x v="2"/>
    <x v="2"/>
    <x v="4"/>
    <x v="33"/>
    <x v="1"/>
    <x v="4"/>
    <n v="0"/>
  </r>
  <r>
    <x v="1"/>
    <x v="2"/>
    <x v="2"/>
    <x v="4"/>
    <x v="33"/>
    <x v="1"/>
    <x v="5"/>
    <n v="0"/>
  </r>
  <r>
    <x v="1"/>
    <x v="2"/>
    <x v="2"/>
    <x v="4"/>
    <x v="33"/>
    <x v="1"/>
    <x v="6"/>
    <n v="0"/>
  </r>
  <r>
    <x v="1"/>
    <x v="2"/>
    <x v="2"/>
    <x v="4"/>
    <x v="34"/>
    <x v="1"/>
    <x v="0"/>
    <n v="0"/>
  </r>
  <r>
    <x v="1"/>
    <x v="2"/>
    <x v="2"/>
    <x v="4"/>
    <x v="34"/>
    <x v="1"/>
    <x v="1"/>
    <n v="0"/>
  </r>
  <r>
    <x v="1"/>
    <x v="2"/>
    <x v="2"/>
    <x v="4"/>
    <x v="34"/>
    <x v="1"/>
    <x v="2"/>
    <n v="0"/>
  </r>
  <r>
    <x v="1"/>
    <x v="2"/>
    <x v="2"/>
    <x v="4"/>
    <x v="34"/>
    <x v="1"/>
    <x v="3"/>
    <n v="0"/>
  </r>
  <r>
    <x v="1"/>
    <x v="2"/>
    <x v="2"/>
    <x v="4"/>
    <x v="34"/>
    <x v="1"/>
    <x v="4"/>
    <n v="0"/>
  </r>
  <r>
    <x v="1"/>
    <x v="2"/>
    <x v="2"/>
    <x v="4"/>
    <x v="34"/>
    <x v="1"/>
    <x v="5"/>
    <n v="0"/>
  </r>
  <r>
    <x v="1"/>
    <x v="2"/>
    <x v="2"/>
    <x v="4"/>
    <x v="34"/>
    <x v="1"/>
    <x v="6"/>
    <n v="0"/>
  </r>
  <r>
    <x v="1"/>
    <x v="2"/>
    <x v="2"/>
    <x v="6"/>
    <x v="35"/>
    <x v="1"/>
    <x v="0"/>
    <n v="0"/>
  </r>
  <r>
    <x v="1"/>
    <x v="2"/>
    <x v="2"/>
    <x v="6"/>
    <x v="35"/>
    <x v="1"/>
    <x v="1"/>
    <n v="0"/>
  </r>
  <r>
    <x v="1"/>
    <x v="2"/>
    <x v="2"/>
    <x v="6"/>
    <x v="35"/>
    <x v="1"/>
    <x v="2"/>
    <n v="0"/>
  </r>
  <r>
    <x v="1"/>
    <x v="2"/>
    <x v="2"/>
    <x v="6"/>
    <x v="35"/>
    <x v="1"/>
    <x v="3"/>
    <n v="0"/>
  </r>
  <r>
    <x v="1"/>
    <x v="2"/>
    <x v="2"/>
    <x v="6"/>
    <x v="35"/>
    <x v="1"/>
    <x v="4"/>
    <n v="0"/>
  </r>
  <r>
    <x v="1"/>
    <x v="2"/>
    <x v="2"/>
    <x v="6"/>
    <x v="35"/>
    <x v="1"/>
    <x v="5"/>
    <n v="0"/>
  </r>
  <r>
    <x v="1"/>
    <x v="2"/>
    <x v="2"/>
    <x v="6"/>
    <x v="35"/>
    <x v="1"/>
    <x v="6"/>
    <n v="0"/>
  </r>
  <r>
    <x v="1"/>
    <x v="2"/>
    <x v="2"/>
    <x v="6"/>
    <x v="36"/>
    <x v="1"/>
    <x v="0"/>
    <n v="0"/>
  </r>
  <r>
    <x v="1"/>
    <x v="2"/>
    <x v="2"/>
    <x v="6"/>
    <x v="36"/>
    <x v="1"/>
    <x v="1"/>
    <n v="0"/>
  </r>
  <r>
    <x v="1"/>
    <x v="2"/>
    <x v="2"/>
    <x v="6"/>
    <x v="36"/>
    <x v="1"/>
    <x v="2"/>
    <n v="0"/>
  </r>
  <r>
    <x v="1"/>
    <x v="2"/>
    <x v="2"/>
    <x v="6"/>
    <x v="36"/>
    <x v="1"/>
    <x v="3"/>
    <n v="0"/>
  </r>
  <r>
    <x v="1"/>
    <x v="2"/>
    <x v="2"/>
    <x v="6"/>
    <x v="36"/>
    <x v="1"/>
    <x v="4"/>
    <n v="0"/>
  </r>
  <r>
    <x v="1"/>
    <x v="2"/>
    <x v="2"/>
    <x v="6"/>
    <x v="36"/>
    <x v="1"/>
    <x v="5"/>
    <n v="0"/>
  </r>
  <r>
    <x v="1"/>
    <x v="2"/>
    <x v="2"/>
    <x v="6"/>
    <x v="36"/>
    <x v="1"/>
    <x v="6"/>
    <n v="0"/>
  </r>
  <r>
    <x v="1"/>
    <x v="2"/>
    <x v="2"/>
    <x v="6"/>
    <x v="37"/>
    <x v="1"/>
    <x v="0"/>
    <n v="0"/>
  </r>
  <r>
    <x v="1"/>
    <x v="2"/>
    <x v="2"/>
    <x v="6"/>
    <x v="37"/>
    <x v="1"/>
    <x v="1"/>
    <n v="0"/>
  </r>
  <r>
    <x v="1"/>
    <x v="2"/>
    <x v="2"/>
    <x v="6"/>
    <x v="37"/>
    <x v="1"/>
    <x v="2"/>
    <n v="0"/>
  </r>
  <r>
    <x v="1"/>
    <x v="2"/>
    <x v="2"/>
    <x v="6"/>
    <x v="37"/>
    <x v="1"/>
    <x v="3"/>
    <n v="0"/>
  </r>
  <r>
    <x v="1"/>
    <x v="2"/>
    <x v="2"/>
    <x v="6"/>
    <x v="37"/>
    <x v="1"/>
    <x v="4"/>
    <n v="0"/>
  </r>
  <r>
    <x v="1"/>
    <x v="2"/>
    <x v="2"/>
    <x v="6"/>
    <x v="37"/>
    <x v="1"/>
    <x v="5"/>
    <n v="0"/>
  </r>
  <r>
    <x v="1"/>
    <x v="2"/>
    <x v="2"/>
    <x v="6"/>
    <x v="37"/>
    <x v="1"/>
    <x v="6"/>
    <n v="0"/>
  </r>
  <r>
    <x v="1"/>
    <x v="2"/>
    <x v="2"/>
    <x v="6"/>
    <x v="38"/>
    <x v="1"/>
    <x v="0"/>
    <n v="0"/>
  </r>
  <r>
    <x v="1"/>
    <x v="2"/>
    <x v="2"/>
    <x v="6"/>
    <x v="38"/>
    <x v="1"/>
    <x v="1"/>
    <n v="0"/>
  </r>
  <r>
    <x v="1"/>
    <x v="2"/>
    <x v="2"/>
    <x v="6"/>
    <x v="38"/>
    <x v="1"/>
    <x v="2"/>
    <n v="0.56635212290967452"/>
  </r>
  <r>
    <x v="1"/>
    <x v="2"/>
    <x v="2"/>
    <x v="6"/>
    <x v="38"/>
    <x v="1"/>
    <x v="3"/>
    <n v="1.2455656093781828"/>
  </r>
  <r>
    <x v="1"/>
    <x v="2"/>
    <x v="2"/>
    <x v="6"/>
    <x v="38"/>
    <x v="1"/>
    <x v="4"/>
    <n v="2.021948914381801"/>
  </r>
  <r>
    <x v="1"/>
    <x v="2"/>
    <x v="2"/>
    <x v="6"/>
    <x v="38"/>
    <x v="1"/>
    <x v="5"/>
    <n v="4.272219645650825"/>
  </r>
  <r>
    <x v="1"/>
    <x v="2"/>
    <x v="2"/>
    <x v="6"/>
    <x v="38"/>
    <x v="1"/>
    <x v="6"/>
    <n v="7.3720211828557618"/>
  </r>
  <r>
    <x v="1"/>
    <x v="2"/>
    <x v="3"/>
    <x v="5"/>
    <x v="39"/>
    <x v="1"/>
    <x v="0"/>
    <n v="0"/>
  </r>
  <r>
    <x v="1"/>
    <x v="2"/>
    <x v="3"/>
    <x v="5"/>
    <x v="39"/>
    <x v="1"/>
    <x v="1"/>
    <n v="0"/>
  </r>
  <r>
    <x v="1"/>
    <x v="2"/>
    <x v="3"/>
    <x v="5"/>
    <x v="39"/>
    <x v="1"/>
    <x v="2"/>
    <n v="0"/>
  </r>
  <r>
    <x v="1"/>
    <x v="2"/>
    <x v="3"/>
    <x v="5"/>
    <x v="39"/>
    <x v="1"/>
    <x v="3"/>
    <n v="0"/>
  </r>
  <r>
    <x v="1"/>
    <x v="2"/>
    <x v="3"/>
    <x v="5"/>
    <x v="39"/>
    <x v="1"/>
    <x v="4"/>
    <n v="0"/>
  </r>
  <r>
    <x v="1"/>
    <x v="2"/>
    <x v="3"/>
    <x v="5"/>
    <x v="39"/>
    <x v="1"/>
    <x v="5"/>
    <n v="0"/>
  </r>
  <r>
    <x v="1"/>
    <x v="2"/>
    <x v="3"/>
    <x v="5"/>
    <x v="39"/>
    <x v="1"/>
    <x v="6"/>
    <n v="0"/>
  </r>
  <r>
    <x v="1"/>
    <x v="2"/>
    <x v="2"/>
    <x v="6"/>
    <x v="40"/>
    <x v="1"/>
    <x v="0"/>
    <n v="0"/>
  </r>
  <r>
    <x v="1"/>
    <x v="2"/>
    <x v="2"/>
    <x v="6"/>
    <x v="40"/>
    <x v="1"/>
    <x v="1"/>
    <n v="0"/>
  </r>
  <r>
    <x v="1"/>
    <x v="2"/>
    <x v="2"/>
    <x v="6"/>
    <x v="40"/>
    <x v="1"/>
    <x v="2"/>
    <n v="0"/>
  </r>
  <r>
    <x v="1"/>
    <x v="2"/>
    <x v="2"/>
    <x v="6"/>
    <x v="40"/>
    <x v="1"/>
    <x v="3"/>
    <n v="0"/>
  </r>
  <r>
    <x v="1"/>
    <x v="2"/>
    <x v="2"/>
    <x v="6"/>
    <x v="40"/>
    <x v="1"/>
    <x v="4"/>
    <n v="0"/>
  </r>
  <r>
    <x v="1"/>
    <x v="2"/>
    <x v="2"/>
    <x v="6"/>
    <x v="40"/>
    <x v="1"/>
    <x v="5"/>
    <n v="0"/>
  </r>
  <r>
    <x v="1"/>
    <x v="2"/>
    <x v="2"/>
    <x v="6"/>
    <x v="40"/>
    <x v="1"/>
    <x v="6"/>
    <n v="0"/>
  </r>
  <r>
    <x v="1"/>
    <x v="2"/>
    <x v="2"/>
    <x v="6"/>
    <x v="41"/>
    <x v="1"/>
    <x v="0"/>
    <n v="0"/>
  </r>
  <r>
    <x v="1"/>
    <x v="2"/>
    <x v="2"/>
    <x v="6"/>
    <x v="41"/>
    <x v="1"/>
    <x v="1"/>
    <n v="0"/>
  </r>
  <r>
    <x v="1"/>
    <x v="2"/>
    <x v="2"/>
    <x v="6"/>
    <x v="41"/>
    <x v="1"/>
    <x v="2"/>
    <n v="0"/>
  </r>
  <r>
    <x v="1"/>
    <x v="2"/>
    <x v="2"/>
    <x v="6"/>
    <x v="41"/>
    <x v="1"/>
    <x v="3"/>
    <n v="0"/>
  </r>
  <r>
    <x v="1"/>
    <x v="2"/>
    <x v="2"/>
    <x v="6"/>
    <x v="41"/>
    <x v="1"/>
    <x v="4"/>
    <n v="0"/>
  </r>
  <r>
    <x v="1"/>
    <x v="2"/>
    <x v="2"/>
    <x v="6"/>
    <x v="41"/>
    <x v="1"/>
    <x v="5"/>
    <n v="0"/>
  </r>
  <r>
    <x v="1"/>
    <x v="2"/>
    <x v="2"/>
    <x v="6"/>
    <x v="41"/>
    <x v="1"/>
    <x v="6"/>
    <n v="0"/>
  </r>
  <r>
    <x v="1"/>
    <x v="2"/>
    <x v="2"/>
    <x v="6"/>
    <x v="42"/>
    <x v="1"/>
    <x v="0"/>
    <n v="0"/>
  </r>
  <r>
    <x v="1"/>
    <x v="2"/>
    <x v="2"/>
    <x v="6"/>
    <x v="42"/>
    <x v="1"/>
    <x v="1"/>
    <n v="0"/>
  </r>
  <r>
    <x v="1"/>
    <x v="2"/>
    <x v="2"/>
    <x v="6"/>
    <x v="42"/>
    <x v="1"/>
    <x v="2"/>
    <n v="0"/>
  </r>
  <r>
    <x v="1"/>
    <x v="2"/>
    <x v="2"/>
    <x v="6"/>
    <x v="42"/>
    <x v="1"/>
    <x v="3"/>
    <n v="0"/>
  </r>
  <r>
    <x v="1"/>
    <x v="2"/>
    <x v="2"/>
    <x v="6"/>
    <x v="42"/>
    <x v="1"/>
    <x v="4"/>
    <n v="0"/>
  </r>
  <r>
    <x v="1"/>
    <x v="2"/>
    <x v="2"/>
    <x v="6"/>
    <x v="42"/>
    <x v="1"/>
    <x v="5"/>
    <n v="0"/>
  </r>
  <r>
    <x v="1"/>
    <x v="2"/>
    <x v="2"/>
    <x v="6"/>
    <x v="42"/>
    <x v="1"/>
    <x v="6"/>
    <n v="0"/>
  </r>
  <r>
    <x v="1"/>
    <x v="2"/>
    <x v="2"/>
    <x v="6"/>
    <x v="43"/>
    <x v="1"/>
    <x v="0"/>
    <n v="0"/>
  </r>
  <r>
    <x v="1"/>
    <x v="2"/>
    <x v="2"/>
    <x v="6"/>
    <x v="43"/>
    <x v="1"/>
    <x v="1"/>
    <n v="0"/>
  </r>
  <r>
    <x v="1"/>
    <x v="2"/>
    <x v="2"/>
    <x v="6"/>
    <x v="43"/>
    <x v="1"/>
    <x v="2"/>
    <n v="0"/>
  </r>
  <r>
    <x v="1"/>
    <x v="2"/>
    <x v="2"/>
    <x v="6"/>
    <x v="43"/>
    <x v="1"/>
    <x v="3"/>
    <n v="0"/>
  </r>
  <r>
    <x v="1"/>
    <x v="2"/>
    <x v="2"/>
    <x v="6"/>
    <x v="43"/>
    <x v="1"/>
    <x v="4"/>
    <n v="0"/>
  </r>
  <r>
    <x v="1"/>
    <x v="2"/>
    <x v="2"/>
    <x v="6"/>
    <x v="43"/>
    <x v="1"/>
    <x v="5"/>
    <n v="0"/>
  </r>
  <r>
    <x v="1"/>
    <x v="2"/>
    <x v="2"/>
    <x v="6"/>
    <x v="43"/>
    <x v="1"/>
    <x v="6"/>
    <n v="0"/>
  </r>
  <r>
    <x v="1"/>
    <x v="1"/>
    <x v="4"/>
    <x v="7"/>
    <x v="61"/>
    <x v="1"/>
    <x v="0"/>
    <n v="0"/>
  </r>
  <r>
    <x v="1"/>
    <x v="1"/>
    <x v="4"/>
    <x v="7"/>
    <x v="61"/>
    <x v="1"/>
    <x v="1"/>
    <n v="0"/>
  </r>
  <r>
    <x v="1"/>
    <x v="1"/>
    <x v="4"/>
    <x v="7"/>
    <x v="61"/>
    <x v="1"/>
    <x v="2"/>
    <n v="0"/>
  </r>
  <r>
    <x v="1"/>
    <x v="1"/>
    <x v="4"/>
    <x v="7"/>
    <x v="61"/>
    <x v="1"/>
    <x v="3"/>
    <n v="0"/>
  </r>
  <r>
    <x v="1"/>
    <x v="1"/>
    <x v="4"/>
    <x v="7"/>
    <x v="61"/>
    <x v="1"/>
    <x v="4"/>
    <n v="0"/>
  </r>
  <r>
    <x v="1"/>
    <x v="1"/>
    <x v="4"/>
    <x v="7"/>
    <x v="61"/>
    <x v="1"/>
    <x v="5"/>
    <n v="0"/>
  </r>
  <r>
    <x v="1"/>
    <x v="1"/>
    <x v="4"/>
    <x v="7"/>
    <x v="61"/>
    <x v="1"/>
    <x v="6"/>
    <n v="0"/>
  </r>
  <r>
    <x v="1"/>
    <x v="1"/>
    <x v="4"/>
    <x v="7"/>
    <x v="62"/>
    <x v="1"/>
    <x v="0"/>
    <n v="0"/>
  </r>
  <r>
    <x v="1"/>
    <x v="1"/>
    <x v="4"/>
    <x v="7"/>
    <x v="62"/>
    <x v="1"/>
    <x v="1"/>
    <n v="0"/>
  </r>
  <r>
    <x v="1"/>
    <x v="1"/>
    <x v="4"/>
    <x v="7"/>
    <x v="62"/>
    <x v="1"/>
    <x v="2"/>
    <n v="0"/>
  </r>
  <r>
    <x v="1"/>
    <x v="1"/>
    <x v="4"/>
    <x v="7"/>
    <x v="62"/>
    <x v="1"/>
    <x v="3"/>
    <n v="0"/>
  </r>
  <r>
    <x v="1"/>
    <x v="1"/>
    <x v="4"/>
    <x v="7"/>
    <x v="62"/>
    <x v="1"/>
    <x v="4"/>
    <n v="0"/>
  </r>
  <r>
    <x v="1"/>
    <x v="1"/>
    <x v="4"/>
    <x v="7"/>
    <x v="62"/>
    <x v="1"/>
    <x v="5"/>
    <n v="0"/>
  </r>
  <r>
    <x v="1"/>
    <x v="1"/>
    <x v="4"/>
    <x v="7"/>
    <x v="62"/>
    <x v="1"/>
    <x v="6"/>
    <n v="0"/>
  </r>
  <r>
    <x v="1"/>
    <x v="1"/>
    <x v="4"/>
    <x v="7"/>
    <x v="63"/>
    <x v="1"/>
    <x v="0"/>
    <n v="0"/>
  </r>
  <r>
    <x v="1"/>
    <x v="1"/>
    <x v="4"/>
    <x v="7"/>
    <x v="63"/>
    <x v="1"/>
    <x v="1"/>
    <n v="0"/>
  </r>
  <r>
    <x v="1"/>
    <x v="1"/>
    <x v="4"/>
    <x v="7"/>
    <x v="63"/>
    <x v="1"/>
    <x v="2"/>
    <n v="0"/>
  </r>
  <r>
    <x v="1"/>
    <x v="1"/>
    <x v="4"/>
    <x v="7"/>
    <x v="63"/>
    <x v="1"/>
    <x v="3"/>
    <n v="0"/>
  </r>
  <r>
    <x v="1"/>
    <x v="1"/>
    <x v="4"/>
    <x v="7"/>
    <x v="63"/>
    <x v="1"/>
    <x v="4"/>
    <n v="0"/>
  </r>
  <r>
    <x v="1"/>
    <x v="1"/>
    <x v="4"/>
    <x v="7"/>
    <x v="63"/>
    <x v="1"/>
    <x v="5"/>
    <n v="0"/>
  </r>
  <r>
    <x v="1"/>
    <x v="1"/>
    <x v="4"/>
    <x v="7"/>
    <x v="63"/>
    <x v="1"/>
    <x v="6"/>
    <n v="0"/>
  </r>
  <r>
    <x v="1"/>
    <x v="1"/>
    <x v="4"/>
    <x v="7"/>
    <x v="64"/>
    <x v="1"/>
    <x v="0"/>
    <n v="0"/>
  </r>
  <r>
    <x v="1"/>
    <x v="1"/>
    <x v="4"/>
    <x v="7"/>
    <x v="64"/>
    <x v="1"/>
    <x v="1"/>
    <n v="0"/>
  </r>
  <r>
    <x v="1"/>
    <x v="1"/>
    <x v="4"/>
    <x v="7"/>
    <x v="64"/>
    <x v="1"/>
    <x v="2"/>
    <n v="0"/>
  </r>
  <r>
    <x v="1"/>
    <x v="1"/>
    <x v="4"/>
    <x v="7"/>
    <x v="64"/>
    <x v="1"/>
    <x v="3"/>
    <n v="0"/>
  </r>
  <r>
    <x v="1"/>
    <x v="1"/>
    <x v="4"/>
    <x v="7"/>
    <x v="64"/>
    <x v="1"/>
    <x v="4"/>
    <n v="0"/>
  </r>
  <r>
    <x v="1"/>
    <x v="1"/>
    <x v="4"/>
    <x v="7"/>
    <x v="64"/>
    <x v="1"/>
    <x v="5"/>
    <n v="0"/>
  </r>
  <r>
    <x v="1"/>
    <x v="1"/>
    <x v="4"/>
    <x v="7"/>
    <x v="64"/>
    <x v="1"/>
    <x v="6"/>
    <n v="0"/>
  </r>
  <r>
    <x v="1"/>
    <x v="2"/>
    <x v="4"/>
    <x v="7"/>
    <x v="44"/>
    <x v="1"/>
    <x v="0"/>
    <n v="0"/>
  </r>
  <r>
    <x v="1"/>
    <x v="2"/>
    <x v="4"/>
    <x v="7"/>
    <x v="44"/>
    <x v="1"/>
    <x v="1"/>
    <n v="0"/>
  </r>
  <r>
    <x v="1"/>
    <x v="2"/>
    <x v="4"/>
    <x v="7"/>
    <x v="44"/>
    <x v="1"/>
    <x v="2"/>
    <n v="0"/>
  </r>
  <r>
    <x v="1"/>
    <x v="2"/>
    <x v="4"/>
    <x v="7"/>
    <x v="44"/>
    <x v="1"/>
    <x v="3"/>
    <n v="0"/>
  </r>
  <r>
    <x v="1"/>
    <x v="2"/>
    <x v="4"/>
    <x v="7"/>
    <x v="44"/>
    <x v="1"/>
    <x v="4"/>
    <n v="0"/>
  </r>
  <r>
    <x v="1"/>
    <x v="2"/>
    <x v="4"/>
    <x v="7"/>
    <x v="44"/>
    <x v="1"/>
    <x v="5"/>
    <n v="0"/>
  </r>
  <r>
    <x v="1"/>
    <x v="2"/>
    <x v="4"/>
    <x v="7"/>
    <x v="44"/>
    <x v="1"/>
    <x v="6"/>
    <n v="0"/>
  </r>
  <r>
    <x v="1"/>
    <x v="2"/>
    <x v="4"/>
    <x v="7"/>
    <x v="45"/>
    <x v="1"/>
    <x v="0"/>
    <n v="0"/>
  </r>
  <r>
    <x v="1"/>
    <x v="2"/>
    <x v="4"/>
    <x v="7"/>
    <x v="45"/>
    <x v="1"/>
    <x v="1"/>
    <n v="0"/>
  </r>
  <r>
    <x v="1"/>
    <x v="2"/>
    <x v="4"/>
    <x v="7"/>
    <x v="45"/>
    <x v="1"/>
    <x v="2"/>
    <n v="0"/>
  </r>
  <r>
    <x v="1"/>
    <x v="2"/>
    <x v="4"/>
    <x v="7"/>
    <x v="45"/>
    <x v="1"/>
    <x v="3"/>
    <n v="0"/>
  </r>
  <r>
    <x v="1"/>
    <x v="2"/>
    <x v="4"/>
    <x v="7"/>
    <x v="45"/>
    <x v="1"/>
    <x v="4"/>
    <n v="0"/>
  </r>
  <r>
    <x v="1"/>
    <x v="2"/>
    <x v="4"/>
    <x v="7"/>
    <x v="45"/>
    <x v="1"/>
    <x v="5"/>
    <n v="0"/>
  </r>
  <r>
    <x v="1"/>
    <x v="2"/>
    <x v="4"/>
    <x v="7"/>
    <x v="45"/>
    <x v="1"/>
    <x v="6"/>
    <n v="0"/>
  </r>
  <r>
    <x v="1"/>
    <x v="2"/>
    <x v="4"/>
    <x v="7"/>
    <x v="46"/>
    <x v="1"/>
    <x v="0"/>
    <n v="0"/>
  </r>
  <r>
    <x v="1"/>
    <x v="2"/>
    <x v="4"/>
    <x v="7"/>
    <x v="46"/>
    <x v="1"/>
    <x v="1"/>
    <n v="0"/>
  </r>
  <r>
    <x v="1"/>
    <x v="2"/>
    <x v="4"/>
    <x v="7"/>
    <x v="46"/>
    <x v="1"/>
    <x v="2"/>
    <n v="0"/>
  </r>
  <r>
    <x v="1"/>
    <x v="2"/>
    <x v="4"/>
    <x v="7"/>
    <x v="46"/>
    <x v="1"/>
    <x v="3"/>
    <n v="0"/>
  </r>
  <r>
    <x v="1"/>
    <x v="2"/>
    <x v="4"/>
    <x v="7"/>
    <x v="46"/>
    <x v="1"/>
    <x v="4"/>
    <n v="0"/>
  </r>
  <r>
    <x v="1"/>
    <x v="2"/>
    <x v="4"/>
    <x v="7"/>
    <x v="46"/>
    <x v="1"/>
    <x v="5"/>
    <n v="0"/>
  </r>
  <r>
    <x v="1"/>
    <x v="2"/>
    <x v="4"/>
    <x v="7"/>
    <x v="46"/>
    <x v="1"/>
    <x v="6"/>
    <n v="0"/>
  </r>
  <r>
    <x v="1"/>
    <x v="2"/>
    <x v="5"/>
    <x v="8"/>
    <x v="51"/>
    <x v="1"/>
    <x v="0"/>
    <n v="0"/>
  </r>
  <r>
    <x v="1"/>
    <x v="2"/>
    <x v="5"/>
    <x v="8"/>
    <x v="51"/>
    <x v="1"/>
    <x v="1"/>
    <n v="0"/>
  </r>
  <r>
    <x v="1"/>
    <x v="2"/>
    <x v="5"/>
    <x v="8"/>
    <x v="51"/>
    <x v="1"/>
    <x v="2"/>
    <n v="0"/>
  </r>
  <r>
    <x v="1"/>
    <x v="2"/>
    <x v="5"/>
    <x v="8"/>
    <x v="51"/>
    <x v="1"/>
    <x v="3"/>
    <n v="0"/>
  </r>
  <r>
    <x v="1"/>
    <x v="2"/>
    <x v="5"/>
    <x v="8"/>
    <x v="51"/>
    <x v="1"/>
    <x v="4"/>
    <n v="0"/>
  </r>
  <r>
    <x v="1"/>
    <x v="2"/>
    <x v="5"/>
    <x v="8"/>
    <x v="51"/>
    <x v="1"/>
    <x v="5"/>
    <n v="0"/>
  </r>
  <r>
    <x v="1"/>
    <x v="2"/>
    <x v="5"/>
    <x v="8"/>
    <x v="51"/>
    <x v="1"/>
    <x v="6"/>
    <n v="0"/>
  </r>
  <r>
    <x v="1"/>
    <x v="2"/>
    <x v="3"/>
    <x v="5"/>
    <x v="52"/>
    <x v="1"/>
    <x v="0"/>
    <n v="0"/>
  </r>
  <r>
    <x v="1"/>
    <x v="2"/>
    <x v="3"/>
    <x v="5"/>
    <x v="52"/>
    <x v="1"/>
    <x v="1"/>
    <n v="0"/>
  </r>
  <r>
    <x v="1"/>
    <x v="2"/>
    <x v="3"/>
    <x v="5"/>
    <x v="52"/>
    <x v="1"/>
    <x v="2"/>
    <n v="0"/>
  </r>
  <r>
    <x v="1"/>
    <x v="2"/>
    <x v="3"/>
    <x v="5"/>
    <x v="52"/>
    <x v="1"/>
    <x v="3"/>
    <n v="0"/>
  </r>
  <r>
    <x v="1"/>
    <x v="2"/>
    <x v="3"/>
    <x v="5"/>
    <x v="52"/>
    <x v="1"/>
    <x v="4"/>
    <n v="0"/>
  </r>
  <r>
    <x v="1"/>
    <x v="2"/>
    <x v="3"/>
    <x v="5"/>
    <x v="52"/>
    <x v="1"/>
    <x v="5"/>
    <n v="0"/>
  </r>
  <r>
    <x v="1"/>
    <x v="2"/>
    <x v="3"/>
    <x v="5"/>
    <x v="52"/>
    <x v="1"/>
    <x v="6"/>
    <n v="0"/>
  </r>
  <r>
    <x v="1"/>
    <x v="2"/>
    <x v="5"/>
    <x v="8"/>
    <x v="53"/>
    <x v="1"/>
    <x v="0"/>
    <n v="2.0082683200865641"/>
  </r>
  <r>
    <x v="1"/>
    <x v="2"/>
    <x v="5"/>
    <x v="8"/>
    <x v="53"/>
    <x v="1"/>
    <x v="1"/>
    <n v="4.8700506730627033"/>
  </r>
  <r>
    <x v="1"/>
    <x v="2"/>
    <x v="5"/>
    <x v="8"/>
    <x v="53"/>
    <x v="1"/>
    <x v="2"/>
    <n v="9.6184172005386852"/>
  </r>
  <r>
    <x v="1"/>
    <x v="2"/>
    <x v="5"/>
    <x v="8"/>
    <x v="53"/>
    <x v="1"/>
    <x v="3"/>
    <n v="15.343329253060462"/>
  </r>
  <r>
    <x v="1"/>
    <x v="2"/>
    <x v="5"/>
    <x v="8"/>
    <x v="53"/>
    <x v="1"/>
    <x v="4"/>
    <n v="21.890303051002665"/>
  </r>
  <r>
    <x v="1"/>
    <x v="2"/>
    <x v="5"/>
    <x v="8"/>
    <x v="53"/>
    <x v="1"/>
    <x v="5"/>
    <n v="33.219140912601759"/>
  </r>
  <r>
    <x v="1"/>
    <x v="2"/>
    <x v="5"/>
    <x v="8"/>
    <x v="53"/>
    <x v="1"/>
    <x v="6"/>
    <n v="47.534327157939536"/>
  </r>
  <r>
    <x v="1"/>
    <x v="2"/>
    <x v="4"/>
    <x v="7"/>
    <x v="47"/>
    <x v="1"/>
    <x v="0"/>
    <n v="0"/>
  </r>
  <r>
    <x v="1"/>
    <x v="2"/>
    <x v="4"/>
    <x v="7"/>
    <x v="47"/>
    <x v="1"/>
    <x v="1"/>
    <n v="0"/>
  </r>
  <r>
    <x v="1"/>
    <x v="2"/>
    <x v="4"/>
    <x v="7"/>
    <x v="47"/>
    <x v="1"/>
    <x v="2"/>
    <n v="0"/>
  </r>
  <r>
    <x v="1"/>
    <x v="2"/>
    <x v="4"/>
    <x v="7"/>
    <x v="47"/>
    <x v="1"/>
    <x v="3"/>
    <n v="0"/>
  </r>
  <r>
    <x v="1"/>
    <x v="2"/>
    <x v="4"/>
    <x v="7"/>
    <x v="47"/>
    <x v="1"/>
    <x v="4"/>
    <n v="0"/>
  </r>
  <r>
    <x v="1"/>
    <x v="2"/>
    <x v="4"/>
    <x v="7"/>
    <x v="47"/>
    <x v="1"/>
    <x v="5"/>
    <n v="0"/>
  </r>
  <r>
    <x v="1"/>
    <x v="2"/>
    <x v="4"/>
    <x v="7"/>
    <x v="47"/>
    <x v="1"/>
    <x v="6"/>
    <n v="0"/>
  </r>
  <r>
    <x v="1"/>
    <x v="2"/>
    <x v="4"/>
    <x v="7"/>
    <x v="48"/>
    <x v="1"/>
    <x v="0"/>
    <n v="0"/>
  </r>
  <r>
    <x v="1"/>
    <x v="2"/>
    <x v="4"/>
    <x v="7"/>
    <x v="48"/>
    <x v="1"/>
    <x v="1"/>
    <n v="0"/>
  </r>
  <r>
    <x v="1"/>
    <x v="2"/>
    <x v="4"/>
    <x v="7"/>
    <x v="48"/>
    <x v="1"/>
    <x v="2"/>
    <n v="0"/>
  </r>
  <r>
    <x v="1"/>
    <x v="2"/>
    <x v="4"/>
    <x v="7"/>
    <x v="48"/>
    <x v="1"/>
    <x v="3"/>
    <n v="0"/>
  </r>
  <r>
    <x v="1"/>
    <x v="2"/>
    <x v="4"/>
    <x v="7"/>
    <x v="48"/>
    <x v="1"/>
    <x v="4"/>
    <n v="0"/>
  </r>
  <r>
    <x v="1"/>
    <x v="2"/>
    <x v="4"/>
    <x v="7"/>
    <x v="48"/>
    <x v="1"/>
    <x v="5"/>
    <n v="0"/>
  </r>
  <r>
    <x v="1"/>
    <x v="2"/>
    <x v="4"/>
    <x v="7"/>
    <x v="48"/>
    <x v="1"/>
    <x v="6"/>
    <n v="0"/>
  </r>
  <r>
    <x v="1"/>
    <x v="2"/>
    <x v="4"/>
    <x v="7"/>
    <x v="49"/>
    <x v="1"/>
    <x v="0"/>
    <n v="0"/>
  </r>
  <r>
    <x v="1"/>
    <x v="2"/>
    <x v="4"/>
    <x v="7"/>
    <x v="49"/>
    <x v="1"/>
    <x v="1"/>
    <n v="0"/>
  </r>
  <r>
    <x v="1"/>
    <x v="2"/>
    <x v="4"/>
    <x v="7"/>
    <x v="49"/>
    <x v="1"/>
    <x v="2"/>
    <n v="0"/>
  </r>
  <r>
    <x v="1"/>
    <x v="2"/>
    <x v="4"/>
    <x v="7"/>
    <x v="49"/>
    <x v="1"/>
    <x v="3"/>
    <n v="0"/>
  </r>
  <r>
    <x v="1"/>
    <x v="2"/>
    <x v="4"/>
    <x v="7"/>
    <x v="49"/>
    <x v="1"/>
    <x v="4"/>
    <n v="0"/>
  </r>
  <r>
    <x v="1"/>
    <x v="2"/>
    <x v="4"/>
    <x v="7"/>
    <x v="49"/>
    <x v="1"/>
    <x v="5"/>
    <n v="0"/>
  </r>
  <r>
    <x v="1"/>
    <x v="2"/>
    <x v="4"/>
    <x v="7"/>
    <x v="49"/>
    <x v="1"/>
    <x v="6"/>
    <n v="0"/>
  </r>
  <r>
    <x v="1"/>
    <x v="2"/>
    <x v="4"/>
    <x v="7"/>
    <x v="50"/>
    <x v="1"/>
    <x v="0"/>
    <n v="0"/>
  </r>
  <r>
    <x v="1"/>
    <x v="2"/>
    <x v="4"/>
    <x v="7"/>
    <x v="50"/>
    <x v="1"/>
    <x v="1"/>
    <n v="0"/>
  </r>
  <r>
    <x v="1"/>
    <x v="2"/>
    <x v="4"/>
    <x v="7"/>
    <x v="50"/>
    <x v="1"/>
    <x v="2"/>
    <n v="0"/>
  </r>
  <r>
    <x v="1"/>
    <x v="2"/>
    <x v="4"/>
    <x v="7"/>
    <x v="50"/>
    <x v="1"/>
    <x v="3"/>
    <n v="0"/>
  </r>
  <r>
    <x v="1"/>
    <x v="2"/>
    <x v="4"/>
    <x v="7"/>
    <x v="50"/>
    <x v="1"/>
    <x v="4"/>
    <n v="0"/>
  </r>
  <r>
    <x v="1"/>
    <x v="2"/>
    <x v="4"/>
    <x v="7"/>
    <x v="50"/>
    <x v="1"/>
    <x v="5"/>
    <n v="0"/>
  </r>
  <r>
    <x v="1"/>
    <x v="2"/>
    <x v="4"/>
    <x v="7"/>
    <x v="50"/>
    <x v="1"/>
    <x v="6"/>
    <n v="0"/>
  </r>
  <r>
    <x v="1"/>
    <x v="2"/>
    <x v="4"/>
    <x v="7"/>
    <x v="54"/>
    <x v="1"/>
    <x v="0"/>
    <n v="0"/>
  </r>
  <r>
    <x v="1"/>
    <x v="2"/>
    <x v="4"/>
    <x v="7"/>
    <x v="54"/>
    <x v="1"/>
    <x v="1"/>
    <n v="0"/>
  </r>
  <r>
    <x v="1"/>
    <x v="2"/>
    <x v="4"/>
    <x v="7"/>
    <x v="54"/>
    <x v="1"/>
    <x v="2"/>
    <n v="0"/>
  </r>
  <r>
    <x v="1"/>
    <x v="2"/>
    <x v="4"/>
    <x v="7"/>
    <x v="54"/>
    <x v="1"/>
    <x v="3"/>
    <n v="0"/>
  </r>
  <r>
    <x v="1"/>
    <x v="2"/>
    <x v="4"/>
    <x v="7"/>
    <x v="54"/>
    <x v="1"/>
    <x v="4"/>
    <n v="0"/>
  </r>
  <r>
    <x v="1"/>
    <x v="2"/>
    <x v="4"/>
    <x v="7"/>
    <x v="54"/>
    <x v="1"/>
    <x v="5"/>
    <n v="0"/>
  </r>
  <r>
    <x v="1"/>
    <x v="2"/>
    <x v="4"/>
    <x v="7"/>
    <x v="54"/>
    <x v="1"/>
    <x v="6"/>
    <n v="0"/>
  </r>
  <r>
    <x v="1"/>
    <x v="2"/>
    <x v="4"/>
    <x v="7"/>
    <x v="55"/>
    <x v="1"/>
    <x v="0"/>
    <n v="0"/>
  </r>
  <r>
    <x v="1"/>
    <x v="2"/>
    <x v="4"/>
    <x v="7"/>
    <x v="55"/>
    <x v="1"/>
    <x v="1"/>
    <n v="0"/>
  </r>
  <r>
    <x v="1"/>
    <x v="2"/>
    <x v="4"/>
    <x v="7"/>
    <x v="55"/>
    <x v="1"/>
    <x v="2"/>
    <n v="0"/>
  </r>
  <r>
    <x v="1"/>
    <x v="2"/>
    <x v="4"/>
    <x v="7"/>
    <x v="55"/>
    <x v="1"/>
    <x v="3"/>
    <n v="0"/>
  </r>
  <r>
    <x v="1"/>
    <x v="2"/>
    <x v="4"/>
    <x v="7"/>
    <x v="55"/>
    <x v="1"/>
    <x v="4"/>
    <n v="0"/>
  </r>
  <r>
    <x v="1"/>
    <x v="2"/>
    <x v="4"/>
    <x v="7"/>
    <x v="55"/>
    <x v="1"/>
    <x v="5"/>
    <n v="0"/>
  </r>
  <r>
    <x v="1"/>
    <x v="2"/>
    <x v="4"/>
    <x v="7"/>
    <x v="55"/>
    <x v="1"/>
    <x v="6"/>
    <n v="0"/>
  </r>
  <r>
    <x v="1"/>
    <x v="2"/>
    <x v="4"/>
    <x v="7"/>
    <x v="56"/>
    <x v="1"/>
    <x v="0"/>
    <n v="0"/>
  </r>
  <r>
    <x v="1"/>
    <x v="2"/>
    <x v="4"/>
    <x v="7"/>
    <x v="56"/>
    <x v="1"/>
    <x v="1"/>
    <n v="0"/>
  </r>
  <r>
    <x v="1"/>
    <x v="2"/>
    <x v="4"/>
    <x v="7"/>
    <x v="56"/>
    <x v="1"/>
    <x v="2"/>
    <n v="0"/>
  </r>
  <r>
    <x v="1"/>
    <x v="2"/>
    <x v="4"/>
    <x v="7"/>
    <x v="56"/>
    <x v="1"/>
    <x v="3"/>
    <n v="0"/>
  </r>
  <r>
    <x v="1"/>
    <x v="2"/>
    <x v="4"/>
    <x v="7"/>
    <x v="56"/>
    <x v="1"/>
    <x v="4"/>
    <n v="0"/>
  </r>
  <r>
    <x v="1"/>
    <x v="2"/>
    <x v="4"/>
    <x v="7"/>
    <x v="56"/>
    <x v="1"/>
    <x v="5"/>
    <n v="0"/>
  </r>
  <r>
    <x v="1"/>
    <x v="2"/>
    <x v="4"/>
    <x v="7"/>
    <x v="56"/>
    <x v="1"/>
    <x v="6"/>
    <n v="0"/>
  </r>
  <r>
    <x v="1"/>
    <x v="2"/>
    <x v="4"/>
    <x v="7"/>
    <x v="57"/>
    <x v="1"/>
    <x v="0"/>
    <n v="0"/>
  </r>
  <r>
    <x v="1"/>
    <x v="2"/>
    <x v="4"/>
    <x v="7"/>
    <x v="57"/>
    <x v="1"/>
    <x v="1"/>
    <n v="0"/>
  </r>
  <r>
    <x v="1"/>
    <x v="2"/>
    <x v="4"/>
    <x v="7"/>
    <x v="57"/>
    <x v="1"/>
    <x v="2"/>
    <n v="0"/>
  </r>
  <r>
    <x v="1"/>
    <x v="2"/>
    <x v="4"/>
    <x v="7"/>
    <x v="57"/>
    <x v="1"/>
    <x v="3"/>
    <n v="0"/>
  </r>
  <r>
    <x v="1"/>
    <x v="2"/>
    <x v="4"/>
    <x v="7"/>
    <x v="57"/>
    <x v="1"/>
    <x v="4"/>
    <n v="0"/>
  </r>
  <r>
    <x v="1"/>
    <x v="2"/>
    <x v="4"/>
    <x v="7"/>
    <x v="57"/>
    <x v="1"/>
    <x v="5"/>
    <n v="0"/>
  </r>
  <r>
    <x v="1"/>
    <x v="2"/>
    <x v="4"/>
    <x v="7"/>
    <x v="57"/>
    <x v="1"/>
    <x v="6"/>
    <n v="0"/>
  </r>
  <r>
    <x v="1"/>
    <x v="2"/>
    <x v="4"/>
    <x v="7"/>
    <x v="58"/>
    <x v="1"/>
    <x v="0"/>
    <n v="0"/>
  </r>
  <r>
    <x v="1"/>
    <x v="2"/>
    <x v="4"/>
    <x v="7"/>
    <x v="58"/>
    <x v="1"/>
    <x v="1"/>
    <n v="0"/>
  </r>
  <r>
    <x v="1"/>
    <x v="2"/>
    <x v="4"/>
    <x v="7"/>
    <x v="58"/>
    <x v="1"/>
    <x v="2"/>
    <n v="0"/>
  </r>
  <r>
    <x v="1"/>
    <x v="2"/>
    <x v="4"/>
    <x v="7"/>
    <x v="58"/>
    <x v="1"/>
    <x v="3"/>
    <n v="0"/>
  </r>
  <r>
    <x v="1"/>
    <x v="2"/>
    <x v="4"/>
    <x v="7"/>
    <x v="58"/>
    <x v="1"/>
    <x v="4"/>
    <n v="0"/>
  </r>
  <r>
    <x v="1"/>
    <x v="2"/>
    <x v="4"/>
    <x v="7"/>
    <x v="58"/>
    <x v="1"/>
    <x v="5"/>
    <n v="0"/>
  </r>
  <r>
    <x v="1"/>
    <x v="2"/>
    <x v="4"/>
    <x v="7"/>
    <x v="58"/>
    <x v="1"/>
    <x v="6"/>
    <n v="0"/>
  </r>
  <r>
    <x v="1"/>
    <x v="2"/>
    <x v="4"/>
    <x v="7"/>
    <x v="59"/>
    <x v="1"/>
    <x v="0"/>
    <n v="0"/>
  </r>
  <r>
    <x v="1"/>
    <x v="2"/>
    <x v="4"/>
    <x v="7"/>
    <x v="59"/>
    <x v="1"/>
    <x v="1"/>
    <n v="0"/>
  </r>
  <r>
    <x v="1"/>
    <x v="2"/>
    <x v="4"/>
    <x v="7"/>
    <x v="59"/>
    <x v="1"/>
    <x v="2"/>
    <n v="0"/>
  </r>
  <r>
    <x v="1"/>
    <x v="2"/>
    <x v="4"/>
    <x v="7"/>
    <x v="59"/>
    <x v="1"/>
    <x v="3"/>
    <n v="0"/>
  </r>
  <r>
    <x v="1"/>
    <x v="2"/>
    <x v="4"/>
    <x v="7"/>
    <x v="59"/>
    <x v="1"/>
    <x v="4"/>
    <n v="0"/>
  </r>
  <r>
    <x v="1"/>
    <x v="2"/>
    <x v="4"/>
    <x v="7"/>
    <x v="59"/>
    <x v="1"/>
    <x v="5"/>
    <n v="0"/>
  </r>
  <r>
    <x v="1"/>
    <x v="2"/>
    <x v="4"/>
    <x v="7"/>
    <x v="59"/>
    <x v="1"/>
    <x v="6"/>
    <n v="0"/>
  </r>
  <r>
    <x v="1"/>
    <x v="2"/>
    <x v="4"/>
    <x v="7"/>
    <x v="60"/>
    <x v="1"/>
    <x v="0"/>
    <n v="0"/>
  </r>
  <r>
    <x v="1"/>
    <x v="2"/>
    <x v="4"/>
    <x v="7"/>
    <x v="60"/>
    <x v="1"/>
    <x v="1"/>
    <n v="0"/>
  </r>
  <r>
    <x v="1"/>
    <x v="2"/>
    <x v="4"/>
    <x v="7"/>
    <x v="60"/>
    <x v="1"/>
    <x v="2"/>
    <n v="0"/>
  </r>
  <r>
    <x v="1"/>
    <x v="2"/>
    <x v="4"/>
    <x v="7"/>
    <x v="60"/>
    <x v="1"/>
    <x v="3"/>
    <n v="0"/>
  </r>
  <r>
    <x v="1"/>
    <x v="2"/>
    <x v="4"/>
    <x v="7"/>
    <x v="60"/>
    <x v="1"/>
    <x v="4"/>
    <n v="0"/>
  </r>
  <r>
    <x v="1"/>
    <x v="2"/>
    <x v="4"/>
    <x v="7"/>
    <x v="60"/>
    <x v="1"/>
    <x v="5"/>
    <n v="0"/>
  </r>
  <r>
    <x v="1"/>
    <x v="2"/>
    <x v="4"/>
    <x v="7"/>
    <x v="60"/>
    <x v="1"/>
    <x v="6"/>
    <n v="0"/>
  </r>
  <r>
    <x v="1"/>
    <x v="2"/>
    <x v="3"/>
    <x v="5"/>
    <x v="65"/>
    <x v="1"/>
    <x v="0"/>
    <n v="0"/>
  </r>
  <r>
    <x v="1"/>
    <x v="2"/>
    <x v="3"/>
    <x v="5"/>
    <x v="65"/>
    <x v="1"/>
    <x v="1"/>
    <n v="0"/>
  </r>
  <r>
    <x v="1"/>
    <x v="2"/>
    <x v="3"/>
    <x v="5"/>
    <x v="65"/>
    <x v="1"/>
    <x v="2"/>
    <n v="0"/>
  </r>
  <r>
    <x v="1"/>
    <x v="2"/>
    <x v="3"/>
    <x v="5"/>
    <x v="65"/>
    <x v="1"/>
    <x v="3"/>
    <n v="0"/>
  </r>
  <r>
    <x v="1"/>
    <x v="2"/>
    <x v="3"/>
    <x v="5"/>
    <x v="65"/>
    <x v="1"/>
    <x v="4"/>
    <n v="0"/>
  </r>
  <r>
    <x v="1"/>
    <x v="2"/>
    <x v="3"/>
    <x v="5"/>
    <x v="65"/>
    <x v="1"/>
    <x v="5"/>
    <n v="0"/>
  </r>
  <r>
    <x v="1"/>
    <x v="2"/>
    <x v="3"/>
    <x v="5"/>
    <x v="65"/>
    <x v="1"/>
    <x v="6"/>
    <n v="0"/>
  </r>
  <r>
    <x v="1"/>
    <x v="2"/>
    <x v="3"/>
    <x v="5"/>
    <x v="66"/>
    <x v="1"/>
    <x v="0"/>
    <n v="0"/>
  </r>
  <r>
    <x v="1"/>
    <x v="2"/>
    <x v="3"/>
    <x v="5"/>
    <x v="66"/>
    <x v="1"/>
    <x v="1"/>
    <n v="0"/>
  </r>
  <r>
    <x v="1"/>
    <x v="2"/>
    <x v="3"/>
    <x v="5"/>
    <x v="66"/>
    <x v="1"/>
    <x v="2"/>
    <n v="0"/>
  </r>
  <r>
    <x v="1"/>
    <x v="2"/>
    <x v="3"/>
    <x v="5"/>
    <x v="66"/>
    <x v="1"/>
    <x v="3"/>
    <n v="0"/>
  </r>
  <r>
    <x v="1"/>
    <x v="2"/>
    <x v="3"/>
    <x v="5"/>
    <x v="66"/>
    <x v="1"/>
    <x v="4"/>
    <n v="0"/>
  </r>
  <r>
    <x v="1"/>
    <x v="2"/>
    <x v="3"/>
    <x v="5"/>
    <x v="66"/>
    <x v="1"/>
    <x v="5"/>
    <n v="0"/>
  </r>
  <r>
    <x v="1"/>
    <x v="2"/>
    <x v="3"/>
    <x v="5"/>
    <x v="66"/>
    <x v="1"/>
    <x v="6"/>
    <n v="0"/>
  </r>
  <r>
    <x v="1"/>
    <x v="2"/>
    <x v="3"/>
    <x v="5"/>
    <x v="67"/>
    <x v="1"/>
    <x v="0"/>
    <n v="0"/>
  </r>
  <r>
    <x v="1"/>
    <x v="2"/>
    <x v="3"/>
    <x v="5"/>
    <x v="67"/>
    <x v="1"/>
    <x v="1"/>
    <n v="0"/>
  </r>
  <r>
    <x v="1"/>
    <x v="2"/>
    <x v="3"/>
    <x v="5"/>
    <x v="67"/>
    <x v="1"/>
    <x v="2"/>
    <n v="0"/>
  </r>
  <r>
    <x v="1"/>
    <x v="2"/>
    <x v="3"/>
    <x v="5"/>
    <x v="67"/>
    <x v="1"/>
    <x v="3"/>
    <n v="0"/>
  </r>
  <r>
    <x v="1"/>
    <x v="2"/>
    <x v="3"/>
    <x v="5"/>
    <x v="67"/>
    <x v="1"/>
    <x v="4"/>
    <n v="0"/>
  </r>
  <r>
    <x v="1"/>
    <x v="2"/>
    <x v="3"/>
    <x v="5"/>
    <x v="67"/>
    <x v="1"/>
    <x v="5"/>
    <n v="0"/>
  </r>
  <r>
    <x v="1"/>
    <x v="2"/>
    <x v="3"/>
    <x v="5"/>
    <x v="67"/>
    <x v="1"/>
    <x v="6"/>
    <n v="0"/>
  </r>
  <r>
    <x v="1"/>
    <x v="2"/>
    <x v="3"/>
    <x v="5"/>
    <x v="68"/>
    <x v="1"/>
    <x v="0"/>
    <n v="0"/>
  </r>
  <r>
    <x v="1"/>
    <x v="2"/>
    <x v="3"/>
    <x v="5"/>
    <x v="68"/>
    <x v="1"/>
    <x v="1"/>
    <n v="0"/>
  </r>
  <r>
    <x v="1"/>
    <x v="2"/>
    <x v="3"/>
    <x v="5"/>
    <x v="68"/>
    <x v="1"/>
    <x v="2"/>
    <n v="0"/>
  </r>
  <r>
    <x v="1"/>
    <x v="2"/>
    <x v="3"/>
    <x v="5"/>
    <x v="68"/>
    <x v="1"/>
    <x v="3"/>
    <n v="0"/>
  </r>
  <r>
    <x v="1"/>
    <x v="2"/>
    <x v="3"/>
    <x v="5"/>
    <x v="68"/>
    <x v="1"/>
    <x v="4"/>
    <n v="0"/>
  </r>
  <r>
    <x v="1"/>
    <x v="2"/>
    <x v="3"/>
    <x v="5"/>
    <x v="68"/>
    <x v="1"/>
    <x v="5"/>
    <n v="0"/>
  </r>
  <r>
    <x v="1"/>
    <x v="2"/>
    <x v="3"/>
    <x v="5"/>
    <x v="68"/>
    <x v="1"/>
    <x v="6"/>
    <n v="0"/>
  </r>
  <r>
    <x v="1"/>
    <x v="2"/>
    <x v="3"/>
    <x v="5"/>
    <x v="69"/>
    <x v="1"/>
    <x v="0"/>
    <n v="0"/>
  </r>
  <r>
    <x v="1"/>
    <x v="2"/>
    <x v="3"/>
    <x v="5"/>
    <x v="69"/>
    <x v="1"/>
    <x v="1"/>
    <n v="0"/>
  </r>
  <r>
    <x v="1"/>
    <x v="2"/>
    <x v="3"/>
    <x v="5"/>
    <x v="69"/>
    <x v="1"/>
    <x v="2"/>
    <n v="0"/>
  </r>
  <r>
    <x v="1"/>
    <x v="2"/>
    <x v="3"/>
    <x v="5"/>
    <x v="69"/>
    <x v="1"/>
    <x v="3"/>
    <n v="0"/>
  </r>
  <r>
    <x v="1"/>
    <x v="2"/>
    <x v="3"/>
    <x v="5"/>
    <x v="69"/>
    <x v="1"/>
    <x v="4"/>
    <n v="0"/>
  </r>
  <r>
    <x v="1"/>
    <x v="2"/>
    <x v="3"/>
    <x v="5"/>
    <x v="69"/>
    <x v="1"/>
    <x v="5"/>
    <n v="0"/>
  </r>
  <r>
    <x v="1"/>
    <x v="2"/>
    <x v="3"/>
    <x v="5"/>
    <x v="69"/>
    <x v="1"/>
    <x v="6"/>
    <n v="0"/>
  </r>
  <r>
    <x v="1"/>
    <x v="2"/>
    <x v="3"/>
    <x v="5"/>
    <x v="70"/>
    <x v="1"/>
    <x v="0"/>
    <n v="0"/>
  </r>
  <r>
    <x v="1"/>
    <x v="2"/>
    <x v="3"/>
    <x v="5"/>
    <x v="70"/>
    <x v="1"/>
    <x v="1"/>
    <n v="0"/>
  </r>
  <r>
    <x v="1"/>
    <x v="2"/>
    <x v="3"/>
    <x v="5"/>
    <x v="70"/>
    <x v="1"/>
    <x v="2"/>
    <n v="0"/>
  </r>
  <r>
    <x v="1"/>
    <x v="2"/>
    <x v="3"/>
    <x v="5"/>
    <x v="70"/>
    <x v="1"/>
    <x v="3"/>
    <n v="0"/>
  </r>
  <r>
    <x v="1"/>
    <x v="2"/>
    <x v="3"/>
    <x v="5"/>
    <x v="70"/>
    <x v="1"/>
    <x v="4"/>
    <n v="0"/>
  </r>
  <r>
    <x v="1"/>
    <x v="2"/>
    <x v="3"/>
    <x v="5"/>
    <x v="70"/>
    <x v="1"/>
    <x v="5"/>
    <n v="0"/>
  </r>
  <r>
    <x v="1"/>
    <x v="2"/>
    <x v="3"/>
    <x v="5"/>
    <x v="70"/>
    <x v="1"/>
    <x v="6"/>
    <n v="0"/>
  </r>
  <r>
    <x v="1"/>
    <x v="2"/>
    <x v="3"/>
    <x v="5"/>
    <x v="71"/>
    <x v="1"/>
    <x v="0"/>
    <n v="0"/>
  </r>
  <r>
    <x v="1"/>
    <x v="2"/>
    <x v="3"/>
    <x v="5"/>
    <x v="71"/>
    <x v="1"/>
    <x v="1"/>
    <n v="0"/>
  </r>
  <r>
    <x v="1"/>
    <x v="2"/>
    <x v="3"/>
    <x v="5"/>
    <x v="71"/>
    <x v="1"/>
    <x v="2"/>
    <n v="0"/>
  </r>
  <r>
    <x v="1"/>
    <x v="2"/>
    <x v="3"/>
    <x v="5"/>
    <x v="71"/>
    <x v="1"/>
    <x v="3"/>
    <n v="0"/>
  </r>
  <r>
    <x v="1"/>
    <x v="2"/>
    <x v="3"/>
    <x v="5"/>
    <x v="71"/>
    <x v="1"/>
    <x v="4"/>
    <n v="0"/>
  </r>
  <r>
    <x v="1"/>
    <x v="2"/>
    <x v="3"/>
    <x v="5"/>
    <x v="71"/>
    <x v="1"/>
    <x v="5"/>
    <n v="0"/>
  </r>
  <r>
    <x v="1"/>
    <x v="2"/>
    <x v="3"/>
    <x v="5"/>
    <x v="71"/>
    <x v="1"/>
    <x v="6"/>
    <n v="0"/>
  </r>
  <r>
    <x v="1"/>
    <x v="2"/>
    <x v="3"/>
    <x v="5"/>
    <x v="72"/>
    <x v="1"/>
    <x v="0"/>
    <n v="0"/>
  </r>
  <r>
    <x v="1"/>
    <x v="2"/>
    <x v="3"/>
    <x v="5"/>
    <x v="72"/>
    <x v="1"/>
    <x v="1"/>
    <n v="0"/>
  </r>
  <r>
    <x v="1"/>
    <x v="2"/>
    <x v="3"/>
    <x v="5"/>
    <x v="72"/>
    <x v="1"/>
    <x v="2"/>
    <n v="0"/>
  </r>
  <r>
    <x v="1"/>
    <x v="2"/>
    <x v="3"/>
    <x v="5"/>
    <x v="72"/>
    <x v="1"/>
    <x v="3"/>
    <n v="0"/>
  </r>
  <r>
    <x v="1"/>
    <x v="2"/>
    <x v="3"/>
    <x v="5"/>
    <x v="72"/>
    <x v="1"/>
    <x v="4"/>
    <n v="0"/>
  </r>
  <r>
    <x v="1"/>
    <x v="2"/>
    <x v="3"/>
    <x v="5"/>
    <x v="72"/>
    <x v="1"/>
    <x v="5"/>
    <n v="0"/>
  </r>
  <r>
    <x v="1"/>
    <x v="2"/>
    <x v="3"/>
    <x v="5"/>
    <x v="72"/>
    <x v="1"/>
    <x v="6"/>
    <n v="0"/>
  </r>
  <r>
    <x v="1"/>
    <x v="2"/>
    <x v="3"/>
    <x v="5"/>
    <x v="73"/>
    <x v="1"/>
    <x v="0"/>
    <n v="0"/>
  </r>
  <r>
    <x v="1"/>
    <x v="2"/>
    <x v="3"/>
    <x v="5"/>
    <x v="73"/>
    <x v="1"/>
    <x v="1"/>
    <n v="0"/>
  </r>
  <r>
    <x v="1"/>
    <x v="2"/>
    <x v="3"/>
    <x v="5"/>
    <x v="73"/>
    <x v="1"/>
    <x v="2"/>
    <n v="0"/>
  </r>
  <r>
    <x v="1"/>
    <x v="2"/>
    <x v="3"/>
    <x v="5"/>
    <x v="73"/>
    <x v="1"/>
    <x v="3"/>
    <n v="0"/>
  </r>
  <r>
    <x v="1"/>
    <x v="2"/>
    <x v="3"/>
    <x v="5"/>
    <x v="73"/>
    <x v="1"/>
    <x v="4"/>
    <n v="0"/>
  </r>
  <r>
    <x v="1"/>
    <x v="2"/>
    <x v="3"/>
    <x v="5"/>
    <x v="73"/>
    <x v="1"/>
    <x v="5"/>
    <n v="0"/>
  </r>
  <r>
    <x v="1"/>
    <x v="2"/>
    <x v="3"/>
    <x v="5"/>
    <x v="73"/>
    <x v="1"/>
    <x v="6"/>
    <n v="0"/>
  </r>
  <r>
    <x v="1"/>
    <x v="2"/>
    <x v="5"/>
    <x v="8"/>
    <x v="74"/>
    <x v="1"/>
    <x v="0"/>
    <n v="0"/>
  </r>
  <r>
    <x v="1"/>
    <x v="2"/>
    <x v="5"/>
    <x v="8"/>
    <x v="74"/>
    <x v="1"/>
    <x v="1"/>
    <n v="0"/>
  </r>
  <r>
    <x v="1"/>
    <x v="2"/>
    <x v="5"/>
    <x v="8"/>
    <x v="74"/>
    <x v="1"/>
    <x v="2"/>
    <n v="0"/>
  </r>
  <r>
    <x v="1"/>
    <x v="2"/>
    <x v="5"/>
    <x v="8"/>
    <x v="74"/>
    <x v="1"/>
    <x v="3"/>
    <n v="0"/>
  </r>
  <r>
    <x v="1"/>
    <x v="2"/>
    <x v="5"/>
    <x v="8"/>
    <x v="74"/>
    <x v="1"/>
    <x v="4"/>
    <n v="0"/>
  </r>
  <r>
    <x v="1"/>
    <x v="2"/>
    <x v="5"/>
    <x v="8"/>
    <x v="74"/>
    <x v="1"/>
    <x v="5"/>
    <n v="0"/>
  </r>
  <r>
    <x v="1"/>
    <x v="2"/>
    <x v="5"/>
    <x v="8"/>
    <x v="74"/>
    <x v="1"/>
    <x v="6"/>
    <n v="0"/>
  </r>
  <r>
    <x v="1"/>
    <x v="2"/>
    <x v="5"/>
    <x v="8"/>
    <x v="75"/>
    <x v="1"/>
    <x v="0"/>
    <n v="29.699375894760291"/>
  </r>
  <r>
    <x v="1"/>
    <x v="2"/>
    <x v="5"/>
    <x v="8"/>
    <x v="75"/>
    <x v="1"/>
    <x v="1"/>
    <n v="28.567271219255428"/>
  </r>
  <r>
    <x v="1"/>
    <x v="2"/>
    <x v="5"/>
    <x v="8"/>
    <x v="75"/>
    <x v="1"/>
    <x v="2"/>
    <n v="32.711045516863308"/>
  </r>
  <r>
    <x v="1"/>
    <x v="2"/>
    <x v="5"/>
    <x v="8"/>
    <x v="75"/>
    <x v="1"/>
    <x v="3"/>
    <n v="33.658230096544827"/>
  </r>
  <r>
    <x v="1"/>
    <x v="2"/>
    <x v="5"/>
    <x v="8"/>
    <x v="75"/>
    <x v="1"/>
    <x v="4"/>
    <n v="44.379783272067662"/>
  </r>
  <r>
    <x v="1"/>
    <x v="2"/>
    <x v="5"/>
    <x v="8"/>
    <x v="75"/>
    <x v="1"/>
    <x v="5"/>
    <n v="55.941310616504396"/>
  </r>
  <r>
    <x v="1"/>
    <x v="2"/>
    <x v="5"/>
    <x v="8"/>
    <x v="75"/>
    <x v="1"/>
    <x v="6"/>
    <n v="70.343814532812985"/>
  </r>
  <r>
    <x v="1"/>
    <x v="2"/>
    <x v="5"/>
    <x v="8"/>
    <x v="76"/>
    <x v="1"/>
    <x v="0"/>
    <n v="0"/>
  </r>
  <r>
    <x v="1"/>
    <x v="2"/>
    <x v="5"/>
    <x v="8"/>
    <x v="76"/>
    <x v="1"/>
    <x v="1"/>
    <n v="0"/>
  </r>
  <r>
    <x v="1"/>
    <x v="2"/>
    <x v="5"/>
    <x v="8"/>
    <x v="76"/>
    <x v="1"/>
    <x v="2"/>
    <n v="0"/>
  </r>
  <r>
    <x v="1"/>
    <x v="2"/>
    <x v="5"/>
    <x v="8"/>
    <x v="76"/>
    <x v="1"/>
    <x v="3"/>
    <n v="0"/>
  </r>
  <r>
    <x v="1"/>
    <x v="2"/>
    <x v="5"/>
    <x v="8"/>
    <x v="76"/>
    <x v="1"/>
    <x v="4"/>
    <n v="0"/>
  </r>
  <r>
    <x v="1"/>
    <x v="2"/>
    <x v="5"/>
    <x v="8"/>
    <x v="76"/>
    <x v="1"/>
    <x v="5"/>
    <n v="0"/>
  </r>
  <r>
    <x v="1"/>
    <x v="2"/>
    <x v="5"/>
    <x v="8"/>
    <x v="76"/>
    <x v="1"/>
    <x v="6"/>
    <n v="0"/>
  </r>
  <r>
    <x v="1"/>
    <x v="2"/>
    <x v="5"/>
    <x v="8"/>
    <x v="77"/>
    <x v="1"/>
    <x v="0"/>
    <n v="0"/>
  </r>
  <r>
    <x v="1"/>
    <x v="2"/>
    <x v="5"/>
    <x v="8"/>
    <x v="77"/>
    <x v="1"/>
    <x v="1"/>
    <n v="0"/>
  </r>
  <r>
    <x v="1"/>
    <x v="2"/>
    <x v="5"/>
    <x v="8"/>
    <x v="77"/>
    <x v="1"/>
    <x v="2"/>
    <n v="0"/>
  </r>
  <r>
    <x v="1"/>
    <x v="2"/>
    <x v="5"/>
    <x v="8"/>
    <x v="77"/>
    <x v="1"/>
    <x v="3"/>
    <n v="0"/>
  </r>
  <r>
    <x v="1"/>
    <x v="2"/>
    <x v="5"/>
    <x v="8"/>
    <x v="77"/>
    <x v="1"/>
    <x v="4"/>
    <n v="0"/>
  </r>
  <r>
    <x v="1"/>
    <x v="2"/>
    <x v="5"/>
    <x v="8"/>
    <x v="77"/>
    <x v="1"/>
    <x v="5"/>
    <n v="0"/>
  </r>
  <r>
    <x v="1"/>
    <x v="2"/>
    <x v="5"/>
    <x v="8"/>
    <x v="77"/>
    <x v="1"/>
    <x v="6"/>
    <n v="0"/>
  </r>
  <r>
    <x v="1"/>
    <x v="2"/>
    <x v="5"/>
    <x v="8"/>
    <x v="78"/>
    <x v="1"/>
    <x v="0"/>
    <n v="46.28003527372244"/>
  </r>
  <r>
    <x v="1"/>
    <x v="2"/>
    <x v="5"/>
    <x v="8"/>
    <x v="78"/>
    <x v="1"/>
    <x v="1"/>
    <n v="60.719197540940215"/>
  </r>
  <r>
    <x v="1"/>
    <x v="2"/>
    <x v="5"/>
    <x v="8"/>
    <x v="78"/>
    <x v="1"/>
    <x v="2"/>
    <n v="94.573695220369927"/>
  </r>
  <r>
    <x v="1"/>
    <x v="2"/>
    <x v="5"/>
    <x v="8"/>
    <x v="78"/>
    <x v="1"/>
    <x v="3"/>
    <n v="138.52697432249931"/>
  </r>
  <r>
    <x v="1"/>
    <x v="2"/>
    <x v="5"/>
    <x v="8"/>
    <x v="78"/>
    <x v="1"/>
    <x v="4"/>
    <n v="176.75150063026948"/>
  </r>
  <r>
    <x v="1"/>
    <x v="2"/>
    <x v="5"/>
    <x v="8"/>
    <x v="78"/>
    <x v="1"/>
    <x v="5"/>
    <n v="230.35622774450695"/>
  </r>
  <r>
    <x v="1"/>
    <x v="2"/>
    <x v="5"/>
    <x v="8"/>
    <x v="78"/>
    <x v="1"/>
    <x v="6"/>
    <n v="288.12196577569347"/>
  </r>
  <r>
    <x v="1"/>
    <x v="2"/>
    <x v="5"/>
    <x v="8"/>
    <x v="79"/>
    <x v="1"/>
    <x v="0"/>
    <n v="0"/>
  </r>
  <r>
    <x v="1"/>
    <x v="2"/>
    <x v="5"/>
    <x v="8"/>
    <x v="79"/>
    <x v="1"/>
    <x v="1"/>
    <n v="0"/>
  </r>
  <r>
    <x v="1"/>
    <x v="2"/>
    <x v="5"/>
    <x v="8"/>
    <x v="79"/>
    <x v="1"/>
    <x v="2"/>
    <n v="0"/>
  </r>
  <r>
    <x v="1"/>
    <x v="2"/>
    <x v="5"/>
    <x v="8"/>
    <x v="79"/>
    <x v="1"/>
    <x v="3"/>
    <n v="0"/>
  </r>
  <r>
    <x v="1"/>
    <x v="2"/>
    <x v="5"/>
    <x v="8"/>
    <x v="79"/>
    <x v="1"/>
    <x v="4"/>
    <n v="0"/>
  </r>
  <r>
    <x v="1"/>
    <x v="2"/>
    <x v="5"/>
    <x v="8"/>
    <x v="79"/>
    <x v="1"/>
    <x v="5"/>
    <n v="0"/>
  </r>
  <r>
    <x v="1"/>
    <x v="2"/>
    <x v="5"/>
    <x v="8"/>
    <x v="79"/>
    <x v="1"/>
    <x v="6"/>
    <n v="0"/>
  </r>
  <r>
    <x v="1"/>
    <x v="2"/>
    <x v="5"/>
    <x v="8"/>
    <x v="80"/>
    <x v="1"/>
    <x v="0"/>
    <n v="0"/>
  </r>
  <r>
    <x v="1"/>
    <x v="2"/>
    <x v="5"/>
    <x v="8"/>
    <x v="80"/>
    <x v="1"/>
    <x v="1"/>
    <n v="0"/>
  </r>
  <r>
    <x v="1"/>
    <x v="2"/>
    <x v="5"/>
    <x v="8"/>
    <x v="80"/>
    <x v="1"/>
    <x v="2"/>
    <n v="0"/>
  </r>
  <r>
    <x v="1"/>
    <x v="2"/>
    <x v="5"/>
    <x v="8"/>
    <x v="80"/>
    <x v="1"/>
    <x v="3"/>
    <n v="0"/>
  </r>
  <r>
    <x v="1"/>
    <x v="2"/>
    <x v="5"/>
    <x v="8"/>
    <x v="80"/>
    <x v="1"/>
    <x v="4"/>
    <n v="0"/>
  </r>
  <r>
    <x v="1"/>
    <x v="2"/>
    <x v="5"/>
    <x v="8"/>
    <x v="80"/>
    <x v="1"/>
    <x v="5"/>
    <n v="0"/>
  </r>
  <r>
    <x v="1"/>
    <x v="2"/>
    <x v="5"/>
    <x v="8"/>
    <x v="80"/>
    <x v="1"/>
    <x v="6"/>
    <n v="0"/>
  </r>
  <r>
    <x v="1"/>
    <x v="2"/>
    <x v="5"/>
    <x v="8"/>
    <x v="81"/>
    <x v="1"/>
    <x v="0"/>
    <n v="0"/>
  </r>
  <r>
    <x v="1"/>
    <x v="2"/>
    <x v="5"/>
    <x v="8"/>
    <x v="81"/>
    <x v="1"/>
    <x v="1"/>
    <n v="0"/>
  </r>
  <r>
    <x v="1"/>
    <x v="2"/>
    <x v="5"/>
    <x v="8"/>
    <x v="81"/>
    <x v="1"/>
    <x v="2"/>
    <n v="0"/>
  </r>
  <r>
    <x v="1"/>
    <x v="2"/>
    <x v="5"/>
    <x v="8"/>
    <x v="81"/>
    <x v="1"/>
    <x v="3"/>
    <n v="0"/>
  </r>
  <r>
    <x v="1"/>
    <x v="2"/>
    <x v="5"/>
    <x v="8"/>
    <x v="81"/>
    <x v="1"/>
    <x v="4"/>
    <n v="0"/>
  </r>
  <r>
    <x v="1"/>
    <x v="2"/>
    <x v="5"/>
    <x v="8"/>
    <x v="81"/>
    <x v="1"/>
    <x v="5"/>
    <n v="0"/>
  </r>
  <r>
    <x v="1"/>
    <x v="2"/>
    <x v="5"/>
    <x v="8"/>
    <x v="81"/>
    <x v="1"/>
    <x v="6"/>
    <n v="0"/>
  </r>
  <r>
    <x v="1"/>
    <x v="2"/>
    <x v="5"/>
    <x v="8"/>
    <x v="82"/>
    <x v="1"/>
    <x v="0"/>
    <n v="0"/>
  </r>
  <r>
    <x v="1"/>
    <x v="2"/>
    <x v="5"/>
    <x v="8"/>
    <x v="82"/>
    <x v="1"/>
    <x v="1"/>
    <n v="0"/>
  </r>
  <r>
    <x v="1"/>
    <x v="2"/>
    <x v="5"/>
    <x v="8"/>
    <x v="82"/>
    <x v="1"/>
    <x v="2"/>
    <n v="0"/>
  </r>
  <r>
    <x v="1"/>
    <x v="2"/>
    <x v="5"/>
    <x v="8"/>
    <x v="82"/>
    <x v="1"/>
    <x v="3"/>
    <n v="0"/>
  </r>
  <r>
    <x v="1"/>
    <x v="2"/>
    <x v="5"/>
    <x v="8"/>
    <x v="82"/>
    <x v="1"/>
    <x v="4"/>
    <n v="0"/>
  </r>
  <r>
    <x v="1"/>
    <x v="2"/>
    <x v="5"/>
    <x v="8"/>
    <x v="82"/>
    <x v="1"/>
    <x v="5"/>
    <n v="0"/>
  </r>
  <r>
    <x v="1"/>
    <x v="2"/>
    <x v="5"/>
    <x v="8"/>
    <x v="82"/>
    <x v="1"/>
    <x v="6"/>
    <n v="0"/>
  </r>
  <r>
    <x v="1"/>
    <x v="2"/>
    <x v="5"/>
    <x v="8"/>
    <x v="83"/>
    <x v="1"/>
    <x v="0"/>
    <n v="15.078226943038869"/>
  </r>
  <r>
    <x v="1"/>
    <x v="2"/>
    <x v="5"/>
    <x v="8"/>
    <x v="83"/>
    <x v="1"/>
    <x v="1"/>
    <n v="26.393453786956382"/>
  </r>
  <r>
    <x v="1"/>
    <x v="2"/>
    <x v="5"/>
    <x v="8"/>
    <x v="83"/>
    <x v="1"/>
    <x v="2"/>
    <n v="48.246178500980776"/>
  </r>
  <r>
    <x v="1"/>
    <x v="2"/>
    <x v="5"/>
    <x v="8"/>
    <x v="83"/>
    <x v="1"/>
    <x v="3"/>
    <n v="87.283967050869862"/>
  </r>
  <r>
    <x v="1"/>
    <x v="2"/>
    <x v="5"/>
    <x v="8"/>
    <x v="83"/>
    <x v="1"/>
    <x v="4"/>
    <n v="116.4014297479635"/>
  </r>
  <r>
    <x v="1"/>
    <x v="2"/>
    <x v="5"/>
    <x v="8"/>
    <x v="83"/>
    <x v="1"/>
    <x v="5"/>
    <n v="145.14191533512508"/>
  </r>
  <r>
    <x v="1"/>
    <x v="2"/>
    <x v="5"/>
    <x v="8"/>
    <x v="83"/>
    <x v="1"/>
    <x v="6"/>
    <n v="177.24819147390565"/>
  </r>
  <r>
    <x v="1"/>
    <x v="3"/>
    <x v="0"/>
    <x v="0"/>
    <x v="0"/>
    <x v="1"/>
    <x v="0"/>
    <n v="0"/>
  </r>
  <r>
    <x v="1"/>
    <x v="3"/>
    <x v="0"/>
    <x v="0"/>
    <x v="0"/>
    <x v="1"/>
    <x v="1"/>
    <n v="0"/>
  </r>
  <r>
    <x v="1"/>
    <x v="3"/>
    <x v="0"/>
    <x v="0"/>
    <x v="0"/>
    <x v="1"/>
    <x v="2"/>
    <n v="0"/>
  </r>
  <r>
    <x v="1"/>
    <x v="3"/>
    <x v="0"/>
    <x v="0"/>
    <x v="0"/>
    <x v="1"/>
    <x v="3"/>
    <n v="0"/>
  </r>
  <r>
    <x v="1"/>
    <x v="3"/>
    <x v="0"/>
    <x v="0"/>
    <x v="0"/>
    <x v="1"/>
    <x v="4"/>
    <n v="0"/>
  </r>
  <r>
    <x v="1"/>
    <x v="3"/>
    <x v="0"/>
    <x v="0"/>
    <x v="0"/>
    <x v="1"/>
    <x v="5"/>
    <n v="0"/>
  </r>
  <r>
    <x v="1"/>
    <x v="3"/>
    <x v="0"/>
    <x v="0"/>
    <x v="0"/>
    <x v="1"/>
    <x v="6"/>
    <n v="0"/>
  </r>
  <r>
    <x v="1"/>
    <x v="3"/>
    <x v="0"/>
    <x v="1"/>
    <x v="1"/>
    <x v="1"/>
    <x v="0"/>
    <n v="0"/>
  </r>
  <r>
    <x v="1"/>
    <x v="3"/>
    <x v="0"/>
    <x v="1"/>
    <x v="1"/>
    <x v="1"/>
    <x v="1"/>
    <n v="0"/>
  </r>
  <r>
    <x v="1"/>
    <x v="3"/>
    <x v="0"/>
    <x v="1"/>
    <x v="1"/>
    <x v="1"/>
    <x v="2"/>
    <n v="0"/>
  </r>
  <r>
    <x v="1"/>
    <x v="3"/>
    <x v="0"/>
    <x v="1"/>
    <x v="1"/>
    <x v="1"/>
    <x v="3"/>
    <n v="0"/>
  </r>
  <r>
    <x v="1"/>
    <x v="3"/>
    <x v="0"/>
    <x v="1"/>
    <x v="1"/>
    <x v="1"/>
    <x v="4"/>
    <n v="0"/>
  </r>
  <r>
    <x v="1"/>
    <x v="3"/>
    <x v="0"/>
    <x v="1"/>
    <x v="1"/>
    <x v="1"/>
    <x v="5"/>
    <n v="0"/>
  </r>
  <r>
    <x v="1"/>
    <x v="3"/>
    <x v="0"/>
    <x v="1"/>
    <x v="1"/>
    <x v="1"/>
    <x v="6"/>
    <n v="0"/>
  </r>
  <r>
    <x v="1"/>
    <x v="3"/>
    <x v="0"/>
    <x v="1"/>
    <x v="2"/>
    <x v="1"/>
    <x v="0"/>
    <n v="0"/>
  </r>
  <r>
    <x v="1"/>
    <x v="3"/>
    <x v="0"/>
    <x v="1"/>
    <x v="2"/>
    <x v="1"/>
    <x v="1"/>
    <n v="0"/>
  </r>
  <r>
    <x v="1"/>
    <x v="3"/>
    <x v="0"/>
    <x v="1"/>
    <x v="2"/>
    <x v="1"/>
    <x v="2"/>
    <n v="0"/>
  </r>
  <r>
    <x v="1"/>
    <x v="3"/>
    <x v="0"/>
    <x v="1"/>
    <x v="2"/>
    <x v="1"/>
    <x v="3"/>
    <n v="0"/>
  </r>
  <r>
    <x v="1"/>
    <x v="3"/>
    <x v="0"/>
    <x v="1"/>
    <x v="2"/>
    <x v="1"/>
    <x v="4"/>
    <n v="0"/>
  </r>
  <r>
    <x v="1"/>
    <x v="3"/>
    <x v="0"/>
    <x v="1"/>
    <x v="2"/>
    <x v="1"/>
    <x v="5"/>
    <n v="0"/>
  </r>
  <r>
    <x v="1"/>
    <x v="3"/>
    <x v="0"/>
    <x v="1"/>
    <x v="2"/>
    <x v="1"/>
    <x v="6"/>
    <n v="0"/>
  </r>
  <r>
    <x v="1"/>
    <x v="3"/>
    <x v="0"/>
    <x v="1"/>
    <x v="3"/>
    <x v="1"/>
    <x v="0"/>
    <n v="0"/>
  </r>
  <r>
    <x v="1"/>
    <x v="3"/>
    <x v="0"/>
    <x v="1"/>
    <x v="3"/>
    <x v="1"/>
    <x v="1"/>
    <n v="0"/>
  </r>
  <r>
    <x v="1"/>
    <x v="3"/>
    <x v="0"/>
    <x v="1"/>
    <x v="3"/>
    <x v="1"/>
    <x v="2"/>
    <n v="0"/>
  </r>
  <r>
    <x v="1"/>
    <x v="3"/>
    <x v="0"/>
    <x v="1"/>
    <x v="3"/>
    <x v="1"/>
    <x v="3"/>
    <n v="0"/>
  </r>
  <r>
    <x v="1"/>
    <x v="3"/>
    <x v="0"/>
    <x v="1"/>
    <x v="3"/>
    <x v="1"/>
    <x v="4"/>
    <n v="0"/>
  </r>
  <r>
    <x v="1"/>
    <x v="3"/>
    <x v="0"/>
    <x v="1"/>
    <x v="3"/>
    <x v="1"/>
    <x v="5"/>
    <n v="0"/>
  </r>
  <r>
    <x v="1"/>
    <x v="3"/>
    <x v="0"/>
    <x v="1"/>
    <x v="3"/>
    <x v="1"/>
    <x v="6"/>
    <n v="0"/>
  </r>
  <r>
    <x v="1"/>
    <x v="3"/>
    <x v="0"/>
    <x v="1"/>
    <x v="4"/>
    <x v="1"/>
    <x v="0"/>
    <n v="0"/>
  </r>
  <r>
    <x v="1"/>
    <x v="3"/>
    <x v="0"/>
    <x v="1"/>
    <x v="4"/>
    <x v="1"/>
    <x v="1"/>
    <n v="0"/>
  </r>
  <r>
    <x v="1"/>
    <x v="3"/>
    <x v="0"/>
    <x v="1"/>
    <x v="4"/>
    <x v="1"/>
    <x v="2"/>
    <n v="0"/>
  </r>
  <r>
    <x v="1"/>
    <x v="3"/>
    <x v="0"/>
    <x v="1"/>
    <x v="4"/>
    <x v="1"/>
    <x v="3"/>
    <n v="0"/>
  </r>
  <r>
    <x v="1"/>
    <x v="3"/>
    <x v="0"/>
    <x v="1"/>
    <x v="4"/>
    <x v="1"/>
    <x v="4"/>
    <n v="0"/>
  </r>
  <r>
    <x v="1"/>
    <x v="3"/>
    <x v="0"/>
    <x v="1"/>
    <x v="4"/>
    <x v="1"/>
    <x v="5"/>
    <n v="0"/>
  </r>
  <r>
    <x v="1"/>
    <x v="3"/>
    <x v="0"/>
    <x v="1"/>
    <x v="4"/>
    <x v="1"/>
    <x v="6"/>
    <n v="0"/>
  </r>
  <r>
    <x v="1"/>
    <x v="3"/>
    <x v="0"/>
    <x v="1"/>
    <x v="5"/>
    <x v="1"/>
    <x v="0"/>
    <n v="0"/>
  </r>
  <r>
    <x v="1"/>
    <x v="3"/>
    <x v="0"/>
    <x v="1"/>
    <x v="5"/>
    <x v="1"/>
    <x v="1"/>
    <n v="0"/>
  </r>
  <r>
    <x v="1"/>
    <x v="3"/>
    <x v="0"/>
    <x v="1"/>
    <x v="5"/>
    <x v="1"/>
    <x v="2"/>
    <n v="0"/>
  </r>
  <r>
    <x v="1"/>
    <x v="3"/>
    <x v="0"/>
    <x v="1"/>
    <x v="5"/>
    <x v="1"/>
    <x v="3"/>
    <n v="0"/>
  </r>
  <r>
    <x v="1"/>
    <x v="3"/>
    <x v="0"/>
    <x v="1"/>
    <x v="5"/>
    <x v="1"/>
    <x v="4"/>
    <n v="0"/>
  </r>
  <r>
    <x v="1"/>
    <x v="3"/>
    <x v="0"/>
    <x v="1"/>
    <x v="5"/>
    <x v="1"/>
    <x v="5"/>
    <n v="0"/>
  </r>
  <r>
    <x v="1"/>
    <x v="3"/>
    <x v="0"/>
    <x v="1"/>
    <x v="5"/>
    <x v="1"/>
    <x v="6"/>
    <n v="0"/>
  </r>
  <r>
    <x v="1"/>
    <x v="3"/>
    <x v="0"/>
    <x v="1"/>
    <x v="6"/>
    <x v="1"/>
    <x v="0"/>
    <n v="0"/>
  </r>
  <r>
    <x v="1"/>
    <x v="3"/>
    <x v="0"/>
    <x v="1"/>
    <x v="6"/>
    <x v="1"/>
    <x v="1"/>
    <n v="0"/>
  </r>
  <r>
    <x v="1"/>
    <x v="3"/>
    <x v="0"/>
    <x v="1"/>
    <x v="6"/>
    <x v="1"/>
    <x v="2"/>
    <n v="0"/>
  </r>
  <r>
    <x v="1"/>
    <x v="3"/>
    <x v="0"/>
    <x v="1"/>
    <x v="6"/>
    <x v="1"/>
    <x v="3"/>
    <n v="0"/>
  </r>
  <r>
    <x v="1"/>
    <x v="3"/>
    <x v="0"/>
    <x v="1"/>
    <x v="6"/>
    <x v="1"/>
    <x v="4"/>
    <n v="0"/>
  </r>
  <r>
    <x v="1"/>
    <x v="3"/>
    <x v="0"/>
    <x v="1"/>
    <x v="6"/>
    <x v="1"/>
    <x v="5"/>
    <n v="0"/>
  </r>
  <r>
    <x v="1"/>
    <x v="3"/>
    <x v="0"/>
    <x v="1"/>
    <x v="6"/>
    <x v="1"/>
    <x v="6"/>
    <n v="0"/>
  </r>
  <r>
    <x v="1"/>
    <x v="3"/>
    <x v="0"/>
    <x v="1"/>
    <x v="7"/>
    <x v="1"/>
    <x v="0"/>
    <n v="0"/>
  </r>
  <r>
    <x v="1"/>
    <x v="3"/>
    <x v="0"/>
    <x v="1"/>
    <x v="7"/>
    <x v="1"/>
    <x v="1"/>
    <n v="0"/>
  </r>
  <r>
    <x v="1"/>
    <x v="3"/>
    <x v="0"/>
    <x v="1"/>
    <x v="7"/>
    <x v="1"/>
    <x v="2"/>
    <n v="0"/>
  </r>
  <r>
    <x v="1"/>
    <x v="3"/>
    <x v="0"/>
    <x v="1"/>
    <x v="7"/>
    <x v="1"/>
    <x v="3"/>
    <n v="0"/>
  </r>
  <r>
    <x v="1"/>
    <x v="3"/>
    <x v="0"/>
    <x v="1"/>
    <x v="7"/>
    <x v="1"/>
    <x v="4"/>
    <n v="0"/>
  </r>
  <r>
    <x v="1"/>
    <x v="3"/>
    <x v="0"/>
    <x v="1"/>
    <x v="7"/>
    <x v="1"/>
    <x v="5"/>
    <n v="0"/>
  </r>
  <r>
    <x v="1"/>
    <x v="3"/>
    <x v="0"/>
    <x v="1"/>
    <x v="7"/>
    <x v="1"/>
    <x v="6"/>
    <n v="0"/>
  </r>
  <r>
    <x v="1"/>
    <x v="3"/>
    <x v="0"/>
    <x v="1"/>
    <x v="8"/>
    <x v="1"/>
    <x v="0"/>
    <n v="0"/>
  </r>
  <r>
    <x v="1"/>
    <x v="3"/>
    <x v="0"/>
    <x v="1"/>
    <x v="8"/>
    <x v="1"/>
    <x v="1"/>
    <n v="0"/>
  </r>
  <r>
    <x v="1"/>
    <x v="3"/>
    <x v="0"/>
    <x v="1"/>
    <x v="8"/>
    <x v="1"/>
    <x v="2"/>
    <n v="0"/>
  </r>
  <r>
    <x v="1"/>
    <x v="3"/>
    <x v="0"/>
    <x v="1"/>
    <x v="8"/>
    <x v="1"/>
    <x v="3"/>
    <n v="0"/>
  </r>
  <r>
    <x v="1"/>
    <x v="3"/>
    <x v="0"/>
    <x v="1"/>
    <x v="8"/>
    <x v="1"/>
    <x v="4"/>
    <n v="0"/>
  </r>
  <r>
    <x v="1"/>
    <x v="3"/>
    <x v="0"/>
    <x v="1"/>
    <x v="8"/>
    <x v="1"/>
    <x v="5"/>
    <n v="0"/>
  </r>
  <r>
    <x v="1"/>
    <x v="3"/>
    <x v="0"/>
    <x v="1"/>
    <x v="8"/>
    <x v="1"/>
    <x v="6"/>
    <n v="0"/>
  </r>
  <r>
    <x v="1"/>
    <x v="3"/>
    <x v="0"/>
    <x v="1"/>
    <x v="9"/>
    <x v="1"/>
    <x v="0"/>
    <n v="0"/>
  </r>
  <r>
    <x v="1"/>
    <x v="3"/>
    <x v="0"/>
    <x v="1"/>
    <x v="9"/>
    <x v="1"/>
    <x v="1"/>
    <n v="0"/>
  </r>
  <r>
    <x v="1"/>
    <x v="3"/>
    <x v="0"/>
    <x v="1"/>
    <x v="9"/>
    <x v="1"/>
    <x v="2"/>
    <n v="0"/>
  </r>
  <r>
    <x v="1"/>
    <x v="3"/>
    <x v="0"/>
    <x v="1"/>
    <x v="9"/>
    <x v="1"/>
    <x v="3"/>
    <n v="0"/>
  </r>
  <r>
    <x v="1"/>
    <x v="3"/>
    <x v="0"/>
    <x v="1"/>
    <x v="9"/>
    <x v="1"/>
    <x v="4"/>
    <n v="0"/>
  </r>
  <r>
    <x v="1"/>
    <x v="3"/>
    <x v="0"/>
    <x v="1"/>
    <x v="9"/>
    <x v="1"/>
    <x v="5"/>
    <n v="0"/>
  </r>
  <r>
    <x v="1"/>
    <x v="3"/>
    <x v="0"/>
    <x v="1"/>
    <x v="9"/>
    <x v="1"/>
    <x v="6"/>
    <n v="0"/>
  </r>
  <r>
    <x v="1"/>
    <x v="3"/>
    <x v="0"/>
    <x v="1"/>
    <x v="10"/>
    <x v="1"/>
    <x v="0"/>
    <n v="0"/>
  </r>
  <r>
    <x v="1"/>
    <x v="3"/>
    <x v="0"/>
    <x v="1"/>
    <x v="10"/>
    <x v="1"/>
    <x v="1"/>
    <n v="0"/>
  </r>
  <r>
    <x v="1"/>
    <x v="3"/>
    <x v="0"/>
    <x v="1"/>
    <x v="10"/>
    <x v="1"/>
    <x v="2"/>
    <n v="0"/>
  </r>
  <r>
    <x v="1"/>
    <x v="3"/>
    <x v="0"/>
    <x v="1"/>
    <x v="10"/>
    <x v="1"/>
    <x v="3"/>
    <n v="0"/>
  </r>
  <r>
    <x v="1"/>
    <x v="3"/>
    <x v="0"/>
    <x v="1"/>
    <x v="10"/>
    <x v="1"/>
    <x v="4"/>
    <n v="0"/>
  </r>
  <r>
    <x v="1"/>
    <x v="3"/>
    <x v="0"/>
    <x v="1"/>
    <x v="10"/>
    <x v="1"/>
    <x v="5"/>
    <n v="0"/>
  </r>
  <r>
    <x v="1"/>
    <x v="3"/>
    <x v="0"/>
    <x v="1"/>
    <x v="10"/>
    <x v="1"/>
    <x v="6"/>
    <n v="0"/>
  </r>
  <r>
    <x v="1"/>
    <x v="3"/>
    <x v="0"/>
    <x v="0"/>
    <x v="11"/>
    <x v="1"/>
    <x v="0"/>
    <n v="3.2227339080606723E-4"/>
  </r>
  <r>
    <x v="1"/>
    <x v="3"/>
    <x v="0"/>
    <x v="0"/>
    <x v="11"/>
    <x v="1"/>
    <x v="1"/>
    <n v="6.9794457160173918E-4"/>
  </r>
  <r>
    <x v="1"/>
    <x v="3"/>
    <x v="0"/>
    <x v="0"/>
    <x v="11"/>
    <x v="1"/>
    <x v="2"/>
    <n v="1.429743024478853E-3"/>
  </r>
  <r>
    <x v="1"/>
    <x v="3"/>
    <x v="0"/>
    <x v="0"/>
    <x v="11"/>
    <x v="1"/>
    <x v="3"/>
    <n v="2.7407360954279057E-3"/>
  </r>
  <r>
    <x v="1"/>
    <x v="3"/>
    <x v="0"/>
    <x v="0"/>
    <x v="11"/>
    <x v="1"/>
    <x v="4"/>
    <n v="5.4187106754362037E-3"/>
  </r>
  <r>
    <x v="1"/>
    <x v="3"/>
    <x v="0"/>
    <x v="0"/>
    <x v="11"/>
    <x v="1"/>
    <x v="5"/>
    <n v="7.9799458559796938E-3"/>
  </r>
  <r>
    <x v="1"/>
    <x v="3"/>
    <x v="0"/>
    <x v="0"/>
    <x v="11"/>
    <x v="1"/>
    <x v="6"/>
    <n v="-2.7933298799308864E-2"/>
  </r>
  <r>
    <x v="1"/>
    <x v="3"/>
    <x v="0"/>
    <x v="0"/>
    <x v="12"/>
    <x v="1"/>
    <x v="0"/>
    <n v="0"/>
  </r>
  <r>
    <x v="1"/>
    <x v="3"/>
    <x v="0"/>
    <x v="0"/>
    <x v="12"/>
    <x v="1"/>
    <x v="1"/>
    <n v="0"/>
  </r>
  <r>
    <x v="1"/>
    <x v="3"/>
    <x v="0"/>
    <x v="0"/>
    <x v="12"/>
    <x v="1"/>
    <x v="2"/>
    <n v="0"/>
  </r>
  <r>
    <x v="1"/>
    <x v="3"/>
    <x v="0"/>
    <x v="0"/>
    <x v="12"/>
    <x v="1"/>
    <x v="3"/>
    <n v="0"/>
  </r>
  <r>
    <x v="1"/>
    <x v="3"/>
    <x v="0"/>
    <x v="0"/>
    <x v="12"/>
    <x v="1"/>
    <x v="4"/>
    <n v="0"/>
  </r>
  <r>
    <x v="1"/>
    <x v="3"/>
    <x v="0"/>
    <x v="0"/>
    <x v="12"/>
    <x v="1"/>
    <x v="5"/>
    <n v="0"/>
  </r>
  <r>
    <x v="1"/>
    <x v="3"/>
    <x v="0"/>
    <x v="0"/>
    <x v="12"/>
    <x v="1"/>
    <x v="6"/>
    <n v="0"/>
  </r>
  <r>
    <x v="1"/>
    <x v="3"/>
    <x v="0"/>
    <x v="0"/>
    <x v="13"/>
    <x v="1"/>
    <x v="0"/>
    <n v="0"/>
  </r>
  <r>
    <x v="1"/>
    <x v="3"/>
    <x v="0"/>
    <x v="0"/>
    <x v="13"/>
    <x v="1"/>
    <x v="1"/>
    <n v="0"/>
  </r>
  <r>
    <x v="1"/>
    <x v="3"/>
    <x v="0"/>
    <x v="0"/>
    <x v="13"/>
    <x v="1"/>
    <x v="2"/>
    <n v="0"/>
  </r>
  <r>
    <x v="1"/>
    <x v="3"/>
    <x v="0"/>
    <x v="0"/>
    <x v="13"/>
    <x v="1"/>
    <x v="3"/>
    <n v="0"/>
  </r>
  <r>
    <x v="1"/>
    <x v="3"/>
    <x v="0"/>
    <x v="0"/>
    <x v="13"/>
    <x v="1"/>
    <x v="4"/>
    <n v="0"/>
  </r>
  <r>
    <x v="1"/>
    <x v="3"/>
    <x v="0"/>
    <x v="0"/>
    <x v="13"/>
    <x v="1"/>
    <x v="5"/>
    <n v="0"/>
  </r>
  <r>
    <x v="1"/>
    <x v="3"/>
    <x v="0"/>
    <x v="0"/>
    <x v="13"/>
    <x v="1"/>
    <x v="6"/>
    <n v="0"/>
  </r>
  <r>
    <x v="1"/>
    <x v="3"/>
    <x v="0"/>
    <x v="2"/>
    <x v="14"/>
    <x v="1"/>
    <x v="0"/>
    <n v="1.9618422705908353E-2"/>
  </r>
  <r>
    <x v="1"/>
    <x v="3"/>
    <x v="0"/>
    <x v="2"/>
    <x v="14"/>
    <x v="1"/>
    <x v="1"/>
    <n v="3.1681490370244529E-2"/>
  </r>
  <r>
    <x v="1"/>
    <x v="3"/>
    <x v="0"/>
    <x v="2"/>
    <x v="14"/>
    <x v="1"/>
    <x v="2"/>
    <n v="5.0661997113101022E-2"/>
  </r>
  <r>
    <x v="1"/>
    <x v="3"/>
    <x v="0"/>
    <x v="2"/>
    <x v="14"/>
    <x v="1"/>
    <x v="3"/>
    <n v="7.934607468995851E-2"/>
  </r>
  <r>
    <x v="1"/>
    <x v="3"/>
    <x v="0"/>
    <x v="2"/>
    <x v="14"/>
    <x v="1"/>
    <x v="4"/>
    <n v="0.13132127837804169"/>
  </r>
  <r>
    <x v="1"/>
    <x v="3"/>
    <x v="0"/>
    <x v="2"/>
    <x v="14"/>
    <x v="1"/>
    <x v="5"/>
    <n v="0.18668000517833749"/>
  </r>
  <r>
    <x v="1"/>
    <x v="3"/>
    <x v="0"/>
    <x v="2"/>
    <x v="14"/>
    <x v="1"/>
    <x v="6"/>
    <n v="0.23978825774916587"/>
  </r>
  <r>
    <x v="1"/>
    <x v="3"/>
    <x v="0"/>
    <x v="2"/>
    <x v="15"/>
    <x v="1"/>
    <x v="0"/>
    <n v="29.988797214963192"/>
  </r>
  <r>
    <x v="1"/>
    <x v="3"/>
    <x v="0"/>
    <x v="2"/>
    <x v="15"/>
    <x v="1"/>
    <x v="1"/>
    <n v="53.625461394262587"/>
  </r>
  <r>
    <x v="1"/>
    <x v="3"/>
    <x v="0"/>
    <x v="2"/>
    <x v="15"/>
    <x v="1"/>
    <x v="2"/>
    <n v="95.508893943515318"/>
  </r>
  <r>
    <x v="1"/>
    <x v="3"/>
    <x v="0"/>
    <x v="2"/>
    <x v="15"/>
    <x v="1"/>
    <x v="3"/>
    <n v="181.46037454490246"/>
  </r>
  <r>
    <x v="1"/>
    <x v="3"/>
    <x v="0"/>
    <x v="2"/>
    <x v="15"/>
    <x v="1"/>
    <x v="4"/>
    <n v="259.74594554567528"/>
  </r>
  <r>
    <x v="1"/>
    <x v="3"/>
    <x v="0"/>
    <x v="2"/>
    <x v="15"/>
    <x v="1"/>
    <x v="5"/>
    <n v="301.13503754236035"/>
  </r>
  <r>
    <x v="1"/>
    <x v="3"/>
    <x v="0"/>
    <x v="2"/>
    <x v="15"/>
    <x v="1"/>
    <x v="6"/>
    <n v="353.65464719222985"/>
  </r>
  <r>
    <x v="1"/>
    <x v="3"/>
    <x v="0"/>
    <x v="2"/>
    <x v="16"/>
    <x v="1"/>
    <x v="0"/>
    <n v="2.990724171549068"/>
  </r>
  <r>
    <x v="1"/>
    <x v="3"/>
    <x v="0"/>
    <x v="2"/>
    <x v="16"/>
    <x v="1"/>
    <x v="1"/>
    <n v="6.6622039548814138"/>
  </r>
  <r>
    <x v="1"/>
    <x v="3"/>
    <x v="0"/>
    <x v="2"/>
    <x v="16"/>
    <x v="1"/>
    <x v="2"/>
    <n v="15.111283385437069"/>
  </r>
  <r>
    <x v="1"/>
    <x v="3"/>
    <x v="0"/>
    <x v="2"/>
    <x v="16"/>
    <x v="1"/>
    <x v="3"/>
    <n v="33.58897958221673"/>
  </r>
  <r>
    <x v="1"/>
    <x v="3"/>
    <x v="0"/>
    <x v="2"/>
    <x v="16"/>
    <x v="1"/>
    <x v="4"/>
    <n v="53.384569437948812"/>
  </r>
  <r>
    <x v="1"/>
    <x v="3"/>
    <x v="0"/>
    <x v="2"/>
    <x v="16"/>
    <x v="1"/>
    <x v="5"/>
    <n v="72.259565535104628"/>
  </r>
  <r>
    <x v="1"/>
    <x v="3"/>
    <x v="0"/>
    <x v="2"/>
    <x v="16"/>
    <x v="1"/>
    <x v="6"/>
    <n v="95.714098219879318"/>
  </r>
  <r>
    <x v="1"/>
    <x v="3"/>
    <x v="0"/>
    <x v="0"/>
    <x v="17"/>
    <x v="1"/>
    <x v="0"/>
    <n v="0"/>
  </r>
  <r>
    <x v="1"/>
    <x v="3"/>
    <x v="0"/>
    <x v="0"/>
    <x v="17"/>
    <x v="1"/>
    <x v="1"/>
    <n v="0"/>
  </r>
  <r>
    <x v="1"/>
    <x v="3"/>
    <x v="0"/>
    <x v="0"/>
    <x v="17"/>
    <x v="1"/>
    <x v="2"/>
    <n v="0"/>
  </r>
  <r>
    <x v="1"/>
    <x v="3"/>
    <x v="0"/>
    <x v="0"/>
    <x v="17"/>
    <x v="1"/>
    <x v="3"/>
    <n v="0"/>
  </r>
  <r>
    <x v="1"/>
    <x v="3"/>
    <x v="0"/>
    <x v="0"/>
    <x v="17"/>
    <x v="1"/>
    <x v="4"/>
    <n v="0"/>
  </r>
  <r>
    <x v="1"/>
    <x v="3"/>
    <x v="0"/>
    <x v="0"/>
    <x v="17"/>
    <x v="1"/>
    <x v="5"/>
    <n v="0"/>
  </r>
  <r>
    <x v="1"/>
    <x v="3"/>
    <x v="0"/>
    <x v="0"/>
    <x v="17"/>
    <x v="1"/>
    <x v="6"/>
    <n v="0"/>
  </r>
  <r>
    <x v="1"/>
    <x v="3"/>
    <x v="0"/>
    <x v="2"/>
    <x v="18"/>
    <x v="1"/>
    <x v="0"/>
    <n v="14.854857557195004"/>
  </r>
  <r>
    <x v="1"/>
    <x v="3"/>
    <x v="0"/>
    <x v="2"/>
    <x v="18"/>
    <x v="1"/>
    <x v="1"/>
    <n v="37.601936168510939"/>
  </r>
  <r>
    <x v="1"/>
    <x v="3"/>
    <x v="0"/>
    <x v="2"/>
    <x v="18"/>
    <x v="1"/>
    <x v="2"/>
    <n v="52.037236951086292"/>
  </r>
  <r>
    <x v="1"/>
    <x v="3"/>
    <x v="0"/>
    <x v="2"/>
    <x v="18"/>
    <x v="1"/>
    <x v="3"/>
    <n v="103.32773878712013"/>
  </r>
  <r>
    <x v="1"/>
    <x v="3"/>
    <x v="0"/>
    <x v="2"/>
    <x v="18"/>
    <x v="1"/>
    <x v="4"/>
    <n v="132.8591447912124"/>
  </r>
  <r>
    <x v="1"/>
    <x v="3"/>
    <x v="0"/>
    <x v="2"/>
    <x v="18"/>
    <x v="1"/>
    <x v="5"/>
    <n v="134.83329112877277"/>
  </r>
  <r>
    <x v="1"/>
    <x v="3"/>
    <x v="0"/>
    <x v="2"/>
    <x v="18"/>
    <x v="1"/>
    <x v="6"/>
    <n v="166.81623665466776"/>
  </r>
  <r>
    <x v="1"/>
    <x v="3"/>
    <x v="1"/>
    <x v="3"/>
    <x v="19"/>
    <x v="1"/>
    <x v="0"/>
    <n v="8.7530123505492954E-2"/>
  </r>
  <r>
    <x v="1"/>
    <x v="3"/>
    <x v="1"/>
    <x v="3"/>
    <x v="19"/>
    <x v="1"/>
    <x v="1"/>
    <n v="0.1833097468818618"/>
  </r>
  <r>
    <x v="1"/>
    <x v="3"/>
    <x v="1"/>
    <x v="3"/>
    <x v="19"/>
    <x v="1"/>
    <x v="2"/>
    <n v="0.37712871236556983"/>
  </r>
  <r>
    <x v="1"/>
    <x v="3"/>
    <x v="1"/>
    <x v="3"/>
    <x v="19"/>
    <x v="1"/>
    <x v="3"/>
    <n v="0.73360100054716881"/>
  </r>
  <r>
    <x v="1"/>
    <x v="3"/>
    <x v="1"/>
    <x v="3"/>
    <x v="19"/>
    <x v="1"/>
    <x v="4"/>
    <n v="1.3114491807027475"/>
  </r>
  <r>
    <x v="1"/>
    <x v="3"/>
    <x v="1"/>
    <x v="3"/>
    <x v="19"/>
    <x v="1"/>
    <x v="5"/>
    <n v="1.4499735165494896"/>
  </r>
  <r>
    <x v="1"/>
    <x v="3"/>
    <x v="1"/>
    <x v="3"/>
    <x v="19"/>
    <x v="1"/>
    <x v="6"/>
    <n v="1.3988112571246483"/>
  </r>
  <r>
    <x v="1"/>
    <x v="3"/>
    <x v="1"/>
    <x v="3"/>
    <x v="20"/>
    <x v="1"/>
    <x v="0"/>
    <n v="0.11388339683207969"/>
  </r>
  <r>
    <x v="1"/>
    <x v="3"/>
    <x v="1"/>
    <x v="3"/>
    <x v="20"/>
    <x v="1"/>
    <x v="1"/>
    <n v="0.34116992043248989"/>
  </r>
  <r>
    <x v="1"/>
    <x v="3"/>
    <x v="1"/>
    <x v="3"/>
    <x v="20"/>
    <x v="1"/>
    <x v="2"/>
    <n v="0.92641821772684174"/>
  </r>
  <r>
    <x v="1"/>
    <x v="3"/>
    <x v="1"/>
    <x v="3"/>
    <x v="20"/>
    <x v="1"/>
    <x v="3"/>
    <n v="2.469176981615417"/>
  </r>
  <r>
    <x v="1"/>
    <x v="3"/>
    <x v="1"/>
    <x v="3"/>
    <x v="20"/>
    <x v="1"/>
    <x v="4"/>
    <n v="6.0874723762101697"/>
  </r>
  <r>
    <x v="1"/>
    <x v="3"/>
    <x v="1"/>
    <x v="3"/>
    <x v="20"/>
    <x v="1"/>
    <x v="5"/>
    <n v="6.6283393397383898"/>
  </r>
  <r>
    <x v="1"/>
    <x v="3"/>
    <x v="1"/>
    <x v="3"/>
    <x v="20"/>
    <x v="1"/>
    <x v="6"/>
    <n v="6.2492070307363354"/>
  </r>
  <r>
    <x v="1"/>
    <x v="3"/>
    <x v="1"/>
    <x v="3"/>
    <x v="21"/>
    <x v="1"/>
    <x v="0"/>
    <n v="0.97418338061506338"/>
  </r>
  <r>
    <x v="1"/>
    <x v="3"/>
    <x v="1"/>
    <x v="3"/>
    <x v="21"/>
    <x v="1"/>
    <x v="1"/>
    <n v="2.0990344568804438"/>
  </r>
  <r>
    <x v="1"/>
    <x v="3"/>
    <x v="1"/>
    <x v="3"/>
    <x v="21"/>
    <x v="1"/>
    <x v="2"/>
    <n v="4.3622135137979567"/>
  </r>
  <r>
    <x v="1"/>
    <x v="3"/>
    <x v="1"/>
    <x v="3"/>
    <x v="21"/>
    <x v="1"/>
    <x v="3"/>
    <n v="8.5059570173538965"/>
  </r>
  <r>
    <x v="1"/>
    <x v="3"/>
    <x v="1"/>
    <x v="3"/>
    <x v="21"/>
    <x v="1"/>
    <x v="4"/>
    <n v="15.643666963314532"/>
  </r>
  <r>
    <x v="1"/>
    <x v="3"/>
    <x v="1"/>
    <x v="3"/>
    <x v="21"/>
    <x v="1"/>
    <x v="5"/>
    <n v="17.575260768887954"/>
  </r>
  <r>
    <x v="1"/>
    <x v="3"/>
    <x v="1"/>
    <x v="3"/>
    <x v="21"/>
    <x v="1"/>
    <x v="6"/>
    <n v="17.202501862762141"/>
  </r>
  <r>
    <x v="1"/>
    <x v="3"/>
    <x v="1"/>
    <x v="3"/>
    <x v="22"/>
    <x v="1"/>
    <x v="0"/>
    <n v="0"/>
  </r>
  <r>
    <x v="1"/>
    <x v="3"/>
    <x v="1"/>
    <x v="3"/>
    <x v="22"/>
    <x v="1"/>
    <x v="1"/>
    <n v="0"/>
  </r>
  <r>
    <x v="1"/>
    <x v="3"/>
    <x v="1"/>
    <x v="3"/>
    <x v="22"/>
    <x v="1"/>
    <x v="2"/>
    <n v="0"/>
  </r>
  <r>
    <x v="1"/>
    <x v="3"/>
    <x v="1"/>
    <x v="3"/>
    <x v="22"/>
    <x v="1"/>
    <x v="3"/>
    <n v="0"/>
  </r>
  <r>
    <x v="1"/>
    <x v="3"/>
    <x v="1"/>
    <x v="3"/>
    <x v="22"/>
    <x v="1"/>
    <x v="4"/>
    <n v="0"/>
  </r>
  <r>
    <x v="1"/>
    <x v="3"/>
    <x v="1"/>
    <x v="3"/>
    <x v="22"/>
    <x v="1"/>
    <x v="5"/>
    <n v="0"/>
  </r>
  <r>
    <x v="1"/>
    <x v="3"/>
    <x v="1"/>
    <x v="3"/>
    <x v="22"/>
    <x v="1"/>
    <x v="6"/>
    <n v="0"/>
  </r>
  <r>
    <x v="1"/>
    <x v="3"/>
    <x v="1"/>
    <x v="3"/>
    <x v="23"/>
    <x v="1"/>
    <x v="0"/>
    <n v="0"/>
  </r>
  <r>
    <x v="1"/>
    <x v="3"/>
    <x v="1"/>
    <x v="3"/>
    <x v="23"/>
    <x v="1"/>
    <x v="1"/>
    <n v="0"/>
  </r>
  <r>
    <x v="1"/>
    <x v="3"/>
    <x v="1"/>
    <x v="3"/>
    <x v="23"/>
    <x v="1"/>
    <x v="2"/>
    <n v="0"/>
  </r>
  <r>
    <x v="1"/>
    <x v="3"/>
    <x v="1"/>
    <x v="3"/>
    <x v="23"/>
    <x v="1"/>
    <x v="3"/>
    <n v="0"/>
  </r>
  <r>
    <x v="1"/>
    <x v="3"/>
    <x v="1"/>
    <x v="3"/>
    <x v="23"/>
    <x v="1"/>
    <x v="4"/>
    <n v="0"/>
  </r>
  <r>
    <x v="1"/>
    <x v="3"/>
    <x v="1"/>
    <x v="3"/>
    <x v="23"/>
    <x v="1"/>
    <x v="5"/>
    <n v="0"/>
  </r>
  <r>
    <x v="1"/>
    <x v="3"/>
    <x v="1"/>
    <x v="3"/>
    <x v="23"/>
    <x v="1"/>
    <x v="6"/>
    <n v="0"/>
  </r>
  <r>
    <x v="1"/>
    <x v="3"/>
    <x v="1"/>
    <x v="3"/>
    <x v="24"/>
    <x v="1"/>
    <x v="0"/>
    <n v="0"/>
  </r>
  <r>
    <x v="1"/>
    <x v="3"/>
    <x v="1"/>
    <x v="3"/>
    <x v="24"/>
    <x v="1"/>
    <x v="1"/>
    <n v="0"/>
  </r>
  <r>
    <x v="1"/>
    <x v="3"/>
    <x v="1"/>
    <x v="3"/>
    <x v="24"/>
    <x v="1"/>
    <x v="2"/>
    <n v="0"/>
  </r>
  <r>
    <x v="1"/>
    <x v="3"/>
    <x v="1"/>
    <x v="3"/>
    <x v="24"/>
    <x v="1"/>
    <x v="3"/>
    <n v="0"/>
  </r>
  <r>
    <x v="1"/>
    <x v="3"/>
    <x v="1"/>
    <x v="3"/>
    <x v="24"/>
    <x v="1"/>
    <x v="4"/>
    <n v="0"/>
  </r>
  <r>
    <x v="1"/>
    <x v="3"/>
    <x v="1"/>
    <x v="3"/>
    <x v="24"/>
    <x v="1"/>
    <x v="5"/>
    <n v="0"/>
  </r>
  <r>
    <x v="1"/>
    <x v="3"/>
    <x v="1"/>
    <x v="3"/>
    <x v="24"/>
    <x v="1"/>
    <x v="6"/>
    <n v="0"/>
  </r>
  <r>
    <x v="1"/>
    <x v="3"/>
    <x v="1"/>
    <x v="3"/>
    <x v="25"/>
    <x v="1"/>
    <x v="0"/>
    <n v="3.3343568388674067"/>
  </r>
  <r>
    <x v="1"/>
    <x v="3"/>
    <x v="1"/>
    <x v="3"/>
    <x v="25"/>
    <x v="1"/>
    <x v="1"/>
    <n v="7.8443819584900787"/>
  </r>
  <r>
    <x v="1"/>
    <x v="3"/>
    <x v="1"/>
    <x v="3"/>
    <x v="25"/>
    <x v="1"/>
    <x v="2"/>
    <n v="15.920767356412741"/>
  </r>
  <r>
    <x v="1"/>
    <x v="3"/>
    <x v="1"/>
    <x v="3"/>
    <x v="25"/>
    <x v="1"/>
    <x v="3"/>
    <n v="30.663267292481432"/>
  </r>
  <r>
    <x v="1"/>
    <x v="3"/>
    <x v="1"/>
    <x v="3"/>
    <x v="25"/>
    <x v="1"/>
    <x v="4"/>
    <n v="53.406571540525213"/>
  </r>
  <r>
    <x v="1"/>
    <x v="3"/>
    <x v="1"/>
    <x v="3"/>
    <x v="25"/>
    <x v="1"/>
    <x v="5"/>
    <n v="56.766287129820583"/>
  </r>
  <r>
    <x v="1"/>
    <x v="3"/>
    <x v="1"/>
    <x v="3"/>
    <x v="25"/>
    <x v="1"/>
    <x v="6"/>
    <n v="54.114981390142056"/>
  </r>
  <r>
    <x v="1"/>
    <x v="3"/>
    <x v="2"/>
    <x v="4"/>
    <x v="26"/>
    <x v="1"/>
    <x v="0"/>
    <n v="0"/>
  </r>
  <r>
    <x v="1"/>
    <x v="3"/>
    <x v="2"/>
    <x v="4"/>
    <x v="26"/>
    <x v="1"/>
    <x v="1"/>
    <n v="0"/>
  </r>
  <r>
    <x v="1"/>
    <x v="3"/>
    <x v="2"/>
    <x v="4"/>
    <x v="26"/>
    <x v="1"/>
    <x v="2"/>
    <n v="0"/>
  </r>
  <r>
    <x v="1"/>
    <x v="3"/>
    <x v="2"/>
    <x v="4"/>
    <x v="26"/>
    <x v="1"/>
    <x v="3"/>
    <n v="0"/>
  </r>
  <r>
    <x v="1"/>
    <x v="3"/>
    <x v="2"/>
    <x v="4"/>
    <x v="26"/>
    <x v="1"/>
    <x v="4"/>
    <n v="0"/>
  </r>
  <r>
    <x v="1"/>
    <x v="3"/>
    <x v="2"/>
    <x v="4"/>
    <x v="26"/>
    <x v="1"/>
    <x v="5"/>
    <n v="0"/>
  </r>
  <r>
    <x v="1"/>
    <x v="3"/>
    <x v="2"/>
    <x v="4"/>
    <x v="26"/>
    <x v="1"/>
    <x v="6"/>
    <n v="0"/>
  </r>
  <r>
    <x v="1"/>
    <x v="3"/>
    <x v="2"/>
    <x v="4"/>
    <x v="27"/>
    <x v="1"/>
    <x v="0"/>
    <n v="0"/>
  </r>
  <r>
    <x v="1"/>
    <x v="3"/>
    <x v="2"/>
    <x v="4"/>
    <x v="27"/>
    <x v="1"/>
    <x v="1"/>
    <n v="0"/>
  </r>
  <r>
    <x v="1"/>
    <x v="3"/>
    <x v="2"/>
    <x v="4"/>
    <x v="27"/>
    <x v="1"/>
    <x v="2"/>
    <n v="0"/>
  </r>
  <r>
    <x v="1"/>
    <x v="3"/>
    <x v="2"/>
    <x v="4"/>
    <x v="27"/>
    <x v="1"/>
    <x v="3"/>
    <n v="0"/>
  </r>
  <r>
    <x v="1"/>
    <x v="3"/>
    <x v="2"/>
    <x v="4"/>
    <x v="27"/>
    <x v="1"/>
    <x v="4"/>
    <n v="0"/>
  </r>
  <r>
    <x v="1"/>
    <x v="3"/>
    <x v="2"/>
    <x v="4"/>
    <x v="27"/>
    <x v="1"/>
    <x v="5"/>
    <n v="0"/>
  </r>
  <r>
    <x v="1"/>
    <x v="3"/>
    <x v="2"/>
    <x v="4"/>
    <x v="27"/>
    <x v="1"/>
    <x v="6"/>
    <n v="0"/>
  </r>
  <r>
    <x v="1"/>
    <x v="3"/>
    <x v="2"/>
    <x v="4"/>
    <x v="28"/>
    <x v="1"/>
    <x v="0"/>
    <n v="0"/>
  </r>
  <r>
    <x v="1"/>
    <x v="3"/>
    <x v="2"/>
    <x v="4"/>
    <x v="28"/>
    <x v="1"/>
    <x v="1"/>
    <n v="0"/>
  </r>
  <r>
    <x v="1"/>
    <x v="3"/>
    <x v="2"/>
    <x v="4"/>
    <x v="28"/>
    <x v="1"/>
    <x v="2"/>
    <n v="0"/>
  </r>
  <r>
    <x v="1"/>
    <x v="3"/>
    <x v="2"/>
    <x v="4"/>
    <x v="28"/>
    <x v="1"/>
    <x v="3"/>
    <n v="0"/>
  </r>
  <r>
    <x v="1"/>
    <x v="3"/>
    <x v="2"/>
    <x v="4"/>
    <x v="28"/>
    <x v="1"/>
    <x v="4"/>
    <n v="0"/>
  </r>
  <r>
    <x v="1"/>
    <x v="3"/>
    <x v="2"/>
    <x v="4"/>
    <x v="28"/>
    <x v="1"/>
    <x v="5"/>
    <n v="0"/>
  </r>
  <r>
    <x v="1"/>
    <x v="3"/>
    <x v="2"/>
    <x v="4"/>
    <x v="28"/>
    <x v="1"/>
    <x v="6"/>
    <n v="0"/>
  </r>
  <r>
    <x v="1"/>
    <x v="3"/>
    <x v="2"/>
    <x v="4"/>
    <x v="29"/>
    <x v="1"/>
    <x v="0"/>
    <n v="0"/>
  </r>
  <r>
    <x v="1"/>
    <x v="3"/>
    <x v="2"/>
    <x v="4"/>
    <x v="29"/>
    <x v="1"/>
    <x v="1"/>
    <n v="0"/>
  </r>
  <r>
    <x v="1"/>
    <x v="3"/>
    <x v="2"/>
    <x v="4"/>
    <x v="29"/>
    <x v="1"/>
    <x v="2"/>
    <n v="0"/>
  </r>
  <r>
    <x v="1"/>
    <x v="3"/>
    <x v="2"/>
    <x v="4"/>
    <x v="29"/>
    <x v="1"/>
    <x v="3"/>
    <n v="0"/>
  </r>
  <r>
    <x v="1"/>
    <x v="3"/>
    <x v="2"/>
    <x v="4"/>
    <x v="29"/>
    <x v="1"/>
    <x v="4"/>
    <n v="0"/>
  </r>
  <r>
    <x v="1"/>
    <x v="3"/>
    <x v="2"/>
    <x v="4"/>
    <x v="29"/>
    <x v="1"/>
    <x v="5"/>
    <n v="0"/>
  </r>
  <r>
    <x v="1"/>
    <x v="3"/>
    <x v="2"/>
    <x v="4"/>
    <x v="29"/>
    <x v="1"/>
    <x v="6"/>
    <n v="0"/>
  </r>
  <r>
    <x v="1"/>
    <x v="3"/>
    <x v="3"/>
    <x v="5"/>
    <x v="30"/>
    <x v="1"/>
    <x v="0"/>
    <n v="347.32187867256675"/>
  </r>
  <r>
    <x v="1"/>
    <x v="3"/>
    <x v="3"/>
    <x v="5"/>
    <x v="30"/>
    <x v="1"/>
    <x v="1"/>
    <n v="687.48437291466632"/>
  </r>
  <r>
    <x v="1"/>
    <x v="3"/>
    <x v="3"/>
    <x v="5"/>
    <x v="30"/>
    <x v="1"/>
    <x v="2"/>
    <n v="1635.8513498799177"/>
  </r>
  <r>
    <x v="1"/>
    <x v="3"/>
    <x v="3"/>
    <x v="5"/>
    <x v="30"/>
    <x v="1"/>
    <x v="3"/>
    <n v="2834.8895707182887"/>
  </r>
  <r>
    <x v="1"/>
    <x v="3"/>
    <x v="3"/>
    <x v="5"/>
    <x v="30"/>
    <x v="1"/>
    <x v="4"/>
    <n v="3228.3384765668743"/>
  </r>
  <r>
    <x v="1"/>
    <x v="3"/>
    <x v="3"/>
    <x v="5"/>
    <x v="30"/>
    <x v="1"/>
    <x v="5"/>
    <n v="3378.5385782432181"/>
  </r>
  <r>
    <x v="1"/>
    <x v="3"/>
    <x v="3"/>
    <x v="5"/>
    <x v="30"/>
    <x v="1"/>
    <x v="6"/>
    <n v="3418.9521933120823"/>
  </r>
  <r>
    <x v="1"/>
    <x v="3"/>
    <x v="2"/>
    <x v="4"/>
    <x v="31"/>
    <x v="1"/>
    <x v="0"/>
    <n v="52.857821523639089"/>
  </r>
  <r>
    <x v="1"/>
    <x v="3"/>
    <x v="2"/>
    <x v="4"/>
    <x v="31"/>
    <x v="1"/>
    <x v="1"/>
    <n v="115.4740827764337"/>
  </r>
  <r>
    <x v="1"/>
    <x v="3"/>
    <x v="2"/>
    <x v="4"/>
    <x v="31"/>
    <x v="1"/>
    <x v="2"/>
    <n v="206.42990851414623"/>
  </r>
  <r>
    <x v="1"/>
    <x v="3"/>
    <x v="2"/>
    <x v="4"/>
    <x v="31"/>
    <x v="1"/>
    <x v="3"/>
    <n v="363.59274484320696"/>
  </r>
  <r>
    <x v="1"/>
    <x v="3"/>
    <x v="2"/>
    <x v="4"/>
    <x v="31"/>
    <x v="1"/>
    <x v="4"/>
    <n v="417.48137008474902"/>
  </r>
  <r>
    <x v="1"/>
    <x v="3"/>
    <x v="2"/>
    <x v="4"/>
    <x v="31"/>
    <x v="1"/>
    <x v="5"/>
    <n v="372.23377213499992"/>
  </r>
  <r>
    <x v="1"/>
    <x v="3"/>
    <x v="2"/>
    <x v="4"/>
    <x v="31"/>
    <x v="1"/>
    <x v="6"/>
    <n v="124.08169970603292"/>
  </r>
  <r>
    <x v="1"/>
    <x v="3"/>
    <x v="2"/>
    <x v="4"/>
    <x v="32"/>
    <x v="1"/>
    <x v="0"/>
    <n v="1.7249394227789518"/>
  </r>
  <r>
    <x v="1"/>
    <x v="3"/>
    <x v="2"/>
    <x v="4"/>
    <x v="32"/>
    <x v="1"/>
    <x v="1"/>
    <n v="2.4946156362901561"/>
  </r>
  <r>
    <x v="1"/>
    <x v="3"/>
    <x v="2"/>
    <x v="4"/>
    <x v="32"/>
    <x v="1"/>
    <x v="2"/>
    <n v="3.6500861172873282"/>
  </r>
  <r>
    <x v="1"/>
    <x v="3"/>
    <x v="2"/>
    <x v="4"/>
    <x v="32"/>
    <x v="1"/>
    <x v="3"/>
    <n v="4.5473862311849178"/>
  </r>
  <r>
    <x v="1"/>
    <x v="3"/>
    <x v="2"/>
    <x v="4"/>
    <x v="32"/>
    <x v="1"/>
    <x v="4"/>
    <n v="4.904770755862554"/>
  </r>
  <r>
    <x v="1"/>
    <x v="3"/>
    <x v="2"/>
    <x v="4"/>
    <x v="32"/>
    <x v="1"/>
    <x v="5"/>
    <n v="5.1663824916729464"/>
  </r>
  <r>
    <x v="1"/>
    <x v="3"/>
    <x v="2"/>
    <x v="4"/>
    <x v="32"/>
    <x v="1"/>
    <x v="6"/>
    <n v="2.0085478776293142"/>
  </r>
  <r>
    <x v="1"/>
    <x v="3"/>
    <x v="2"/>
    <x v="4"/>
    <x v="33"/>
    <x v="1"/>
    <x v="0"/>
    <n v="0"/>
  </r>
  <r>
    <x v="1"/>
    <x v="3"/>
    <x v="2"/>
    <x v="4"/>
    <x v="33"/>
    <x v="1"/>
    <x v="1"/>
    <n v="0"/>
  </r>
  <r>
    <x v="1"/>
    <x v="3"/>
    <x v="2"/>
    <x v="4"/>
    <x v="33"/>
    <x v="1"/>
    <x v="2"/>
    <n v="0"/>
  </r>
  <r>
    <x v="1"/>
    <x v="3"/>
    <x v="2"/>
    <x v="4"/>
    <x v="33"/>
    <x v="1"/>
    <x v="3"/>
    <n v="0"/>
  </r>
  <r>
    <x v="1"/>
    <x v="3"/>
    <x v="2"/>
    <x v="4"/>
    <x v="33"/>
    <x v="1"/>
    <x v="4"/>
    <n v="0"/>
  </r>
  <r>
    <x v="1"/>
    <x v="3"/>
    <x v="2"/>
    <x v="4"/>
    <x v="33"/>
    <x v="1"/>
    <x v="5"/>
    <n v="0"/>
  </r>
  <r>
    <x v="1"/>
    <x v="3"/>
    <x v="2"/>
    <x v="4"/>
    <x v="33"/>
    <x v="1"/>
    <x v="6"/>
    <n v="0"/>
  </r>
  <r>
    <x v="1"/>
    <x v="3"/>
    <x v="2"/>
    <x v="4"/>
    <x v="34"/>
    <x v="1"/>
    <x v="0"/>
    <n v="265.16391184405774"/>
  </r>
  <r>
    <x v="1"/>
    <x v="3"/>
    <x v="2"/>
    <x v="4"/>
    <x v="34"/>
    <x v="1"/>
    <x v="1"/>
    <n v="457.13701398678751"/>
  </r>
  <r>
    <x v="1"/>
    <x v="3"/>
    <x v="2"/>
    <x v="4"/>
    <x v="34"/>
    <x v="1"/>
    <x v="2"/>
    <n v="756.52793511078664"/>
  </r>
  <r>
    <x v="1"/>
    <x v="3"/>
    <x v="2"/>
    <x v="4"/>
    <x v="34"/>
    <x v="1"/>
    <x v="3"/>
    <n v="1114.0006755027982"/>
  </r>
  <r>
    <x v="1"/>
    <x v="3"/>
    <x v="2"/>
    <x v="4"/>
    <x v="34"/>
    <x v="1"/>
    <x v="4"/>
    <n v="1133.5384407755014"/>
  </r>
  <r>
    <x v="1"/>
    <x v="3"/>
    <x v="2"/>
    <x v="4"/>
    <x v="34"/>
    <x v="1"/>
    <x v="5"/>
    <n v="924.62022781061978"/>
  </r>
  <r>
    <x v="1"/>
    <x v="3"/>
    <x v="2"/>
    <x v="4"/>
    <x v="34"/>
    <x v="1"/>
    <x v="6"/>
    <n v="283.15960661346736"/>
  </r>
  <r>
    <x v="1"/>
    <x v="3"/>
    <x v="2"/>
    <x v="6"/>
    <x v="35"/>
    <x v="1"/>
    <x v="0"/>
    <n v="0"/>
  </r>
  <r>
    <x v="1"/>
    <x v="3"/>
    <x v="2"/>
    <x v="6"/>
    <x v="35"/>
    <x v="1"/>
    <x v="1"/>
    <n v="0"/>
  </r>
  <r>
    <x v="1"/>
    <x v="3"/>
    <x v="2"/>
    <x v="6"/>
    <x v="35"/>
    <x v="1"/>
    <x v="2"/>
    <n v="0"/>
  </r>
  <r>
    <x v="1"/>
    <x v="3"/>
    <x v="2"/>
    <x v="6"/>
    <x v="35"/>
    <x v="1"/>
    <x v="3"/>
    <n v="0"/>
  </r>
  <r>
    <x v="1"/>
    <x v="3"/>
    <x v="2"/>
    <x v="6"/>
    <x v="35"/>
    <x v="1"/>
    <x v="4"/>
    <n v="0"/>
  </r>
  <r>
    <x v="1"/>
    <x v="3"/>
    <x v="2"/>
    <x v="6"/>
    <x v="35"/>
    <x v="1"/>
    <x v="5"/>
    <n v="0"/>
  </r>
  <r>
    <x v="1"/>
    <x v="3"/>
    <x v="2"/>
    <x v="6"/>
    <x v="35"/>
    <x v="1"/>
    <x v="6"/>
    <n v="0"/>
  </r>
  <r>
    <x v="1"/>
    <x v="3"/>
    <x v="2"/>
    <x v="6"/>
    <x v="36"/>
    <x v="1"/>
    <x v="0"/>
    <n v="0"/>
  </r>
  <r>
    <x v="1"/>
    <x v="3"/>
    <x v="2"/>
    <x v="6"/>
    <x v="36"/>
    <x v="1"/>
    <x v="1"/>
    <n v="0"/>
  </r>
  <r>
    <x v="1"/>
    <x v="3"/>
    <x v="2"/>
    <x v="6"/>
    <x v="36"/>
    <x v="1"/>
    <x v="2"/>
    <n v="0"/>
  </r>
  <r>
    <x v="1"/>
    <x v="3"/>
    <x v="2"/>
    <x v="6"/>
    <x v="36"/>
    <x v="1"/>
    <x v="3"/>
    <n v="0"/>
  </r>
  <r>
    <x v="1"/>
    <x v="3"/>
    <x v="2"/>
    <x v="6"/>
    <x v="36"/>
    <x v="1"/>
    <x v="4"/>
    <n v="0"/>
  </r>
  <r>
    <x v="1"/>
    <x v="3"/>
    <x v="2"/>
    <x v="6"/>
    <x v="36"/>
    <x v="1"/>
    <x v="5"/>
    <n v="0"/>
  </r>
  <r>
    <x v="1"/>
    <x v="3"/>
    <x v="2"/>
    <x v="6"/>
    <x v="36"/>
    <x v="1"/>
    <x v="6"/>
    <n v="0"/>
  </r>
  <r>
    <x v="1"/>
    <x v="3"/>
    <x v="2"/>
    <x v="6"/>
    <x v="37"/>
    <x v="1"/>
    <x v="0"/>
    <n v="0"/>
  </r>
  <r>
    <x v="1"/>
    <x v="3"/>
    <x v="2"/>
    <x v="6"/>
    <x v="37"/>
    <x v="1"/>
    <x v="1"/>
    <n v="0"/>
  </r>
  <r>
    <x v="1"/>
    <x v="3"/>
    <x v="2"/>
    <x v="6"/>
    <x v="37"/>
    <x v="1"/>
    <x v="2"/>
    <n v="0"/>
  </r>
  <r>
    <x v="1"/>
    <x v="3"/>
    <x v="2"/>
    <x v="6"/>
    <x v="37"/>
    <x v="1"/>
    <x v="3"/>
    <n v="0"/>
  </r>
  <r>
    <x v="1"/>
    <x v="3"/>
    <x v="2"/>
    <x v="6"/>
    <x v="37"/>
    <x v="1"/>
    <x v="4"/>
    <n v="0"/>
  </r>
  <r>
    <x v="1"/>
    <x v="3"/>
    <x v="2"/>
    <x v="6"/>
    <x v="37"/>
    <x v="1"/>
    <x v="5"/>
    <n v="0"/>
  </r>
  <r>
    <x v="1"/>
    <x v="3"/>
    <x v="2"/>
    <x v="6"/>
    <x v="37"/>
    <x v="1"/>
    <x v="6"/>
    <n v="0"/>
  </r>
  <r>
    <x v="1"/>
    <x v="3"/>
    <x v="2"/>
    <x v="6"/>
    <x v="38"/>
    <x v="1"/>
    <x v="0"/>
    <n v="4.8202393860390611"/>
  </r>
  <r>
    <x v="1"/>
    <x v="3"/>
    <x v="2"/>
    <x v="6"/>
    <x v="38"/>
    <x v="1"/>
    <x v="1"/>
    <n v="13.166569127943649"/>
  </r>
  <r>
    <x v="1"/>
    <x v="3"/>
    <x v="2"/>
    <x v="6"/>
    <x v="38"/>
    <x v="1"/>
    <x v="2"/>
    <n v="61.087841393338294"/>
  </r>
  <r>
    <x v="1"/>
    <x v="3"/>
    <x v="2"/>
    <x v="6"/>
    <x v="38"/>
    <x v="1"/>
    <x v="3"/>
    <n v="170.11682705877701"/>
  </r>
  <r>
    <x v="1"/>
    <x v="3"/>
    <x v="2"/>
    <x v="6"/>
    <x v="38"/>
    <x v="1"/>
    <x v="4"/>
    <n v="353.21125822115062"/>
  </r>
  <r>
    <x v="1"/>
    <x v="3"/>
    <x v="2"/>
    <x v="6"/>
    <x v="38"/>
    <x v="1"/>
    <x v="5"/>
    <n v="614.73603912729504"/>
  </r>
  <r>
    <x v="1"/>
    <x v="3"/>
    <x v="2"/>
    <x v="6"/>
    <x v="38"/>
    <x v="1"/>
    <x v="6"/>
    <n v="616.94856678702843"/>
  </r>
  <r>
    <x v="1"/>
    <x v="3"/>
    <x v="3"/>
    <x v="5"/>
    <x v="39"/>
    <x v="1"/>
    <x v="0"/>
    <n v="16.353781307264601"/>
  </r>
  <r>
    <x v="1"/>
    <x v="3"/>
    <x v="3"/>
    <x v="5"/>
    <x v="39"/>
    <x v="1"/>
    <x v="1"/>
    <n v="23.657625018681266"/>
  </r>
  <r>
    <x v="1"/>
    <x v="3"/>
    <x v="3"/>
    <x v="5"/>
    <x v="39"/>
    <x v="1"/>
    <x v="2"/>
    <n v="30.206518046555388"/>
  </r>
  <r>
    <x v="1"/>
    <x v="3"/>
    <x v="3"/>
    <x v="5"/>
    <x v="39"/>
    <x v="1"/>
    <x v="3"/>
    <n v="38.916280982813767"/>
  </r>
  <r>
    <x v="1"/>
    <x v="3"/>
    <x v="3"/>
    <x v="5"/>
    <x v="39"/>
    <x v="1"/>
    <x v="4"/>
    <n v="48.919203420331478"/>
  </r>
  <r>
    <x v="1"/>
    <x v="3"/>
    <x v="3"/>
    <x v="5"/>
    <x v="39"/>
    <x v="1"/>
    <x v="5"/>
    <n v="59.052115213899654"/>
  </r>
  <r>
    <x v="1"/>
    <x v="3"/>
    <x v="3"/>
    <x v="5"/>
    <x v="39"/>
    <x v="1"/>
    <x v="6"/>
    <n v="56.298468692127564"/>
  </r>
  <r>
    <x v="1"/>
    <x v="3"/>
    <x v="2"/>
    <x v="6"/>
    <x v="40"/>
    <x v="1"/>
    <x v="0"/>
    <n v="13.597476505894436"/>
  </r>
  <r>
    <x v="1"/>
    <x v="3"/>
    <x v="2"/>
    <x v="6"/>
    <x v="40"/>
    <x v="1"/>
    <x v="1"/>
    <n v="38.275589514115673"/>
  </r>
  <r>
    <x v="1"/>
    <x v="3"/>
    <x v="2"/>
    <x v="6"/>
    <x v="40"/>
    <x v="1"/>
    <x v="2"/>
    <n v="132.0921697735491"/>
  </r>
  <r>
    <x v="1"/>
    <x v="3"/>
    <x v="2"/>
    <x v="6"/>
    <x v="40"/>
    <x v="1"/>
    <x v="3"/>
    <n v="376.10842090721866"/>
  </r>
  <r>
    <x v="1"/>
    <x v="3"/>
    <x v="2"/>
    <x v="6"/>
    <x v="40"/>
    <x v="1"/>
    <x v="4"/>
    <n v="803.77989717388448"/>
  </r>
  <r>
    <x v="1"/>
    <x v="3"/>
    <x v="2"/>
    <x v="6"/>
    <x v="40"/>
    <x v="1"/>
    <x v="5"/>
    <n v="1198.2342395447242"/>
  </r>
  <r>
    <x v="1"/>
    <x v="3"/>
    <x v="2"/>
    <x v="6"/>
    <x v="40"/>
    <x v="1"/>
    <x v="6"/>
    <n v="1287.4517662879152"/>
  </r>
  <r>
    <x v="1"/>
    <x v="3"/>
    <x v="2"/>
    <x v="6"/>
    <x v="41"/>
    <x v="1"/>
    <x v="0"/>
    <n v="2.0904189360527705"/>
  </r>
  <r>
    <x v="1"/>
    <x v="3"/>
    <x v="2"/>
    <x v="6"/>
    <x v="41"/>
    <x v="1"/>
    <x v="1"/>
    <n v="5.8074287204344159"/>
  </r>
  <r>
    <x v="1"/>
    <x v="3"/>
    <x v="2"/>
    <x v="6"/>
    <x v="41"/>
    <x v="1"/>
    <x v="2"/>
    <n v="20.274760628742129"/>
  </r>
  <r>
    <x v="1"/>
    <x v="3"/>
    <x v="2"/>
    <x v="6"/>
    <x v="41"/>
    <x v="1"/>
    <x v="3"/>
    <n v="58.748166804847571"/>
  </r>
  <r>
    <x v="1"/>
    <x v="3"/>
    <x v="2"/>
    <x v="6"/>
    <x v="41"/>
    <x v="1"/>
    <x v="4"/>
    <n v="124.67739142168141"/>
  </r>
  <r>
    <x v="1"/>
    <x v="3"/>
    <x v="2"/>
    <x v="6"/>
    <x v="41"/>
    <x v="1"/>
    <x v="5"/>
    <n v="185.96336289623235"/>
  </r>
  <r>
    <x v="1"/>
    <x v="3"/>
    <x v="2"/>
    <x v="6"/>
    <x v="41"/>
    <x v="1"/>
    <x v="6"/>
    <n v="200.15003646009583"/>
  </r>
  <r>
    <x v="1"/>
    <x v="3"/>
    <x v="2"/>
    <x v="6"/>
    <x v="42"/>
    <x v="1"/>
    <x v="0"/>
    <n v="0"/>
  </r>
  <r>
    <x v="1"/>
    <x v="3"/>
    <x v="2"/>
    <x v="6"/>
    <x v="42"/>
    <x v="1"/>
    <x v="1"/>
    <n v="0"/>
  </r>
  <r>
    <x v="1"/>
    <x v="3"/>
    <x v="2"/>
    <x v="6"/>
    <x v="42"/>
    <x v="1"/>
    <x v="2"/>
    <n v="0"/>
  </r>
  <r>
    <x v="1"/>
    <x v="3"/>
    <x v="2"/>
    <x v="6"/>
    <x v="42"/>
    <x v="1"/>
    <x v="3"/>
    <n v="0"/>
  </r>
  <r>
    <x v="1"/>
    <x v="3"/>
    <x v="2"/>
    <x v="6"/>
    <x v="42"/>
    <x v="1"/>
    <x v="4"/>
    <n v="0"/>
  </r>
  <r>
    <x v="1"/>
    <x v="3"/>
    <x v="2"/>
    <x v="6"/>
    <x v="42"/>
    <x v="1"/>
    <x v="5"/>
    <n v="0"/>
  </r>
  <r>
    <x v="1"/>
    <x v="3"/>
    <x v="2"/>
    <x v="6"/>
    <x v="42"/>
    <x v="1"/>
    <x v="6"/>
    <n v="0"/>
  </r>
  <r>
    <x v="1"/>
    <x v="3"/>
    <x v="2"/>
    <x v="6"/>
    <x v="43"/>
    <x v="1"/>
    <x v="0"/>
    <n v="0"/>
  </r>
  <r>
    <x v="1"/>
    <x v="3"/>
    <x v="2"/>
    <x v="6"/>
    <x v="43"/>
    <x v="1"/>
    <x v="1"/>
    <n v="0"/>
  </r>
  <r>
    <x v="1"/>
    <x v="3"/>
    <x v="2"/>
    <x v="6"/>
    <x v="43"/>
    <x v="1"/>
    <x v="2"/>
    <n v="0"/>
  </r>
  <r>
    <x v="1"/>
    <x v="3"/>
    <x v="2"/>
    <x v="6"/>
    <x v="43"/>
    <x v="1"/>
    <x v="3"/>
    <n v="0"/>
  </r>
  <r>
    <x v="1"/>
    <x v="3"/>
    <x v="2"/>
    <x v="6"/>
    <x v="43"/>
    <x v="1"/>
    <x v="4"/>
    <n v="0"/>
  </r>
  <r>
    <x v="1"/>
    <x v="3"/>
    <x v="2"/>
    <x v="6"/>
    <x v="43"/>
    <x v="1"/>
    <x v="5"/>
    <n v="0"/>
  </r>
  <r>
    <x v="1"/>
    <x v="3"/>
    <x v="2"/>
    <x v="6"/>
    <x v="43"/>
    <x v="1"/>
    <x v="6"/>
    <n v="0"/>
  </r>
  <r>
    <x v="1"/>
    <x v="2"/>
    <x v="4"/>
    <x v="7"/>
    <x v="61"/>
    <x v="1"/>
    <x v="0"/>
    <n v="0"/>
  </r>
  <r>
    <x v="1"/>
    <x v="2"/>
    <x v="4"/>
    <x v="7"/>
    <x v="61"/>
    <x v="1"/>
    <x v="1"/>
    <n v="0"/>
  </r>
  <r>
    <x v="1"/>
    <x v="2"/>
    <x v="4"/>
    <x v="7"/>
    <x v="61"/>
    <x v="1"/>
    <x v="2"/>
    <n v="0"/>
  </r>
  <r>
    <x v="1"/>
    <x v="2"/>
    <x v="4"/>
    <x v="7"/>
    <x v="61"/>
    <x v="1"/>
    <x v="3"/>
    <n v="0"/>
  </r>
  <r>
    <x v="1"/>
    <x v="2"/>
    <x v="4"/>
    <x v="7"/>
    <x v="61"/>
    <x v="1"/>
    <x v="4"/>
    <n v="0"/>
  </r>
  <r>
    <x v="1"/>
    <x v="2"/>
    <x v="4"/>
    <x v="7"/>
    <x v="61"/>
    <x v="1"/>
    <x v="5"/>
    <n v="0"/>
  </r>
  <r>
    <x v="1"/>
    <x v="2"/>
    <x v="4"/>
    <x v="7"/>
    <x v="61"/>
    <x v="1"/>
    <x v="6"/>
    <n v="0"/>
  </r>
  <r>
    <x v="1"/>
    <x v="2"/>
    <x v="4"/>
    <x v="7"/>
    <x v="62"/>
    <x v="1"/>
    <x v="0"/>
    <n v="0"/>
  </r>
  <r>
    <x v="1"/>
    <x v="2"/>
    <x v="4"/>
    <x v="7"/>
    <x v="62"/>
    <x v="1"/>
    <x v="1"/>
    <n v="0"/>
  </r>
  <r>
    <x v="1"/>
    <x v="2"/>
    <x v="4"/>
    <x v="7"/>
    <x v="62"/>
    <x v="1"/>
    <x v="2"/>
    <n v="0"/>
  </r>
  <r>
    <x v="1"/>
    <x v="2"/>
    <x v="4"/>
    <x v="7"/>
    <x v="62"/>
    <x v="1"/>
    <x v="3"/>
    <n v="0"/>
  </r>
  <r>
    <x v="1"/>
    <x v="2"/>
    <x v="4"/>
    <x v="7"/>
    <x v="62"/>
    <x v="1"/>
    <x v="4"/>
    <n v="0"/>
  </r>
  <r>
    <x v="1"/>
    <x v="2"/>
    <x v="4"/>
    <x v="7"/>
    <x v="62"/>
    <x v="1"/>
    <x v="5"/>
    <n v="0"/>
  </r>
  <r>
    <x v="1"/>
    <x v="2"/>
    <x v="4"/>
    <x v="7"/>
    <x v="62"/>
    <x v="1"/>
    <x v="6"/>
    <n v="0"/>
  </r>
  <r>
    <x v="1"/>
    <x v="2"/>
    <x v="4"/>
    <x v="7"/>
    <x v="63"/>
    <x v="1"/>
    <x v="0"/>
    <n v="0"/>
  </r>
  <r>
    <x v="1"/>
    <x v="2"/>
    <x v="4"/>
    <x v="7"/>
    <x v="63"/>
    <x v="1"/>
    <x v="1"/>
    <n v="0"/>
  </r>
  <r>
    <x v="1"/>
    <x v="2"/>
    <x v="4"/>
    <x v="7"/>
    <x v="63"/>
    <x v="1"/>
    <x v="2"/>
    <n v="0"/>
  </r>
  <r>
    <x v="1"/>
    <x v="2"/>
    <x v="4"/>
    <x v="7"/>
    <x v="63"/>
    <x v="1"/>
    <x v="3"/>
    <n v="0"/>
  </r>
  <r>
    <x v="1"/>
    <x v="2"/>
    <x v="4"/>
    <x v="7"/>
    <x v="63"/>
    <x v="1"/>
    <x v="4"/>
    <n v="0"/>
  </r>
  <r>
    <x v="1"/>
    <x v="2"/>
    <x v="4"/>
    <x v="7"/>
    <x v="63"/>
    <x v="1"/>
    <x v="5"/>
    <n v="0"/>
  </r>
  <r>
    <x v="1"/>
    <x v="2"/>
    <x v="4"/>
    <x v="7"/>
    <x v="63"/>
    <x v="1"/>
    <x v="6"/>
    <n v="0"/>
  </r>
  <r>
    <x v="1"/>
    <x v="2"/>
    <x v="4"/>
    <x v="7"/>
    <x v="64"/>
    <x v="1"/>
    <x v="0"/>
    <n v="0"/>
  </r>
  <r>
    <x v="1"/>
    <x v="2"/>
    <x v="4"/>
    <x v="7"/>
    <x v="64"/>
    <x v="1"/>
    <x v="1"/>
    <n v="0"/>
  </r>
  <r>
    <x v="1"/>
    <x v="2"/>
    <x v="4"/>
    <x v="7"/>
    <x v="64"/>
    <x v="1"/>
    <x v="2"/>
    <n v="0"/>
  </r>
  <r>
    <x v="1"/>
    <x v="2"/>
    <x v="4"/>
    <x v="7"/>
    <x v="64"/>
    <x v="1"/>
    <x v="3"/>
    <n v="0"/>
  </r>
  <r>
    <x v="1"/>
    <x v="2"/>
    <x v="4"/>
    <x v="7"/>
    <x v="64"/>
    <x v="1"/>
    <x v="4"/>
    <n v="0"/>
  </r>
  <r>
    <x v="1"/>
    <x v="2"/>
    <x v="4"/>
    <x v="7"/>
    <x v="64"/>
    <x v="1"/>
    <x v="5"/>
    <n v="0"/>
  </r>
  <r>
    <x v="1"/>
    <x v="2"/>
    <x v="4"/>
    <x v="7"/>
    <x v="64"/>
    <x v="1"/>
    <x v="6"/>
    <n v="0"/>
  </r>
  <r>
    <x v="1"/>
    <x v="3"/>
    <x v="4"/>
    <x v="7"/>
    <x v="44"/>
    <x v="1"/>
    <x v="0"/>
    <n v="0"/>
  </r>
  <r>
    <x v="1"/>
    <x v="3"/>
    <x v="4"/>
    <x v="7"/>
    <x v="44"/>
    <x v="1"/>
    <x v="1"/>
    <n v="0"/>
  </r>
  <r>
    <x v="1"/>
    <x v="3"/>
    <x v="4"/>
    <x v="7"/>
    <x v="44"/>
    <x v="1"/>
    <x v="2"/>
    <n v="0"/>
  </r>
  <r>
    <x v="1"/>
    <x v="3"/>
    <x v="4"/>
    <x v="7"/>
    <x v="44"/>
    <x v="1"/>
    <x v="3"/>
    <n v="0"/>
  </r>
  <r>
    <x v="1"/>
    <x v="3"/>
    <x v="4"/>
    <x v="7"/>
    <x v="44"/>
    <x v="1"/>
    <x v="4"/>
    <n v="0"/>
  </r>
  <r>
    <x v="1"/>
    <x v="3"/>
    <x v="4"/>
    <x v="7"/>
    <x v="44"/>
    <x v="1"/>
    <x v="5"/>
    <n v="0"/>
  </r>
  <r>
    <x v="1"/>
    <x v="3"/>
    <x v="4"/>
    <x v="7"/>
    <x v="44"/>
    <x v="1"/>
    <x v="6"/>
    <n v="0"/>
  </r>
  <r>
    <x v="1"/>
    <x v="3"/>
    <x v="4"/>
    <x v="7"/>
    <x v="45"/>
    <x v="1"/>
    <x v="0"/>
    <n v="3.0280430429702695E-3"/>
  </r>
  <r>
    <x v="1"/>
    <x v="3"/>
    <x v="4"/>
    <x v="7"/>
    <x v="45"/>
    <x v="1"/>
    <x v="1"/>
    <n v="6.108869953359076E-3"/>
  </r>
  <r>
    <x v="1"/>
    <x v="3"/>
    <x v="4"/>
    <x v="7"/>
    <x v="45"/>
    <x v="1"/>
    <x v="2"/>
    <n v="1.3292576978852638E-2"/>
  </r>
  <r>
    <x v="1"/>
    <x v="3"/>
    <x v="4"/>
    <x v="7"/>
    <x v="45"/>
    <x v="1"/>
    <x v="3"/>
    <n v="2.8752267849800572E-2"/>
  </r>
  <r>
    <x v="1"/>
    <x v="3"/>
    <x v="4"/>
    <x v="7"/>
    <x v="45"/>
    <x v="1"/>
    <x v="4"/>
    <n v="6.1623195636892052E-2"/>
  </r>
  <r>
    <x v="1"/>
    <x v="3"/>
    <x v="4"/>
    <x v="7"/>
    <x v="45"/>
    <x v="1"/>
    <x v="5"/>
    <n v="0.11553311730092726"/>
  </r>
  <r>
    <x v="1"/>
    <x v="3"/>
    <x v="4"/>
    <x v="7"/>
    <x v="45"/>
    <x v="1"/>
    <x v="6"/>
    <n v="0.2138132488688457"/>
  </r>
  <r>
    <x v="1"/>
    <x v="3"/>
    <x v="4"/>
    <x v="7"/>
    <x v="46"/>
    <x v="1"/>
    <x v="0"/>
    <n v="0"/>
  </r>
  <r>
    <x v="1"/>
    <x v="3"/>
    <x v="4"/>
    <x v="7"/>
    <x v="46"/>
    <x v="1"/>
    <x v="1"/>
    <n v="0"/>
  </r>
  <r>
    <x v="1"/>
    <x v="3"/>
    <x v="4"/>
    <x v="7"/>
    <x v="46"/>
    <x v="1"/>
    <x v="2"/>
    <n v="0"/>
  </r>
  <r>
    <x v="1"/>
    <x v="3"/>
    <x v="4"/>
    <x v="7"/>
    <x v="46"/>
    <x v="1"/>
    <x v="3"/>
    <n v="0"/>
  </r>
  <r>
    <x v="1"/>
    <x v="3"/>
    <x v="4"/>
    <x v="7"/>
    <x v="46"/>
    <x v="1"/>
    <x v="4"/>
    <n v="0"/>
  </r>
  <r>
    <x v="1"/>
    <x v="3"/>
    <x v="4"/>
    <x v="7"/>
    <x v="46"/>
    <x v="1"/>
    <x v="5"/>
    <n v="0"/>
  </r>
  <r>
    <x v="1"/>
    <x v="3"/>
    <x v="4"/>
    <x v="7"/>
    <x v="46"/>
    <x v="1"/>
    <x v="6"/>
    <n v="0"/>
  </r>
  <r>
    <x v="1"/>
    <x v="3"/>
    <x v="5"/>
    <x v="8"/>
    <x v="51"/>
    <x v="1"/>
    <x v="0"/>
    <n v="0.60455941693187409"/>
  </r>
  <r>
    <x v="1"/>
    <x v="3"/>
    <x v="5"/>
    <x v="8"/>
    <x v="51"/>
    <x v="1"/>
    <x v="1"/>
    <n v="1.0893944600649936"/>
  </r>
  <r>
    <x v="1"/>
    <x v="3"/>
    <x v="5"/>
    <x v="8"/>
    <x v="51"/>
    <x v="1"/>
    <x v="2"/>
    <n v="2.1733085324666637"/>
  </r>
  <r>
    <x v="1"/>
    <x v="3"/>
    <x v="5"/>
    <x v="8"/>
    <x v="51"/>
    <x v="1"/>
    <x v="3"/>
    <n v="5.1209940916471464"/>
  </r>
  <r>
    <x v="1"/>
    <x v="3"/>
    <x v="5"/>
    <x v="8"/>
    <x v="51"/>
    <x v="1"/>
    <x v="4"/>
    <n v="8.6091763456636734"/>
  </r>
  <r>
    <x v="1"/>
    <x v="3"/>
    <x v="5"/>
    <x v="8"/>
    <x v="51"/>
    <x v="1"/>
    <x v="5"/>
    <n v="8.9155912154880781"/>
  </r>
  <r>
    <x v="1"/>
    <x v="3"/>
    <x v="5"/>
    <x v="8"/>
    <x v="51"/>
    <x v="1"/>
    <x v="6"/>
    <n v="6.1318899470736659"/>
  </r>
  <r>
    <x v="1"/>
    <x v="3"/>
    <x v="3"/>
    <x v="5"/>
    <x v="52"/>
    <x v="1"/>
    <x v="0"/>
    <n v="0"/>
  </r>
  <r>
    <x v="1"/>
    <x v="3"/>
    <x v="3"/>
    <x v="5"/>
    <x v="52"/>
    <x v="1"/>
    <x v="1"/>
    <n v="0"/>
  </r>
  <r>
    <x v="1"/>
    <x v="3"/>
    <x v="3"/>
    <x v="5"/>
    <x v="52"/>
    <x v="1"/>
    <x v="2"/>
    <n v="0"/>
  </r>
  <r>
    <x v="1"/>
    <x v="3"/>
    <x v="3"/>
    <x v="5"/>
    <x v="52"/>
    <x v="1"/>
    <x v="3"/>
    <n v="3.4068551096502878E-2"/>
  </r>
  <r>
    <x v="1"/>
    <x v="3"/>
    <x v="3"/>
    <x v="5"/>
    <x v="52"/>
    <x v="1"/>
    <x v="4"/>
    <n v="0.14716088145045603"/>
  </r>
  <r>
    <x v="1"/>
    <x v="3"/>
    <x v="3"/>
    <x v="5"/>
    <x v="52"/>
    <x v="1"/>
    <x v="5"/>
    <n v="0.35282199068929559"/>
  </r>
  <r>
    <x v="1"/>
    <x v="3"/>
    <x v="3"/>
    <x v="5"/>
    <x v="52"/>
    <x v="1"/>
    <x v="6"/>
    <n v="0"/>
  </r>
  <r>
    <x v="1"/>
    <x v="3"/>
    <x v="5"/>
    <x v="8"/>
    <x v="53"/>
    <x v="1"/>
    <x v="0"/>
    <n v="1.5812918538467644"/>
  </r>
  <r>
    <x v="1"/>
    <x v="3"/>
    <x v="5"/>
    <x v="8"/>
    <x v="53"/>
    <x v="1"/>
    <x v="1"/>
    <n v="4.5378408971486204"/>
  </r>
  <r>
    <x v="1"/>
    <x v="3"/>
    <x v="5"/>
    <x v="8"/>
    <x v="53"/>
    <x v="1"/>
    <x v="2"/>
    <n v="10.373075023110047"/>
  </r>
  <r>
    <x v="1"/>
    <x v="3"/>
    <x v="5"/>
    <x v="8"/>
    <x v="53"/>
    <x v="1"/>
    <x v="3"/>
    <n v="22.134048095158612"/>
  </r>
  <r>
    <x v="1"/>
    <x v="3"/>
    <x v="5"/>
    <x v="8"/>
    <x v="53"/>
    <x v="1"/>
    <x v="4"/>
    <n v="40.237701799646359"/>
  </r>
  <r>
    <x v="1"/>
    <x v="3"/>
    <x v="5"/>
    <x v="8"/>
    <x v="53"/>
    <x v="1"/>
    <x v="5"/>
    <n v="42.701701377467536"/>
  </r>
  <r>
    <x v="1"/>
    <x v="3"/>
    <x v="5"/>
    <x v="8"/>
    <x v="53"/>
    <x v="1"/>
    <x v="6"/>
    <n v="35.311286784458161"/>
  </r>
  <r>
    <x v="1"/>
    <x v="3"/>
    <x v="4"/>
    <x v="7"/>
    <x v="47"/>
    <x v="1"/>
    <x v="0"/>
    <n v="0"/>
  </r>
  <r>
    <x v="1"/>
    <x v="3"/>
    <x v="4"/>
    <x v="7"/>
    <x v="47"/>
    <x v="1"/>
    <x v="1"/>
    <n v="0"/>
  </r>
  <r>
    <x v="1"/>
    <x v="3"/>
    <x v="4"/>
    <x v="7"/>
    <x v="47"/>
    <x v="1"/>
    <x v="2"/>
    <n v="0"/>
  </r>
  <r>
    <x v="1"/>
    <x v="3"/>
    <x v="4"/>
    <x v="7"/>
    <x v="47"/>
    <x v="1"/>
    <x v="3"/>
    <n v="0"/>
  </r>
  <r>
    <x v="1"/>
    <x v="3"/>
    <x v="4"/>
    <x v="7"/>
    <x v="47"/>
    <x v="1"/>
    <x v="4"/>
    <n v="0"/>
  </r>
  <r>
    <x v="1"/>
    <x v="3"/>
    <x v="4"/>
    <x v="7"/>
    <x v="47"/>
    <x v="1"/>
    <x v="5"/>
    <n v="0"/>
  </r>
  <r>
    <x v="1"/>
    <x v="3"/>
    <x v="4"/>
    <x v="7"/>
    <x v="47"/>
    <x v="1"/>
    <x v="6"/>
    <n v="0"/>
  </r>
  <r>
    <x v="1"/>
    <x v="3"/>
    <x v="4"/>
    <x v="7"/>
    <x v="48"/>
    <x v="1"/>
    <x v="0"/>
    <n v="0"/>
  </r>
  <r>
    <x v="1"/>
    <x v="3"/>
    <x v="4"/>
    <x v="7"/>
    <x v="48"/>
    <x v="1"/>
    <x v="1"/>
    <n v="0"/>
  </r>
  <r>
    <x v="1"/>
    <x v="3"/>
    <x v="4"/>
    <x v="7"/>
    <x v="48"/>
    <x v="1"/>
    <x v="2"/>
    <n v="0"/>
  </r>
  <r>
    <x v="1"/>
    <x v="3"/>
    <x v="4"/>
    <x v="7"/>
    <x v="48"/>
    <x v="1"/>
    <x v="3"/>
    <n v="0"/>
  </r>
  <r>
    <x v="1"/>
    <x v="3"/>
    <x v="4"/>
    <x v="7"/>
    <x v="48"/>
    <x v="1"/>
    <x v="4"/>
    <n v="0"/>
  </r>
  <r>
    <x v="1"/>
    <x v="3"/>
    <x v="4"/>
    <x v="7"/>
    <x v="48"/>
    <x v="1"/>
    <x v="5"/>
    <n v="0"/>
  </r>
  <r>
    <x v="1"/>
    <x v="3"/>
    <x v="4"/>
    <x v="7"/>
    <x v="48"/>
    <x v="1"/>
    <x v="6"/>
    <n v="0"/>
  </r>
  <r>
    <x v="1"/>
    <x v="3"/>
    <x v="4"/>
    <x v="7"/>
    <x v="49"/>
    <x v="1"/>
    <x v="0"/>
    <n v="0"/>
  </r>
  <r>
    <x v="1"/>
    <x v="3"/>
    <x v="4"/>
    <x v="7"/>
    <x v="49"/>
    <x v="1"/>
    <x v="1"/>
    <n v="0"/>
  </r>
  <r>
    <x v="1"/>
    <x v="3"/>
    <x v="4"/>
    <x v="7"/>
    <x v="49"/>
    <x v="1"/>
    <x v="2"/>
    <n v="0"/>
  </r>
  <r>
    <x v="1"/>
    <x v="3"/>
    <x v="4"/>
    <x v="7"/>
    <x v="49"/>
    <x v="1"/>
    <x v="3"/>
    <n v="0"/>
  </r>
  <r>
    <x v="1"/>
    <x v="3"/>
    <x v="4"/>
    <x v="7"/>
    <x v="49"/>
    <x v="1"/>
    <x v="4"/>
    <n v="0"/>
  </r>
  <r>
    <x v="1"/>
    <x v="3"/>
    <x v="4"/>
    <x v="7"/>
    <x v="49"/>
    <x v="1"/>
    <x v="5"/>
    <n v="0"/>
  </r>
  <r>
    <x v="1"/>
    <x v="3"/>
    <x v="4"/>
    <x v="7"/>
    <x v="49"/>
    <x v="1"/>
    <x v="6"/>
    <n v="0"/>
  </r>
  <r>
    <x v="1"/>
    <x v="3"/>
    <x v="4"/>
    <x v="7"/>
    <x v="50"/>
    <x v="1"/>
    <x v="0"/>
    <n v="0"/>
  </r>
  <r>
    <x v="1"/>
    <x v="3"/>
    <x v="4"/>
    <x v="7"/>
    <x v="50"/>
    <x v="1"/>
    <x v="1"/>
    <n v="0"/>
  </r>
  <r>
    <x v="1"/>
    <x v="3"/>
    <x v="4"/>
    <x v="7"/>
    <x v="50"/>
    <x v="1"/>
    <x v="2"/>
    <n v="0"/>
  </r>
  <r>
    <x v="1"/>
    <x v="3"/>
    <x v="4"/>
    <x v="7"/>
    <x v="50"/>
    <x v="1"/>
    <x v="3"/>
    <n v="0"/>
  </r>
  <r>
    <x v="1"/>
    <x v="3"/>
    <x v="4"/>
    <x v="7"/>
    <x v="50"/>
    <x v="1"/>
    <x v="4"/>
    <n v="0"/>
  </r>
  <r>
    <x v="1"/>
    <x v="3"/>
    <x v="4"/>
    <x v="7"/>
    <x v="50"/>
    <x v="1"/>
    <x v="5"/>
    <n v="0"/>
  </r>
  <r>
    <x v="1"/>
    <x v="3"/>
    <x v="4"/>
    <x v="7"/>
    <x v="50"/>
    <x v="1"/>
    <x v="6"/>
    <n v="0"/>
  </r>
  <r>
    <x v="1"/>
    <x v="3"/>
    <x v="4"/>
    <x v="7"/>
    <x v="54"/>
    <x v="1"/>
    <x v="0"/>
    <n v="0"/>
  </r>
  <r>
    <x v="1"/>
    <x v="3"/>
    <x v="4"/>
    <x v="7"/>
    <x v="54"/>
    <x v="1"/>
    <x v="1"/>
    <n v="0"/>
  </r>
  <r>
    <x v="1"/>
    <x v="3"/>
    <x v="4"/>
    <x v="7"/>
    <x v="54"/>
    <x v="1"/>
    <x v="2"/>
    <n v="0"/>
  </r>
  <r>
    <x v="1"/>
    <x v="3"/>
    <x v="4"/>
    <x v="7"/>
    <x v="54"/>
    <x v="1"/>
    <x v="3"/>
    <n v="0"/>
  </r>
  <r>
    <x v="1"/>
    <x v="3"/>
    <x v="4"/>
    <x v="7"/>
    <x v="54"/>
    <x v="1"/>
    <x v="4"/>
    <n v="0"/>
  </r>
  <r>
    <x v="1"/>
    <x v="3"/>
    <x v="4"/>
    <x v="7"/>
    <x v="54"/>
    <x v="1"/>
    <x v="5"/>
    <n v="0"/>
  </r>
  <r>
    <x v="1"/>
    <x v="3"/>
    <x v="4"/>
    <x v="7"/>
    <x v="54"/>
    <x v="1"/>
    <x v="6"/>
    <n v="0"/>
  </r>
  <r>
    <x v="1"/>
    <x v="3"/>
    <x v="4"/>
    <x v="7"/>
    <x v="55"/>
    <x v="1"/>
    <x v="0"/>
    <n v="7.0704627708495522E-3"/>
  </r>
  <r>
    <x v="1"/>
    <x v="3"/>
    <x v="4"/>
    <x v="7"/>
    <x v="55"/>
    <x v="1"/>
    <x v="1"/>
    <n v="2.1573184975898985E-2"/>
  </r>
  <r>
    <x v="1"/>
    <x v="3"/>
    <x v="4"/>
    <x v="7"/>
    <x v="55"/>
    <x v="1"/>
    <x v="2"/>
    <n v="6.5908827366851885E-2"/>
  </r>
  <r>
    <x v="1"/>
    <x v="3"/>
    <x v="4"/>
    <x v="7"/>
    <x v="55"/>
    <x v="1"/>
    <x v="3"/>
    <n v="0.19739981733532697"/>
  </r>
  <r>
    <x v="1"/>
    <x v="3"/>
    <x v="4"/>
    <x v="7"/>
    <x v="55"/>
    <x v="1"/>
    <x v="4"/>
    <n v="0.58013669234408394"/>
  </r>
  <r>
    <x v="1"/>
    <x v="3"/>
    <x v="4"/>
    <x v="7"/>
    <x v="55"/>
    <x v="1"/>
    <x v="5"/>
    <n v="1.3668999866508857"/>
  </r>
  <r>
    <x v="1"/>
    <x v="3"/>
    <x v="4"/>
    <x v="7"/>
    <x v="55"/>
    <x v="1"/>
    <x v="6"/>
    <n v="3.1068730840218977"/>
  </r>
  <r>
    <x v="1"/>
    <x v="3"/>
    <x v="4"/>
    <x v="7"/>
    <x v="56"/>
    <x v="1"/>
    <x v="0"/>
    <n v="0"/>
  </r>
  <r>
    <x v="1"/>
    <x v="3"/>
    <x v="4"/>
    <x v="7"/>
    <x v="56"/>
    <x v="1"/>
    <x v="1"/>
    <n v="0"/>
  </r>
  <r>
    <x v="1"/>
    <x v="3"/>
    <x v="4"/>
    <x v="7"/>
    <x v="56"/>
    <x v="1"/>
    <x v="2"/>
    <n v="0"/>
  </r>
  <r>
    <x v="1"/>
    <x v="3"/>
    <x v="4"/>
    <x v="7"/>
    <x v="56"/>
    <x v="1"/>
    <x v="3"/>
    <n v="0"/>
  </r>
  <r>
    <x v="1"/>
    <x v="3"/>
    <x v="4"/>
    <x v="7"/>
    <x v="56"/>
    <x v="1"/>
    <x v="4"/>
    <n v="0"/>
  </r>
  <r>
    <x v="1"/>
    <x v="3"/>
    <x v="4"/>
    <x v="7"/>
    <x v="56"/>
    <x v="1"/>
    <x v="5"/>
    <n v="0"/>
  </r>
  <r>
    <x v="1"/>
    <x v="3"/>
    <x v="4"/>
    <x v="7"/>
    <x v="56"/>
    <x v="1"/>
    <x v="6"/>
    <n v="0"/>
  </r>
  <r>
    <x v="1"/>
    <x v="3"/>
    <x v="4"/>
    <x v="7"/>
    <x v="57"/>
    <x v="1"/>
    <x v="0"/>
    <n v="0"/>
  </r>
  <r>
    <x v="1"/>
    <x v="3"/>
    <x v="4"/>
    <x v="7"/>
    <x v="57"/>
    <x v="1"/>
    <x v="1"/>
    <n v="0"/>
  </r>
  <r>
    <x v="1"/>
    <x v="3"/>
    <x v="4"/>
    <x v="7"/>
    <x v="57"/>
    <x v="1"/>
    <x v="2"/>
    <n v="0"/>
  </r>
  <r>
    <x v="1"/>
    <x v="3"/>
    <x v="4"/>
    <x v="7"/>
    <x v="57"/>
    <x v="1"/>
    <x v="3"/>
    <n v="0"/>
  </r>
  <r>
    <x v="1"/>
    <x v="3"/>
    <x v="4"/>
    <x v="7"/>
    <x v="57"/>
    <x v="1"/>
    <x v="4"/>
    <n v="0"/>
  </r>
  <r>
    <x v="1"/>
    <x v="3"/>
    <x v="4"/>
    <x v="7"/>
    <x v="57"/>
    <x v="1"/>
    <x v="5"/>
    <n v="0"/>
  </r>
  <r>
    <x v="1"/>
    <x v="3"/>
    <x v="4"/>
    <x v="7"/>
    <x v="57"/>
    <x v="1"/>
    <x v="6"/>
    <n v="0"/>
  </r>
  <r>
    <x v="1"/>
    <x v="3"/>
    <x v="4"/>
    <x v="7"/>
    <x v="58"/>
    <x v="1"/>
    <x v="0"/>
    <n v="0"/>
  </r>
  <r>
    <x v="1"/>
    <x v="3"/>
    <x v="4"/>
    <x v="7"/>
    <x v="58"/>
    <x v="1"/>
    <x v="1"/>
    <n v="0"/>
  </r>
  <r>
    <x v="1"/>
    <x v="3"/>
    <x v="4"/>
    <x v="7"/>
    <x v="58"/>
    <x v="1"/>
    <x v="2"/>
    <n v="0"/>
  </r>
  <r>
    <x v="1"/>
    <x v="3"/>
    <x v="4"/>
    <x v="7"/>
    <x v="58"/>
    <x v="1"/>
    <x v="3"/>
    <n v="0"/>
  </r>
  <r>
    <x v="1"/>
    <x v="3"/>
    <x v="4"/>
    <x v="7"/>
    <x v="58"/>
    <x v="1"/>
    <x v="4"/>
    <n v="0"/>
  </r>
  <r>
    <x v="1"/>
    <x v="3"/>
    <x v="4"/>
    <x v="7"/>
    <x v="58"/>
    <x v="1"/>
    <x v="5"/>
    <n v="0"/>
  </r>
  <r>
    <x v="1"/>
    <x v="3"/>
    <x v="4"/>
    <x v="7"/>
    <x v="58"/>
    <x v="1"/>
    <x v="6"/>
    <n v="0"/>
  </r>
  <r>
    <x v="1"/>
    <x v="3"/>
    <x v="4"/>
    <x v="7"/>
    <x v="59"/>
    <x v="1"/>
    <x v="0"/>
    <n v="0"/>
  </r>
  <r>
    <x v="1"/>
    <x v="3"/>
    <x v="4"/>
    <x v="7"/>
    <x v="59"/>
    <x v="1"/>
    <x v="1"/>
    <n v="0"/>
  </r>
  <r>
    <x v="1"/>
    <x v="3"/>
    <x v="4"/>
    <x v="7"/>
    <x v="59"/>
    <x v="1"/>
    <x v="2"/>
    <n v="0"/>
  </r>
  <r>
    <x v="1"/>
    <x v="3"/>
    <x v="4"/>
    <x v="7"/>
    <x v="59"/>
    <x v="1"/>
    <x v="3"/>
    <n v="0"/>
  </r>
  <r>
    <x v="1"/>
    <x v="3"/>
    <x v="4"/>
    <x v="7"/>
    <x v="59"/>
    <x v="1"/>
    <x v="4"/>
    <n v="0"/>
  </r>
  <r>
    <x v="1"/>
    <x v="3"/>
    <x v="4"/>
    <x v="7"/>
    <x v="59"/>
    <x v="1"/>
    <x v="5"/>
    <n v="0"/>
  </r>
  <r>
    <x v="1"/>
    <x v="3"/>
    <x v="4"/>
    <x v="7"/>
    <x v="59"/>
    <x v="1"/>
    <x v="6"/>
    <n v="0"/>
  </r>
  <r>
    <x v="1"/>
    <x v="3"/>
    <x v="4"/>
    <x v="7"/>
    <x v="60"/>
    <x v="1"/>
    <x v="0"/>
    <n v="0"/>
  </r>
  <r>
    <x v="1"/>
    <x v="3"/>
    <x v="4"/>
    <x v="7"/>
    <x v="60"/>
    <x v="1"/>
    <x v="1"/>
    <n v="0"/>
  </r>
  <r>
    <x v="1"/>
    <x v="3"/>
    <x v="4"/>
    <x v="7"/>
    <x v="60"/>
    <x v="1"/>
    <x v="2"/>
    <n v="0"/>
  </r>
  <r>
    <x v="1"/>
    <x v="3"/>
    <x v="4"/>
    <x v="7"/>
    <x v="60"/>
    <x v="1"/>
    <x v="3"/>
    <n v="0"/>
  </r>
  <r>
    <x v="1"/>
    <x v="3"/>
    <x v="4"/>
    <x v="7"/>
    <x v="60"/>
    <x v="1"/>
    <x v="4"/>
    <n v="0"/>
  </r>
  <r>
    <x v="1"/>
    <x v="3"/>
    <x v="4"/>
    <x v="7"/>
    <x v="60"/>
    <x v="1"/>
    <x v="5"/>
    <n v="0"/>
  </r>
  <r>
    <x v="1"/>
    <x v="3"/>
    <x v="4"/>
    <x v="7"/>
    <x v="60"/>
    <x v="1"/>
    <x v="6"/>
    <n v="0"/>
  </r>
  <r>
    <x v="1"/>
    <x v="3"/>
    <x v="3"/>
    <x v="5"/>
    <x v="65"/>
    <x v="1"/>
    <x v="0"/>
    <n v="453.22760125620994"/>
  </r>
  <r>
    <x v="1"/>
    <x v="3"/>
    <x v="3"/>
    <x v="5"/>
    <x v="65"/>
    <x v="1"/>
    <x v="1"/>
    <n v="709.81012644207283"/>
  </r>
  <r>
    <x v="1"/>
    <x v="3"/>
    <x v="3"/>
    <x v="5"/>
    <x v="65"/>
    <x v="1"/>
    <x v="2"/>
    <n v="1151.570391874385"/>
  </r>
  <r>
    <x v="1"/>
    <x v="3"/>
    <x v="3"/>
    <x v="5"/>
    <x v="65"/>
    <x v="1"/>
    <x v="3"/>
    <n v="1740.3356061595803"/>
  </r>
  <r>
    <x v="1"/>
    <x v="3"/>
    <x v="3"/>
    <x v="5"/>
    <x v="65"/>
    <x v="1"/>
    <x v="4"/>
    <n v="2627.0783859864564"/>
  </r>
  <r>
    <x v="1"/>
    <x v="3"/>
    <x v="3"/>
    <x v="5"/>
    <x v="65"/>
    <x v="1"/>
    <x v="5"/>
    <n v="3662.6694084621126"/>
  </r>
  <r>
    <x v="1"/>
    <x v="3"/>
    <x v="3"/>
    <x v="5"/>
    <x v="65"/>
    <x v="1"/>
    <x v="6"/>
    <n v="4064.6085485434764"/>
  </r>
  <r>
    <x v="1"/>
    <x v="3"/>
    <x v="3"/>
    <x v="5"/>
    <x v="66"/>
    <x v="1"/>
    <x v="0"/>
    <n v="0"/>
  </r>
  <r>
    <x v="1"/>
    <x v="3"/>
    <x v="3"/>
    <x v="5"/>
    <x v="66"/>
    <x v="1"/>
    <x v="1"/>
    <n v="0"/>
  </r>
  <r>
    <x v="1"/>
    <x v="3"/>
    <x v="3"/>
    <x v="5"/>
    <x v="66"/>
    <x v="1"/>
    <x v="2"/>
    <n v="0"/>
  </r>
  <r>
    <x v="1"/>
    <x v="3"/>
    <x v="3"/>
    <x v="5"/>
    <x v="66"/>
    <x v="1"/>
    <x v="3"/>
    <n v="0"/>
  </r>
  <r>
    <x v="1"/>
    <x v="3"/>
    <x v="3"/>
    <x v="5"/>
    <x v="66"/>
    <x v="1"/>
    <x v="4"/>
    <n v="0"/>
  </r>
  <r>
    <x v="1"/>
    <x v="3"/>
    <x v="3"/>
    <x v="5"/>
    <x v="66"/>
    <x v="1"/>
    <x v="5"/>
    <n v="0"/>
  </r>
  <r>
    <x v="1"/>
    <x v="3"/>
    <x v="3"/>
    <x v="5"/>
    <x v="66"/>
    <x v="1"/>
    <x v="6"/>
    <n v="0"/>
  </r>
  <r>
    <x v="1"/>
    <x v="3"/>
    <x v="3"/>
    <x v="5"/>
    <x v="67"/>
    <x v="1"/>
    <x v="0"/>
    <n v="0"/>
  </r>
  <r>
    <x v="1"/>
    <x v="3"/>
    <x v="3"/>
    <x v="5"/>
    <x v="67"/>
    <x v="1"/>
    <x v="1"/>
    <n v="0"/>
  </r>
  <r>
    <x v="1"/>
    <x v="3"/>
    <x v="3"/>
    <x v="5"/>
    <x v="67"/>
    <x v="1"/>
    <x v="2"/>
    <n v="0"/>
  </r>
  <r>
    <x v="1"/>
    <x v="3"/>
    <x v="3"/>
    <x v="5"/>
    <x v="67"/>
    <x v="1"/>
    <x v="3"/>
    <n v="0"/>
  </r>
  <r>
    <x v="1"/>
    <x v="3"/>
    <x v="3"/>
    <x v="5"/>
    <x v="67"/>
    <x v="1"/>
    <x v="4"/>
    <n v="0"/>
  </r>
  <r>
    <x v="1"/>
    <x v="3"/>
    <x v="3"/>
    <x v="5"/>
    <x v="67"/>
    <x v="1"/>
    <x v="5"/>
    <n v="0"/>
  </r>
  <r>
    <x v="1"/>
    <x v="3"/>
    <x v="3"/>
    <x v="5"/>
    <x v="67"/>
    <x v="1"/>
    <x v="6"/>
    <n v="0"/>
  </r>
  <r>
    <x v="1"/>
    <x v="3"/>
    <x v="3"/>
    <x v="5"/>
    <x v="68"/>
    <x v="1"/>
    <x v="0"/>
    <n v="0"/>
  </r>
  <r>
    <x v="1"/>
    <x v="3"/>
    <x v="3"/>
    <x v="5"/>
    <x v="68"/>
    <x v="1"/>
    <x v="1"/>
    <n v="0"/>
  </r>
  <r>
    <x v="1"/>
    <x v="3"/>
    <x v="3"/>
    <x v="5"/>
    <x v="68"/>
    <x v="1"/>
    <x v="2"/>
    <n v="0"/>
  </r>
  <r>
    <x v="1"/>
    <x v="3"/>
    <x v="3"/>
    <x v="5"/>
    <x v="68"/>
    <x v="1"/>
    <x v="3"/>
    <n v="0"/>
  </r>
  <r>
    <x v="1"/>
    <x v="3"/>
    <x v="3"/>
    <x v="5"/>
    <x v="68"/>
    <x v="1"/>
    <x v="4"/>
    <n v="0"/>
  </r>
  <r>
    <x v="1"/>
    <x v="3"/>
    <x v="3"/>
    <x v="5"/>
    <x v="68"/>
    <x v="1"/>
    <x v="5"/>
    <n v="0"/>
  </r>
  <r>
    <x v="1"/>
    <x v="3"/>
    <x v="3"/>
    <x v="5"/>
    <x v="68"/>
    <x v="1"/>
    <x v="6"/>
    <n v="0"/>
  </r>
  <r>
    <x v="1"/>
    <x v="3"/>
    <x v="3"/>
    <x v="5"/>
    <x v="69"/>
    <x v="1"/>
    <x v="0"/>
    <n v="20.259346988539871"/>
  </r>
  <r>
    <x v="1"/>
    <x v="3"/>
    <x v="3"/>
    <x v="5"/>
    <x v="69"/>
    <x v="1"/>
    <x v="1"/>
    <n v="39.903529591523139"/>
  </r>
  <r>
    <x v="1"/>
    <x v="3"/>
    <x v="3"/>
    <x v="5"/>
    <x v="69"/>
    <x v="1"/>
    <x v="2"/>
    <n v="82.650731572728446"/>
  </r>
  <r>
    <x v="1"/>
    <x v="3"/>
    <x v="3"/>
    <x v="5"/>
    <x v="69"/>
    <x v="1"/>
    <x v="3"/>
    <n v="152.70783953031332"/>
  </r>
  <r>
    <x v="1"/>
    <x v="3"/>
    <x v="3"/>
    <x v="5"/>
    <x v="69"/>
    <x v="1"/>
    <x v="4"/>
    <n v="260.54245471382563"/>
  </r>
  <r>
    <x v="1"/>
    <x v="3"/>
    <x v="3"/>
    <x v="5"/>
    <x v="69"/>
    <x v="1"/>
    <x v="5"/>
    <n v="281.60599005883415"/>
  </r>
  <r>
    <x v="1"/>
    <x v="3"/>
    <x v="3"/>
    <x v="5"/>
    <x v="69"/>
    <x v="1"/>
    <x v="6"/>
    <n v="246.122666178489"/>
  </r>
  <r>
    <x v="1"/>
    <x v="3"/>
    <x v="3"/>
    <x v="5"/>
    <x v="70"/>
    <x v="1"/>
    <x v="0"/>
    <n v="0"/>
  </r>
  <r>
    <x v="1"/>
    <x v="3"/>
    <x v="3"/>
    <x v="5"/>
    <x v="70"/>
    <x v="1"/>
    <x v="1"/>
    <n v="0"/>
  </r>
  <r>
    <x v="1"/>
    <x v="3"/>
    <x v="3"/>
    <x v="5"/>
    <x v="70"/>
    <x v="1"/>
    <x v="2"/>
    <n v="0"/>
  </r>
  <r>
    <x v="1"/>
    <x v="3"/>
    <x v="3"/>
    <x v="5"/>
    <x v="70"/>
    <x v="1"/>
    <x v="3"/>
    <n v="0"/>
  </r>
  <r>
    <x v="1"/>
    <x v="3"/>
    <x v="3"/>
    <x v="5"/>
    <x v="70"/>
    <x v="1"/>
    <x v="4"/>
    <n v="0"/>
  </r>
  <r>
    <x v="1"/>
    <x v="3"/>
    <x v="3"/>
    <x v="5"/>
    <x v="70"/>
    <x v="1"/>
    <x v="5"/>
    <n v="0"/>
  </r>
  <r>
    <x v="1"/>
    <x v="3"/>
    <x v="3"/>
    <x v="5"/>
    <x v="70"/>
    <x v="1"/>
    <x v="6"/>
    <n v="0"/>
  </r>
  <r>
    <x v="1"/>
    <x v="3"/>
    <x v="3"/>
    <x v="5"/>
    <x v="71"/>
    <x v="1"/>
    <x v="0"/>
    <n v="0"/>
  </r>
  <r>
    <x v="1"/>
    <x v="3"/>
    <x v="3"/>
    <x v="5"/>
    <x v="71"/>
    <x v="1"/>
    <x v="1"/>
    <n v="0"/>
  </r>
  <r>
    <x v="1"/>
    <x v="3"/>
    <x v="3"/>
    <x v="5"/>
    <x v="71"/>
    <x v="1"/>
    <x v="2"/>
    <n v="0"/>
  </r>
  <r>
    <x v="1"/>
    <x v="3"/>
    <x v="3"/>
    <x v="5"/>
    <x v="71"/>
    <x v="1"/>
    <x v="3"/>
    <n v="0"/>
  </r>
  <r>
    <x v="1"/>
    <x v="3"/>
    <x v="3"/>
    <x v="5"/>
    <x v="71"/>
    <x v="1"/>
    <x v="4"/>
    <n v="0"/>
  </r>
  <r>
    <x v="1"/>
    <x v="3"/>
    <x v="3"/>
    <x v="5"/>
    <x v="71"/>
    <x v="1"/>
    <x v="5"/>
    <n v="0"/>
  </r>
  <r>
    <x v="1"/>
    <x v="3"/>
    <x v="3"/>
    <x v="5"/>
    <x v="71"/>
    <x v="1"/>
    <x v="6"/>
    <n v="0"/>
  </r>
  <r>
    <x v="1"/>
    <x v="3"/>
    <x v="3"/>
    <x v="5"/>
    <x v="72"/>
    <x v="1"/>
    <x v="0"/>
    <n v="3.8773449976294568E-2"/>
  </r>
  <r>
    <x v="1"/>
    <x v="3"/>
    <x v="3"/>
    <x v="5"/>
    <x v="72"/>
    <x v="1"/>
    <x v="1"/>
    <n v="0.15084779304993265"/>
  </r>
  <r>
    <x v="1"/>
    <x v="3"/>
    <x v="3"/>
    <x v="5"/>
    <x v="72"/>
    <x v="1"/>
    <x v="2"/>
    <n v="0.61540626036454427"/>
  </r>
  <r>
    <x v="1"/>
    <x v="3"/>
    <x v="3"/>
    <x v="5"/>
    <x v="72"/>
    <x v="1"/>
    <x v="3"/>
    <n v="2.2579450870066928"/>
  </r>
  <r>
    <x v="1"/>
    <x v="3"/>
    <x v="3"/>
    <x v="5"/>
    <x v="72"/>
    <x v="1"/>
    <x v="4"/>
    <n v="7.6572828872466978"/>
  </r>
  <r>
    <x v="1"/>
    <x v="3"/>
    <x v="3"/>
    <x v="5"/>
    <x v="72"/>
    <x v="1"/>
    <x v="5"/>
    <n v="12.08501307076245"/>
  </r>
  <r>
    <x v="1"/>
    <x v="3"/>
    <x v="3"/>
    <x v="5"/>
    <x v="72"/>
    <x v="1"/>
    <x v="6"/>
    <n v="11.312051868346334"/>
  </r>
  <r>
    <x v="1"/>
    <x v="3"/>
    <x v="3"/>
    <x v="5"/>
    <x v="73"/>
    <x v="1"/>
    <x v="0"/>
    <n v="0.2380448358018972"/>
  </r>
  <r>
    <x v="1"/>
    <x v="3"/>
    <x v="3"/>
    <x v="5"/>
    <x v="73"/>
    <x v="1"/>
    <x v="1"/>
    <n v="0.94525304122576637"/>
  </r>
  <r>
    <x v="1"/>
    <x v="3"/>
    <x v="3"/>
    <x v="5"/>
    <x v="73"/>
    <x v="1"/>
    <x v="2"/>
    <n v="3.7219772229839045"/>
  </r>
  <r>
    <x v="1"/>
    <x v="3"/>
    <x v="3"/>
    <x v="5"/>
    <x v="73"/>
    <x v="1"/>
    <x v="3"/>
    <n v="13.400996103319365"/>
  </r>
  <r>
    <x v="1"/>
    <x v="3"/>
    <x v="3"/>
    <x v="5"/>
    <x v="73"/>
    <x v="1"/>
    <x v="4"/>
    <n v="45.592181449561778"/>
  </r>
  <r>
    <x v="1"/>
    <x v="3"/>
    <x v="3"/>
    <x v="5"/>
    <x v="73"/>
    <x v="1"/>
    <x v="5"/>
    <n v="75.052918097662214"/>
  </r>
  <r>
    <x v="1"/>
    <x v="3"/>
    <x v="3"/>
    <x v="5"/>
    <x v="73"/>
    <x v="1"/>
    <x v="6"/>
    <n v="73.435362273883754"/>
  </r>
  <r>
    <x v="1"/>
    <x v="3"/>
    <x v="5"/>
    <x v="8"/>
    <x v="74"/>
    <x v="1"/>
    <x v="0"/>
    <n v="0.18821749907011182"/>
  </r>
  <r>
    <x v="1"/>
    <x v="3"/>
    <x v="5"/>
    <x v="8"/>
    <x v="74"/>
    <x v="1"/>
    <x v="1"/>
    <n v="0.38017166069059427"/>
  </r>
  <r>
    <x v="1"/>
    <x v="3"/>
    <x v="5"/>
    <x v="8"/>
    <x v="74"/>
    <x v="1"/>
    <x v="2"/>
    <n v="0.79230821747253011"/>
  </r>
  <r>
    <x v="1"/>
    <x v="3"/>
    <x v="5"/>
    <x v="8"/>
    <x v="74"/>
    <x v="1"/>
    <x v="3"/>
    <n v="1.5327094444793452"/>
  </r>
  <r>
    <x v="1"/>
    <x v="3"/>
    <x v="5"/>
    <x v="8"/>
    <x v="74"/>
    <x v="1"/>
    <x v="4"/>
    <n v="2.808735433187501"/>
  </r>
  <r>
    <x v="1"/>
    <x v="3"/>
    <x v="5"/>
    <x v="8"/>
    <x v="74"/>
    <x v="1"/>
    <x v="5"/>
    <n v="3.0594950666561735"/>
  </r>
  <r>
    <x v="1"/>
    <x v="3"/>
    <x v="5"/>
    <x v="8"/>
    <x v="74"/>
    <x v="1"/>
    <x v="6"/>
    <n v="2.5429658184919166"/>
  </r>
  <r>
    <x v="1"/>
    <x v="3"/>
    <x v="5"/>
    <x v="8"/>
    <x v="75"/>
    <x v="1"/>
    <x v="0"/>
    <n v="5.0398175377278287"/>
  </r>
  <r>
    <x v="1"/>
    <x v="3"/>
    <x v="5"/>
    <x v="8"/>
    <x v="75"/>
    <x v="1"/>
    <x v="1"/>
    <n v="20.495683246105031"/>
  </r>
  <r>
    <x v="1"/>
    <x v="3"/>
    <x v="5"/>
    <x v="8"/>
    <x v="75"/>
    <x v="1"/>
    <x v="2"/>
    <n v="44.985912939157423"/>
  </r>
  <r>
    <x v="1"/>
    <x v="3"/>
    <x v="5"/>
    <x v="8"/>
    <x v="75"/>
    <x v="1"/>
    <x v="3"/>
    <n v="91.839719378011111"/>
  </r>
  <r>
    <x v="1"/>
    <x v="3"/>
    <x v="5"/>
    <x v="8"/>
    <x v="75"/>
    <x v="1"/>
    <x v="4"/>
    <n v="180.86338645117118"/>
  </r>
  <r>
    <x v="1"/>
    <x v="3"/>
    <x v="5"/>
    <x v="8"/>
    <x v="75"/>
    <x v="1"/>
    <x v="5"/>
    <n v="211.3208489747546"/>
  </r>
  <r>
    <x v="1"/>
    <x v="3"/>
    <x v="5"/>
    <x v="8"/>
    <x v="75"/>
    <x v="1"/>
    <x v="6"/>
    <n v="185.20256345479302"/>
  </r>
  <r>
    <x v="1"/>
    <x v="3"/>
    <x v="5"/>
    <x v="8"/>
    <x v="76"/>
    <x v="1"/>
    <x v="0"/>
    <n v="4.9973124742883028"/>
  </r>
  <r>
    <x v="1"/>
    <x v="3"/>
    <x v="5"/>
    <x v="8"/>
    <x v="76"/>
    <x v="1"/>
    <x v="1"/>
    <n v="9.9888019331939386"/>
  </r>
  <r>
    <x v="1"/>
    <x v="3"/>
    <x v="5"/>
    <x v="8"/>
    <x v="76"/>
    <x v="1"/>
    <x v="2"/>
    <n v="20.592672204980239"/>
  </r>
  <r>
    <x v="1"/>
    <x v="3"/>
    <x v="5"/>
    <x v="8"/>
    <x v="76"/>
    <x v="1"/>
    <x v="3"/>
    <n v="40.872324614149171"/>
  </r>
  <r>
    <x v="1"/>
    <x v="3"/>
    <x v="5"/>
    <x v="8"/>
    <x v="76"/>
    <x v="1"/>
    <x v="4"/>
    <n v="74.875548734690312"/>
  </r>
  <r>
    <x v="1"/>
    <x v="3"/>
    <x v="5"/>
    <x v="8"/>
    <x v="76"/>
    <x v="1"/>
    <x v="5"/>
    <n v="82.228544344927457"/>
  </r>
  <r>
    <x v="1"/>
    <x v="3"/>
    <x v="5"/>
    <x v="8"/>
    <x v="76"/>
    <x v="1"/>
    <x v="6"/>
    <n v="67.432678834240292"/>
  </r>
  <r>
    <x v="1"/>
    <x v="3"/>
    <x v="5"/>
    <x v="8"/>
    <x v="77"/>
    <x v="1"/>
    <x v="0"/>
    <n v="0"/>
  </r>
  <r>
    <x v="1"/>
    <x v="3"/>
    <x v="5"/>
    <x v="8"/>
    <x v="77"/>
    <x v="1"/>
    <x v="1"/>
    <n v="0"/>
  </r>
  <r>
    <x v="1"/>
    <x v="3"/>
    <x v="5"/>
    <x v="8"/>
    <x v="77"/>
    <x v="1"/>
    <x v="2"/>
    <n v="0"/>
  </r>
  <r>
    <x v="1"/>
    <x v="3"/>
    <x v="5"/>
    <x v="8"/>
    <x v="77"/>
    <x v="1"/>
    <x v="3"/>
    <n v="0"/>
  </r>
  <r>
    <x v="1"/>
    <x v="3"/>
    <x v="5"/>
    <x v="8"/>
    <x v="77"/>
    <x v="1"/>
    <x v="4"/>
    <n v="0"/>
  </r>
  <r>
    <x v="1"/>
    <x v="3"/>
    <x v="5"/>
    <x v="8"/>
    <x v="77"/>
    <x v="1"/>
    <x v="5"/>
    <n v="0"/>
  </r>
  <r>
    <x v="1"/>
    <x v="3"/>
    <x v="5"/>
    <x v="8"/>
    <x v="77"/>
    <x v="1"/>
    <x v="6"/>
    <n v="0"/>
  </r>
  <r>
    <x v="1"/>
    <x v="3"/>
    <x v="5"/>
    <x v="8"/>
    <x v="78"/>
    <x v="1"/>
    <x v="0"/>
    <n v="18.067246903378681"/>
  </r>
  <r>
    <x v="1"/>
    <x v="3"/>
    <x v="5"/>
    <x v="8"/>
    <x v="78"/>
    <x v="1"/>
    <x v="1"/>
    <n v="36.546256108954815"/>
  </r>
  <r>
    <x v="1"/>
    <x v="3"/>
    <x v="5"/>
    <x v="8"/>
    <x v="78"/>
    <x v="1"/>
    <x v="2"/>
    <n v="74.853944342413214"/>
  </r>
  <r>
    <x v="1"/>
    <x v="3"/>
    <x v="5"/>
    <x v="8"/>
    <x v="78"/>
    <x v="1"/>
    <x v="3"/>
    <n v="146.80919163804373"/>
  </r>
  <r>
    <x v="1"/>
    <x v="3"/>
    <x v="5"/>
    <x v="8"/>
    <x v="78"/>
    <x v="1"/>
    <x v="4"/>
    <n v="260.08513455216081"/>
  </r>
  <r>
    <x v="1"/>
    <x v="3"/>
    <x v="5"/>
    <x v="8"/>
    <x v="78"/>
    <x v="1"/>
    <x v="5"/>
    <n v="300.38266595950489"/>
  </r>
  <r>
    <x v="1"/>
    <x v="3"/>
    <x v="5"/>
    <x v="8"/>
    <x v="78"/>
    <x v="1"/>
    <x v="6"/>
    <n v="239.21479306795823"/>
  </r>
  <r>
    <x v="1"/>
    <x v="3"/>
    <x v="5"/>
    <x v="8"/>
    <x v="79"/>
    <x v="1"/>
    <x v="0"/>
    <n v="23.834142871893295"/>
  </r>
  <r>
    <x v="1"/>
    <x v="3"/>
    <x v="5"/>
    <x v="8"/>
    <x v="79"/>
    <x v="1"/>
    <x v="1"/>
    <n v="50.383058778080297"/>
  </r>
  <r>
    <x v="1"/>
    <x v="3"/>
    <x v="5"/>
    <x v="8"/>
    <x v="79"/>
    <x v="1"/>
    <x v="2"/>
    <n v="100.23953921834226"/>
  </r>
  <r>
    <x v="1"/>
    <x v="3"/>
    <x v="5"/>
    <x v="8"/>
    <x v="79"/>
    <x v="1"/>
    <x v="3"/>
    <n v="187.13386216222668"/>
  </r>
  <r>
    <x v="1"/>
    <x v="3"/>
    <x v="5"/>
    <x v="8"/>
    <x v="79"/>
    <x v="1"/>
    <x v="4"/>
    <n v="323.57887009455806"/>
  </r>
  <r>
    <x v="1"/>
    <x v="3"/>
    <x v="5"/>
    <x v="8"/>
    <x v="79"/>
    <x v="1"/>
    <x v="5"/>
    <n v="341.48173572109084"/>
  </r>
  <r>
    <x v="1"/>
    <x v="3"/>
    <x v="5"/>
    <x v="8"/>
    <x v="79"/>
    <x v="1"/>
    <x v="6"/>
    <n v="271.89535130251602"/>
  </r>
  <r>
    <x v="1"/>
    <x v="3"/>
    <x v="5"/>
    <x v="8"/>
    <x v="80"/>
    <x v="1"/>
    <x v="0"/>
    <n v="7.8195506152629495"/>
  </r>
  <r>
    <x v="1"/>
    <x v="3"/>
    <x v="5"/>
    <x v="8"/>
    <x v="80"/>
    <x v="1"/>
    <x v="1"/>
    <n v="15.779919361918836"/>
  </r>
  <r>
    <x v="1"/>
    <x v="3"/>
    <x v="5"/>
    <x v="8"/>
    <x v="80"/>
    <x v="1"/>
    <x v="2"/>
    <n v="33.197385795812671"/>
  </r>
  <r>
    <x v="1"/>
    <x v="3"/>
    <x v="5"/>
    <x v="8"/>
    <x v="80"/>
    <x v="1"/>
    <x v="3"/>
    <n v="60.421275794462957"/>
  </r>
  <r>
    <x v="1"/>
    <x v="3"/>
    <x v="5"/>
    <x v="8"/>
    <x v="80"/>
    <x v="1"/>
    <x v="4"/>
    <n v="102.68235059616821"/>
  </r>
  <r>
    <x v="1"/>
    <x v="3"/>
    <x v="5"/>
    <x v="8"/>
    <x v="80"/>
    <x v="1"/>
    <x v="5"/>
    <n v="106.63929518897206"/>
  </r>
  <r>
    <x v="1"/>
    <x v="3"/>
    <x v="5"/>
    <x v="8"/>
    <x v="80"/>
    <x v="1"/>
    <x v="6"/>
    <n v="82.44816055233035"/>
  </r>
  <r>
    <x v="1"/>
    <x v="3"/>
    <x v="5"/>
    <x v="8"/>
    <x v="81"/>
    <x v="1"/>
    <x v="0"/>
    <n v="2.811422517446363"/>
  </r>
  <r>
    <x v="1"/>
    <x v="3"/>
    <x v="5"/>
    <x v="8"/>
    <x v="81"/>
    <x v="1"/>
    <x v="1"/>
    <n v="5.699847464522767"/>
  </r>
  <r>
    <x v="1"/>
    <x v="3"/>
    <x v="5"/>
    <x v="8"/>
    <x v="81"/>
    <x v="1"/>
    <x v="2"/>
    <n v="10.812779045852313"/>
  </r>
  <r>
    <x v="1"/>
    <x v="3"/>
    <x v="5"/>
    <x v="8"/>
    <x v="81"/>
    <x v="1"/>
    <x v="3"/>
    <n v="19.518622298295391"/>
  </r>
  <r>
    <x v="1"/>
    <x v="3"/>
    <x v="5"/>
    <x v="8"/>
    <x v="81"/>
    <x v="1"/>
    <x v="4"/>
    <n v="33.554804299556864"/>
  </r>
  <r>
    <x v="1"/>
    <x v="3"/>
    <x v="5"/>
    <x v="8"/>
    <x v="81"/>
    <x v="1"/>
    <x v="5"/>
    <n v="35.387379265243538"/>
  </r>
  <r>
    <x v="1"/>
    <x v="3"/>
    <x v="5"/>
    <x v="8"/>
    <x v="81"/>
    <x v="1"/>
    <x v="6"/>
    <n v="27.75882045816012"/>
  </r>
  <r>
    <x v="1"/>
    <x v="3"/>
    <x v="5"/>
    <x v="8"/>
    <x v="82"/>
    <x v="1"/>
    <x v="0"/>
    <n v="182.70793696731394"/>
  </r>
  <r>
    <x v="1"/>
    <x v="3"/>
    <x v="5"/>
    <x v="8"/>
    <x v="82"/>
    <x v="1"/>
    <x v="1"/>
    <n v="348.17570842495587"/>
  </r>
  <r>
    <x v="1"/>
    <x v="3"/>
    <x v="5"/>
    <x v="8"/>
    <x v="82"/>
    <x v="1"/>
    <x v="2"/>
    <n v="722.03638907612219"/>
  </r>
  <r>
    <x v="1"/>
    <x v="3"/>
    <x v="5"/>
    <x v="8"/>
    <x v="82"/>
    <x v="1"/>
    <x v="3"/>
    <n v="2053.2742475014916"/>
  </r>
  <r>
    <x v="1"/>
    <x v="3"/>
    <x v="5"/>
    <x v="8"/>
    <x v="82"/>
    <x v="1"/>
    <x v="4"/>
    <n v="3065.2904380144223"/>
  </r>
  <r>
    <x v="1"/>
    <x v="3"/>
    <x v="5"/>
    <x v="8"/>
    <x v="82"/>
    <x v="1"/>
    <x v="5"/>
    <n v="3657.9570785699298"/>
  </r>
  <r>
    <x v="1"/>
    <x v="3"/>
    <x v="5"/>
    <x v="8"/>
    <x v="82"/>
    <x v="1"/>
    <x v="6"/>
    <n v="3008.0556354369041"/>
  </r>
  <r>
    <x v="1"/>
    <x v="3"/>
    <x v="5"/>
    <x v="8"/>
    <x v="83"/>
    <x v="1"/>
    <x v="0"/>
    <n v="10.832119522470844"/>
  </r>
  <r>
    <x v="1"/>
    <x v="3"/>
    <x v="5"/>
    <x v="8"/>
    <x v="83"/>
    <x v="1"/>
    <x v="1"/>
    <n v="20.785829700715091"/>
  </r>
  <r>
    <x v="1"/>
    <x v="3"/>
    <x v="5"/>
    <x v="8"/>
    <x v="83"/>
    <x v="1"/>
    <x v="2"/>
    <n v="38.528636860398592"/>
  </r>
  <r>
    <x v="1"/>
    <x v="3"/>
    <x v="5"/>
    <x v="8"/>
    <x v="83"/>
    <x v="1"/>
    <x v="3"/>
    <n v="98.819971930578063"/>
  </r>
  <r>
    <x v="1"/>
    <x v="3"/>
    <x v="5"/>
    <x v="8"/>
    <x v="83"/>
    <x v="1"/>
    <x v="4"/>
    <n v="135.06252034184971"/>
  </r>
  <r>
    <x v="1"/>
    <x v="3"/>
    <x v="5"/>
    <x v="8"/>
    <x v="83"/>
    <x v="1"/>
    <x v="5"/>
    <n v="148.34546068263134"/>
  </r>
  <r>
    <x v="1"/>
    <x v="3"/>
    <x v="5"/>
    <x v="8"/>
    <x v="83"/>
    <x v="1"/>
    <x v="6"/>
    <n v="113.28423639279715"/>
  </r>
  <r>
    <x v="1"/>
    <x v="4"/>
    <x v="0"/>
    <x v="0"/>
    <x v="0"/>
    <x v="1"/>
    <x v="0"/>
    <n v="0"/>
  </r>
  <r>
    <x v="1"/>
    <x v="4"/>
    <x v="0"/>
    <x v="0"/>
    <x v="0"/>
    <x v="1"/>
    <x v="1"/>
    <n v="0"/>
  </r>
  <r>
    <x v="1"/>
    <x v="4"/>
    <x v="0"/>
    <x v="0"/>
    <x v="0"/>
    <x v="1"/>
    <x v="2"/>
    <n v="0"/>
  </r>
  <r>
    <x v="1"/>
    <x v="4"/>
    <x v="0"/>
    <x v="0"/>
    <x v="0"/>
    <x v="1"/>
    <x v="3"/>
    <n v="0"/>
  </r>
  <r>
    <x v="1"/>
    <x v="4"/>
    <x v="0"/>
    <x v="0"/>
    <x v="0"/>
    <x v="1"/>
    <x v="4"/>
    <n v="0"/>
  </r>
  <r>
    <x v="1"/>
    <x v="4"/>
    <x v="0"/>
    <x v="0"/>
    <x v="0"/>
    <x v="1"/>
    <x v="5"/>
    <n v="0"/>
  </r>
  <r>
    <x v="1"/>
    <x v="4"/>
    <x v="0"/>
    <x v="0"/>
    <x v="0"/>
    <x v="1"/>
    <x v="6"/>
    <n v="0"/>
  </r>
  <r>
    <x v="1"/>
    <x v="4"/>
    <x v="0"/>
    <x v="1"/>
    <x v="1"/>
    <x v="1"/>
    <x v="0"/>
    <n v="0"/>
  </r>
  <r>
    <x v="1"/>
    <x v="4"/>
    <x v="0"/>
    <x v="1"/>
    <x v="1"/>
    <x v="1"/>
    <x v="1"/>
    <n v="0"/>
  </r>
  <r>
    <x v="1"/>
    <x v="4"/>
    <x v="0"/>
    <x v="1"/>
    <x v="1"/>
    <x v="1"/>
    <x v="2"/>
    <n v="0"/>
  </r>
  <r>
    <x v="1"/>
    <x v="4"/>
    <x v="0"/>
    <x v="1"/>
    <x v="1"/>
    <x v="1"/>
    <x v="3"/>
    <n v="0"/>
  </r>
  <r>
    <x v="1"/>
    <x v="4"/>
    <x v="0"/>
    <x v="1"/>
    <x v="1"/>
    <x v="1"/>
    <x v="4"/>
    <n v="0"/>
  </r>
  <r>
    <x v="1"/>
    <x v="4"/>
    <x v="0"/>
    <x v="1"/>
    <x v="1"/>
    <x v="1"/>
    <x v="5"/>
    <n v="0"/>
  </r>
  <r>
    <x v="1"/>
    <x v="4"/>
    <x v="0"/>
    <x v="1"/>
    <x v="1"/>
    <x v="1"/>
    <x v="6"/>
    <n v="0"/>
  </r>
  <r>
    <x v="1"/>
    <x v="4"/>
    <x v="0"/>
    <x v="1"/>
    <x v="2"/>
    <x v="1"/>
    <x v="0"/>
    <n v="0"/>
  </r>
  <r>
    <x v="1"/>
    <x v="4"/>
    <x v="0"/>
    <x v="1"/>
    <x v="2"/>
    <x v="1"/>
    <x v="1"/>
    <n v="0"/>
  </r>
  <r>
    <x v="1"/>
    <x v="4"/>
    <x v="0"/>
    <x v="1"/>
    <x v="2"/>
    <x v="1"/>
    <x v="2"/>
    <n v="0"/>
  </r>
  <r>
    <x v="1"/>
    <x v="4"/>
    <x v="0"/>
    <x v="1"/>
    <x v="2"/>
    <x v="1"/>
    <x v="3"/>
    <n v="0"/>
  </r>
  <r>
    <x v="1"/>
    <x v="4"/>
    <x v="0"/>
    <x v="1"/>
    <x v="2"/>
    <x v="1"/>
    <x v="4"/>
    <n v="0"/>
  </r>
  <r>
    <x v="1"/>
    <x v="4"/>
    <x v="0"/>
    <x v="1"/>
    <x v="2"/>
    <x v="1"/>
    <x v="5"/>
    <n v="0"/>
  </r>
  <r>
    <x v="1"/>
    <x v="4"/>
    <x v="0"/>
    <x v="1"/>
    <x v="2"/>
    <x v="1"/>
    <x v="6"/>
    <n v="0"/>
  </r>
  <r>
    <x v="1"/>
    <x v="4"/>
    <x v="0"/>
    <x v="1"/>
    <x v="3"/>
    <x v="1"/>
    <x v="0"/>
    <n v="0"/>
  </r>
  <r>
    <x v="1"/>
    <x v="4"/>
    <x v="0"/>
    <x v="1"/>
    <x v="3"/>
    <x v="1"/>
    <x v="1"/>
    <n v="0"/>
  </r>
  <r>
    <x v="1"/>
    <x v="4"/>
    <x v="0"/>
    <x v="1"/>
    <x v="3"/>
    <x v="1"/>
    <x v="2"/>
    <n v="0"/>
  </r>
  <r>
    <x v="1"/>
    <x v="4"/>
    <x v="0"/>
    <x v="1"/>
    <x v="3"/>
    <x v="1"/>
    <x v="3"/>
    <n v="0"/>
  </r>
  <r>
    <x v="1"/>
    <x v="4"/>
    <x v="0"/>
    <x v="1"/>
    <x v="3"/>
    <x v="1"/>
    <x v="4"/>
    <n v="0"/>
  </r>
  <r>
    <x v="1"/>
    <x v="4"/>
    <x v="0"/>
    <x v="1"/>
    <x v="3"/>
    <x v="1"/>
    <x v="5"/>
    <n v="0"/>
  </r>
  <r>
    <x v="1"/>
    <x v="4"/>
    <x v="0"/>
    <x v="1"/>
    <x v="3"/>
    <x v="1"/>
    <x v="6"/>
    <n v="0"/>
  </r>
  <r>
    <x v="1"/>
    <x v="4"/>
    <x v="0"/>
    <x v="1"/>
    <x v="4"/>
    <x v="1"/>
    <x v="0"/>
    <n v="0"/>
  </r>
  <r>
    <x v="1"/>
    <x v="4"/>
    <x v="0"/>
    <x v="1"/>
    <x v="4"/>
    <x v="1"/>
    <x v="1"/>
    <n v="0"/>
  </r>
  <r>
    <x v="1"/>
    <x v="4"/>
    <x v="0"/>
    <x v="1"/>
    <x v="4"/>
    <x v="1"/>
    <x v="2"/>
    <n v="0"/>
  </r>
  <r>
    <x v="1"/>
    <x v="4"/>
    <x v="0"/>
    <x v="1"/>
    <x v="4"/>
    <x v="1"/>
    <x v="3"/>
    <n v="0"/>
  </r>
  <r>
    <x v="1"/>
    <x v="4"/>
    <x v="0"/>
    <x v="1"/>
    <x v="4"/>
    <x v="1"/>
    <x v="4"/>
    <n v="0"/>
  </r>
  <r>
    <x v="1"/>
    <x v="4"/>
    <x v="0"/>
    <x v="1"/>
    <x v="4"/>
    <x v="1"/>
    <x v="5"/>
    <n v="0"/>
  </r>
  <r>
    <x v="1"/>
    <x v="4"/>
    <x v="0"/>
    <x v="1"/>
    <x v="4"/>
    <x v="1"/>
    <x v="6"/>
    <n v="0"/>
  </r>
  <r>
    <x v="1"/>
    <x v="4"/>
    <x v="0"/>
    <x v="1"/>
    <x v="5"/>
    <x v="1"/>
    <x v="0"/>
    <n v="0"/>
  </r>
  <r>
    <x v="1"/>
    <x v="4"/>
    <x v="0"/>
    <x v="1"/>
    <x v="5"/>
    <x v="1"/>
    <x v="1"/>
    <n v="0"/>
  </r>
  <r>
    <x v="1"/>
    <x v="4"/>
    <x v="0"/>
    <x v="1"/>
    <x v="5"/>
    <x v="1"/>
    <x v="2"/>
    <n v="0"/>
  </r>
  <r>
    <x v="1"/>
    <x v="4"/>
    <x v="0"/>
    <x v="1"/>
    <x v="5"/>
    <x v="1"/>
    <x v="3"/>
    <n v="0"/>
  </r>
  <r>
    <x v="1"/>
    <x v="4"/>
    <x v="0"/>
    <x v="1"/>
    <x v="5"/>
    <x v="1"/>
    <x v="4"/>
    <n v="0"/>
  </r>
  <r>
    <x v="1"/>
    <x v="4"/>
    <x v="0"/>
    <x v="1"/>
    <x v="5"/>
    <x v="1"/>
    <x v="5"/>
    <n v="0"/>
  </r>
  <r>
    <x v="1"/>
    <x v="4"/>
    <x v="0"/>
    <x v="1"/>
    <x v="5"/>
    <x v="1"/>
    <x v="6"/>
    <n v="0"/>
  </r>
  <r>
    <x v="1"/>
    <x v="4"/>
    <x v="0"/>
    <x v="1"/>
    <x v="6"/>
    <x v="1"/>
    <x v="0"/>
    <n v="0"/>
  </r>
  <r>
    <x v="1"/>
    <x v="4"/>
    <x v="0"/>
    <x v="1"/>
    <x v="6"/>
    <x v="1"/>
    <x v="1"/>
    <n v="0"/>
  </r>
  <r>
    <x v="1"/>
    <x v="4"/>
    <x v="0"/>
    <x v="1"/>
    <x v="6"/>
    <x v="1"/>
    <x v="2"/>
    <n v="0"/>
  </r>
  <r>
    <x v="1"/>
    <x v="4"/>
    <x v="0"/>
    <x v="1"/>
    <x v="6"/>
    <x v="1"/>
    <x v="3"/>
    <n v="0"/>
  </r>
  <r>
    <x v="1"/>
    <x v="4"/>
    <x v="0"/>
    <x v="1"/>
    <x v="6"/>
    <x v="1"/>
    <x v="4"/>
    <n v="0"/>
  </r>
  <r>
    <x v="1"/>
    <x v="4"/>
    <x v="0"/>
    <x v="1"/>
    <x v="6"/>
    <x v="1"/>
    <x v="5"/>
    <n v="0"/>
  </r>
  <r>
    <x v="1"/>
    <x v="4"/>
    <x v="0"/>
    <x v="1"/>
    <x v="6"/>
    <x v="1"/>
    <x v="6"/>
    <n v="0"/>
  </r>
  <r>
    <x v="1"/>
    <x v="4"/>
    <x v="0"/>
    <x v="1"/>
    <x v="7"/>
    <x v="1"/>
    <x v="0"/>
    <n v="0"/>
  </r>
  <r>
    <x v="1"/>
    <x v="4"/>
    <x v="0"/>
    <x v="1"/>
    <x v="7"/>
    <x v="1"/>
    <x v="1"/>
    <n v="0"/>
  </r>
  <r>
    <x v="1"/>
    <x v="4"/>
    <x v="0"/>
    <x v="1"/>
    <x v="7"/>
    <x v="1"/>
    <x v="2"/>
    <n v="0"/>
  </r>
  <r>
    <x v="1"/>
    <x v="4"/>
    <x v="0"/>
    <x v="1"/>
    <x v="7"/>
    <x v="1"/>
    <x v="3"/>
    <n v="0"/>
  </r>
  <r>
    <x v="1"/>
    <x v="4"/>
    <x v="0"/>
    <x v="1"/>
    <x v="7"/>
    <x v="1"/>
    <x v="4"/>
    <n v="0"/>
  </r>
  <r>
    <x v="1"/>
    <x v="4"/>
    <x v="0"/>
    <x v="1"/>
    <x v="7"/>
    <x v="1"/>
    <x v="5"/>
    <n v="0"/>
  </r>
  <r>
    <x v="1"/>
    <x v="4"/>
    <x v="0"/>
    <x v="1"/>
    <x v="7"/>
    <x v="1"/>
    <x v="6"/>
    <n v="0"/>
  </r>
  <r>
    <x v="1"/>
    <x v="4"/>
    <x v="0"/>
    <x v="1"/>
    <x v="8"/>
    <x v="1"/>
    <x v="0"/>
    <n v="0"/>
  </r>
  <r>
    <x v="1"/>
    <x v="4"/>
    <x v="0"/>
    <x v="1"/>
    <x v="8"/>
    <x v="1"/>
    <x v="1"/>
    <n v="0"/>
  </r>
  <r>
    <x v="1"/>
    <x v="4"/>
    <x v="0"/>
    <x v="1"/>
    <x v="8"/>
    <x v="1"/>
    <x v="2"/>
    <n v="0"/>
  </r>
  <r>
    <x v="1"/>
    <x v="4"/>
    <x v="0"/>
    <x v="1"/>
    <x v="8"/>
    <x v="1"/>
    <x v="3"/>
    <n v="0"/>
  </r>
  <r>
    <x v="1"/>
    <x v="4"/>
    <x v="0"/>
    <x v="1"/>
    <x v="8"/>
    <x v="1"/>
    <x v="4"/>
    <n v="0"/>
  </r>
  <r>
    <x v="1"/>
    <x v="4"/>
    <x v="0"/>
    <x v="1"/>
    <x v="8"/>
    <x v="1"/>
    <x v="5"/>
    <n v="0"/>
  </r>
  <r>
    <x v="1"/>
    <x v="4"/>
    <x v="0"/>
    <x v="1"/>
    <x v="8"/>
    <x v="1"/>
    <x v="6"/>
    <n v="0"/>
  </r>
  <r>
    <x v="1"/>
    <x v="4"/>
    <x v="0"/>
    <x v="1"/>
    <x v="9"/>
    <x v="1"/>
    <x v="0"/>
    <n v="0"/>
  </r>
  <r>
    <x v="1"/>
    <x v="4"/>
    <x v="0"/>
    <x v="1"/>
    <x v="9"/>
    <x v="1"/>
    <x v="1"/>
    <n v="0"/>
  </r>
  <r>
    <x v="1"/>
    <x v="4"/>
    <x v="0"/>
    <x v="1"/>
    <x v="9"/>
    <x v="1"/>
    <x v="2"/>
    <n v="0"/>
  </r>
  <r>
    <x v="1"/>
    <x v="4"/>
    <x v="0"/>
    <x v="1"/>
    <x v="9"/>
    <x v="1"/>
    <x v="3"/>
    <n v="0"/>
  </r>
  <r>
    <x v="1"/>
    <x v="4"/>
    <x v="0"/>
    <x v="1"/>
    <x v="9"/>
    <x v="1"/>
    <x v="4"/>
    <n v="0"/>
  </r>
  <r>
    <x v="1"/>
    <x v="4"/>
    <x v="0"/>
    <x v="1"/>
    <x v="9"/>
    <x v="1"/>
    <x v="5"/>
    <n v="0"/>
  </r>
  <r>
    <x v="1"/>
    <x v="4"/>
    <x v="0"/>
    <x v="1"/>
    <x v="9"/>
    <x v="1"/>
    <x v="6"/>
    <n v="0"/>
  </r>
  <r>
    <x v="1"/>
    <x v="4"/>
    <x v="0"/>
    <x v="1"/>
    <x v="10"/>
    <x v="1"/>
    <x v="0"/>
    <n v="0"/>
  </r>
  <r>
    <x v="1"/>
    <x v="4"/>
    <x v="0"/>
    <x v="1"/>
    <x v="10"/>
    <x v="1"/>
    <x v="1"/>
    <n v="0"/>
  </r>
  <r>
    <x v="1"/>
    <x v="4"/>
    <x v="0"/>
    <x v="1"/>
    <x v="10"/>
    <x v="1"/>
    <x v="2"/>
    <n v="0"/>
  </r>
  <r>
    <x v="1"/>
    <x v="4"/>
    <x v="0"/>
    <x v="1"/>
    <x v="10"/>
    <x v="1"/>
    <x v="3"/>
    <n v="0"/>
  </r>
  <r>
    <x v="1"/>
    <x v="4"/>
    <x v="0"/>
    <x v="1"/>
    <x v="10"/>
    <x v="1"/>
    <x v="4"/>
    <n v="0"/>
  </r>
  <r>
    <x v="1"/>
    <x v="4"/>
    <x v="0"/>
    <x v="1"/>
    <x v="10"/>
    <x v="1"/>
    <x v="5"/>
    <n v="0"/>
  </r>
  <r>
    <x v="1"/>
    <x v="4"/>
    <x v="0"/>
    <x v="1"/>
    <x v="10"/>
    <x v="1"/>
    <x v="6"/>
    <n v="0"/>
  </r>
  <r>
    <x v="1"/>
    <x v="4"/>
    <x v="0"/>
    <x v="0"/>
    <x v="11"/>
    <x v="1"/>
    <x v="0"/>
    <n v="0"/>
  </r>
  <r>
    <x v="1"/>
    <x v="4"/>
    <x v="0"/>
    <x v="0"/>
    <x v="11"/>
    <x v="1"/>
    <x v="1"/>
    <n v="0"/>
  </r>
  <r>
    <x v="1"/>
    <x v="4"/>
    <x v="0"/>
    <x v="0"/>
    <x v="11"/>
    <x v="1"/>
    <x v="2"/>
    <n v="0"/>
  </r>
  <r>
    <x v="1"/>
    <x v="4"/>
    <x v="0"/>
    <x v="0"/>
    <x v="11"/>
    <x v="1"/>
    <x v="3"/>
    <n v="0"/>
  </r>
  <r>
    <x v="1"/>
    <x v="4"/>
    <x v="0"/>
    <x v="0"/>
    <x v="11"/>
    <x v="1"/>
    <x v="4"/>
    <n v="0"/>
  </r>
  <r>
    <x v="1"/>
    <x v="4"/>
    <x v="0"/>
    <x v="0"/>
    <x v="11"/>
    <x v="1"/>
    <x v="5"/>
    <n v="0"/>
  </r>
  <r>
    <x v="1"/>
    <x v="4"/>
    <x v="0"/>
    <x v="0"/>
    <x v="11"/>
    <x v="1"/>
    <x v="6"/>
    <n v="0"/>
  </r>
  <r>
    <x v="1"/>
    <x v="4"/>
    <x v="0"/>
    <x v="0"/>
    <x v="12"/>
    <x v="1"/>
    <x v="0"/>
    <n v="0"/>
  </r>
  <r>
    <x v="1"/>
    <x v="4"/>
    <x v="0"/>
    <x v="0"/>
    <x v="12"/>
    <x v="1"/>
    <x v="1"/>
    <n v="0"/>
  </r>
  <r>
    <x v="1"/>
    <x v="4"/>
    <x v="0"/>
    <x v="0"/>
    <x v="12"/>
    <x v="1"/>
    <x v="2"/>
    <n v="0"/>
  </r>
  <r>
    <x v="1"/>
    <x v="4"/>
    <x v="0"/>
    <x v="0"/>
    <x v="12"/>
    <x v="1"/>
    <x v="3"/>
    <n v="0"/>
  </r>
  <r>
    <x v="1"/>
    <x v="4"/>
    <x v="0"/>
    <x v="0"/>
    <x v="12"/>
    <x v="1"/>
    <x v="4"/>
    <n v="0"/>
  </r>
  <r>
    <x v="1"/>
    <x v="4"/>
    <x v="0"/>
    <x v="0"/>
    <x v="12"/>
    <x v="1"/>
    <x v="5"/>
    <n v="0"/>
  </r>
  <r>
    <x v="1"/>
    <x v="4"/>
    <x v="0"/>
    <x v="0"/>
    <x v="12"/>
    <x v="1"/>
    <x v="6"/>
    <n v="0"/>
  </r>
  <r>
    <x v="1"/>
    <x v="4"/>
    <x v="0"/>
    <x v="0"/>
    <x v="13"/>
    <x v="1"/>
    <x v="0"/>
    <n v="0"/>
  </r>
  <r>
    <x v="1"/>
    <x v="4"/>
    <x v="0"/>
    <x v="0"/>
    <x v="13"/>
    <x v="1"/>
    <x v="1"/>
    <n v="0"/>
  </r>
  <r>
    <x v="1"/>
    <x v="4"/>
    <x v="0"/>
    <x v="0"/>
    <x v="13"/>
    <x v="1"/>
    <x v="2"/>
    <n v="0"/>
  </r>
  <r>
    <x v="1"/>
    <x v="4"/>
    <x v="0"/>
    <x v="0"/>
    <x v="13"/>
    <x v="1"/>
    <x v="3"/>
    <n v="0"/>
  </r>
  <r>
    <x v="1"/>
    <x v="4"/>
    <x v="0"/>
    <x v="0"/>
    <x v="13"/>
    <x v="1"/>
    <x v="4"/>
    <n v="0"/>
  </r>
  <r>
    <x v="1"/>
    <x v="4"/>
    <x v="0"/>
    <x v="0"/>
    <x v="13"/>
    <x v="1"/>
    <x v="5"/>
    <n v="0"/>
  </r>
  <r>
    <x v="1"/>
    <x v="4"/>
    <x v="0"/>
    <x v="0"/>
    <x v="13"/>
    <x v="1"/>
    <x v="6"/>
    <n v="0"/>
  </r>
  <r>
    <x v="1"/>
    <x v="4"/>
    <x v="0"/>
    <x v="2"/>
    <x v="14"/>
    <x v="1"/>
    <x v="0"/>
    <n v="0"/>
  </r>
  <r>
    <x v="1"/>
    <x v="4"/>
    <x v="0"/>
    <x v="2"/>
    <x v="14"/>
    <x v="1"/>
    <x v="1"/>
    <n v="0"/>
  </r>
  <r>
    <x v="1"/>
    <x v="4"/>
    <x v="0"/>
    <x v="2"/>
    <x v="14"/>
    <x v="1"/>
    <x v="2"/>
    <n v="0"/>
  </r>
  <r>
    <x v="1"/>
    <x v="4"/>
    <x v="0"/>
    <x v="2"/>
    <x v="14"/>
    <x v="1"/>
    <x v="3"/>
    <n v="0"/>
  </r>
  <r>
    <x v="1"/>
    <x v="4"/>
    <x v="0"/>
    <x v="2"/>
    <x v="14"/>
    <x v="1"/>
    <x v="4"/>
    <n v="0"/>
  </r>
  <r>
    <x v="1"/>
    <x v="4"/>
    <x v="0"/>
    <x v="2"/>
    <x v="14"/>
    <x v="1"/>
    <x v="5"/>
    <n v="0"/>
  </r>
  <r>
    <x v="1"/>
    <x v="4"/>
    <x v="0"/>
    <x v="2"/>
    <x v="14"/>
    <x v="1"/>
    <x v="6"/>
    <n v="0"/>
  </r>
  <r>
    <x v="1"/>
    <x v="4"/>
    <x v="0"/>
    <x v="2"/>
    <x v="15"/>
    <x v="1"/>
    <x v="0"/>
    <n v="0"/>
  </r>
  <r>
    <x v="1"/>
    <x v="4"/>
    <x v="0"/>
    <x v="2"/>
    <x v="15"/>
    <x v="1"/>
    <x v="1"/>
    <n v="0"/>
  </r>
  <r>
    <x v="1"/>
    <x v="4"/>
    <x v="0"/>
    <x v="2"/>
    <x v="15"/>
    <x v="1"/>
    <x v="2"/>
    <n v="0"/>
  </r>
  <r>
    <x v="1"/>
    <x v="4"/>
    <x v="0"/>
    <x v="2"/>
    <x v="15"/>
    <x v="1"/>
    <x v="3"/>
    <n v="0"/>
  </r>
  <r>
    <x v="1"/>
    <x v="4"/>
    <x v="0"/>
    <x v="2"/>
    <x v="15"/>
    <x v="1"/>
    <x v="4"/>
    <n v="0"/>
  </r>
  <r>
    <x v="1"/>
    <x v="4"/>
    <x v="0"/>
    <x v="2"/>
    <x v="15"/>
    <x v="1"/>
    <x v="5"/>
    <n v="0"/>
  </r>
  <r>
    <x v="1"/>
    <x v="4"/>
    <x v="0"/>
    <x v="2"/>
    <x v="15"/>
    <x v="1"/>
    <x v="6"/>
    <n v="0"/>
  </r>
  <r>
    <x v="1"/>
    <x v="4"/>
    <x v="0"/>
    <x v="2"/>
    <x v="16"/>
    <x v="1"/>
    <x v="0"/>
    <n v="0"/>
  </r>
  <r>
    <x v="1"/>
    <x v="4"/>
    <x v="0"/>
    <x v="2"/>
    <x v="16"/>
    <x v="1"/>
    <x v="1"/>
    <n v="0"/>
  </r>
  <r>
    <x v="1"/>
    <x v="4"/>
    <x v="0"/>
    <x v="2"/>
    <x v="16"/>
    <x v="1"/>
    <x v="2"/>
    <n v="0"/>
  </r>
  <r>
    <x v="1"/>
    <x v="4"/>
    <x v="0"/>
    <x v="2"/>
    <x v="16"/>
    <x v="1"/>
    <x v="3"/>
    <n v="0"/>
  </r>
  <r>
    <x v="1"/>
    <x v="4"/>
    <x v="0"/>
    <x v="2"/>
    <x v="16"/>
    <x v="1"/>
    <x v="4"/>
    <n v="0"/>
  </r>
  <r>
    <x v="1"/>
    <x v="4"/>
    <x v="0"/>
    <x v="2"/>
    <x v="16"/>
    <x v="1"/>
    <x v="5"/>
    <n v="0"/>
  </r>
  <r>
    <x v="1"/>
    <x v="4"/>
    <x v="0"/>
    <x v="2"/>
    <x v="16"/>
    <x v="1"/>
    <x v="6"/>
    <n v="0"/>
  </r>
  <r>
    <x v="1"/>
    <x v="4"/>
    <x v="0"/>
    <x v="0"/>
    <x v="17"/>
    <x v="1"/>
    <x v="0"/>
    <n v="0"/>
  </r>
  <r>
    <x v="1"/>
    <x v="4"/>
    <x v="0"/>
    <x v="0"/>
    <x v="17"/>
    <x v="1"/>
    <x v="1"/>
    <n v="0"/>
  </r>
  <r>
    <x v="1"/>
    <x v="4"/>
    <x v="0"/>
    <x v="0"/>
    <x v="17"/>
    <x v="1"/>
    <x v="2"/>
    <n v="0"/>
  </r>
  <r>
    <x v="1"/>
    <x v="4"/>
    <x v="0"/>
    <x v="0"/>
    <x v="17"/>
    <x v="1"/>
    <x v="3"/>
    <n v="0"/>
  </r>
  <r>
    <x v="1"/>
    <x v="4"/>
    <x v="0"/>
    <x v="0"/>
    <x v="17"/>
    <x v="1"/>
    <x v="4"/>
    <n v="0"/>
  </r>
  <r>
    <x v="1"/>
    <x v="4"/>
    <x v="0"/>
    <x v="0"/>
    <x v="17"/>
    <x v="1"/>
    <x v="5"/>
    <n v="0"/>
  </r>
  <r>
    <x v="1"/>
    <x v="4"/>
    <x v="0"/>
    <x v="0"/>
    <x v="17"/>
    <x v="1"/>
    <x v="6"/>
    <n v="0"/>
  </r>
  <r>
    <x v="1"/>
    <x v="4"/>
    <x v="0"/>
    <x v="2"/>
    <x v="18"/>
    <x v="1"/>
    <x v="0"/>
    <n v="0"/>
  </r>
  <r>
    <x v="1"/>
    <x v="4"/>
    <x v="0"/>
    <x v="2"/>
    <x v="18"/>
    <x v="1"/>
    <x v="1"/>
    <n v="0"/>
  </r>
  <r>
    <x v="1"/>
    <x v="4"/>
    <x v="0"/>
    <x v="2"/>
    <x v="18"/>
    <x v="1"/>
    <x v="2"/>
    <n v="0"/>
  </r>
  <r>
    <x v="1"/>
    <x v="4"/>
    <x v="0"/>
    <x v="2"/>
    <x v="18"/>
    <x v="1"/>
    <x v="3"/>
    <n v="0"/>
  </r>
  <r>
    <x v="1"/>
    <x v="4"/>
    <x v="0"/>
    <x v="2"/>
    <x v="18"/>
    <x v="1"/>
    <x v="4"/>
    <n v="0"/>
  </r>
  <r>
    <x v="1"/>
    <x v="4"/>
    <x v="0"/>
    <x v="2"/>
    <x v="18"/>
    <x v="1"/>
    <x v="5"/>
    <n v="0"/>
  </r>
  <r>
    <x v="1"/>
    <x v="4"/>
    <x v="0"/>
    <x v="2"/>
    <x v="18"/>
    <x v="1"/>
    <x v="6"/>
    <n v="0"/>
  </r>
  <r>
    <x v="1"/>
    <x v="4"/>
    <x v="1"/>
    <x v="3"/>
    <x v="19"/>
    <x v="1"/>
    <x v="0"/>
    <n v="0"/>
  </r>
  <r>
    <x v="1"/>
    <x v="4"/>
    <x v="1"/>
    <x v="3"/>
    <x v="19"/>
    <x v="1"/>
    <x v="1"/>
    <n v="0"/>
  </r>
  <r>
    <x v="1"/>
    <x v="4"/>
    <x v="1"/>
    <x v="3"/>
    <x v="19"/>
    <x v="1"/>
    <x v="2"/>
    <n v="0"/>
  </r>
  <r>
    <x v="1"/>
    <x v="4"/>
    <x v="1"/>
    <x v="3"/>
    <x v="19"/>
    <x v="1"/>
    <x v="3"/>
    <n v="0"/>
  </r>
  <r>
    <x v="1"/>
    <x v="4"/>
    <x v="1"/>
    <x v="3"/>
    <x v="19"/>
    <x v="1"/>
    <x v="4"/>
    <n v="0"/>
  </r>
  <r>
    <x v="1"/>
    <x v="4"/>
    <x v="1"/>
    <x v="3"/>
    <x v="19"/>
    <x v="1"/>
    <x v="5"/>
    <n v="0"/>
  </r>
  <r>
    <x v="1"/>
    <x v="4"/>
    <x v="1"/>
    <x v="3"/>
    <x v="19"/>
    <x v="1"/>
    <x v="6"/>
    <n v="0"/>
  </r>
  <r>
    <x v="1"/>
    <x v="4"/>
    <x v="1"/>
    <x v="3"/>
    <x v="20"/>
    <x v="1"/>
    <x v="0"/>
    <n v="0"/>
  </r>
  <r>
    <x v="1"/>
    <x v="4"/>
    <x v="1"/>
    <x v="3"/>
    <x v="20"/>
    <x v="1"/>
    <x v="1"/>
    <n v="0"/>
  </r>
  <r>
    <x v="1"/>
    <x v="4"/>
    <x v="1"/>
    <x v="3"/>
    <x v="20"/>
    <x v="1"/>
    <x v="2"/>
    <n v="0"/>
  </r>
  <r>
    <x v="1"/>
    <x v="4"/>
    <x v="1"/>
    <x v="3"/>
    <x v="20"/>
    <x v="1"/>
    <x v="3"/>
    <n v="0"/>
  </r>
  <r>
    <x v="1"/>
    <x v="4"/>
    <x v="1"/>
    <x v="3"/>
    <x v="20"/>
    <x v="1"/>
    <x v="4"/>
    <n v="0"/>
  </r>
  <r>
    <x v="1"/>
    <x v="4"/>
    <x v="1"/>
    <x v="3"/>
    <x v="20"/>
    <x v="1"/>
    <x v="5"/>
    <n v="0"/>
  </r>
  <r>
    <x v="1"/>
    <x v="4"/>
    <x v="1"/>
    <x v="3"/>
    <x v="20"/>
    <x v="1"/>
    <x v="6"/>
    <n v="0"/>
  </r>
  <r>
    <x v="1"/>
    <x v="4"/>
    <x v="1"/>
    <x v="3"/>
    <x v="21"/>
    <x v="1"/>
    <x v="0"/>
    <n v="0"/>
  </r>
  <r>
    <x v="1"/>
    <x v="4"/>
    <x v="1"/>
    <x v="3"/>
    <x v="21"/>
    <x v="1"/>
    <x v="1"/>
    <n v="0"/>
  </r>
  <r>
    <x v="1"/>
    <x v="4"/>
    <x v="1"/>
    <x v="3"/>
    <x v="21"/>
    <x v="1"/>
    <x v="2"/>
    <n v="0"/>
  </r>
  <r>
    <x v="1"/>
    <x v="4"/>
    <x v="1"/>
    <x v="3"/>
    <x v="21"/>
    <x v="1"/>
    <x v="3"/>
    <n v="0"/>
  </r>
  <r>
    <x v="1"/>
    <x v="4"/>
    <x v="1"/>
    <x v="3"/>
    <x v="21"/>
    <x v="1"/>
    <x v="4"/>
    <n v="0"/>
  </r>
  <r>
    <x v="1"/>
    <x v="4"/>
    <x v="1"/>
    <x v="3"/>
    <x v="21"/>
    <x v="1"/>
    <x v="5"/>
    <n v="0"/>
  </r>
  <r>
    <x v="1"/>
    <x v="4"/>
    <x v="1"/>
    <x v="3"/>
    <x v="21"/>
    <x v="1"/>
    <x v="6"/>
    <n v="0"/>
  </r>
  <r>
    <x v="1"/>
    <x v="4"/>
    <x v="1"/>
    <x v="3"/>
    <x v="22"/>
    <x v="1"/>
    <x v="0"/>
    <n v="0"/>
  </r>
  <r>
    <x v="1"/>
    <x v="4"/>
    <x v="1"/>
    <x v="3"/>
    <x v="22"/>
    <x v="1"/>
    <x v="1"/>
    <n v="0"/>
  </r>
  <r>
    <x v="1"/>
    <x v="4"/>
    <x v="1"/>
    <x v="3"/>
    <x v="22"/>
    <x v="1"/>
    <x v="2"/>
    <n v="0"/>
  </r>
  <r>
    <x v="1"/>
    <x v="4"/>
    <x v="1"/>
    <x v="3"/>
    <x v="22"/>
    <x v="1"/>
    <x v="3"/>
    <n v="0"/>
  </r>
  <r>
    <x v="1"/>
    <x v="4"/>
    <x v="1"/>
    <x v="3"/>
    <x v="22"/>
    <x v="1"/>
    <x v="4"/>
    <n v="0"/>
  </r>
  <r>
    <x v="1"/>
    <x v="4"/>
    <x v="1"/>
    <x v="3"/>
    <x v="22"/>
    <x v="1"/>
    <x v="5"/>
    <n v="0"/>
  </r>
  <r>
    <x v="1"/>
    <x v="4"/>
    <x v="1"/>
    <x v="3"/>
    <x v="22"/>
    <x v="1"/>
    <x v="6"/>
    <n v="0"/>
  </r>
  <r>
    <x v="1"/>
    <x v="4"/>
    <x v="1"/>
    <x v="3"/>
    <x v="23"/>
    <x v="1"/>
    <x v="0"/>
    <n v="0"/>
  </r>
  <r>
    <x v="1"/>
    <x v="4"/>
    <x v="1"/>
    <x v="3"/>
    <x v="23"/>
    <x v="1"/>
    <x v="1"/>
    <n v="0"/>
  </r>
  <r>
    <x v="1"/>
    <x v="4"/>
    <x v="1"/>
    <x v="3"/>
    <x v="23"/>
    <x v="1"/>
    <x v="2"/>
    <n v="0"/>
  </r>
  <r>
    <x v="1"/>
    <x v="4"/>
    <x v="1"/>
    <x v="3"/>
    <x v="23"/>
    <x v="1"/>
    <x v="3"/>
    <n v="0"/>
  </r>
  <r>
    <x v="1"/>
    <x v="4"/>
    <x v="1"/>
    <x v="3"/>
    <x v="23"/>
    <x v="1"/>
    <x v="4"/>
    <n v="0"/>
  </r>
  <r>
    <x v="1"/>
    <x v="4"/>
    <x v="1"/>
    <x v="3"/>
    <x v="23"/>
    <x v="1"/>
    <x v="5"/>
    <n v="0"/>
  </r>
  <r>
    <x v="1"/>
    <x v="4"/>
    <x v="1"/>
    <x v="3"/>
    <x v="23"/>
    <x v="1"/>
    <x v="6"/>
    <n v="0"/>
  </r>
  <r>
    <x v="1"/>
    <x v="4"/>
    <x v="1"/>
    <x v="3"/>
    <x v="24"/>
    <x v="1"/>
    <x v="0"/>
    <n v="0"/>
  </r>
  <r>
    <x v="1"/>
    <x v="4"/>
    <x v="1"/>
    <x v="3"/>
    <x v="24"/>
    <x v="1"/>
    <x v="1"/>
    <n v="0"/>
  </r>
  <r>
    <x v="1"/>
    <x v="4"/>
    <x v="1"/>
    <x v="3"/>
    <x v="24"/>
    <x v="1"/>
    <x v="2"/>
    <n v="0"/>
  </r>
  <r>
    <x v="1"/>
    <x v="4"/>
    <x v="1"/>
    <x v="3"/>
    <x v="24"/>
    <x v="1"/>
    <x v="3"/>
    <n v="0"/>
  </r>
  <r>
    <x v="1"/>
    <x v="4"/>
    <x v="1"/>
    <x v="3"/>
    <x v="24"/>
    <x v="1"/>
    <x v="4"/>
    <n v="0"/>
  </r>
  <r>
    <x v="1"/>
    <x v="4"/>
    <x v="1"/>
    <x v="3"/>
    <x v="24"/>
    <x v="1"/>
    <x v="5"/>
    <n v="0"/>
  </r>
  <r>
    <x v="1"/>
    <x v="4"/>
    <x v="1"/>
    <x v="3"/>
    <x v="24"/>
    <x v="1"/>
    <x v="6"/>
    <n v="0"/>
  </r>
  <r>
    <x v="1"/>
    <x v="4"/>
    <x v="1"/>
    <x v="3"/>
    <x v="25"/>
    <x v="1"/>
    <x v="0"/>
    <n v="0"/>
  </r>
  <r>
    <x v="1"/>
    <x v="4"/>
    <x v="1"/>
    <x v="3"/>
    <x v="25"/>
    <x v="1"/>
    <x v="1"/>
    <n v="0"/>
  </r>
  <r>
    <x v="1"/>
    <x v="4"/>
    <x v="1"/>
    <x v="3"/>
    <x v="25"/>
    <x v="1"/>
    <x v="2"/>
    <n v="0"/>
  </r>
  <r>
    <x v="1"/>
    <x v="4"/>
    <x v="1"/>
    <x v="3"/>
    <x v="25"/>
    <x v="1"/>
    <x v="3"/>
    <n v="0"/>
  </r>
  <r>
    <x v="1"/>
    <x v="4"/>
    <x v="1"/>
    <x v="3"/>
    <x v="25"/>
    <x v="1"/>
    <x v="4"/>
    <n v="0"/>
  </r>
  <r>
    <x v="1"/>
    <x v="4"/>
    <x v="1"/>
    <x v="3"/>
    <x v="25"/>
    <x v="1"/>
    <x v="5"/>
    <n v="0"/>
  </r>
  <r>
    <x v="1"/>
    <x v="4"/>
    <x v="1"/>
    <x v="3"/>
    <x v="25"/>
    <x v="1"/>
    <x v="6"/>
    <n v="0"/>
  </r>
  <r>
    <x v="1"/>
    <x v="4"/>
    <x v="2"/>
    <x v="4"/>
    <x v="26"/>
    <x v="1"/>
    <x v="0"/>
    <n v="0"/>
  </r>
  <r>
    <x v="1"/>
    <x v="4"/>
    <x v="2"/>
    <x v="4"/>
    <x v="26"/>
    <x v="1"/>
    <x v="1"/>
    <n v="0"/>
  </r>
  <r>
    <x v="1"/>
    <x v="4"/>
    <x v="2"/>
    <x v="4"/>
    <x v="26"/>
    <x v="1"/>
    <x v="2"/>
    <n v="0"/>
  </r>
  <r>
    <x v="1"/>
    <x v="4"/>
    <x v="2"/>
    <x v="4"/>
    <x v="26"/>
    <x v="1"/>
    <x v="3"/>
    <n v="0"/>
  </r>
  <r>
    <x v="1"/>
    <x v="4"/>
    <x v="2"/>
    <x v="4"/>
    <x v="26"/>
    <x v="1"/>
    <x v="4"/>
    <n v="0"/>
  </r>
  <r>
    <x v="1"/>
    <x v="4"/>
    <x v="2"/>
    <x v="4"/>
    <x v="26"/>
    <x v="1"/>
    <x v="5"/>
    <n v="0"/>
  </r>
  <r>
    <x v="1"/>
    <x v="4"/>
    <x v="2"/>
    <x v="4"/>
    <x v="26"/>
    <x v="1"/>
    <x v="6"/>
    <n v="0"/>
  </r>
  <r>
    <x v="1"/>
    <x v="4"/>
    <x v="2"/>
    <x v="4"/>
    <x v="27"/>
    <x v="1"/>
    <x v="0"/>
    <n v="0"/>
  </r>
  <r>
    <x v="1"/>
    <x v="4"/>
    <x v="2"/>
    <x v="4"/>
    <x v="27"/>
    <x v="1"/>
    <x v="1"/>
    <n v="0"/>
  </r>
  <r>
    <x v="1"/>
    <x v="4"/>
    <x v="2"/>
    <x v="4"/>
    <x v="27"/>
    <x v="1"/>
    <x v="2"/>
    <n v="0"/>
  </r>
  <r>
    <x v="1"/>
    <x v="4"/>
    <x v="2"/>
    <x v="4"/>
    <x v="27"/>
    <x v="1"/>
    <x v="3"/>
    <n v="0"/>
  </r>
  <r>
    <x v="1"/>
    <x v="4"/>
    <x v="2"/>
    <x v="4"/>
    <x v="27"/>
    <x v="1"/>
    <x v="4"/>
    <n v="0"/>
  </r>
  <r>
    <x v="1"/>
    <x v="4"/>
    <x v="2"/>
    <x v="4"/>
    <x v="27"/>
    <x v="1"/>
    <x v="5"/>
    <n v="0"/>
  </r>
  <r>
    <x v="1"/>
    <x v="4"/>
    <x v="2"/>
    <x v="4"/>
    <x v="27"/>
    <x v="1"/>
    <x v="6"/>
    <n v="0"/>
  </r>
  <r>
    <x v="1"/>
    <x v="4"/>
    <x v="2"/>
    <x v="4"/>
    <x v="28"/>
    <x v="1"/>
    <x v="0"/>
    <n v="0"/>
  </r>
  <r>
    <x v="1"/>
    <x v="4"/>
    <x v="2"/>
    <x v="4"/>
    <x v="28"/>
    <x v="1"/>
    <x v="1"/>
    <n v="0"/>
  </r>
  <r>
    <x v="1"/>
    <x v="4"/>
    <x v="2"/>
    <x v="4"/>
    <x v="28"/>
    <x v="1"/>
    <x v="2"/>
    <n v="0"/>
  </r>
  <r>
    <x v="1"/>
    <x v="4"/>
    <x v="2"/>
    <x v="4"/>
    <x v="28"/>
    <x v="1"/>
    <x v="3"/>
    <n v="0"/>
  </r>
  <r>
    <x v="1"/>
    <x v="4"/>
    <x v="2"/>
    <x v="4"/>
    <x v="28"/>
    <x v="1"/>
    <x v="4"/>
    <n v="0"/>
  </r>
  <r>
    <x v="1"/>
    <x v="4"/>
    <x v="2"/>
    <x v="4"/>
    <x v="28"/>
    <x v="1"/>
    <x v="5"/>
    <n v="0"/>
  </r>
  <r>
    <x v="1"/>
    <x v="4"/>
    <x v="2"/>
    <x v="4"/>
    <x v="28"/>
    <x v="1"/>
    <x v="6"/>
    <n v="0"/>
  </r>
  <r>
    <x v="1"/>
    <x v="4"/>
    <x v="2"/>
    <x v="4"/>
    <x v="29"/>
    <x v="1"/>
    <x v="0"/>
    <n v="0"/>
  </r>
  <r>
    <x v="1"/>
    <x v="4"/>
    <x v="2"/>
    <x v="4"/>
    <x v="29"/>
    <x v="1"/>
    <x v="1"/>
    <n v="0"/>
  </r>
  <r>
    <x v="1"/>
    <x v="4"/>
    <x v="2"/>
    <x v="4"/>
    <x v="29"/>
    <x v="1"/>
    <x v="2"/>
    <n v="0"/>
  </r>
  <r>
    <x v="1"/>
    <x v="4"/>
    <x v="2"/>
    <x v="4"/>
    <x v="29"/>
    <x v="1"/>
    <x v="3"/>
    <n v="0"/>
  </r>
  <r>
    <x v="1"/>
    <x v="4"/>
    <x v="2"/>
    <x v="4"/>
    <x v="29"/>
    <x v="1"/>
    <x v="4"/>
    <n v="0"/>
  </r>
  <r>
    <x v="1"/>
    <x v="4"/>
    <x v="2"/>
    <x v="4"/>
    <x v="29"/>
    <x v="1"/>
    <x v="5"/>
    <n v="0"/>
  </r>
  <r>
    <x v="1"/>
    <x v="4"/>
    <x v="2"/>
    <x v="4"/>
    <x v="29"/>
    <x v="1"/>
    <x v="6"/>
    <n v="0"/>
  </r>
  <r>
    <x v="1"/>
    <x v="4"/>
    <x v="3"/>
    <x v="5"/>
    <x v="30"/>
    <x v="1"/>
    <x v="0"/>
    <n v="11.985847772540119"/>
  </r>
  <r>
    <x v="1"/>
    <x v="4"/>
    <x v="3"/>
    <x v="5"/>
    <x v="30"/>
    <x v="1"/>
    <x v="1"/>
    <n v="40.454652367295083"/>
  </r>
  <r>
    <x v="1"/>
    <x v="4"/>
    <x v="3"/>
    <x v="5"/>
    <x v="30"/>
    <x v="1"/>
    <x v="2"/>
    <n v="130.51066517448632"/>
  </r>
  <r>
    <x v="1"/>
    <x v="4"/>
    <x v="3"/>
    <x v="5"/>
    <x v="30"/>
    <x v="1"/>
    <x v="3"/>
    <n v="338.08099506897747"/>
  </r>
  <r>
    <x v="1"/>
    <x v="4"/>
    <x v="3"/>
    <x v="5"/>
    <x v="30"/>
    <x v="1"/>
    <x v="4"/>
    <n v="454.97532789099233"/>
  </r>
  <r>
    <x v="1"/>
    <x v="4"/>
    <x v="3"/>
    <x v="5"/>
    <x v="30"/>
    <x v="1"/>
    <x v="5"/>
    <n v="719.60605535122932"/>
  </r>
  <r>
    <x v="1"/>
    <x v="4"/>
    <x v="3"/>
    <x v="5"/>
    <x v="30"/>
    <x v="1"/>
    <x v="6"/>
    <n v="1062.1287875517398"/>
  </r>
  <r>
    <x v="1"/>
    <x v="4"/>
    <x v="2"/>
    <x v="4"/>
    <x v="31"/>
    <x v="1"/>
    <x v="0"/>
    <n v="6.7124779529096008"/>
  </r>
  <r>
    <x v="1"/>
    <x v="4"/>
    <x v="2"/>
    <x v="4"/>
    <x v="31"/>
    <x v="1"/>
    <x v="1"/>
    <n v="13.938910559895369"/>
  </r>
  <r>
    <x v="1"/>
    <x v="4"/>
    <x v="2"/>
    <x v="4"/>
    <x v="31"/>
    <x v="1"/>
    <x v="2"/>
    <n v="28.160215431843628"/>
  </r>
  <r>
    <x v="1"/>
    <x v="4"/>
    <x v="2"/>
    <x v="4"/>
    <x v="31"/>
    <x v="1"/>
    <x v="3"/>
    <n v="60.230237931218809"/>
  </r>
  <r>
    <x v="1"/>
    <x v="4"/>
    <x v="2"/>
    <x v="4"/>
    <x v="31"/>
    <x v="1"/>
    <x v="4"/>
    <n v="100.46506084930053"/>
  </r>
  <r>
    <x v="1"/>
    <x v="4"/>
    <x v="2"/>
    <x v="4"/>
    <x v="31"/>
    <x v="1"/>
    <x v="5"/>
    <n v="142.77426205693928"/>
  </r>
  <r>
    <x v="1"/>
    <x v="4"/>
    <x v="2"/>
    <x v="4"/>
    <x v="31"/>
    <x v="1"/>
    <x v="6"/>
    <n v="213.73695114049815"/>
  </r>
  <r>
    <x v="1"/>
    <x v="4"/>
    <x v="2"/>
    <x v="4"/>
    <x v="32"/>
    <x v="1"/>
    <x v="0"/>
    <n v="0"/>
  </r>
  <r>
    <x v="1"/>
    <x v="4"/>
    <x v="2"/>
    <x v="4"/>
    <x v="32"/>
    <x v="1"/>
    <x v="1"/>
    <n v="0"/>
  </r>
  <r>
    <x v="1"/>
    <x v="4"/>
    <x v="2"/>
    <x v="4"/>
    <x v="32"/>
    <x v="1"/>
    <x v="2"/>
    <n v="0"/>
  </r>
  <r>
    <x v="1"/>
    <x v="4"/>
    <x v="2"/>
    <x v="4"/>
    <x v="32"/>
    <x v="1"/>
    <x v="3"/>
    <n v="0"/>
  </r>
  <r>
    <x v="1"/>
    <x v="4"/>
    <x v="2"/>
    <x v="4"/>
    <x v="32"/>
    <x v="1"/>
    <x v="4"/>
    <n v="0"/>
  </r>
  <r>
    <x v="1"/>
    <x v="4"/>
    <x v="2"/>
    <x v="4"/>
    <x v="32"/>
    <x v="1"/>
    <x v="5"/>
    <n v="0"/>
  </r>
  <r>
    <x v="1"/>
    <x v="4"/>
    <x v="2"/>
    <x v="4"/>
    <x v="32"/>
    <x v="1"/>
    <x v="6"/>
    <n v="0"/>
  </r>
  <r>
    <x v="1"/>
    <x v="4"/>
    <x v="2"/>
    <x v="4"/>
    <x v="33"/>
    <x v="1"/>
    <x v="0"/>
    <n v="0"/>
  </r>
  <r>
    <x v="1"/>
    <x v="4"/>
    <x v="2"/>
    <x v="4"/>
    <x v="33"/>
    <x v="1"/>
    <x v="1"/>
    <n v="0"/>
  </r>
  <r>
    <x v="1"/>
    <x v="4"/>
    <x v="2"/>
    <x v="4"/>
    <x v="33"/>
    <x v="1"/>
    <x v="2"/>
    <n v="0"/>
  </r>
  <r>
    <x v="1"/>
    <x v="4"/>
    <x v="2"/>
    <x v="4"/>
    <x v="33"/>
    <x v="1"/>
    <x v="3"/>
    <n v="0"/>
  </r>
  <r>
    <x v="1"/>
    <x v="4"/>
    <x v="2"/>
    <x v="4"/>
    <x v="33"/>
    <x v="1"/>
    <x v="4"/>
    <n v="0"/>
  </r>
  <r>
    <x v="1"/>
    <x v="4"/>
    <x v="2"/>
    <x v="4"/>
    <x v="33"/>
    <x v="1"/>
    <x v="5"/>
    <n v="0"/>
  </r>
  <r>
    <x v="1"/>
    <x v="4"/>
    <x v="2"/>
    <x v="4"/>
    <x v="33"/>
    <x v="1"/>
    <x v="6"/>
    <n v="0"/>
  </r>
  <r>
    <x v="1"/>
    <x v="4"/>
    <x v="2"/>
    <x v="4"/>
    <x v="34"/>
    <x v="1"/>
    <x v="0"/>
    <n v="3.6576318328013211"/>
  </r>
  <r>
    <x v="1"/>
    <x v="4"/>
    <x v="2"/>
    <x v="4"/>
    <x v="34"/>
    <x v="1"/>
    <x v="1"/>
    <n v="5.8140806412989701"/>
  </r>
  <r>
    <x v="1"/>
    <x v="4"/>
    <x v="2"/>
    <x v="4"/>
    <x v="34"/>
    <x v="1"/>
    <x v="2"/>
    <n v="11.921991894737843"/>
  </r>
  <r>
    <x v="1"/>
    <x v="4"/>
    <x v="2"/>
    <x v="4"/>
    <x v="34"/>
    <x v="1"/>
    <x v="3"/>
    <n v="22.552421670867009"/>
  </r>
  <r>
    <x v="1"/>
    <x v="4"/>
    <x v="2"/>
    <x v="4"/>
    <x v="34"/>
    <x v="1"/>
    <x v="4"/>
    <n v="33.804041569497166"/>
  </r>
  <r>
    <x v="1"/>
    <x v="4"/>
    <x v="2"/>
    <x v="4"/>
    <x v="34"/>
    <x v="1"/>
    <x v="5"/>
    <n v="45.953751347346504"/>
  </r>
  <r>
    <x v="1"/>
    <x v="4"/>
    <x v="2"/>
    <x v="4"/>
    <x v="34"/>
    <x v="1"/>
    <x v="6"/>
    <n v="65.870842847754659"/>
  </r>
  <r>
    <x v="1"/>
    <x v="4"/>
    <x v="2"/>
    <x v="6"/>
    <x v="35"/>
    <x v="1"/>
    <x v="0"/>
    <n v="0"/>
  </r>
  <r>
    <x v="1"/>
    <x v="4"/>
    <x v="2"/>
    <x v="6"/>
    <x v="35"/>
    <x v="1"/>
    <x v="1"/>
    <n v="0"/>
  </r>
  <r>
    <x v="1"/>
    <x v="4"/>
    <x v="2"/>
    <x v="6"/>
    <x v="35"/>
    <x v="1"/>
    <x v="2"/>
    <n v="0"/>
  </r>
  <r>
    <x v="1"/>
    <x v="4"/>
    <x v="2"/>
    <x v="6"/>
    <x v="35"/>
    <x v="1"/>
    <x v="3"/>
    <n v="0"/>
  </r>
  <r>
    <x v="1"/>
    <x v="4"/>
    <x v="2"/>
    <x v="6"/>
    <x v="35"/>
    <x v="1"/>
    <x v="4"/>
    <n v="0"/>
  </r>
  <r>
    <x v="1"/>
    <x v="4"/>
    <x v="2"/>
    <x v="6"/>
    <x v="35"/>
    <x v="1"/>
    <x v="5"/>
    <n v="0"/>
  </r>
  <r>
    <x v="1"/>
    <x v="4"/>
    <x v="2"/>
    <x v="6"/>
    <x v="35"/>
    <x v="1"/>
    <x v="6"/>
    <n v="0"/>
  </r>
  <r>
    <x v="1"/>
    <x v="4"/>
    <x v="2"/>
    <x v="6"/>
    <x v="36"/>
    <x v="1"/>
    <x v="0"/>
    <n v="5.5991560503400519"/>
  </r>
  <r>
    <x v="1"/>
    <x v="4"/>
    <x v="2"/>
    <x v="6"/>
    <x v="36"/>
    <x v="1"/>
    <x v="1"/>
    <n v="11.658881071925379"/>
  </r>
  <r>
    <x v="1"/>
    <x v="4"/>
    <x v="2"/>
    <x v="6"/>
    <x v="36"/>
    <x v="1"/>
    <x v="2"/>
    <n v="27.179151914642318"/>
  </r>
  <r>
    <x v="1"/>
    <x v="4"/>
    <x v="2"/>
    <x v="6"/>
    <x v="36"/>
    <x v="1"/>
    <x v="3"/>
    <n v="60.639749010494718"/>
  </r>
  <r>
    <x v="1"/>
    <x v="4"/>
    <x v="2"/>
    <x v="6"/>
    <x v="36"/>
    <x v="1"/>
    <x v="4"/>
    <n v="101.81520919681104"/>
  </r>
  <r>
    <x v="1"/>
    <x v="4"/>
    <x v="2"/>
    <x v="6"/>
    <x v="36"/>
    <x v="1"/>
    <x v="5"/>
    <n v="162.09253412881071"/>
  </r>
  <r>
    <x v="1"/>
    <x v="4"/>
    <x v="2"/>
    <x v="6"/>
    <x v="36"/>
    <x v="1"/>
    <x v="6"/>
    <n v="251.14689070379893"/>
  </r>
  <r>
    <x v="1"/>
    <x v="4"/>
    <x v="2"/>
    <x v="6"/>
    <x v="37"/>
    <x v="1"/>
    <x v="0"/>
    <n v="3.9894212995741181"/>
  </r>
  <r>
    <x v="1"/>
    <x v="4"/>
    <x v="2"/>
    <x v="6"/>
    <x v="37"/>
    <x v="1"/>
    <x v="1"/>
    <n v="7.87431481804055"/>
  </r>
  <r>
    <x v="1"/>
    <x v="4"/>
    <x v="2"/>
    <x v="6"/>
    <x v="37"/>
    <x v="1"/>
    <x v="2"/>
    <n v="16.409709104331778"/>
  </r>
  <r>
    <x v="1"/>
    <x v="4"/>
    <x v="2"/>
    <x v="6"/>
    <x v="37"/>
    <x v="1"/>
    <x v="3"/>
    <n v="33.425435425600824"/>
  </r>
  <r>
    <x v="1"/>
    <x v="4"/>
    <x v="2"/>
    <x v="6"/>
    <x v="37"/>
    <x v="1"/>
    <x v="4"/>
    <n v="53.386947401682562"/>
  </r>
  <r>
    <x v="1"/>
    <x v="4"/>
    <x v="2"/>
    <x v="6"/>
    <x v="37"/>
    <x v="1"/>
    <x v="5"/>
    <n v="78.797707969180777"/>
  </r>
  <r>
    <x v="1"/>
    <x v="4"/>
    <x v="2"/>
    <x v="6"/>
    <x v="37"/>
    <x v="1"/>
    <x v="6"/>
    <n v="117.38169678042085"/>
  </r>
  <r>
    <x v="1"/>
    <x v="4"/>
    <x v="2"/>
    <x v="6"/>
    <x v="38"/>
    <x v="1"/>
    <x v="0"/>
    <n v="0"/>
  </r>
  <r>
    <x v="1"/>
    <x v="4"/>
    <x v="2"/>
    <x v="6"/>
    <x v="38"/>
    <x v="1"/>
    <x v="1"/>
    <n v="0"/>
  </r>
  <r>
    <x v="1"/>
    <x v="4"/>
    <x v="2"/>
    <x v="6"/>
    <x v="38"/>
    <x v="1"/>
    <x v="2"/>
    <n v="0"/>
  </r>
  <r>
    <x v="1"/>
    <x v="4"/>
    <x v="2"/>
    <x v="6"/>
    <x v="38"/>
    <x v="1"/>
    <x v="3"/>
    <n v="0"/>
  </r>
  <r>
    <x v="1"/>
    <x v="4"/>
    <x v="2"/>
    <x v="6"/>
    <x v="38"/>
    <x v="1"/>
    <x v="4"/>
    <n v="0"/>
  </r>
  <r>
    <x v="1"/>
    <x v="4"/>
    <x v="2"/>
    <x v="6"/>
    <x v="38"/>
    <x v="1"/>
    <x v="5"/>
    <n v="0"/>
  </r>
  <r>
    <x v="1"/>
    <x v="4"/>
    <x v="2"/>
    <x v="6"/>
    <x v="38"/>
    <x v="1"/>
    <x v="6"/>
    <n v="0"/>
  </r>
  <r>
    <x v="1"/>
    <x v="4"/>
    <x v="3"/>
    <x v="5"/>
    <x v="39"/>
    <x v="1"/>
    <x v="0"/>
    <n v="85.694141932180344"/>
  </r>
  <r>
    <x v="1"/>
    <x v="4"/>
    <x v="3"/>
    <x v="5"/>
    <x v="39"/>
    <x v="1"/>
    <x v="1"/>
    <n v="174.68963524593408"/>
  </r>
  <r>
    <x v="1"/>
    <x v="4"/>
    <x v="3"/>
    <x v="5"/>
    <x v="39"/>
    <x v="1"/>
    <x v="2"/>
    <n v="356.92017613750522"/>
  </r>
  <r>
    <x v="1"/>
    <x v="4"/>
    <x v="3"/>
    <x v="5"/>
    <x v="39"/>
    <x v="1"/>
    <x v="3"/>
    <n v="642.17319699092047"/>
  </r>
  <r>
    <x v="1"/>
    <x v="4"/>
    <x v="3"/>
    <x v="5"/>
    <x v="39"/>
    <x v="1"/>
    <x v="4"/>
    <n v="761.9807926590023"/>
  </r>
  <r>
    <x v="1"/>
    <x v="4"/>
    <x v="3"/>
    <x v="5"/>
    <x v="39"/>
    <x v="1"/>
    <x v="5"/>
    <n v="1154.8308924704349"/>
  </r>
  <r>
    <x v="1"/>
    <x v="4"/>
    <x v="3"/>
    <x v="5"/>
    <x v="39"/>
    <x v="1"/>
    <x v="6"/>
    <n v="1665.8586954660068"/>
  </r>
  <r>
    <x v="1"/>
    <x v="4"/>
    <x v="2"/>
    <x v="6"/>
    <x v="40"/>
    <x v="1"/>
    <x v="0"/>
    <n v="8.424693909731932"/>
  </r>
  <r>
    <x v="1"/>
    <x v="4"/>
    <x v="2"/>
    <x v="6"/>
    <x v="40"/>
    <x v="1"/>
    <x v="1"/>
    <n v="17.26999563315136"/>
  </r>
  <r>
    <x v="1"/>
    <x v="4"/>
    <x v="2"/>
    <x v="6"/>
    <x v="40"/>
    <x v="1"/>
    <x v="2"/>
    <n v="43.158392177341248"/>
  </r>
  <r>
    <x v="1"/>
    <x v="4"/>
    <x v="2"/>
    <x v="6"/>
    <x v="40"/>
    <x v="1"/>
    <x v="3"/>
    <n v="97.837283136152337"/>
  </r>
  <r>
    <x v="1"/>
    <x v="4"/>
    <x v="2"/>
    <x v="6"/>
    <x v="40"/>
    <x v="1"/>
    <x v="4"/>
    <n v="171.54247071435123"/>
  </r>
  <r>
    <x v="1"/>
    <x v="4"/>
    <x v="2"/>
    <x v="6"/>
    <x v="40"/>
    <x v="1"/>
    <x v="5"/>
    <n v="268.59183688495466"/>
  </r>
  <r>
    <x v="1"/>
    <x v="4"/>
    <x v="2"/>
    <x v="6"/>
    <x v="40"/>
    <x v="1"/>
    <x v="6"/>
    <n v="429.03603313221458"/>
  </r>
  <r>
    <x v="1"/>
    <x v="4"/>
    <x v="2"/>
    <x v="6"/>
    <x v="41"/>
    <x v="1"/>
    <x v="0"/>
    <n v="0.45569583710371858"/>
  </r>
  <r>
    <x v="1"/>
    <x v="4"/>
    <x v="2"/>
    <x v="6"/>
    <x v="41"/>
    <x v="1"/>
    <x v="1"/>
    <n v="0.94565810251742266"/>
  </r>
  <r>
    <x v="1"/>
    <x v="4"/>
    <x v="2"/>
    <x v="6"/>
    <x v="41"/>
    <x v="1"/>
    <x v="2"/>
    <n v="2.1233321343512919"/>
  </r>
  <r>
    <x v="1"/>
    <x v="4"/>
    <x v="2"/>
    <x v="6"/>
    <x v="41"/>
    <x v="1"/>
    <x v="3"/>
    <n v="4.6266477161042312"/>
  </r>
  <r>
    <x v="1"/>
    <x v="4"/>
    <x v="2"/>
    <x v="6"/>
    <x v="41"/>
    <x v="1"/>
    <x v="4"/>
    <n v="7.7513321444527366"/>
  </r>
  <r>
    <x v="1"/>
    <x v="4"/>
    <x v="2"/>
    <x v="6"/>
    <x v="41"/>
    <x v="1"/>
    <x v="5"/>
    <n v="11.711828126957545"/>
  </r>
  <r>
    <x v="1"/>
    <x v="4"/>
    <x v="2"/>
    <x v="6"/>
    <x v="41"/>
    <x v="1"/>
    <x v="6"/>
    <n v="17.824524324356215"/>
  </r>
  <r>
    <x v="1"/>
    <x v="4"/>
    <x v="2"/>
    <x v="6"/>
    <x v="42"/>
    <x v="1"/>
    <x v="0"/>
    <n v="0"/>
  </r>
  <r>
    <x v="1"/>
    <x v="4"/>
    <x v="2"/>
    <x v="6"/>
    <x v="42"/>
    <x v="1"/>
    <x v="1"/>
    <n v="0"/>
  </r>
  <r>
    <x v="1"/>
    <x v="4"/>
    <x v="2"/>
    <x v="6"/>
    <x v="42"/>
    <x v="1"/>
    <x v="2"/>
    <n v="0"/>
  </r>
  <r>
    <x v="1"/>
    <x v="4"/>
    <x v="2"/>
    <x v="6"/>
    <x v="42"/>
    <x v="1"/>
    <x v="3"/>
    <n v="0"/>
  </r>
  <r>
    <x v="1"/>
    <x v="4"/>
    <x v="2"/>
    <x v="6"/>
    <x v="42"/>
    <x v="1"/>
    <x v="4"/>
    <n v="0"/>
  </r>
  <r>
    <x v="1"/>
    <x v="4"/>
    <x v="2"/>
    <x v="6"/>
    <x v="42"/>
    <x v="1"/>
    <x v="5"/>
    <n v="0"/>
  </r>
  <r>
    <x v="1"/>
    <x v="4"/>
    <x v="2"/>
    <x v="6"/>
    <x v="42"/>
    <x v="1"/>
    <x v="6"/>
    <n v="0"/>
  </r>
  <r>
    <x v="1"/>
    <x v="4"/>
    <x v="2"/>
    <x v="6"/>
    <x v="43"/>
    <x v="1"/>
    <x v="0"/>
    <n v="3.7278339238613216"/>
  </r>
  <r>
    <x v="1"/>
    <x v="4"/>
    <x v="2"/>
    <x v="6"/>
    <x v="43"/>
    <x v="1"/>
    <x v="1"/>
    <n v="6.6611187252410211"/>
  </r>
  <r>
    <x v="1"/>
    <x v="4"/>
    <x v="2"/>
    <x v="6"/>
    <x v="43"/>
    <x v="1"/>
    <x v="2"/>
    <n v="12.784413615066857"/>
  </r>
  <r>
    <x v="1"/>
    <x v="4"/>
    <x v="2"/>
    <x v="6"/>
    <x v="43"/>
    <x v="1"/>
    <x v="3"/>
    <n v="24.03981934072819"/>
  </r>
  <r>
    <x v="1"/>
    <x v="4"/>
    <x v="2"/>
    <x v="6"/>
    <x v="43"/>
    <x v="1"/>
    <x v="4"/>
    <n v="36.000545320819754"/>
  </r>
  <r>
    <x v="1"/>
    <x v="4"/>
    <x v="2"/>
    <x v="6"/>
    <x v="43"/>
    <x v="1"/>
    <x v="5"/>
    <n v="50.301748161227508"/>
  </r>
  <r>
    <x v="1"/>
    <x v="4"/>
    <x v="2"/>
    <x v="6"/>
    <x v="43"/>
    <x v="1"/>
    <x v="6"/>
    <n v="71.448732057871496"/>
  </r>
  <r>
    <x v="1"/>
    <x v="3"/>
    <x v="4"/>
    <x v="7"/>
    <x v="61"/>
    <x v="1"/>
    <x v="0"/>
    <n v="0"/>
  </r>
  <r>
    <x v="1"/>
    <x v="3"/>
    <x v="4"/>
    <x v="7"/>
    <x v="61"/>
    <x v="1"/>
    <x v="1"/>
    <n v="0"/>
  </r>
  <r>
    <x v="1"/>
    <x v="3"/>
    <x v="4"/>
    <x v="7"/>
    <x v="61"/>
    <x v="1"/>
    <x v="2"/>
    <n v="0"/>
  </r>
  <r>
    <x v="1"/>
    <x v="3"/>
    <x v="4"/>
    <x v="7"/>
    <x v="61"/>
    <x v="1"/>
    <x v="3"/>
    <n v="0"/>
  </r>
  <r>
    <x v="1"/>
    <x v="3"/>
    <x v="4"/>
    <x v="7"/>
    <x v="61"/>
    <x v="1"/>
    <x v="4"/>
    <n v="0"/>
  </r>
  <r>
    <x v="1"/>
    <x v="3"/>
    <x v="4"/>
    <x v="7"/>
    <x v="61"/>
    <x v="1"/>
    <x v="5"/>
    <n v="0"/>
  </r>
  <r>
    <x v="1"/>
    <x v="3"/>
    <x v="4"/>
    <x v="7"/>
    <x v="61"/>
    <x v="1"/>
    <x v="6"/>
    <n v="0"/>
  </r>
  <r>
    <x v="1"/>
    <x v="3"/>
    <x v="4"/>
    <x v="7"/>
    <x v="62"/>
    <x v="1"/>
    <x v="0"/>
    <n v="0"/>
  </r>
  <r>
    <x v="1"/>
    <x v="3"/>
    <x v="4"/>
    <x v="7"/>
    <x v="62"/>
    <x v="1"/>
    <x v="1"/>
    <n v="0"/>
  </r>
  <r>
    <x v="1"/>
    <x v="3"/>
    <x v="4"/>
    <x v="7"/>
    <x v="62"/>
    <x v="1"/>
    <x v="2"/>
    <n v="0"/>
  </r>
  <r>
    <x v="1"/>
    <x v="3"/>
    <x v="4"/>
    <x v="7"/>
    <x v="62"/>
    <x v="1"/>
    <x v="3"/>
    <n v="0"/>
  </r>
  <r>
    <x v="1"/>
    <x v="3"/>
    <x v="4"/>
    <x v="7"/>
    <x v="62"/>
    <x v="1"/>
    <x v="4"/>
    <n v="0"/>
  </r>
  <r>
    <x v="1"/>
    <x v="3"/>
    <x v="4"/>
    <x v="7"/>
    <x v="62"/>
    <x v="1"/>
    <x v="5"/>
    <n v="0"/>
  </r>
  <r>
    <x v="1"/>
    <x v="3"/>
    <x v="4"/>
    <x v="7"/>
    <x v="62"/>
    <x v="1"/>
    <x v="6"/>
    <n v="0"/>
  </r>
  <r>
    <x v="1"/>
    <x v="3"/>
    <x v="4"/>
    <x v="7"/>
    <x v="63"/>
    <x v="1"/>
    <x v="0"/>
    <n v="0"/>
  </r>
  <r>
    <x v="1"/>
    <x v="3"/>
    <x v="4"/>
    <x v="7"/>
    <x v="63"/>
    <x v="1"/>
    <x v="1"/>
    <n v="0"/>
  </r>
  <r>
    <x v="1"/>
    <x v="3"/>
    <x v="4"/>
    <x v="7"/>
    <x v="63"/>
    <x v="1"/>
    <x v="2"/>
    <n v="0"/>
  </r>
  <r>
    <x v="1"/>
    <x v="3"/>
    <x v="4"/>
    <x v="7"/>
    <x v="63"/>
    <x v="1"/>
    <x v="3"/>
    <n v="0"/>
  </r>
  <r>
    <x v="1"/>
    <x v="3"/>
    <x v="4"/>
    <x v="7"/>
    <x v="63"/>
    <x v="1"/>
    <x v="4"/>
    <n v="0"/>
  </r>
  <r>
    <x v="1"/>
    <x v="3"/>
    <x v="4"/>
    <x v="7"/>
    <x v="63"/>
    <x v="1"/>
    <x v="5"/>
    <n v="0"/>
  </r>
  <r>
    <x v="1"/>
    <x v="3"/>
    <x v="4"/>
    <x v="7"/>
    <x v="63"/>
    <x v="1"/>
    <x v="6"/>
    <n v="0"/>
  </r>
  <r>
    <x v="1"/>
    <x v="3"/>
    <x v="4"/>
    <x v="7"/>
    <x v="64"/>
    <x v="1"/>
    <x v="0"/>
    <n v="3.1018866453636114E-2"/>
  </r>
  <r>
    <x v="1"/>
    <x v="3"/>
    <x v="4"/>
    <x v="7"/>
    <x v="64"/>
    <x v="1"/>
    <x v="1"/>
    <n v="0.10834383005639799"/>
  </r>
  <r>
    <x v="1"/>
    <x v="3"/>
    <x v="4"/>
    <x v="7"/>
    <x v="64"/>
    <x v="1"/>
    <x v="2"/>
    <n v="0.35702992685570428"/>
  </r>
  <r>
    <x v="1"/>
    <x v="3"/>
    <x v="4"/>
    <x v="7"/>
    <x v="64"/>
    <x v="1"/>
    <x v="3"/>
    <n v="1.2249790855208162"/>
  </r>
  <r>
    <x v="1"/>
    <x v="3"/>
    <x v="4"/>
    <x v="7"/>
    <x v="64"/>
    <x v="1"/>
    <x v="4"/>
    <n v="4.0897496877430823"/>
  </r>
  <r>
    <x v="1"/>
    <x v="3"/>
    <x v="4"/>
    <x v="7"/>
    <x v="64"/>
    <x v="1"/>
    <x v="5"/>
    <n v="11.49351202654389"/>
  </r>
  <r>
    <x v="1"/>
    <x v="3"/>
    <x v="4"/>
    <x v="7"/>
    <x v="64"/>
    <x v="1"/>
    <x v="6"/>
    <n v="29.070676317550024"/>
  </r>
  <r>
    <x v="1"/>
    <x v="4"/>
    <x v="4"/>
    <x v="7"/>
    <x v="44"/>
    <x v="1"/>
    <x v="0"/>
    <n v="1.0247135931710949"/>
  </r>
  <r>
    <x v="1"/>
    <x v="4"/>
    <x v="4"/>
    <x v="7"/>
    <x v="44"/>
    <x v="1"/>
    <x v="1"/>
    <n v="4.445387406490549"/>
  </r>
  <r>
    <x v="1"/>
    <x v="4"/>
    <x v="4"/>
    <x v="7"/>
    <x v="44"/>
    <x v="1"/>
    <x v="2"/>
    <n v="19.095547821804587"/>
  </r>
  <r>
    <x v="1"/>
    <x v="4"/>
    <x v="4"/>
    <x v="7"/>
    <x v="44"/>
    <x v="1"/>
    <x v="3"/>
    <n v="81.702696673583532"/>
  </r>
  <r>
    <x v="1"/>
    <x v="4"/>
    <x v="4"/>
    <x v="7"/>
    <x v="44"/>
    <x v="1"/>
    <x v="4"/>
    <n v="168.48254152890397"/>
  </r>
  <r>
    <x v="1"/>
    <x v="4"/>
    <x v="4"/>
    <x v="7"/>
    <x v="44"/>
    <x v="1"/>
    <x v="5"/>
    <n v="276.91464996771276"/>
  </r>
  <r>
    <x v="1"/>
    <x v="4"/>
    <x v="4"/>
    <x v="7"/>
    <x v="44"/>
    <x v="1"/>
    <x v="6"/>
    <n v="425.57346302754951"/>
  </r>
  <r>
    <x v="1"/>
    <x v="4"/>
    <x v="4"/>
    <x v="7"/>
    <x v="45"/>
    <x v="1"/>
    <x v="0"/>
    <n v="3.3109370763304171"/>
  </r>
  <r>
    <x v="1"/>
    <x v="4"/>
    <x v="4"/>
    <x v="7"/>
    <x v="45"/>
    <x v="1"/>
    <x v="1"/>
    <n v="6.1328243915302449"/>
  </r>
  <r>
    <x v="1"/>
    <x v="4"/>
    <x v="4"/>
    <x v="7"/>
    <x v="45"/>
    <x v="1"/>
    <x v="2"/>
    <n v="12.343859873691065"/>
  </r>
  <r>
    <x v="1"/>
    <x v="4"/>
    <x v="4"/>
    <x v="7"/>
    <x v="45"/>
    <x v="1"/>
    <x v="3"/>
    <n v="24.573823435812489"/>
  </r>
  <r>
    <x v="1"/>
    <x v="4"/>
    <x v="4"/>
    <x v="7"/>
    <x v="45"/>
    <x v="1"/>
    <x v="4"/>
    <n v="38.416294211968349"/>
  </r>
  <r>
    <x v="1"/>
    <x v="4"/>
    <x v="4"/>
    <x v="7"/>
    <x v="45"/>
    <x v="1"/>
    <x v="5"/>
    <n v="64.981654972793223"/>
  </r>
  <r>
    <x v="1"/>
    <x v="4"/>
    <x v="4"/>
    <x v="7"/>
    <x v="45"/>
    <x v="1"/>
    <x v="6"/>
    <n v="107.62734481302194"/>
  </r>
  <r>
    <x v="1"/>
    <x v="4"/>
    <x v="4"/>
    <x v="7"/>
    <x v="46"/>
    <x v="1"/>
    <x v="0"/>
    <n v="0"/>
  </r>
  <r>
    <x v="1"/>
    <x v="4"/>
    <x v="4"/>
    <x v="7"/>
    <x v="46"/>
    <x v="1"/>
    <x v="1"/>
    <n v="0"/>
  </r>
  <r>
    <x v="1"/>
    <x v="4"/>
    <x v="4"/>
    <x v="7"/>
    <x v="46"/>
    <x v="1"/>
    <x v="2"/>
    <n v="0"/>
  </r>
  <r>
    <x v="1"/>
    <x v="4"/>
    <x v="4"/>
    <x v="7"/>
    <x v="46"/>
    <x v="1"/>
    <x v="3"/>
    <n v="0"/>
  </r>
  <r>
    <x v="1"/>
    <x v="4"/>
    <x v="4"/>
    <x v="7"/>
    <x v="46"/>
    <x v="1"/>
    <x v="4"/>
    <n v="0"/>
  </r>
  <r>
    <x v="1"/>
    <x v="4"/>
    <x v="4"/>
    <x v="7"/>
    <x v="46"/>
    <x v="1"/>
    <x v="5"/>
    <n v="0"/>
  </r>
  <r>
    <x v="1"/>
    <x v="4"/>
    <x v="4"/>
    <x v="7"/>
    <x v="46"/>
    <x v="1"/>
    <x v="6"/>
    <n v="0"/>
  </r>
  <r>
    <x v="1"/>
    <x v="4"/>
    <x v="5"/>
    <x v="8"/>
    <x v="51"/>
    <x v="1"/>
    <x v="0"/>
    <n v="1.5372669156243826"/>
  </r>
  <r>
    <x v="1"/>
    <x v="4"/>
    <x v="5"/>
    <x v="8"/>
    <x v="51"/>
    <x v="1"/>
    <x v="1"/>
    <n v="2.7118378969741155"/>
  </r>
  <r>
    <x v="1"/>
    <x v="4"/>
    <x v="5"/>
    <x v="8"/>
    <x v="51"/>
    <x v="1"/>
    <x v="2"/>
    <n v="7.1461658348051085"/>
  </r>
  <r>
    <x v="1"/>
    <x v="4"/>
    <x v="5"/>
    <x v="8"/>
    <x v="51"/>
    <x v="1"/>
    <x v="3"/>
    <n v="14.357867972872114"/>
  </r>
  <r>
    <x v="1"/>
    <x v="4"/>
    <x v="5"/>
    <x v="8"/>
    <x v="51"/>
    <x v="1"/>
    <x v="4"/>
    <n v="21.358102645516521"/>
  </r>
  <r>
    <x v="1"/>
    <x v="4"/>
    <x v="5"/>
    <x v="8"/>
    <x v="51"/>
    <x v="1"/>
    <x v="5"/>
    <n v="29.471840104528649"/>
  </r>
  <r>
    <x v="1"/>
    <x v="4"/>
    <x v="5"/>
    <x v="8"/>
    <x v="51"/>
    <x v="1"/>
    <x v="6"/>
    <n v="33.543432457844141"/>
  </r>
  <r>
    <x v="1"/>
    <x v="4"/>
    <x v="3"/>
    <x v="5"/>
    <x v="52"/>
    <x v="1"/>
    <x v="0"/>
    <n v="0"/>
  </r>
  <r>
    <x v="1"/>
    <x v="4"/>
    <x v="3"/>
    <x v="5"/>
    <x v="52"/>
    <x v="1"/>
    <x v="1"/>
    <n v="0"/>
  </r>
  <r>
    <x v="1"/>
    <x v="4"/>
    <x v="3"/>
    <x v="5"/>
    <x v="52"/>
    <x v="1"/>
    <x v="2"/>
    <n v="0"/>
  </r>
  <r>
    <x v="1"/>
    <x v="4"/>
    <x v="3"/>
    <x v="5"/>
    <x v="52"/>
    <x v="1"/>
    <x v="3"/>
    <n v="0"/>
  </r>
  <r>
    <x v="1"/>
    <x v="4"/>
    <x v="3"/>
    <x v="5"/>
    <x v="52"/>
    <x v="1"/>
    <x v="4"/>
    <n v="0"/>
  </r>
  <r>
    <x v="1"/>
    <x v="4"/>
    <x v="3"/>
    <x v="5"/>
    <x v="52"/>
    <x v="1"/>
    <x v="5"/>
    <n v="0"/>
  </r>
  <r>
    <x v="1"/>
    <x v="4"/>
    <x v="3"/>
    <x v="5"/>
    <x v="52"/>
    <x v="1"/>
    <x v="6"/>
    <n v="0"/>
  </r>
  <r>
    <x v="1"/>
    <x v="4"/>
    <x v="5"/>
    <x v="8"/>
    <x v="53"/>
    <x v="1"/>
    <x v="0"/>
    <n v="2.6461006384578636"/>
  </r>
  <r>
    <x v="1"/>
    <x v="4"/>
    <x v="5"/>
    <x v="8"/>
    <x v="53"/>
    <x v="1"/>
    <x v="1"/>
    <n v="6.000080187131644"/>
  </r>
  <r>
    <x v="1"/>
    <x v="4"/>
    <x v="5"/>
    <x v="8"/>
    <x v="53"/>
    <x v="1"/>
    <x v="2"/>
    <n v="17.552286429581219"/>
  </r>
  <r>
    <x v="1"/>
    <x v="4"/>
    <x v="5"/>
    <x v="8"/>
    <x v="53"/>
    <x v="1"/>
    <x v="3"/>
    <n v="42.213687719911448"/>
  </r>
  <r>
    <x v="1"/>
    <x v="4"/>
    <x v="5"/>
    <x v="8"/>
    <x v="53"/>
    <x v="1"/>
    <x v="4"/>
    <n v="60.294488168608808"/>
  </r>
  <r>
    <x v="1"/>
    <x v="4"/>
    <x v="5"/>
    <x v="8"/>
    <x v="53"/>
    <x v="1"/>
    <x v="5"/>
    <n v="102.47905873741406"/>
  </r>
  <r>
    <x v="1"/>
    <x v="4"/>
    <x v="5"/>
    <x v="8"/>
    <x v="53"/>
    <x v="1"/>
    <x v="6"/>
    <n v="153.41261273702236"/>
  </r>
  <r>
    <x v="1"/>
    <x v="4"/>
    <x v="4"/>
    <x v="7"/>
    <x v="47"/>
    <x v="1"/>
    <x v="0"/>
    <n v="0"/>
  </r>
  <r>
    <x v="1"/>
    <x v="4"/>
    <x v="4"/>
    <x v="7"/>
    <x v="47"/>
    <x v="1"/>
    <x v="1"/>
    <n v="0"/>
  </r>
  <r>
    <x v="1"/>
    <x v="4"/>
    <x v="4"/>
    <x v="7"/>
    <x v="47"/>
    <x v="1"/>
    <x v="2"/>
    <n v="0"/>
  </r>
  <r>
    <x v="1"/>
    <x v="4"/>
    <x v="4"/>
    <x v="7"/>
    <x v="47"/>
    <x v="1"/>
    <x v="3"/>
    <n v="0"/>
  </r>
  <r>
    <x v="1"/>
    <x v="4"/>
    <x v="4"/>
    <x v="7"/>
    <x v="47"/>
    <x v="1"/>
    <x v="4"/>
    <n v="0"/>
  </r>
  <r>
    <x v="1"/>
    <x v="4"/>
    <x v="4"/>
    <x v="7"/>
    <x v="47"/>
    <x v="1"/>
    <x v="5"/>
    <n v="0"/>
  </r>
  <r>
    <x v="1"/>
    <x v="4"/>
    <x v="4"/>
    <x v="7"/>
    <x v="47"/>
    <x v="1"/>
    <x v="6"/>
    <n v="0"/>
  </r>
  <r>
    <x v="1"/>
    <x v="4"/>
    <x v="4"/>
    <x v="7"/>
    <x v="48"/>
    <x v="1"/>
    <x v="0"/>
    <n v="0"/>
  </r>
  <r>
    <x v="1"/>
    <x v="4"/>
    <x v="4"/>
    <x v="7"/>
    <x v="48"/>
    <x v="1"/>
    <x v="1"/>
    <n v="0"/>
  </r>
  <r>
    <x v="1"/>
    <x v="4"/>
    <x v="4"/>
    <x v="7"/>
    <x v="48"/>
    <x v="1"/>
    <x v="2"/>
    <n v="0"/>
  </r>
  <r>
    <x v="1"/>
    <x v="4"/>
    <x v="4"/>
    <x v="7"/>
    <x v="48"/>
    <x v="1"/>
    <x v="3"/>
    <n v="0"/>
  </r>
  <r>
    <x v="1"/>
    <x v="4"/>
    <x v="4"/>
    <x v="7"/>
    <x v="48"/>
    <x v="1"/>
    <x v="4"/>
    <n v="0"/>
  </r>
  <r>
    <x v="1"/>
    <x v="4"/>
    <x v="4"/>
    <x v="7"/>
    <x v="48"/>
    <x v="1"/>
    <x v="5"/>
    <n v="0"/>
  </r>
  <r>
    <x v="1"/>
    <x v="4"/>
    <x v="4"/>
    <x v="7"/>
    <x v="48"/>
    <x v="1"/>
    <x v="6"/>
    <n v="0"/>
  </r>
  <r>
    <x v="1"/>
    <x v="4"/>
    <x v="4"/>
    <x v="7"/>
    <x v="49"/>
    <x v="1"/>
    <x v="0"/>
    <n v="0"/>
  </r>
  <r>
    <x v="1"/>
    <x v="4"/>
    <x v="4"/>
    <x v="7"/>
    <x v="49"/>
    <x v="1"/>
    <x v="1"/>
    <n v="0"/>
  </r>
  <r>
    <x v="1"/>
    <x v="4"/>
    <x v="4"/>
    <x v="7"/>
    <x v="49"/>
    <x v="1"/>
    <x v="2"/>
    <n v="0"/>
  </r>
  <r>
    <x v="1"/>
    <x v="4"/>
    <x v="4"/>
    <x v="7"/>
    <x v="49"/>
    <x v="1"/>
    <x v="3"/>
    <n v="0"/>
  </r>
  <r>
    <x v="1"/>
    <x v="4"/>
    <x v="4"/>
    <x v="7"/>
    <x v="49"/>
    <x v="1"/>
    <x v="4"/>
    <n v="0"/>
  </r>
  <r>
    <x v="1"/>
    <x v="4"/>
    <x v="4"/>
    <x v="7"/>
    <x v="49"/>
    <x v="1"/>
    <x v="5"/>
    <n v="0"/>
  </r>
  <r>
    <x v="1"/>
    <x v="4"/>
    <x v="4"/>
    <x v="7"/>
    <x v="49"/>
    <x v="1"/>
    <x v="6"/>
    <n v="0"/>
  </r>
  <r>
    <x v="1"/>
    <x v="4"/>
    <x v="4"/>
    <x v="7"/>
    <x v="50"/>
    <x v="1"/>
    <x v="0"/>
    <n v="0"/>
  </r>
  <r>
    <x v="1"/>
    <x v="4"/>
    <x v="4"/>
    <x v="7"/>
    <x v="50"/>
    <x v="1"/>
    <x v="1"/>
    <n v="0"/>
  </r>
  <r>
    <x v="1"/>
    <x v="4"/>
    <x v="4"/>
    <x v="7"/>
    <x v="50"/>
    <x v="1"/>
    <x v="2"/>
    <n v="0"/>
  </r>
  <r>
    <x v="1"/>
    <x v="4"/>
    <x v="4"/>
    <x v="7"/>
    <x v="50"/>
    <x v="1"/>
    <x v="3"/>
    <n v="0"/>
  </r>
  <r>
    <x v="1"/>
    <x v="4"/>
    <x v="4"/>
    <x v="7"/>
    <x v="50"/>
    <x v="1"/>
    <x v="4"/>
    <n v="0"/>
  </r>
  <r>
    <x v="1"/>
    <x v="4"/>
    <x v="4"/>
    <x v="7"/>
    <x v="50"/>
    <x v="1"/>
    <x v="5"/>
    <n v="0"/>
  </r>
  <r>
    <x v="1"/>
    <x v="4"/>
    <x v="4"/>
    <x v="7"/>
    <x v="50"/>
    <x v="1"/>
    <x v="6"/>
    <n v="0"/>
  </r>
  <r>
    <x v="1"/>
    <x v="4"/>
    <x v="4"/>
    <x v="7"/>
    <x v="54"/>
    <x v="1"/>
    <x v="0"/>
    <n v="0"/>
  </r>
  <r>
    <x v="1"/>
    <x v="4"/>
    <x v="4"/>
    <x v="7"/>
    <x v="54"/>
    <x v="1"/>
    <x v="1"/>
    <n v="0"/>
  </r>
  <r>
    <x v="1"/>
    <x v="4"/>
    <x v="4"/>
    <x v="7"/>
    <x v="54"/>
    <x v="1"/>
    <x v="2"/>
    <n v="0"/>
  </r>
  <r>
    <x v="1"/>
    <x v="4"/>
    <x v="4"/>
    <x v="7"/>
    <x v="54"/>
    <x v="1"/>
    <x v="3"/>
    <n v="0"/>
  </r>
  <r>
    <x v="1"/>
    <x v="4"/>
    <x v="4"/>
    <x v="7"/>
    <x v="54"/>
    <x v="1"/>
    <x v="4"/>
    <n v="0"/>
  </r>
  <r>
    <x v="1"/>
    <x v="4"/>
    <x v="4"/>
    <x v="7"/>
    <x v="54"/>
    <x v="1"/>
    <x v="5"/>
    <n v="0"/>
  </r>
  <r>
    <x v="1"/>
    <x v="4"/>
    <x v="4"/>
    <x v="7"/>
    <x v="54"/>
    <x v="1"/>
    <x v="6"/>
    <n v="0"/>
  </r>
  <r>
    <x v="1"/>
    <x v="4"/>
    <x v="4"/>
    <x v="7"/>
    <x v="55"/>
    <x v="1"/>
    <x v="0"/>
    <n v="0"/>
  </r>
  <r>
    <x v="1"/>
    <x v="4"/>
    <x v="4"/>
    <x v="7"/>
    <x v="55"/>
    <x v="1"/>
    <x v="1"/>
    <n v="0"/>
  </r>
  <r>
    <x v="1"/>
    <x v="4"/>
    <x v="4"/>
    <x v="7"/>
    <x v="55"/>
    <x v="1"/>
    <x v="2"/>
    <n v="0"/>
  </r>
  <r>
    <x v="1"/>
    <x v="4"/>
    <x v="4"/>
    <x v="7"/>
    <x v="55"/>
    <x v="1"/>
    <x v="3"/>
    <n v="0"/>
  </r>
  <r>
    <x v="1"/>
    <x v="4"/>
    <x v="4"/>
    <x v="7"/>
    <x v="55"/>
    <x v="1"/>
    <x v="4"/>
    <n v="0"/>
  </r>
  <r>
    <x v="1"/>
    <x v="4"/>
    <x v="4"/>
    <x v="7"/>
    <x v="55"/>
    <x v="1"/>
    <x v="5"/>
    <n v="0"/>
  </r>
  <r>
    <x v="1"/>
    <x v="4"/>
    <x v="4"/>
    <x v="7"/>
    <x v="55"/>
    <x v="1"/>
    <x v="6"/>
    <n v="0"/>
  </r>
  <r>
    <x v="1"/>
    <x v="4"/>
    <x v="4"/>
    <x v="7"/>
    <x v="56"/>
    <x v="1"/>
    <x v="0"/>
    <n v="0"/>
  </r>
  <r>
    <x v="1"/>
    <x v="4"/>
    <x v="4"/>
    <x v="7"/>
    <x v="56"/>
    <x v="1"/>
    <x v="1"/>
    <n v="0"/>
  </r>
  <r>
    <x v="1"/>
    <x v="4"/>
    <x v="4"/>
    <x v="7"/>
    <x v="56"/>
    <x v="1"/>
    <x v="2"/>
    <n v="0"/>
  </r>
  <r>
    <x v="1"/>
    <x v="4"/>
    <x v="4"/>
    <x v="7"/>
    <x v="56"/>
    <x v="1"/>
    <x v="3"/>
    <n v="0"/>
  </r>
  <r>
    <x v="1"/>
    <x v="4"/>
    <x v="4"/>
    <x v="7"/>
    <x v="56"/>
    <x v="1"/>
    <x v="4"/>
    <n v="0"/>
  </r>
  <r>
    <x v="1"/>
    <x v="4"/>
    <x v="4"/>
    <x v="7"/>
    <x v="56"/>
    <x v="1"/>
    <x v="5"/>
    <n v="0"/>
  </r>
  <r>
    <x v="1"/>
    <x v="4"/>
    <x v="4"/>
    <x v="7"/>
    <x v="56"/>
    <x v="1"/>
    <x v="6"/>
    <n v="0"/>
  </r>
  <r>
    <x v="1"/>
    <x v="4"/>
    <x v="4"/>
    <x v="7"/>
    <x v="57"/>
    <x v="1"/>
    <x v="0"/>
    <n v="0"/>
  </r>
  <r>
    <x v="1"/>
    <x v="4"/>
    <x v="4"/>
    <x v="7"/>
    <x v="57"/>
    <x v="1"/>
    <x v="1"/>
    <n v="0"/>
  </r>
  <r>
    <x v="1"/>
    <x v="4"/>
    <x v="4"/>
    <x v="7"/>
    <x v="57"/>
    <x v="1"/>
    <x v="2"/>
    <n v="0"/>
  </r>
  <r>
    <x v="1"/>
    <x v="4"/>
    <x v="4"/>
    <x v="7"/>
    <x v="57"/>
    <x v="1"/>
    <x v="3"/>
    <n v="0"/>
  </r>
  <r>
    <x v="1"/>
    <x v="4"/>
    <x v="4"/>
    <x v="7"/>
    <x v="57"/>
    <x v="1"/>
    <x v="4"/>
    <n v="0"/>
  </r>
  <r>
    <x v="1"/>
    <x v="4"/>
    <x v="4"/>
    <x v="7"/>
    <x v="57"/>
    <x v="1"/>
    <x v="5"/>
    <n v="0"/>
  </r>
  <r>
    <x v="1"/>
    <x v="4"/>
    <x v="4"/>
    <x v="7"/>
    <x v="57"/>
    <x v="1"/>
    <x v="6"/>
    <n v="0"/>
  </r>
  <r>
    <x v="1"/>
    <x v="4"/>
    <x v="4"/>
    <x v="7"/>
    <x v="58"/>
    <x v="1"/>
    <x v="0"/>
    <n v="0"/>
  </r>
  <r>
    <x v="1"/>
    <x v="4"/>
    <x v="4"/>
    <x v="7"/>
    <x v="58"/>
    <x v="1"/>
    <x v="1"/>
    <n v="0"/>
  </r>
  <r>
    <x v="1"/>
    <x v="4"/>
    <x v="4"/>
    <x v="7"/>
    <x v="58"/>
    <x v="1"/>
    <x v="2"/>
    <n v="0"/>
  </r>
  <r>
    <x v="1"/>
    <x v="4"/>
    <x v="4"/>
    <x v="7"/>
    <x v="58"/>
    <x v="1"/>
    <x v="3"/>
    <n v="0"/>
  </r>
  <r>
    <x v="1"/>
    <x v="4"/>
    <x v="4"/>
    <x v="7"/>
    <x v="58"/>
    <x v="1"/>
    <x v="4"/>
    <n v="0"/>
  </r>
  <r>
    <x v="1"/>
    <x v="4"/>
    <x v="4"/>
    <x v="7"/>
    <x v="58"/>
    <x v="1"/>
    <x v="5"/>
    <n v="0"/>
  </r>
  <r>
    <x v="1"/>
    <x v="4"/>
    <x v="4"/>
    <x v="7"/>
    <x v="58"/>
    <x v="1"/>
    <x v="6"/>
    <n v="0"/>
  </r>
  <r>
    <x v="1"/>
    <x v="4"/>
    <x v="4"/>
    <x v="7"/>
    <x v="59"/>
    <x v="1"/>
    <x v="0"/>
    <n v="0"/>
  </r>
  <r>
    <x v="1"/>
    <x v="4"/>
    <x v="4"/>
    <x v="7"/>
    <x v="59"/>
    <x v="1"/>
    <x v="1"/>
    <n v="0"/>
  </r>
  <r>
    <x v="1"/>
    <x v="4"/>
    <x v="4"/>
    <x v="7"/>
    <x v="59"/>
    <x v="1"/>
    <x v="2"/>
    <n v="0"/>
  </r>
  <r>
    <x v="1"/>
    <x v="4"/>
    <x v="4"/>
    <x v="7"/>
    <x v="59"/>
    <x v="1"/>
    <x v="3"/>
    <n v="0"/>
  </r>
  <r>
    <x v="1"/>
    <x v="4"/>
    <x v="4"/>
    <x v="7"/>
    <x v="59"/>
    <x v="1"/>
    <x v="4"/>
    <n v="0"/>
  </r>
  <r>
    <x v="1"/>
    <x v="4"/>
    <x v="4"/>
    <x v="7"/>
    <x v="59"/>
    <x v="1"/>
    <x v="5"/>
    <n v="0"/>
  </r>
  <r>
    <x v="1"/>
    <x v="4"/>
    <x v="4"/>
    <x v="7"/>
    <x v="59"/>
    <x v="1"/>
    <x v="6"/>
    <n v="0"/>
  </r>
  <r>
    <x v="1"/>
    <x v="4"/>
    <x v="4"/>
    <x v="7"/>
    <x v="60"/>
    <x v="1"/>
    <x v="0"/>
    <n v="0"/>
  </r>
  <r>
    <x v="1"/>
    <x v="4"/>
    <x v="4"/>
    <x v="7"/>
    <x v="60"/>
    <x v="1"/>
    <x v="1"/>
    <n v="0"/>
  </r>
  <r>
    <x v="1"/>
    <x v="4"/>
    <x v="4"/>
    <x v="7"/>
    <x v="60"/>
    <x v="1"/>
    <x v="2"/>
    <n v="0"/>
  </r>
  <r>
    <x v="1"/>
    <x v="4"/>
    <x v="4"/>
    <x v="7"/>
    <x v="60"/>
    <x v="1"/>
    <x v="3"/>
    <n v="0"/>
  </r>
  <r>
    <x v="1"/>
    <x v="4"/>
    <x v="4"/>
    <x v="7"/>
    <x v="60"/>
    <x v="1"/>
    <x v="4"/>
    <n v="0"/>
  </r>
  <r>
    <x v="1"/>
    <x v="4"/>
    <x v="4"/>
    <x v="7"/>
    <x v="60"/>
    <x v="1"/>
    <x v="5"/>
    <n v="0"/>
  </r>
  <r>
    <x v="1"/>
    <x v="4"/>
    <x v="4"/>
    <x v="7"/>
    <x v="60"/>
    <x v="1"/>
    <x v="6"/>
    <n v="0"/>
  </r>
  <r>
    <x v="1"/>
    <x v="4"/>
    <x v="3"/>
    <x v="5"/>
    <x v="65"/>
    <x v="1"/>
    <x v="0"/>
    <n v="9.3075362088103368"/>
  </r>
  <r>
    <x v="1"/>
    <x v="4"/>
    <x v="3"/>
    <x v="5"/>
    <x v="65"/>
    <x v="1"/>
    <x v="1"/>
    <n v="17.250884824746727"/>
  </r>
  <r>
    <x v="1"/>
    <x v="4"/>
    <x v="3"/>
    <x v="5"/>
    <x v="65"/>
    <x v="1"/>
    <x v="2"/>
    <n v="37.183735542699864"/>
  </r>
  <r>
    <x v="1"/>
    <x v="4"/>
    <x v="3"/>
    <x v="5"/>
    <x v="65"/>
    <x v="1"/>
    <x v="3"/>
    <n v="74.342636759963924"/>
  </r>
  <r>
    <x v="1"/>
    <x v="4"/>
    <x v="3"/>
    <x v="5"/>
    <x v="65"/>
    <x v="1"/>
    <x v="4"/>
    <n v="96.452082670338797"/>
  </r>
  <r>
    <x v="1"/>
    <x v="4"/>
    <x v="3"/>
    <x v="5"/>
    <x v="65"/>
    <x v="1"/>
    <x v="5"/>
    <n v="152.24501421686466"/>
  </r>
  <r>
    <x v="1"/>
    <x v="4"/>
    <x v="3"/>
    <x v="5"/>
    <x v="65"/>
    <x v="1"/>
    <x v="6"/>
    <n v="224.53467698543176"/>
  </r>
  <r>
    <x v="1"/>
    <x v="4"/>
    <x v="3"/>
    <x v="5"/>
    <x v="66"/>
    <x v="1"/>
    <x v="0"/>
    <n v="0"/>
  </r>
  <r>
    <x v="1"/>
    <x v="4"/>
    <x v="3"/>
    <x v="5"/>
    <x v="66"/>
    <x v="1"/>
    <x v="1"/>
    <n v="0"/>
  </r>
  <r>
    <x v="1"/>
    <x v="4"/>
    <x v="3"/>
    <x v="5"/>
    <x v="66"/>
    <x v="1"/>
    <x v="2"/>
    <n v="0"/>
  </r>
  <r>
    <x v="1"/>
    <x v="4"/>
    <x v="3"/>
    <x v="5"/>
    <x v="66"/>
    <x v="1"/>
    <x v="3"/>
    <n v="0"/>
  </r>
  <r>
    <x v="1"/>
    <x v="4"/>
    <x v="3"/>
    <x v="5"/>
    <x v="66"/>
    <x v="1"/>
    <x v="4"/>
    <n v="0"/>
  </r>
  <r>
    <x v="1"/>
    <x v="4"/>
    <x v="3"/>
    <x v="5"/>
    <x v="66"/>
    <x v="1"/>
    <x v="5"/>
    <n v="0"/>
  </r>
  <r>
    <x v="1"/>
    <x v="4"/>
    <x v="3"/>
    <x v="5"/>
    <x v="66"/>
    <x v="1"/>
    <x v="6"/>
    <n v="0"/>
  </r>
  <r>
    <x v="1"/>
    <x v="4"/>
    <x v="3"/>
    <x v="5"/>
    <x v="67"/>
    <x v="1"/>
    <x v="0"/>
    <n v="0"/>
  </r>
  <r>
    <x v="1"/>
    <x v="4"/>
    <x v="3"/>
    <x v="5"/>
    <x v="67"/>
    <x v="1"/>
    <x v="1"/>
    <n v="0"/>
  </r>
  <r>
    <x v="1"/>
    <x v="4"/>
    <x v="3"/>
    <x v="5"/>
    <x v="67"/>
    <x v="1"/>
    <x v="2"/>
    <n v="0"/>
  </r>
  <r>
    <x v="1"/>
    <x v="4"/>
    <x v="3"/>
    <x v="5"/>
    <x v="67"/>
    <x v="1"/>
    <x v="3"/>
    <n v="0"/>
  </r>
  <r>
    <x v="1"/>
    <x v="4"/>
    <x v="3"/>
    <x v="5"/>
    <x v="67"/>
    <x v="1"/>
    <x v="4"/>
    <n v="0"/>
  </r>
  <r>
    <x v="1"/>
    <x v="4"/>
    <x v="3"/>
    <x v="5"/>
    <x v="67"/>
    <x v="1"/>
    <x v="5"/>
    <n v="0"/>
  </r>
  <r>
    <x v="1"/>
    <x v="4"/>
    <x v="3"/>
    <x v="5"/>
    <x v="67"/>
    <x v="1"/>
    <x v="6"/>
    <n v="0"/>
  </r>
  <r>
    <x v="1"/>
    <x v="4"/>
    <x v="3"/>
    <x v="5"/>
    <x v="68"/>
    <x v="1"/>
    <x v="0"/>
    <n v="0"/>
  </r>
  <r>
    <x v="1"/>
    <x v="4"/>
    <x v="3"/>
    <x v="5"/>
    <x v="68"/>
    <x v="1"/>
    <x v="1"/>
    <n v="0"/>
  </r>
  <r>
    <x v="1"/>
    <x v="4"/>
    <x v="3"/>
    <x v="5"/>
    <x v="68"/>
    <x v="1"/>
    <x v="2"/>
    <n v="0"/>
  </r>
  <r>
    <x v="1"/>
    <x v="4"/>
    <x v="3"/>
    <x v="5"/>
    <x v="68"/>
    <x v="1"/>
    <x v="3"/>
    <n v="0"/>
  </r>
  <r>
    <x v="1"/>
    <x v="4"/>
    <x v="3"/>
    <x v="5"/>
    <x v="68"/>
    <x v="1"/>
    <x v="4"/>
    <n v="0"/>
  </r>
  <r>
    <x v="1"/>
    <x v="4"/>
    <x v="3"/>
    <x v="5"/>
    <x v="68"/>
    <x v="1"/>
    <x v="5"/>
    <n v="0"/>
  </r>
  <r>
    <x v="1"/>
    <x v="4"/>
    <x v="3"/>
    <x v="5"/>
    <x v="68"/>
    <x v="1"/>
    <x v="6"/>
    <n v="0"/>
  </r>
  <r>
    <x v="1"/>
    <x v="4"/>
    <x v="3"/>
    <x v="5"/>
    <x v="69"/>
    <x v="1"/>
    <x v="0"/>
    <n v="0.15058611365176927"/>
  </r>
  <r>
    <x v="1"/>
    <x v="4"/>
    <x v="3"/>
    <x v="5"/>
    <x v="69"/>
    <x v="1"/>
    <x v="1"/>
    <n v="0.62993242875076483"/>
  </r>
  <r>
    <x v="1"/>
    <x v="4"/>
    <x v="3"/>
    <x v="5"/>
    <x v="69"/>
    <x v="1"/>
    <x v="2"/>
    <n v="2.7650027295287205"/>
  </r>
  <r>
    <x v="1"/>
    <x v="4"/>
    <x v="3"/>
    <x v="5"/>
    <x v="69"/>
    <x v="1"/>
    <x v="3"/>
    <n v="11.284535163482259"/>
  </r>
  <r>
    <x v="1"/>
    <x v="4"/>
    <x v="3"/>
    <x v="5"/>
    <x v="69"/>
    <x v="1"/>
    <x v="4"/>
    <n v="44.478281033251569"/>
  </r>
  <r>
    <x v="1"/>
    <x v="4"/>
    <x v="3"/>
    <x v="5"/>
    <x v="69"/>
    <x v="1"/>
    <x v="5"/>
    <n v="68.274144520559631"/>
  </r>
  <r>
    <x v="1"/>
    <x v="4"/>
    <x v="3"/>
    <x v="5"/>
    <x v="69"/>
    <x v="1"/>
    <x v="6"/>
    <n v="81.132868025428579"/>
  </r>
  <r>
    <x v="1"/>
    <x v="4"/>
    <x v="3"/>
    <x v="5"/>
    <x v="70"/>
    <x v="1"/>
    <x v="0"/>
    <n v="0"/>
  </r>
  <r>
    <x v="1"/>
    <x v="4"/>
    <x v="3"/>
    <x v="5"/>
    <x v="70"/>
    <x v="1"/>
    <x v="1"/>
    <n v="0"/>
  </r>
  <r>
    <x v="1"/>
    <x v="4"/>
    <x v="3"/>
    <x v="5"/>
    <x v="70"/>
    <x v="1"/>
    <x v="2"/>
    <n v="0"/>
  </r>
  <r>
    <x v="1"/>
    <x v="4"/>
    <x v="3"/>
    <x v="5"/>
    <x v="70"/>
    <x v="1"/>
    <x v="3"/>
    <n v="0"/>
  </r>
  <r>
    <x v="1"/>
    <x v="4"/>
    <x v="3"/>
    <x v="5"/>
    <x v="70"/>
    <x v="1"/>
    <x v="4"/>
    <n v="0"/>
  </r>
  <r>
    <x v="1"/>
    <x v="4"/>
    <x v="3"/>
    <x v="5"/>
    <x v="70"/>
    <x v="1"/>
    <x v="5"/>
    <n v="0"/>
  </r>
  <r>
    <x v="1"/>
    <x v="4"/>
    <x v="3"/>
    <x v="5"/>
    <x v="70"/>
    <x v="1"/>
    <x v="6"/>
    <n v="0"/>
  </r>
  <r>
    <x v="1"/>
    <x v="4"/>
    <x v="3"/>
    <x v="5"/>
    <x v="71"/>
    <x v="1"/>
    <x v="0"/>
    <n v="0"/>
  </r>
  <r>
    <x v="1"/>
    <x v="4"/>
    <x v="3"/>
    <x v="5"/>
    <x v="71"/>
    <x v="1"/>
    <x v="1"/>
    <n v="0"/>
  </r>
  <r>
    <x v="1"/>
    <x v="4"/>
    <x v="3"/>
    <x v="5"/>
    <x v="71"/>
    <x v="1"/>
    <x v="2"/>
    <n v="0"/>
  </r>
  <r>
    <x v="1"/>
    <x v="4"/>
    <x v="3"/>
    <x v="5"/>
    <x v="71"/>
    <x v="1"/>
    <x v="3"/>
    <n v="0"/>
  </r>
  <r>
    <x v="1"/>
    <x v="4"/>
    <x v="3"/>
    <x v="5"/>
    <x v="71"/>
    <x v="1"/>
    <x v="4"/>
    <n v="0"/>
  </r>
  <r>
    <x v="1"/>
    <x v="4"/>
    <x v="3"/>
    <x v="5"/>
    <x v="71"/>
    <x v="1"/>
    <x v="5"/>
    <n v="0"/>
  </r>
  <r>
    <x v="1"/>
    <x v="4"/>
    <x v="3"/>
    <x v="5"/>
    <x v="71"/>
    <x v="1"/>
    <x v="6"/>
    <n v="0"/>
  </r>
  <r>
    <x v="1"/>
    <x v="4"/>
    <x v="3"/>
    <x v="5"/>
    <x v="72"/>
    <x v="1"/>
    <x v="0"/>
    <n v="0.82958327762177575"/>
  </r>
  <r>
    <x v="1"/>
    <x v="4"/>
    <x v="3"/>
    <x v="5"/>
    <x v="72"/>
    <x v="1"/>
    <x v="1"/>
    <n v="3.5201693349457286"/>
  </r>
  <r>
    <x v="1"/>
    <x v="4"/>
    <x v="3"/>
    <x v="5"/>
    <x v="72"/>
    <x v="1"/>
    <x v="2"/>
    <n v="16.4572900515555"/>
  </r>
  <r>
    <x v="1"/>
    <x v="4"/>
    <x v="3"/>
    <x v="5"/>
    <x v="72"/>
    <x v="1"/>
    <x v="3"/>
    <n v="71.647936522511188"/>
  </r>
  <r>
    <x v="1"/>
    <x v="4"/>
    <x v="3"/>
    <x v="5"/>
    <x v="72"/>
    <x v="1"/>
    <x v="4"/>
    <n v="297.07544117154077"/>
  </r>
  <r>
    <x v="1"/>
    <x v="4"/>
    <x v="3"/>
    <x v="5"/>
    <x v="72"/>
    <x v="1"/>
    <x v="5"/>
    <n v="473.91860851534057"/>
  </r>
  <r>
    <x v="1"/>
    <x v="4"/>
    <x v="3"/>
    <x v="5"/>
    <x v="72"/>
    <x v="1"/>
    <x v="6"/>
    <n v="646.95278878441957"/>
  </r>
  <r>
    <x v="1"/>
    <x v="4"/>
    <x v="3"/>
    <x v="5"/>
    <x v="73"/>
    <x v="1"/>
    <x v="0"/>
    <n v="6.3773239715040786E-2"/>
  </r>
  <r>
    <x v="1"/>
    <x v="4"/>
    <x v="3"/>
    <x v="5"/>
    <x v="73"/>
    <x v="1"/>
    <x v="1"/>
    <n v="0.28841987929564167"/>
  </r>
  <r>
    <x v="1"/>
    <x v="4"/>
    <x v="3"/>
    <x v="5"/>
    <x v="73"/>
    <x v="1"/>
    <x v="2"/>
    <n v="1.3305774758117179"/>
  </r>
  <r>
    <x v="1"/>
    <x v="4"/>
    <x v="3"/>
    <x v="5"/>
    <x v="73"/>
    <x v="1"/>
    <x v="3"/>
    <n v="5.8032671057758547"/>
  </r>
  <r>
    <x v="1"/>
    <x v="4"/>
    <x v="3"/>
    <x v="5"/>
    <x v="73"/>
    <x v="1"/>
    <x v="4"/>
    <n v="24.775940419173796"/>
  </r>
  <r>
    <x v="1"/>
    <x v="4"/>
    <x v="3"/>
    <x v="5"/>
    <x v="73"/>
    <x v="1"/>
    <x v="5"/>
    <n v="42.160974964593123"/>
  </r>
  <r>
    <x v="1"/>
    <x v="4"/>
    <x v="3"/>
    <x v="5"/>
    <x v="73"/>
    <x v="1"/>
    <x v="6"/>
    <n v="61.270249847269106"/>
  </r>
  <r>
    <x v="1"/>
    <x v="4"/>
    <x v="5"/>
    <x v="8"/>
    <x v="74"/>
    <x v="1"/>
    <x v="0"/>
    <n v="0.2136761147060767"/>
  </r>
  <r>
    <x v="1"/>
    <x v="4"/>
    <x v="5"/>
    <x v="8"/>
    <x v="74"/>
    <x v="1"/>
    <x v="1"/>
    <n v="0.47714824895508351"/>
  </r>
  <r>
    <x v="1"/>
    <x v="4"/>
    <x v="5"/>
    <x v="8"/>
    <x v="74"/>
    <x v="1"/>
    <x v="2"/>
    <n v="1.2977803978279234"/>
  </r>
  <r>
    <x v="1"/>
    <x v="4"/>
    <x v="5"/>
    <x v="8"/>
    <x v="74"/>
    <x v="1"/>
    <x v="3"/>
    <n v="2.9757078420130645"/>
  </r>
  <r>
    <x v="1"/>
    <x v="4"/>
    <x v="5"/>
    <x v="8"/>
    <x v="74"/>
    <x v="1"/>
    <x v="4"/>
    <n v="4.597266077191688"/>
  </r>
  <r>
    <x v="1"/>
    <x v="4"/>
    <x v="5"/>
    <x v="8"/>
    <x v="74"/>
    <x v="1"/>
    <x v="5"/>
    <n v="6.5541544282114348"/>
  </r>
  <r>
    <x v="1"/>
    <x v="4"/>
    <x v="5"/>
    <x v="8"/>
    <x v="74"/>
    <x v="1"/>
    <x v="6"/>
    <n v="8.4533790114159952"/>
  </r>
  <r>
    <x v="1"/>
    <x v="4"/>
    <x v="5"/>
    <x v="8"/>
    <x v="75"/>
    <x v="1"/>
    <x v="0"/>
    <n v="3.491487609412451"/>
  </r>
  <r>
    <x v="1"/>
    <x v="4"/>
    <x v="5"/>
    <x v="8"/>
    <x v="75"/>
    <x v="1"/>
    <x v="1"/>
    <n v="6.8514363943521186"/>
  </r>
  <r>
    <x v="1"/>
    <x v="4"/>
    <x v="5"/>
    <x v="8"/>
    <x v="75"/>
    <x v="1"/>
    <x v="2"/>
    <n v="15.575564720617033"/>
  </r>
  <r>
    <x v="1"/>
    <x v="4"/>
    <x v="5"/>
    <x v="8"/>
    <x v="75"/>
    <x v="1"/>
    <x v="3"/>
    <n v="33.562122899586932"/>
  </r>
  <r>
    <x v="1"/>
    <x v="4"/>
    <x v="5"/>
    <x v="8"/>
    <x v="75"/>
    <x v="1"/>
    <x v="4"/>
    <n v="47.519272642962413"/>
  </r>
  <r>
    <x v="1"/>
    <x v="4"/>
    <x v="5"/>
    <x v="8"/>
    <x v="75"/>
    <x v="1"/>
    <x v="5"/>
    <n v="80.922185314297153"/>
  </r>
  <r>
    <x v="1"/>
    <x v="4"/>
    <x v="5"/>
    <x v="8"/>
    <x v="75"/>
    <x v="1"/>
    <x v="6"/>
    <n v="114.13999998503775"/>
  </r>
  <r>
    <x v="1"/>
    <x v="4"/>
    <x v="5"/>
    <x v="8"/>
    <x v="76"/>
    <x v="1"/>
    <x v="0"/>
    <n v="0.90653965633854849"/>
  </r>
  <r>
    <x v="1"/>
    <x v="4"/>
    <x v="5"/>
    <x v="8"/>
    <x v="76"/>
    <x v="1"/>
    <x v="1"/>
    <n v="1.6895255851990536"/>
  </r>
  <r>
    <x v="1"/>
    <x v="4"/>
    <x v="5"/>
    <x v="8"/>
    <x v="76"/>
    <x v="1"/>
    <x v="2"/>
    <n v="3.582323161104596"/>
  </r>
  <r>
    <x v="1"/>
    <x v="4"/>
    <x v="5"/>
    <x v="8"/>
    <x v="76"/>
    <x v="1"/>
    <x v="3"/>
    <n v="7.6484643840103406"/>
  </r>
  <r>
    <x v="1"/>
    <x v="4"/>
    <x v="5"/>
    <x v="8"/>
    <x v="76"/>
    <x v="1"/>
    <x v="4"/>
    <n v="10.254242052646909"/>
  </r>
  <r>
    <x v="1"/>
    <x v="4"/>
    <x v="5"/>
    <x v="8"/>
    <x v="76"/>
    <x v="1"/>
    <x v="5"/>
    <n v="16.868707863287472"/>
  </r>
  <r>
    <x v="1"/>
    <x v="4"/>
    <x v="5"/>
    <x v="8"/>
    <x v="76"/>
    <x v="1"/>
    <x v="6"/>
    <n v="23.103210666943241"/>
  </r>
  <r>
    <x v="1"/>
    <x v="4"/>
    <x v="5"/>
    <x v="8"/>
    <x v="77"/>
    <x v="1"/>
    <x v="0"/>
    <n v="0"/>
  </r>
  <r>
    <x v="1"/>
    <x v="4"/>
    <x v="5"/>
    <x v="8"/>
    <x v="77"/>
    <x v="1"/>
    <x v="1"/>
    <n v="0"/>
  </r>
  <r>
    <x v="1"/>
    <x v="4"/>
    <x v="5"/>
    <x v="8"/>
    <x v="77"/>
    <x v="1"/>
    <x v="2"/>
    <n v="0"/>
  </r>
  <r>
    <x v="1"/>
    <x v="4"/>
    <x v="5"/>
    <x v="8"/>
    <x v="77"/>
    <x v="1"/>
    <x v="3"/>
    <n v="0"/>
  </r>
  <r>
    <x v="1"/>
    <x v="4"/>
    <x v="5"/>
    <x v="8"/>
    <x v="77"/>
    <x v="1"/>
    <x v="4"/>
    <n v="0"/>
  </r>
  <r>
    <x v="1"/>
    <x v="4"/>
    <x v="5"/>
    <x v="8"/>
    <x v="77"/>
    <x v="1"/>
    <x v="5"/>
    <n v="0"/>
  </r>
  <r>
    <x v="1"/>
    <x v="4"/>
    <x v="5"/>
    <x v="8"/>
    <x v="77"/>
    <x v="1"/>
    <x v="6"/>
    <n v="0"/>
  </r>
  <r>
    <x v="1"/>
    <x v="4"/>
    <x v="5"/>
    <x v="8"/>
    <x v="78"/>
    <x v="1"/>
    <x v="0"/>
    <n v="17.413709728867797"/>
  </r>
  <r>
    <x v="1"/>
    <x v="4"/>
    <x v="5"/>
    <x v="8"/>
    <x v="78"/>
    <x v="1"/>
    <x v="1"/>
    <n v="35.110540256677808"/>
  </r>
  <r>
    <x v="1"/>
    <x v="4"/>
    <x v="5"/>
    <x v="8"/>
    <x v="78"/>
    <x v="1"/>
    <x v="2"/>
    <n v="73.286150808426626"/>
  </r>
  <r>
    <x v="1"/>
    <x v="4"/>
    <x v="5"/>
    <x v="8"/>
    <x v="78"/>
    <x v="1"/>
    <x v="3"/>
    <n v="150.91340142912202"/>
  </r>
  <r>
    <x v="1"/>
    <x v="4"/>
    <x v="5"/>
    <x v="8"/>
    <x v="78"/>
    <x v="1"/>
    <x v="4"/>
    <n v="201.06591061863494"/>
  </r>
  <r>
    <x v="1"/>
    <x v="4"/>
    <x v="5"/>
    <x v="8"/>
    <x v="78"/>
    <x v="1"/>
    <x v="5"/>
    <n v="326.94209156146758"/>
  </r>
  <r>
    <x v="1"/>
    <x v="4"/>
    <x v="5"/>
    <x v="8"/>
    <x v="78"/>
    <x v="1"/>
    <x v="6"/>
    <n v="441.26359144408087"/>
  </r>
  <r>
    <x v="1"/>
    <x v="4"/>
    <x v="5"/>
    <x v="8"/>
    <x v="79"/>
    <x v="1"/>
    <x v="0"/>
    <n v="0.71789128011352366"/>
  </r>
  <r>
    <x v="1"/>
    <x v="4"/>
    <x v="5"/>
    <x v="8"/>
    <x v="79"/>
    <x v="1"/>
    <x v="1"/>
    <n v="1.2920191343408305"/>
  </r>
  <r>
    <x v="1"/>
    <x v="4"/>
    <x v="5"/>
    <x v="8"/>
    <x v="79"/>
    <x v="1"/>
    <x v="2"/>
    <n v="3.0370797625733816"/>
  </r>
  <r>
    <x v="1"/>
    <x v="4"/>
    <x v="5"/>
    <x v="8"/>
    <x v="79"/>
    <x v="1"/>
    <x v="3"/>
    <n v="5.6978874835752924"/>
  </r>
  <r>
    <x v="1"/>
    <x v="4"/>
    <x v="5"/>
    <x v="8"/>
    <x v="79"/>
    <x v="1"/>
    <x v="4"/>
    <n v="7.3456785862887379"/>
  </r>
  <r>
    <x v="1"/>
    <x v="4"/>
    <x v="5"/>
    <x v="8"/>
    <x v="79"/>
    <x v="1"/>
    <x v="5"/>
    <n v="11.608357977356741"/>
  </r>
  <r>
    <x v="1"/>
    <x v="4"/>
    <x v="5"/>
    <x v="8"/>
    <x v="79"/>
    <x v="1"/>
    <x v="6"/>
    <n v="15.713394559699209"/>
  </r>
  <r>
    <x v="1"/>
    <x v="4"/>
    <x v="5"/>
    <x v="8"/>
    <x v="80"/>
    <x v="1"/>
    <x v="0"/>
    <n v="27.520361555560321"/>
  </r>
  <r>
    <x v="1"/>
    <x v="4"/>
    <x v="5"/>
    <x v="8"/>
    <x v="80"/>
    <x v="1"/>
    <x v="1"/>
    <n v="59.972720512971307"/>
  </r>
  <r>
    <x v="1"/>
    <x v="4"/>
    <x v="5"/>
    <x v="8"/>
    <x v="80"/>
    <x v="1"/>
    <x v="2"/>
    <n v="139.32917065637753"/>
  </r>
  <r>
    <x v="1"/>
    <x v="4"/>
    <x v="5"/>
    <x v="8"/>
    <x v="80"/>
    <x v="1"/>
    <x v="3"/>
    <n v="293.90312637134997"/>
  </r>
  <r>
    <x v="1"/>
    <x v="4"/>
    <x v="5"/>
    <x v="8"/>
    <x v="80"/>
    <x v="1"/>
    <x v="4"/>
    <n v="398.37854828908485"/>
  </r>
  <r>
    <x v="1"/>
    <x v="4"/>
    <x v="5"/>
    <x v="8"/>
    <x v="80"/>
    <x v="1"/>
    <x v="5"/>
    <n v="663.47723975738347"/>
  </r>
  <r>
    <x v="1"/>
    <x v="4"/>
    <x v="5"/>
    <x v="8"/>
    <x v="80"/>
    <x v="1"/>
    <x v="6"/>
    <n v="909.66782586450461"/>
  </r>
  <r>
    <x v="1"/>
    <x v="4"/>
    <x v="5"/>
    <x v="8"/>
    <x v="81"/>
    <x v="1"/>
    <x v="0"/>
    <n v="3.8731123742152667"/>
  </r>
  <r>
    <x v="1"/>
    <x v="4"/>
    <x v="5"/>
    <x v="8"/>
    <x v="81"/>
    <x v="1"/>
    <x v="1"/>
    <n v="6.3157641057970997"/>
  </r>
  <r>
    <x v="1"/>
    <x v="4"/>
    <x v="5"/>
    <x v="8"/>
    <x v="81"/>
    <x v="1"/>
    <x v="2"/>
    <n v="15.448802124845438"/>
  </r>
  <r>
    <x v="1"/>
    <x v="4"/>
    <x v="5"/>
    <x v="8"/>
    <x v="81"/>
    <x v="1"/>
    <x v="3"/>
    <n v="31.456329655841358"/>
  </r>
  <r>
    <x v="1"/>
    <x v="4"/>
    <x v="5"/>
    <x v="8"/>
    <x v="81"/>
    <x v="1"/>
    <x v="4"/>
    <n v="42.20966419220948"/>
  </r>
  <r>
    <x v="1"/>
    <x v="4"/>
    <x v="5"/>
    <x v="8"/>
    <x v="81"/>
    <x v="1"/>
    <x v="5"/>
    <n v="69.266500737946075"/>
  </r>
  <r>
    <x v="1"/>
    <x v="4"/>
    <x v="5"/>
    <x v="8"/>
    <x v="81"/>
    <x v="1"/>
    <x v="6"/>
    <n v="97.831662394720738"/>
  </r>
  <r>
    <x v="1"/>
    <x v="4"/>
    <x v="5"/>
    <x v="8"/>
    <x v="82"/>
    <x v="1"/>
    <x v="0"/>
    <n v="47.507756320831078"/>
  </r>
  <r>
    <x v="1"/>
    <x v="4"/>
    <x v="5"/>
    <x v="8"/>
    <x v="82"/>
    <x v="1"/>
    <x v="1"/>
    <n v="90.426514861118733"/>
  </r>
  <r>
    <x v="1"/>
    <x v="4"/>
    <x v="5"/>
    <x v="8"/>
    <x v="82"/>
    <x v="1"/>
    <x v="2"/>
    <n v="218.00274582700479"/>
  </r>
  <r>
    <x v="1"/>
    <x v="4"/>
    <x v="5"/>
    <x v="8"/>
    <x v="82"/>
    <x v="1"/>
    <x v="3"/>
    <n v="509.80392478893231"/>
  </r>
  <r>
    <x v="1"/>
    <x v="4"/>
    <x v="5"/>
    <x v="8"/>
    <x v="82"/>
    <x v="1"/>
    <x v="4"/>
    <n v="703.18493992908827"/>
  </r>
  <r>
    <x v="1"/>
    <x v="4"/>
    <x v="5"/>
    <x v="8"/>
    <x v="82"/>
    <x v="1"/>
    <x v="5"/>
    <n v="948.90267841762989"/>
  </r>
  <r>
    <x v="1"/>
    <x v="4"/>
    <x v="5"/>
    <x v="8"/>
    <x v="82"/>
    <x v="1"/>
    <x v="6"/>
    <n v="1143.5566748565325"/>
  </r>
  <r>
    <x v="1"/>
    <x v="4"/>
    <x v="5"/>
    <x v="8"/>
    <x v="83"/>
    <x v="1"/>
    <x v="0"/>
    <n v="26.448796509551887"/>
  </r>
  <r>
    <x v="1"/>
    <x v="4"/>
    <x v="5"/>
    <x v="8"/>
    <x v="83"/>
    <x v="1"/>
    <x v="1"/>
    <n v="53.387289652081336"/>
  </r>
  <r>
    <x v="1"/>
    <x v="4"/>
    <x v="5"/>
    <x v="8"/>
    <x v="83"/>
    <x v="1"/>
    <x v="2"/>
    <n v="119.47492936497662"/>
  </r>
  <r>
    <x v="1"/>
    <x v="4"/>
    <x v="5"/>
    <x v="8"/>
    <x v="83"/>
    <x v="1"/>
    <x v="3"/>
    <n v="261.52058489299327"/>
  </r>
  <r>
    <x v="1"/>
    <x v="4"/>
    <x v="5"/>
    <x v="8"/>
    <x v="83"/>
    <x v="1"/>
    <x v="4"/>
    <n v="335.14170852927703"/>
  </r>
  <r>
    <x v="1"/>
    <x v="4"/>
    <x v="5"/>
    <x v="8"/>
    <x v="83"/>
    <x v="1"/>
    <x v="5"/>
    <n v="430.36827785141634"/>
  </r>
  <r>
    <x v="1"/>
    <x v="4"/>
    <x v="5"/>
    <x v="8"/>
    <x v="83"/>
    <x v="1"/>
    <x v="6"/>
    <n v="477.50208909114838"/>
  </r>
  <r>
    <x v="1"/>
    <x v="5"/>
    <x v="0"/>
    <x v="0"/>
    <x v="0"/>
    <x v="1"/>
    <x v="0"/>
    <n v="0"/>
  </r>
  <r>
    <x v="1"/>
    <x v="5"/>
    <x v="0"/>
    <x v="0"/>
    <x v="0"/>
    <x v="1"/>
    <x v="1"/>
    <n v="0"/>
  </r>
  <r>
    <x v="1"/>
    <x v="5"/>
    <x v="0"/>
    <x v="0"/>
    <x v="0"/>
    <x v="1"/>
    <x v="2"/>
    <n v="0"/>
  </r>
  <r>
    <x v="1"/>
    <x v="5"/>
    <x v="0"/>
    <x v="0"/>
    <x v="0"/>
    <x v="1"/>
    <x v="3"/>
    <n v="0"/>
  </r>
  <r>
    <x v="1"/>
    <x v="5"/>
    <x v="0"/>
    <x v="0"/>
    <x v="0"/>
    <x v="1"/>
    <x v="4"/>
    <n v="0"/>
  </r>
  <r>
    <x v="1"/>
    <x v="5"/>
    <x v="0"/>
    <x v="0"/>
    <x v="0"/>
    <x v="1"/>
    <x v="5"/>
    <n v="0"/>
  </r>
  <r>
    <x v="1"/>
    <x v="5"/>
    <x v="0"/>
    <x v="0"/>
    <x v="0"/>
    <x v="1"/>
    <x v="6"/>
    <n v="0"/>
  </r>
  <r>
    <x v="1"/>
    <x v="5"/>
    <x v="0"/>
    <x v="1"/>
    <x v="1"/>
    <x v="1"/>
    <x v="0"/>
    <n v="0"/>
  </r>
  <r>
    <x v="1"/>
    <x v="5"/>
    <x v="0"/>
    <x v="1"/>
    <x v="1"/>
    <x v="1"/>
    <x v="1"/>
    <n v="0"/>
  </r>
  <r>
    <x v="1"/>
    <x v="5"/>
    <x v="0"/>
    <x v="1"/>
    <x v="1"/>
    <x v="1"/>
    <x v="2"/>
    <n v="0"/>
  </r>
  <r>
    <x v="1"/>
    <x v="5"/>
    <x v="0"/>
    <x v="1"/>
    <x v="1"/>
    <x v="1"/>
    <x v="3"/>
    <n v="0"/>
  </r>
  <r>
    <x v="1"/>
    <x v="5"/>
    <x v="0"/>
    <x v="1"/>
    <x v="1"/>
    <x v="1"/>
    <x v="4"/>
    <n v="0"/>
  </r>
  <r>
    <x v="1"/>
    <x v="5"/>
    <x v="0"/>
    <x v="1"/>
    <x v="1"/>
    <x v="1"/>
    <x v="5"/>
    <n v="0"/>
  </r>
  <r>
    <x v="1"/>
    <x v="5"/>
    <x v="0"/>
    <x v="1"/>
    <x v="1"/>
    <x v="1"/>
    <x v="6"/>
    <n v="0"/>
  </r>
  <r>
    <x v="1"/>
    <x v="5"/>
    <x v="0"/>
    <x v="1"/>
    <x v="2"/>
    <x v="1"/>
    <x v="0"/>
    <n v="0"/>
  </r>
  <r>
    <x v="1"/>
    <x v="5"/>
    <x v="0"/>
    <x v="1"/>
    <x v="2"/>
    <x v="1"/>
    <x v="1"/>
    <n v="0"/>
  </r>
  <r>
    <x v="1"/>
    <x v="5"/>
    <x v="0"/>
    <x v="1"/>
    <x v="2"/>
    <x v="1"/>
    <x v="2"/>
    <n v="0"/>
  </r>
  <r>
    <x v="1"/>
    <x v="5"/>
    <x v="0"/>
    <x v="1"/>
    <x v="2"/>
    <x v="1"/>
    <x v="3"/>
    <n v="0"/>
  </r>
  <r>
    <x v="1"/>
    <x v="5"/>
    <x v="0"/>
    <x v="1"/>
    <x v="2"/>
    <x v="1"/>
    <x v="4"/>
    <n v="0"/>
  </r>
  <r>
    <x v="1"/>
    <x v="5"/>
    <x v="0"/>
    <x v="1"/>
    <x v="2"/>
    <x v="1"/>
    <x v="5"/>
    <n v="0"/>
  </r>
  <r>
    <x v="1"/>
    <x v="5"/>
    <x v="0"/>
    <x v="1"/>
    <x v="2"/>
    <x v="1"/>
    <x v="6"/>
    <n v="0"/>
  </r>
  <r>
    <x v="1"/>
    <x v="5"/>
    <x v="0"/>
    <x v="1"/>
    <x v="3"/>
    <x v="1"/>
    <x v="0"/>
    <n v="0"/>
  </r>
  <r>
    <x v="1"/>
    <x v="5"/>
    <x v="0"/>
    <x v="1"/>
    <x v="3"/>
    <x v="1"/>
    <x v="1"/>
    <n v="0"/>
  </r>
  <r>
    <x v="1"/>
    <x v="5"/>
    <x v="0"/>
    <x v="1"/>
    <x v="3"/>
    <x v="1"/>
    <x v="2"/>
    <n v="0"/>
  </r>
  <r>
    <x v="1"/>
    <x v="5"/>
    <x v="0"/>
    <x v="1"/>
    <x v="3"/>
    <x v="1"/>
    <x v="3"/>
    <n v="0"/>
  </r>
  <r>
    <x v="1"/>
    <x v="5"/>
    <x v="0"/>
    <x v="1"/>
    <x v="3"/>
    <x v="1"/>
    <x v="4"/>
    <n v="0"/>
  </r>
  <r>
    <x v="1"/>
    <x v="5"/>
    <x v="0"/>
    <x v="1"/>
    <x v="3"/>
    <x v="1"/>
    <x v="5"/>
    <n v="0"/>
  </r>
  <r>
    <x v="1"/>
    <x v="5"/>
    <x v="0"/>
    <x v="1"/>
    <x v="3"/>
    <x v="1"/>
    <x v="6"/>
    <n v="0"/>
  </r>
  <r>
    <x v="1"/>
    <x v="5"/>
    <x v="0"/>
    <x v="1"/>
    <x v="4"/>
    <x v="1"/>
    <x v="0"/>
    <n v="0"/>
  </r>
  <r>
    <x v="1"/>
    <x v="5"/>
    <x v="0"/>
    <x v="1"/>
    <x v="4"/>
    <x v="1"/>
    <x v="1"/>
    <n v="0"/>
  </r>
  <r>
    <x v="1"/>
    <x v="5"/>
    <x v="0"/>
    <x v="1"/>
    <x v="4"/>
    <x v="1"/>
    <x v="2"/>
    <n v="0"/>
  </r>
  <r>
    <x v="1"/>
    <x v="5"/>
    <x v="0"/>
    <x v="1"/>
    <x v="4"/>
    <x v="1"/>
    <x v="3"/>
    <n v="0"/>
  </r>
  <r>
    <x v="1"/>
    <x v="5"/>
    <x v="0"/>
    <x v="1"/>
    <x v="4"/>
    <x v="1"/>
    <x v="4"/>
    <n v="0"/>
  </r>
  <r>
    <x v="1"/>
    <x v="5"/>
    <x v="0"/>
    <x v="1"/>
    <x v="4"/>
    <x v="1"/>
    <x v="5"/>
    <n v="0"/>
  </r>
  <r>
    <x v="1"/>
    <x v="5"/>
    <x v="0"/>
    <x v="1"/>
    <x v="4"/>
    <x v="1"/>
    <x v="6"/>
    <n v="0"/>
  </r>
  <r>
    <x v="1"/>
    <x v="5"/>
    <x v="0"/>
    <x v="1"/>
    <x v="5"/>
    <x v="1"/>
    <x v="0"/>
    <n v="0"/>
  </r>
  <r>
    <x v="1"/>
    <x v="5"/>
    <x v="0"/>
    <x v="1"/>
    <x v="5"/>
    <x v="1"/>
    <x v="1"/>
    <n v="0"/>
  </r>
  <r>
    <x v="1"/>
    <x v="5"/>
    <x v="0"/>
    <x v="1"/>
    <x v="5"/>
    <x v="1"/>
    <x v="2"/>
    <n v="0"/>
  </r>
  <r>
    <x v="1"/>
    <x v="5"/>
    <x v="0"/>
    <x v="1"/>
    <x v="5"/>
    <x v="1"/>
    <x v="3"/>
    <n v="0"/>
  </r>
  <r>
    <x v="1"/>
    <x v="5"/>
    <x v="0"/>
    <x v="1"/>
    <x v="5"/>
    <x v="1"/>
    <x v="4"/>
    <n v="0"/>
  </r>
  <r>
    <x v="1"/>
    <x v="5"/>
    <x v="0"/>
    <x v="1"/>
    <x v="5"/>
    <x v="1"/>
    <x v="5"/>
    <n v="0"/>
  </r>
  <r>
    <x v="1"/>
    <x v="5"/>
    <x v="0"/>
    <x v="1"/>
    <x v="5"/>
    <x v="1"/>
    <x v="6"/>
    <n v="0"/>
  </r>
  <r>
    <x v="1"/>
    <x v="5"/>
    <x v="0"/>
    <x v="1"/>
    <x v="6"/>
    <x v="1"/>
    <x v="0"/>
    <n v="0"/>
  </r>
  <r>
    <x v="1"/>
    <x v="5"/>
    <x v="0"/>
    <x v="1"/>
    <x v="6"/>
    <x v="1"/>
    <x v="1"/>
    <n v="0"/>
  </r>
  <r>
    <x v="1"/>
    <x v="5"/>
    <x v="0"/>
    <x v="1"/>
    <x v="6"/>
    <x v="1"/>
    <x v="2"/>
    <n v="0"/>
  </r>
  <r>
    <x v="1"/>
    <x v="5"/>
    <x v="0"/>
    <x v="1"/>
    <x v="6"/>
    <x v="1"/>
    <x v="3"/>
    <n v="0"/>
  </r>
  <r>
    <x v="1"/>
    <x v="5"/>
    <x v="0"/>
    <x v="1"/>
    <x v="6"/>
    <x v="1"/>
    <x v="4"/>
    <n v="0"/>
  </r>
  <r>
    <x v="1"/>
    <x v="5"/>
    <x v="0"/>
    <x v="1"/>
    <x v="6"/>
    <x v="1"/>
    <x v="5"/>
    <n v="0"/>
  </r>
  <r>
    <x v="1"/>
    <x v="5"/>
    <x v="0"/>
    <x v="1"/>
    <x v="6"/>
    <x v="1"/>
    <x v="6"/>
    <n v="0"/>
  </r>
  <r>
    <x v="1"/>
    <x v="5"/>
    <x v="0"/>
    <x v="1"/>
    <x v="7"/>
    <x v="1"/>
    <x v="0"/>
    <n v="0"/>
  </r>
  <r>
    <x v="1"/>
    <x v="5"/>
    <x v="0"/>
    <x v="1"/>
    <x v="7"/>
    <x v="1"/>
    <x v="1"/>
    <n v="0"/>
  </r>
  <r>
    <x v="1"/>
    <x v="5"/>
    <x v="0"/>
    <x v="1"/>
    <x v="7"/>
    <x v="1"/>
    <x v="2"/>
    <n v="0"/>
  </r>
  <r>
    <x v="1"/>
    <x v="5"/>
    <x v="0"/>
    <x v="1"/>
    <x v="7"/>
    <x v="1"/>
    <x v="3"/>
    <n v="0"/>
  </r>
  <r>
    <x v="1"/>
    <x v="5"/>
    <x v="0"/>
    <x v="1"/>
    <x v="7"/>
    <x v="1"/>
    <x v="4"/>
    <n v="0"/>
  </r>
  <r>
    <x v="1"/>
    <x v="5"/>
    <x v="0"/>
    <x v="1"/>
    <x v="7"/>
    <x v="1"/>
    <x v="5"/>
    <n v="0"/>
  </r>
  <r>
    <x v="1"/>
    <x v="5"/>
    <x v="0"/>
    <x v="1"/>
    <x v="7"/>
    <x v="1"/>
    <x v="6"/>
    <n v="0"/>
  </r>
  <r>
    <x v="1"/>
    <x v="5"/>
    <x v="0"/>
    <x v="1"/>
    <x v="8"/>
    <x v="1"/>
    <x v="0"/>
    <n v="0"/>
  </r>
  <r>
    <x v="1"/>
    <x v="5"/>
    <x v="0"/>
    <x v="1"/>
    <x v="8"/>
    <x v="1"/>
    <x v="1"/>
    <n v="0"/>
  </r>
  <r>
    <x v="1"/>
    <x v="5"/>
    <x v="0"/>
    <x v="1"/>
    <x v="8"/>
    <x v="1"/>
    <x v="2"/>
    <n v="0"/>
  </r>
  <r>
    <x v="1"/>
    <x v="5"/>
    <x v="0"/>
    <x v="1"/>
    <x v="8"/>
    <x v="1"/>
    <x v="3"/>
    <n v="0"/>
  </r>
  <r>
    <x v="1"/>
    <x v="5"/>
    <x v="0"/>
    <x v="1"/>
    <x v="8"/>
    <x v="1"/>
    <x v="4"/>
    <n v="0"/>
  </r>
  <r>
    <x v="1"/>
    <x v="5"/>
    <x v="0"/>
    <x v="1"/>
    <x v="8"/>
    <x v="1"/>
    <x v="5"/>
    <n v="0"/>
  </r>
  <r>
    <x v="1"/>
    <x v="5"/>
    <x v="0"/>
    <x v="1"/>
    <x v="8"/>
    <x v="1"/>
    <x v="6"/>
    <n v="0"/>
  </r>
  <r>
    <x v="1"/>
    <x v="5"/>
    <x v="0"/>
    <x v="1"/>
    <x v="9"/>
    <x v="1"/>
    <x v="0"/>
    <n v="0"/>
  </r>
  <r>
    <x v="1"/>
    <x v="5"/>
    <x v="0"/>
    <x v="1"/>
    <x v="9"/>
    <x v="1"/>
    <x v="1"/>
    <n v="0"/>
  </r>
  <r>
    <x v="1"/>
    <x v="5"/>
    <x v="0"/>
    <x v="1"/>
    <x v="9"/>
    <x v="1"/>
    <x v="2"/>
    <n v="0"/>
  </r>
  <r>
    <x v="1"/>
    <x v="5"/>
    <x v="0"/>
    <x v="1"/>
    <x v="9"/>
    <x v="1"/>
    <x v="3"/>
    <n v="0"/>
  </r>
  <r>
    <x v="1"/>
    <x v="5"/>
    <x v="0"/>
    <x v="1"/>
    <x v="9"/>
    <x v="1"/>
    <x v="4"/>
    <n v="0"/>
  </r>
  <r>
    <x v="1"/>
    <x v="5"/>
    <x v="0"/>
    <x v="1"/>
    <x v="9"/>
    <x v="1"/>
    <x v="5"/>
    <n v="0"/>
  </r>
  <r>
    <x v="1"/>
    <x v="5"/>
    <x v="0"/>
    <x v="1"/>
    <x v="9"/>
    <x v="1"/>
    <x v="6"/>
    <n v="0"/>
  </r>
  <r>
    <x v="1"/>
    <x v="5"/>
    <x v="0"/>
    <x v="1"/>
    <x v="10"/>
    <x v="1"/>
    <x v="0"/>
    <n v="0"/>
  </r>
  <r>
    <x v="1"/>
    <x v="5"/>
    <x v="0"/>
    <x v="1"/>
    <x v="10"/>
    <x v="1"/>
    <x v="1"/>
    <n v="0"/>
  </r>
  <r>
    <x v="1"/>
    <x v="5"/>
    <x v="0"/>
    <x v="1"/>
    <x v="10"/>
    <x v="1"/>
    <x v="2"/>
    <n v="0"/>
  </r>
  <r>
    <x v="1"/>
    <x v="5"/>
    <x v="0"/>
    <x v="1"/>
    <x v="10"/>
    <x v="1"/>
    <x v="3"/>
    <n v="0"/>
  </r>
  <r>
    <x v="1"/>
    <x v="5"/>
    <x v="0"/>
    <x v="1"/>
    <x v="10"/>
    <x v="1"/>
    <x v="4"/>
    <n v="0"/>
  </r>
  <r>
    <x v="1"/>
    <x v="5"/>
    <x v="0"/>
    <x v="1"/>
    <x v="10"/>
    <x v="1"/>
    <x v="5"/>
    <n v="0"/>
  </r>
  <r>
    <x v="1"/>
    <x v="5"/>
    <x v="0"/>
    <x v="1"/>
    <x v="10"/>
    <x v="1"/>
    <x v="6"/>
    <n v="0"/>
  </r>
  <r>
    <x v="1"/>
    <x v="5"/>
    <x v="0"/>
    <x v="0"/>
    <x v="11"/>
    <x v="1"/>
    <x v="0"/>
    <n v="0"/>
  </r>
  <r>
    <x v="1"/>
    <x v="5"/>
    <x v="0"/>
    <x v="0"/>
    <x v="11"/>
    <x v="1"/>
    <x v="1"/>
    <n v="0"/>
  </r>
  <r>
    <x v="1"/>
    <x v="5"/>
    <x v="0"/>
    <x v="0"/>
    <x v="11"/>
    <x v="1"/>
    <x v="2"/>
    <n v="0"/>
  </r>
  <r>
    <x v="1"/>
    <x v="5"/>
    <x v="0"/>
    <x v="0"/>
    <x v="11"/>
    <x v="1"/>
    <x v="3"/>
    <n v="0"/>
  </r>
  <r>
    <x v="1"/>
    <x v="5"/>
    <x v="0"/>
    <x v="0"/>
    <x v="11"/>
    <x v="1"/>
    <x v="4"/>
    <n v="0"/>
  </r>
  <r>
    <x v="1"/>
    <x v="5"/>
    <x v="0"/>
    <x v="0"/>
    <x v="11"/>
    <x v="1"/>
    <x v="5"/>
    <n v="0"/>
  </r>
  <r>
    <x v="1"/>
    <x v="5"/>
    <x v="0"/>
    <x v="0"/>
    <x v="11"/>
    <x v="1"/>
    <x v="6"/>
    <n v="0"/>
  </r>
  <r>
    <x v="1"/>
    <x v="5"/>
    <x v="0"/>
    <x v="0"/>
    <x v="12"/>
    <x v="1"/>
    <x v="0"/>
    <n v="0"/>
  </r>
  <r>
    <x v="1"/>
    <x v="5"/>
    <x v="0"/>
    <x v="0"/>
    <x v="12"/>
    <x v="1"/>
    <x v="1"/>
    <n v="0"/>
  </r>
  <r>
    <x v="1"/>
    <x v="5"/>
    <x v="0"/>
    <x v="0"/>
    <x v="12"/>
    <x v="1"/>
    <x v="2"/>
    <n v="0"/>
  </r>
  <r>
    <x v="1"/>
    <x v="5"/>
    <x v="0"/>
    <x v="0"/>
    <x v="12"/>
    <x v="1"/>
    <x v="3"/>
    <n v="0"/>
  </r>
  <r>
    <x v="1"/>
    <x v="5"/>
    <x v="0"/>
    <x v="0"/>
    <x v="12"/>
    <x v="1"/>
    <x v="4"/>
    <n v="0"/>
  </r>
  <r>
    <x v="1"/>
    <x v="5"/>
    <x v="0"/>
    <x v="0"/>
    <x v="12"/>
    <x v="1"/>
    <x v="5"/>
    <n v="0"/>
  </r>
  <r>
    <x v="1"/>
    <x v="5"/>
    <x v="0"/>
    <x v="0"/>
    <x v="12"/>
    <x v="1"/>
    <x v="6"/>
    <n v="0"/>
  </r>
  <r>
    <x v="1"/>
    <x v="5"/>
    <x v="0"/>
    <x v="0"/>
    <x v="13"/>
    <x v="1"/>
    <x v="0"/>
    <n v="0"/>
  </r>
  <r>
    <x v="1"/>
    <x v="5"/>
    <x v="0"/>
    <x v="0"/>
    <x v="13"/>
    <x v="1"/>
    <x v="1"/>
    <n v="0"/>
  </r>
  <r>
    <x v="1"/>
    <x v="5"/>
    <x v="0"/>
    <x v="0"/>
    <x v="13"/>
    <x v="1"/>
    <x v="2"/>
    <n v="0"/>
  </r>
  <r>
    <x v="1"/>
    <x v="5"/>
    <x v="0"/>
    <x v="0"/>
    <x v="13"/>
    <x v="1"/>
    <x v="3"/>
    <n v="0"/>
  </r>
  <r>
    <x v="1"/>
    <x v="5"/>
    <x v="0"/>
    <x v="0"/>
    <x v="13"/>
    <x v="1"/>
    <x v="4"/>
    <n v="0"/>
  </r>
  <r>
    <x v="1"/>
    <x v="5"/>
    <x v="0"/>
    <x v="0"/>
    <x v="13"/>
    <x v="1"/>
    <x v="5"/>
    <n v="0"/>
  </r>
  <r>
    <x v="1"/>
    <x v="5"/>
    <x v="0"/>
    <x v="0"/>
    <x v="13"/>
    <x v="1"/>
    <x v="6"/>
    <n v="0"/>
  </r>
  <r>
    <x v="1"/>
    <x v="5"/>
    <x v="0"/>
    <x v="2"/>
    <x v="14"/>
    <x v="1"/>
    <x v="0"/>
    <n v="0"/>
  </r>
  <r>
    <x v="1"/>
    <x v="5"/>
    <x v="0"/>
    <x v="2"/>
    <x v="14"/>
    <x v="1"/>
    <x v="1"/>
    <n v="0"/>
  </r>
  <r>
    <x v="1"/>
    <x v="5"/>
    <x v="0"/>
    <x v="2"/>
    <x v="14"/>
    <x v="1"/>
    <x v="2"/>
    <n v="0"/>
  </r>
  <r>
    <x v="1"/>
    <x v="5"/>
    <x v="0"/>
    <x v="2"/>
    <x v="14"/>
    <x v="1"/>
    <x v="3"/>
    <n v="0"/>
  </r>
  <r>
    <x v="1"/>
    <x v="5"/>
    <x v="0"/>
    <x v="2"/>
    <x v="14"/>
    <x v="1"/>
    <x v="4"/>
    <n v="0"/>
  </r>
  <r>
    <x v="1"/>
    <x v="5"/>
    <x v="0"/>
    <x v="2"/>
    <x v="14"/>
    <x v="1"/>
    <x v="5"/>
    <n v="0"/>
  </r>
  <r>
    <x v="1"/>
    <x v="5"/>
    <x v="0"/>
    <x v="2"/>
    <x v="14"/>
    <x v="1"/>
    <x v="6"/>
    <n v="0"/>
  </r>
  <r>
    <x v="1"/>
    <x v="5"/>
    <x v="0"/>
    <x v="2"/>
    <x v="15"/>
    <x v="1"/>
    <x v="0"/>
    <n v="0"/>
  </r>
  <r>
    <x v="1"/>
    <x v="5"/>
    <x v="0"/>
    <x v="2"/>
    <x v="15"/>
    <x v="1"/>
    <x v="1"/>
    <n v="0"/>
  </r>
  <r>
    <x v="1"/>
    <x v="5"/>
    <x v="0"/>
    <x v="2"/>
    <x v="15"/>
    <x v="1"/>
    <x v="2"/>
    <n v="0"/>
  </r>
  <r>
    <x v="1"/>
    <x v="5"/>
    <x v="0"/>
    <x v="2"/>
    <x v="15"/>
    <x v="1"/>
    <x v="3"/>
    <n v="0"/>
  </r>
  <r>
    <x v="1"/>
    <x v="5"/>
    <x v="0"/>
    <x v="2"/>
    <x v="15"/>
    <x v="1"/>
    <x v="4"/>
    <n v="0"/>
  </r>
  <r>
    <x v="1"/>
    <x v="5"/>
    <x v="0"/>
    <x v="2"/>
    <x v="15"/>
    <x v="1"/>
    <x v="5"/>
    <n v="0"/>
  </r>
  <r>
    <x v="1"/>
    <x v="5"/>
    <x v="0"/>
    <x v="2"/>
    <x v="15"/>
    <x v="1"/>
    <x v="6"/>
    <n v="0"/>
  </r>
  <r>
    <x v="1"/>
    <x v="5"/>
    <x v="0"/>
    <x v="2"/>
    <x v="16"/>
    <x v="1"/>
    <x v="0"/>
    <n v="0"/>
  </r>
  <r>
    <x v="1"/>
    <x v="5"/>
    <x v="0"/>
    <x v="2"/>
    <x v="16"/>
    <x v="1"/>
    <x v="1"/>
    <n v="0"/>
  </r>
  <r>
    <x v="1"/>
    <x v="5"/>
    <x v="0"/>
    <x v="2"/>
    <x v="16"/>
    <x v="1"/>
    <x v="2"/>
    <n v="0"/>
  </r>
  <r>
    <x v="1"/>
    <x v="5"/>
    <x v="0"/>
    <x v="2"/>
    <x v="16"/>
    <x v="1"/>
    <x v="3"/>
    <n v="0"/>
  </r>
  <r>
    <x v="1"/>
    <x v="5"/>
    <x v="0"/>
    <x v="2"/>
    <x v="16"/>
    <x v="1"/>
    <x v="4"/>
    <n v="0"/>
  </r>
  <r>
    <x v="1"/>
    <x v="5"/>
    <x v="0"/>
    <x v="2"/>
    <x v="16"/>
    <x v="1"/>
    <x v="5"/>
    <n v="0"/>
  </r>
  <r>
    <x v="1"/>
    <x v="5"/>
    <x v="0"/>
    <x v="2"/>
    <x v="16"/>
    <x v="1"/>
    <x v="6"/>
    <n v="0"/>
  </r>
  <r>
    <x v="1"/>
    <x v="5"/>
    <x v="0"/>
    <x v="0"/>
    <x v="17"/>
    <x v="1"/>
    <x v="0"/>
    <n v="0"/>
  </r>
  <r>
    <x v="1"/>
    <x v="5"/>
    <x v="0"/>
    <x v="0"/>
    <x v="17"/>
    <x v="1"/>
    <x v="1"/>
    <n v="0"/>
  </r>
  <r>
    <x v="1"/>
    <x v="5"/>
    <x v="0"/>
    <x v="0"/>
    <x v="17"/>
    <x v="1"/>
    <x v="2"/>
    <n v="0"/>
  </r>
  <r>
    <x v="1"/>
    <x v="5"/>
    <x v="0"/>
    <x v="0"/>
    <x v="17"/>
    <x v="1"/>
    <x v="3"/>
    <n v="0"/>
  </r>
  <r>
    <x v="1"/>
    <x v="5"/>
    <x v="0"/>
    <x v="0"/>
    <x v="17"/>
    <x v="1"/>
    <x v="4"/>
    <n v="0"/>
  </r>
  <r>
    <x v="1"/>
    <x v="5"/>
    <x v="0"/>
    <x v="0"/>
    <x v="17"/>
    <x v="1"/>
    <x v="5"/>
    <n v="0"/>
  </r>
  <r>
    <x v="1"/>
    <x v="5"/>
    <x v="0"/>
    <x v="0"/>
    <x v="17"/>
    <x v="1"/>
    <x v="6"/>
    <n v="0"/>
  </r>
  <r>
    <x v="1"/>
    <x v="5"/>
    <x v="0"/>
    <x v="2"/>
    <x v="18"/>
    <x v="1"/>
    <x v="0"/>
    <n v="0"/>
  </r>
  <r>
    <x v="1"/>
    <x v="5"/>
    <x v="0"/>
    <x v="2"/>
    <x v="18"/>
    <x v="1"/>
    <x v="1"/>
    <n v="0"/>
  </r>
  <r>
    <x v="1"/>
    <x v="5"/>
    <x v="0"/>
    <x v="2"/>
    <x v="18"/>
    <x v="1"/>
    <x v="2"/>
    <n v="0"/>
  </r>
  <r>
    <x v="1"/>
    <x v="5"/>
    <x v="0"/>
    <x v="2"/>
    <x v="18"/>
    <x v="1"/>
    <x v="3"/>
    <n v="0"/>
  </r>
  <r>
    <x v="1"/>
    <x v="5"/>
    <x v="0"/>
    <x v="2"/>
    <x v="18"/>
    <x v="1"/>
    <x v="4"/>
    <n v="0"/>
  </r>
  <r>
    <x v="1"/>
    <x v="5"/>
    <x v="0"/>
    <x v="2"/>
    <x v="18"/>
    <x v="1"/>
    <x v="5"/>
    <n v="0"/>
  </r>
  <r>
    <x v="1"/>
    <x v="5"/>
    <x v="0"/>
    <x v="2"/>
    <x v="18"/>
    <x v="1"/>
    <x v="6"/>
    <n v="0"/>
  </r>
  <r>
    <x v="1"/>
    <x v="5"/>
    <x v="1"/>
    <x v="3"/>
    <x v="19"/>
    <x v="1"/>
    <x v="0"/>
    <n v="0"/>
  </r>
  <r>
    <x v="1"/>
    <x v="5"/>
    <x v="1"/>
    <x v="3"/>
    <x v="19"/>
    <x v="1"/>
    <x v="1"/>
    <n v="0"/>
  </r>
  <r>
    <x v="1"/>
    <x v="5"/>
    <x v="1"/>
    <x v="3"/>
    <x v="19"/>
    <x v="1"/>
    <x v="2"/>
    <n v="0"/>
  </r>
  <r>
    <x v="1"/>
    <x v="5"/>
    <x v="1"/>
    <x v="3"/>
    <x v="19"/>
    <x v="1"/>
    <x v="3"/>
    <n v="0"/>
  </r>
  <r>
    <x v="1"/>
    <x v="5"/>
    <x v="1"/>
    <x v="3"/>
    <x v="19"/>
    <x v="1"/>
    <x v="4"/>
    <n v="0"/>
  </r>
  <r>
    <x v="1"/>
    <x v="5"/>
    <x v="1"/>
    <x v="3"/>
    <x v="19"/>
    <x v="1"/>
    <x v="5"/>
    <n v="0"/>
  </r>
  <r>
    <x v="1"/>
    <x v="5"/>
    <x v="1"/>
    <x v="3"/>
    <x v="19"/>
    <x v="1"/>
    <x v="6"/>
    <n v="0"/>
  </r>
  <r>
    <x v="1"/>
    <x v="5"/>
    <x v="1"/>
    <x v="3"/>
    <x v="20"/>
    <x v="1"/>
    <x v="0"/>
    <n v="0"/>
  </r>
  <r>
    <x v="1"/>
    <x v="5"/>
    <x v="1"/>
    <x v="3"/>
    <x v="20"/>
    <x v="1"/>
    <x v="1"/>
    <n v="0"/>
  </r>
  <r>
    <x v="1"/>
    <x v="5"/>
    <x v="1"/>
    <x v="3"/>
    <x v="20"/>
    <x v="1"/>
    <x v="2"/>
    <n v="0"/>
  </r>
  <r>
    <x v="1"/>
    <x v="5"/>
    <x v="1"/>
    <x v="3"/>
    <x v="20"/>
    <x v="1"/>
    <x v="3"/>
    <n v="0"/>
  </r>
  <r>
    <x v="1"/>
    <x v="5"/>
    <x v="1"/>
    <x v="3"/>
    <x v="20"/>
    <x v="1"/>
    <x v="4"/>
    <n v="0"/>
  </r>
  <r>
    <x v="1"/>
    <x v="5"/>
    <x v="1"/>
    <x v="3"/>
    <x v="20"/>
    <x v="1"/>
    <x v="5"/>
    <n v="0"/>
  </r>
  <r>
    <x v="1"/>
    <x v="5"/>
    <x v="1"/>
    <x v="3"/>
    <x v="20"/>
    <x v="1"/>
    <x v="6"/>
    <n v="0"/>
  </r>
  <r>
    <x v="1"/>
    <x v="5"/>
    <x v="1"/>
    <x v="3"/>
    <x v="21"/>
    <x v="1"/>
    <x v="0"/>
    <n v="0"/>
  </r>
  <r>
    <x v="1"/>
    <x v="5"/>
    <x v="1"/>
    <x v="3"/>
    <x v="21"/>
    <x v="1"/>
    <x v="1"/>
    <n v="0"/>
  </r>
  <r>
    <x v="1"/>
    <x v="5"/>
    <x v="1"/>
    <x v="3"/>
    <x v="21"/>
    <x v="1"/>
    <x v="2"/>
    <n v="0"/>
  </r>
  <r>
    <x v="1"/>
    <x v="5"/>
    <x v="1"/>
    <x v="3"/>
    <x v="21"/>
    <x v="1"/>
    <x v="3"/>
    <n v="0"/>
  </r>
  <r>
    <x v="1"/>
    <x v="5"/>
    <x v="1"/>
    <x v="3"/>
    <x v="21"/>
    <x v="1"/>
    <x v="4"/>
    <n v="0"/>
  </r>
  <r>
    <x v="1"/>
    <x v="5"/>
    <x v="1"/>
    <x v="3"/>
    <x v="21"/>
    <x v="1"/>
    <x v="5"/>
    <n v="0"/>
  </r>
  <r>
    <x v="1"/>
    <x v="5"/>
    <x v="1"/>
    <x v="3"/>
    <x v="21"/>
    <x v="1"/>
    <x v="6"/>
    <n v="0"/>
  </r>
  <r>
    <x v="1"/>
    <x v="5"/>
    <x v="1"/>
    <x v="3"/>
    <x v="22"/>
    <x v="1"/>
    <x v="0"/>
    <n v="0"/>
  </r>
  <r>
    <x v="1"/>
    <x v="5"/>
    <x v="1"/>
    <x v="3"/>
    <x v="22"/>
    <x v="1"/>
    <x v="1"/>
    <n v="0"/>
  </r>
  <r>
    <x v="1"/>
    <x v="5"/>
    <x v="1"/>
    <x v="3"/>
    <x v="22"/>
    <x v="1"/>
    <x v="2"/>
    <n v="0"/>
  </r>
  <r>
    <x v="1"/>
    <x v="5"/>
    <x v="1"/>
    <x v="3"/>
    <x v="22"/>
    <x v="1"/>
    <x v="3"/>
    <n v="0"/>
  </r>
  <r>
    <x v="1"/>
    <x v="5"/>
    <x v="1"/>
    <x v="3"/>
    <x v="22"/>
    <x v="1"/>
    <x v="4"/>
    <n v="0"/>
  </r>
  <r>
    <x v="1"/>
    <x v="5"/>
    <x v="1"/>
    <x v="3"/>
    <x v="22"/>
    <x v="1"/>
    <x v="5"/>
    <n v="0"/>
  </r>
  <r>
    <x v="1"/>
    <x v="5"/>
    <x v="1"/>
    <x v="3"/>
    <x v="22"/>
    <x v="1"/>
    <x v="6"/>
    <n v="0"/>
  </r>
  <r>
    <x v="1"/>
    <x v="5"/>
    <x v="1"/>
    <x v="3"/>
    <x v="23"/>
    <x v="1"/>
    <x v="0"/>
    <n v="0"/>
  </r>
  <r>
    <x v="1"/>
    <x v="5"/>
    <x v="1"/>
    <x v="3"/>
    <x v="23"/>
    <x v="1"/>
    <x v="1"/>
    <n v="0"/>
  </r>
  <r>
    <x v="1"/>
    <x v="5"/>
    <x v="1"/>
    <x v="3"/>
    <x v="23"/>
    <x v="1"/>
    <x v="2"/>
    <n v="0"/>
  </r>
  <r>
    <x v="1"/>
    <x v="5"/>
    <x v="1"/>
    <x v="3"/>
    <x v="23"/>
    <x v="1"/>
    <x v="3"/>
    <n v="0"/>
  </r>
  <r>
    <x v="1"/>
    <x v="5"/>
    <x v="1"/>
    <x v="3"/>
    <x v="23"/>
    <x v="1"/>
    <x v="4"/>
    <n v="0"/>
  </r>
  <r>
    <x v="1"/>
    <x v="5"/>
    <x v="1"/>
    <x v="3"/>
    <x v="23"/>
    <x v="1"/>
    <x v="5"/>
    <n v="0"/>
  </r>
  <r>
    <x v="1"/>
    <x v="5"/>
    <x v="1"/>
    <x v="3"/>
    <x v="23"/>
    <x v="1"/>
    <x v="6"/>
    <n v="0"/>
  </r>
  <r>
    <x v="1"/>
    <x v="5"/>
    <x v="1"/>
    <x v="3"/>
    <x v="24"/>
    <x v="1"/>
    <x v="0"/>
    <n v="0"/>
  </r>
  <r>
    <x v="1"/>
    <x v="5"/>
    <x v="1"/>
    <x v="3"/>
    <x v="24"/>
    <x v="1"/>
    <x v="1"/>
    <n v="0"/>
  </r>
  <r>
    <x v="1"/>
    <x v="5"/>
    <x v="1"/>
    <x v="3"/>
    <x v="24"/>
    <x v="1"/>
    <x v="2"/>
    <n v="0"/>
  </r>
  <r>
    <x v="1"/>
    <x v="5"/>
    <x v="1"/>
    <x v="3"/>
    <x v="24"/>
    <x v="1"/>
    <x v="3"/>
    <n v="0"/>
  </r>
  <r>
    <x v="1"/>
    <x v="5"/>
    <x v="1"/>
    <x v="3"/>
    <x v="24"/>
    <x v="1"/>
    <x v="4"/>
    <n v="0"/>
  </r>
  <r>
    <x v="1"/>
    <x v="5"/>
    <x v="1"/>
    <x v="3"/>
    <x v="24"/>
    <x v="1"/>
    <x v="5"/>
    <n v="0"/>
  </r>
  <r>
    <x v="1"/>
    <x v="5"/>
    <x v="1"/>
    <x v="3"/>
    <x v="24"/>
    <x v="1"/>
    <x v="6"/>
    <n v="0"/>
  </r>
  <r>
    <x v="1"/>
    <x v="5"/>
    <x v="1"/>
    <x v="3"/>
    <x v="25"/>
    <x v="1"/>
    <x v="0"/>
    <n v="0"/>
  </r>
  <r>
    <x v="1"/>
    <x v="5"/>
    <x v="1"/>
    <x v="3"/>
    <x v="25"/>
    <x v="1"/>
    <x v="1"/>
    <n v="0"/>
  </r>
  <r>
    <x v="1"/>
    <x v="5"/>
    <x v="1"/>
    <x v="3"/>
    <x v="25"/>
    <x v="1"/>
    <x v="2"/>
    <n v="0"/>
  </r>
  <r>
    <x v="1"/>
    <x v="5"/>
    <x v="1"/>
    <x v="3"/>
    <x v="25"/>
    <x v="1"/>
    <x v="3"/>
    <n v="0"/>
  </r>
  <r>
    <x v="1"/>
    <x v="5"/>
    <x v="1"/>
    <x v="3"/>
    <x v="25"/>
    <x v="1"/>
    <x v="4"/>
    <n v="0"/>
  </r>
  <r>
    <x v="1"/>
    <x v="5"/>
    <x v="1"/>
    <x v="3"/>
    <x v="25"/>
    <x v="1"/>
    <x v="5"/>
    <n v="0"/>
  </r>
  <r>
    <x v="1"/>
    <x v="5"/>
    <x v="1"/>
    <x v="3"/>
    <x v="25"/>
    <x v="1"/>
    <x v="6"/>
    <n v="0"/>
  </r>
  <r>
    <x v="1"/>
    <x v="5"/>
    <x v="2"/>
    <x v="4"/>
    <x v="26"/>
    <x v="1"/>
    <x v="0"/>
    <n v="0"/>
  </r>
  <r>
    <x v="1"/>
    <x v="5"/>
    <x v="2"/>
    <x v="4"/>
    <x v="26"/>
    <x v="1"/>
    <x v="1"/>
    <n v="0"/>
  </r>
  <r>
    <x v="1"/>
    <x v="5"/>
    <x v="2"/>
    <x v="4"/>
    <x v="26"/>
    <x v="1"/>
    <x v="2"/>
    <n v="0"/>
  </r>
  <r>
    <x v="1"/>
    <x v="5"/>
    <x v="2"/>
    <x v="4"/>
    <x v="26"/>
    <x v="1"/>
    <x v="3"/>
    <n v="0"/>
  </r>
  <r>
    <x v="1"/>
    <x v="5"/>
    <x v="2"/>
    <x v="4"/>
    <x v="26"/>
    <x v="1"/>
    <x v="4"/>
    <n v="0"/>
  </r>
  <r>
    <x v="1"/>
    <x v="5"/>
    <x v="2"/>
    <x v="4"/>
    <x v="26"/>
    <x v="1"/>
    <x v="5"/>
    <n v="0"/>
  </r>
  <r>
    <x v="1"/>
    <x v="5"/>
    <x v="2"/>
    <x v="4"/>
    <x v="26"/>
    <x v="1"/>
    <x v="6"/>
    <n v="0"/>
  </r>
  <r>
    <x v="1"/>
    <x v="5"/>
    <x v="2"/>
    <x v="4"/>
    <x v="27"/>
    <x v="1"/>
    <x v="0"/>
    <n v="0"/>
  </r>
  <r>
    <x v="1"/>
    <x v="5"/>
    <x v="2"/>
    <x v="4"/>
    <x v="27"/>
    <x v="1"/>
    <x v="1"/>
    <n v="0"/>
  </r>
  <r>
    <x v="1"/>
    <x v="5"/>
    <x v="2"/>
    <x v="4"/>
    <x v="27"/>
    <x v="1"/>
    <x v="2"/>
    <n v="0"/>
  </r>
  <r>
    <x v="1"/>
    <x v="5"/>
    <x v="2"/>
    <x v="4"/>
    <x v="27"/>
    <x v="1"/>
    <x v="3"/>
    <n v="0"/>
  </r>
  <r>
    <x v="1"/>
    <x v="5"/>
    <x v="2"/>
    <x v="4"/>
    <x v="27"/>
    <x v="1"/>
    <x v="4"/>
    <n v="0"/>
  </r>
  <r>
    <x v="1"/>
    <x v="5"/>
    <x v="2"/>
    <x v="4"/>
    <x v="27"/>
    <x v="1"/>
    <x v="5"/>
    <n v="0"/>
  </r>
  <r>
    <x v="1"/>
    <x v="5"/>
    <x v="2"/>
    <x v="4"/>
    <x v="27"/>
    <x v="1"/>
    <x v="6"/>
    <n v="0"/>
  </r>
  <r>
    <x v="1"/>
    <x v="5"/>
    <x v="2"/>
    <x v="4"/>
    <x v="28"/>
    <x v="1"/>
    <x v="0"/>
    <n v="0"/>
  </r>
  <r>
    <x v="1"/>
    <x v="5"/>
    <x v="2"/>
    <x v="4"/>
    <x v="28"/>
    <x v="1"/>
    <x v="1"/>
    <n v="0"/>
  </r>
  <r>
    <x v="1"/>
    <x v="5"/>
    <x v="2"/>
    <x v="4"/>
    <x v="28"/>
    <x v="1"/>
    <x v="2"/>
    <n v="0"/>
  </r>
  <r>
    <x v="1"/>
    <x v="5"/>
    <x v="2"/>
    <x v="4"/>
    <x v="28"/>
    <x v="1"/>
    <x v="3"/>
    <n v="0"/>
  </r>
  <r>
    <x v="1"/>
    <x v="5"/>
    <x v="2"/>
    <x v="4"/>
    <x v="28"/>
    <x v="1"/>
    <x v="4"/>
    <n v="0"/>
  </r>
  <r>
    <x v="1"/>
    <x v="5"/>
    <x v="2"/>
    <x v="4"/>
    <x v="28"/>
    <x v="1"/>
    <x v="5"/>
    <n v="0"/>
  </r>
  <r>
    <x v="1"/>
    <x v="5"/>
    <x v="2"/>
    <x v="4"/>
    <x v="28"/>
    <x v="1"/>
    <x v="6"/>
    <n v="0"/>
  </r>
  <r>
    <x v="1"/>
    <x v="5"/>
    <x v="2"/>
    <x v="4"/>
    <x v="29"/>
    <x v="1"/>
    <x v="0"/>
    <n v="0"/>
  </r>
  <r>
    <x v="1"/>
    <x v="5"/>
    <x v="2"/>
    <x v="4"/>
    <x v="29"/>
    <x v="1"/>
    <x v="1"/>
    <n v="0"/>
  </r>
  <r>
    <x v="1"/>
    <x v="5"/>
    <x v="2"/>
    <x v="4"/>
    <x v="29"/>
    <x v="1"/>
    <x v="2"/>
    <n v="0"/>
  </r>
  <r>
    <x v="1"/>
    <x v="5"/>
    <x v="2"/>
    <x v="4"/>
    <x v="29"/>
    <x v="1"/>
    <x v="3"/>
    <n v="0"/>
  </r>
  <r>
    <x v="1"/>
    <x v="5"/>
    <x v="2"/>
    <x v="4"/>
    <x v="29"/>
    <x v="1"/>
    <x v="4"/>
    <n v="0"/>
  </r>
  <r>
    <x v="1"/>
    <x v="5"/>
    <x v="2"/>
    <x v="4"/>
    <x v="29"/>
    <x v="1"/>
    <x v="5"/>
    <n v="0"/>
  </r>
  <r>
    <x v="1"/>
    <x v="5"/>
    <x v="2"/>
    <x v="4"/>
    <x v="29"/>
    <x v="1"/>
    <x v="6"/>
    <n v="0"/>
  </r>
  <r>
    <x v="1"/>
    <x v="5"/>
    <x v="3"/>
    <x v="5"/>
    <x v="30"/>
    <x v="1"/>
    <x v="0"/>
    <n v="0"/>
  </r>
  <r>
    <x v="1"/>
    <x v="5"/>
    <x v="3"/>
    <x v="5"/>
    <x v="30"/>
    <x v="1"/>
    <x v="1"/>
    <n v="0"/>
  </r>
  <r>
    <x v="1"/>
    <x v="5"/>
    <x v="3"/>
    <x v="5"/>
    <x v="30"/>
    <x v="1"/>
    <x v="2"/>
    <n v="0"/>
  </r>
  <r>
    <x v="1"/>
    <x v="5"/>
    <x v="3"/>
    <x v="5"/>
    <x v="30"/>
    <x v="1"/>
    <x v="3"/>
    <n v="0"/>
  </r>
  <r>
    <x v="1"/>
    <x v="5"/>
    <x v="3"/>
    <x v="5"/>
    <x v="30"/>
    <x v="1"/>
    <x v="4"/>
    <n v="0"/>
  </r>
  <r>
    <x v="1"/>
    <x v="5"/>
    <x v="3"/>
    <x v="5"/>
    <x v="30"/>
    <x v="1"/>
    <x v="5"/>
    <n v="0"/>
  </r>
  <r>
    <x v="1"/>
    <x v="5"/>
    <x v="3"/>
    <x v="5"/>
    <x v="30"/>
    <x v="1"/>
    <x v="6"/>
    <n v="0"/>
  </r>
  <r>
    <x v="1"/>
    <x v="5"/>
    <x v="2"/>
    <x v="4"/>
    <x v="31"/>
    <x v="1"/>
    <x v="0"/>
    <n v="0"/>
  </r>
  <r>
    <x v="1"/>
    <x v="5"/>
    <x v="2"/>
    <x v="4"/>
    <x v="31"/>
    <x v="1"/>
    <x v="1"/>
    <n v="0"/>
  </r>
  <r>
    <x v="1"/>
    <x v="5"/>
    <x v="2"/>
    <x v="4"/>
    <x v="31"/>
    <x v="1"/>
    <x v="2"/>
    <n v="0"/>
  </r>
  <r>
    <x v="1"/>
    <x v="5"/>
    <x v="2"/>
    <x v="4"/>
    <x v="31"/>
    <x v="1"/>
    <x v="3"/>
    <n v="0"/>
  </r>
  <r>
    <x v="1"/>
    <x v="5"/>
    <x v="2"/>
    <x v="4"/>
    <x v="31"/>
    <x v="1"/>
    <x v="4"/>
    <n v="0"/>
  </r>
  <r>
    <x v="1"/>
    <x v="5"/>
    <x v="2"/>
    <x v="4"/>
    <x v="31"/>
    <x v="1"/>
    <x v="5"/>
    <n v="0"/>
  </r>
  <r>
    <x v="1"/>
    <x v="5"/>
    <x v="2"/>
    <x v="4"/>
    <x v="31"/>
    <x v="1"/>
    <x v="6"/>
    <n v="0"/>
  </r>
  <r>
    <x v="1"/>
    <x v="5"/>
    <x v="2"/>
    <x v="4"/>
    <x v="32"/>
    <x v="1"/>
    <x v="0"/>
    <n v="0"/>
  </r>
  <r>
    <x v="1"/>
    <x v="5"/>
    <x v="2"/>
    <x v="4"/>
    <x v="32"/>
    <x v="1"/>
    <x v="1"/>
    <n v="0"/>
  </r>
  <r>
    <x v="1"/>
    <x v="5"/>
    <x v="2"/>
    <x v="4"/>
    <x v="32"/>
    <x v="1"/>
    <x v="2"/>
    <n v="0"/>
  </r>
  <r>
    <x v="1"/>
    <x v="5"/>
    <x v="2"/>
    <x v="4"/>
    <x v="32"/>
    <x v="1"/>
    <x v="3"/>
    <n v="0"/>
  </r>
  <r>
    <x v="1"/>
    <x v="5"/>
    <x v="2"/>
    <x v="4"/>
    <x v="32"/>
    <x v="1"/>
    <x v="4"/>
    <n v="0"/>
  </r>
  <r>
    <x v="1"/>
    <x v="5"/>
    <x v="2"/>
    <x v="4"/>
    <x v="32"/>
    <x v="1"/>
    <x v="5"/>
    <n v="0"/>
  </r>
  <r>
    <x v="1"/>
    <x v="5"/>
    <x v="2"/>
    <x v="4"/>
    <x v="32"/>
    <x v="1"/>
    <x v="6"/>
    <n v="0"/>
  </r>
  <r>
    <x v="1"/>
    <x v="5"/>
    <x v="2"/>
    <x v="4"/>
    <x v="33"/>
    <x v="1"/>
    <x v="0"/>
    <n v="0"/>
  </r>
  <r>
    <x v="1"/>
    <x v="5"/>
    <x v="2"/>
    <x v="4"/>
    <x v="33"/>
    <x v="1"/>
    <x v="1"/>
    <n v="0"/>
  </r>
  <r>
    <x v="1"/>
    <x v="5"/>
    <x v="2"/>
    <x v="4"/>
    <x v="33"/>
    <x v="1"/>
    <x v="2"/>
    <n v="0"/>
  </r>
  <r>
    <x v="1"/>
    <x v="5"/>
    <x v="2"/>
    <x v="4"/>
    <x v="33"/>
    <x v="1"/>
    <x v="3"/>
    <n v="0"/>
  </r>
  <r>
    <x v="1"/>
    <x v="5"/>
    <x v="2"/>
    <x v="4"/>
    <x v="33"/>
    <x v="1"/>
    <x v="4"/>
    <n v="0"/>
  </r>
  <r>
    <x v="1"/>
    <x v="5"/>
    <x v="2"/>
    <x v="4"/>
    <x v="33"/>
    <x v="1"/>
    <x v="5"/>
    <n v="0"/>
  </r>
  <r>
    <x v="1"/>
    <x v="5"/>
    <x v="2"/>
    <x v="4"/>
    <x v="33"/>
    <x v="1"/>
    <x v="6"/>
    <n v="0"/>
  </r>
  <r>
    <x v="1"/>
    <x v="5"/>
    <x v="2"/>
    <x v="4"/>
    <x v="34"/>
    <x v="1"/>
    <x v="0"/>
    <n v="0"/>
  </r>
  <r>
    <x v="1"/>
    <x v="5"/>
    <x v="2"/>
    <x v="4"/>
    <x v="34"/>
    <x v="1"/>
    <x v="1"/>
    <n v="0"/>
  </r>
  <r>
    <x v="1"/>
    <x v="5"/>
    <x v="2"/>
    <x v="4"/>
    <x v="34"/>
    <x v="1"/>
    <x v="2"/>
    <n v="0"/>
  </r>
  <r>
    <x v="1"/>
    <x v="5"/>
    <x v="2"/>
    <x v="4"/>
    <x v="34"/>
    <x v="1"/>
    <x v="3"/>
    <n v="0"/>
  </r>
  <r>
    <x v="1"/>
    <x v="5"/>
    <x v="2"/>
    <x v="4"/>
    <x v="34"/>
    <x v="1"/>
    <x v="4"/>
    <n v="0"/>
  </r>
  <r>
    <x v="1"/>
    <x v="5"/>
    <x v="2"/>
    <x v="4"/>
    <x v="34"/>
    <x v="1"/>
    <x v="5"/>
    <n v="0"/>
  </r>
  <r>
    <x v="1"/>
    <x v="5"/>
    <x v="2"/>
    <x v="4"/>
    <x v="34"/>
    <x v="1"/>
    <x v="6"/>
    <n v="0"/>
  </r>
  <r>
    <x v="1"/>
    <x v="5"/>
    <x v="2"/>
    <x v="6"/>
    <x v="35"/>
    <x v="1"/>
    <x v="0"/>
    <n v="0"/>
  </r>
  <r>
    <x v="1"/>
    <x v="5"/>
    <x v="2"/>
    <x v="6"/>
    <x v="35"/>
    <x v="1"/>
    <x v="1"/>
    <n v="0"/>
  </r>
  <r>
    <x v="1"/>
    <x v="5"/>
    <x v="2"/>
    <x v="6"/>
    <x v="35"/>
    <x v="1"/>
    <x v="2"/>
    <n v="0"/>
  </r>
  <r>
    <x v="1"/>
    <x v="5"/>
    <x v="2"/>
    <x v="6"/>
    <x v="35"/>
    <x v="1"/>
    <x v="3"/>
    <n v="0"/>
  </r>
  <r>
    <x v="1"/>
    <x v="5"/>
    <x v="2"/>
    <x v="6"/>
    <x v="35"/>
    <x v="1"/>
    <x v="4"/>
    <n v="0"/>
  </r>
  <r>
    <x v="1"/>
    <x v="5"/>
    <x v="2"/>
    <x v="6"/>
    <x v="35"/>
    <x v="1"/>
    <x v="5"/>
    <n v="0"/>
  </r>
  <r>
    <x v="1"/>
    <x v="5"/>
    <x v="2"/>
    <x v="6"/>
    <x v="35"/>
    <x v="1"/>
    <x v="6"/>
    <n v="0"/>
  </r>
  <r>
    <x v="1"/>
    <x v="5"/>
    <x v="2"/>
    <x v="6"/>
    <x v="36"/>
    <x v="1"/>
    <x v="0"/>
    <n v="0"/>
  </r>
  <r>
    <x v="1"/>
    <x v="5"/>
    <x v="2"/>
    <x v="6"/>
    <x v="36"/>
    <x v="1"/>
    <x v="1"/>
    <n v="0"/>
  </r>
  <r>
    <x v="1"/>
    <x v="5"/>
    <x v="2"/>
    <x v="6"/>
    <x v="36"/>
    <x v="1"/>
    <x v="2"/>
    <n v="0"/>
  </r>
  <r>
    <x v="1"/>
    <x v="5"/>
    <x v="2"/>
    <x v="6"/>
    <x v="36"/>
    <x v="1"/>
    <x v="3"/>
    <n v="0"/>
  </r>
  <r>
    <x v="1"/>
    <x v="5"/>
    <x v="2"/>
    <x v="6"/>
    <x v="36"/>
    <x v="1"/>
    <x v="4"/>
    <n v="0"/>
  </r>
  <r>
    <x v="1"/>
    <x v="5"/>
    <x v="2"/>
    <x v="6"/>
    <x v="36"/>
    <x v="1"/>
    <x v="5"/>
    <n v="0"/>
  </r>
  <r>
    <x v="1"/>
    <x v="5"/>
    <x v="2"/>
    <x v="6"/>
    <x v="36"/>
    <x v="1"/>
    <x v="6"/>
    <n v="0"/>
  </r>
  <r>
    <x v="1"/>
    <x v="5"/>
    <x v="2"/>
    <x v="6"/>
    <x v="37"/>
    <x v="1"/>
    <x v="0"/>
    <n v="0"/>
  </r>
  <r>
    <x v="1"/>
    <x v="5"/>
    <x v="2"/>
    <x v="6"/>
    <x v="37"/>
    <x v="1"/>
    <x v="1"/>
    <n v="0"/>
  </r>
  <r>
    <x v="1"/>
    <x v="5"/>
    <x v="2"/>
    <x v="6"/>
    <x v="37"/>
    <x v="1"/>
    <x v="2"/>
    <n v="0"/>
  </r>
  <r>
    <x v="1"/>
    <x v="5"/>
    <x v="2"/>
    <x v="6"/>
    <x v="37"/>
    <x v="1"/>
    <x v="3"/>
    <n v="0"/>
  </r>
  <r>
    <x v="1"/>
    <x v="5"/>
    <x v="2"/>
    <x v="6"/>
    <x v="37"/>
    <x v="1"/>
    <x v="4"/>
    <n v="0"/>
  </r>
  <r>
    <x v="1"/>
    <x v="5"/>
    <x v="2"/>
    <x v="6"/>
    <x v="37"/>
    <x v="1"/>
    <x v="5"/>
    <n v="0"/>
  </r>
  <r>
    <x v="1"/>
    <x v="5"/>
    <x v="2"/>
    <x v="6"/>
    <x v="37"/>
    <x v="1"/>
    <x v="6"/>
    <n v="0"/>
  </r>
  <r>
    <x v="1"/>
    <x v="5"/>
    <x v="2"/>
    <x v="6"/>
    <x v="38"/>
    <x v="1"/>
    <x v="0"/>
    <n v="0"/>
  </r>
  <r>
    <x v="1"/>
    <x v="5"/>
    <x v="2"/>
    <x v="6"/>
    <x v="38"/>
    <x v="1"/>
    <x v="1"/>
    <n v="0"/>
  </r>
  <r>
    <x v="1"/>
    <x v="5"/>
    <x v="2"/>
    <x v="6"/>
    <x v="38"/>
    <x v="1"/>
    <x v="2"/>
    <n v="0"/>
  </r>
  <r>
    <x v="1"/>
    <x v="5"/>
    <x v="2"/>
    <x v="6"/>
    <x v="38"/>
    <x v="1"/>
    <x v="3"/>
    <n v="0"/>
  </r>
  <r>
    <x v="1"/>
    <x v="5"/>
    <x v="2"/>
    <x v="6"/>
    <x v="38"/>
    <x v="1"/>
    <x v="4"/>
    <n v="0"/>
  </r>
  <r>
    <x v="1"/>
    <x v="5"/>
    <x v="2"/>
    <x v="6"/>
    <x v="38"/>
    <x v="1"/>
    <x v="5"/>
    <n v="0"/>
  </r>
  <r>
    <x v="1"/>
    <x v="5"/>
    <x v="2"/>
    <x v="6"/>
    <x v="38"/>
    <x v="1"/>
    <x v="6"/>
    <n v="0"/>
  </r>
  <r>
    <x v="1"/>
    <x v="5"/>
    <x v="3"/>
    <x v="5"/>
    <x v="39"/>
    <x v="1"/>
    <x v="0"/>
    <n v="0"/>
  </r>
  <r>
    <x v="1"/>
    <x v="5"/>
    <x v="3"/>
    <x v="5"/>
    <x v="39"/>
    <x v="1"/>
    <x v="1"/>
    <n v="0"/>
  </r>
  <r>
    <x v="1"/>
    <x v="5"/>
    <x v="3"/>
    <x v="5"/>
    <x v="39"/>
    <x v="1"/>
    <x v="2"/>
    <n v="0"/>
  </r>
  <r>
    <x v="1"/>
    <x v="5"/>
    <x v="3"/>
    <x v="5"/>
    <x v="39"/>
    <x v="1"/>
    <x v="3"/>
    <n v="0"/>
  </r>
  <r>
    <x v="1"/>
    <x v="5"/>
    <x v="3"/>
    <x v="5"/>
    <x v="39"/>
    <x v="1"/>
    <x v="4"/>
    <n v="0"/>
  </r>
  <r>
    <x v="1"/>
    <x v="5"/>
    <x v="3"/>
    <x v="5"/>
    <x v="39"/>
    <x v="1"/>
    <x v="5"/>
    <n v="0"/>
  </r>
  <r>
    <x v="1"/>
    <x v="5"/>
    <x v="3"/>
    <x v="5"/>
    <x v="39"/>
    <x v="1"/>
    <x v="6"/>
    <n v="0"/>
  </r>
  <r>
    <x v="1"/>
    <x v="5"/>
    <x v="2"/>
    <x v="6"/>
    <x v="40"/>
    <x v="1"/>
    <x v="0"/>
    <n v="0"/>
  </r>
  <r>
    <x v="1"/>
    <x v="5"/>
    <x v="2"/>
    <x v="6"/>
    <x v="40"/>
    <x v="1"/>
    <x v="1"/>
    <n v="0"/>
  </r>
  <r>
    <x v="1"/>
    <x v="5"/>
    <x v="2"/>
    <x v="6"/>
    <x v="40"/>
    <x v="1"/>
    <x v="2"/>
    <n v="0"/>
  </r>
  <r>
    <x v="1"/>
    <x v="5"/>
    <x v="2"/>
    <x v="6"/>
    <x v="40"/>
    <x v="1"/>
    <x v="3"/>
    <n v="0"/>
  </r>
  <r>
    <x v="1"/>
    <x v="5"/>
    <x v="2"/>
    <x v="6"/>
    <x v="40"/>
    <x v="1"/>
    <x v="4"/>
    <n v="0"/>
  </r>
  <r>
    <x v="1"/>
    <x v="5"/>
    <x v="2"/>
    <x v="6"/>
    <x v="40"/>
    <x v="1"/>
    <x v="5"/>
    <n v="0"/>
  </r>
  <r>
    <x v="1"/>
    <x v="5"/>
    <x v="2"/>
    <x v="6"/>
    <x v="40"/>
    <x v="1"/>
    <x v="6"/>
    <n v="0"/>
  </r>
  <r>
    <x v="1"/>
    <x v="5"/>
    <x v="2"/>
    <x v="6"/>
    <x v="41"/>
    <x v="1"/>
    <x v="0"/>
    <n v="0"/>
  </r>
  <r>
    <x v="1"/>
    <x v="5"/>
    <x v="2"/>
    <x v="6"/>
    <x v="41"/>
    <x v="1"/>
    <x v="1"/>
    <n v="0"/>
  </r>
  <r>
    <x v="1"/>
    <x v="5"/>
    <x v="2"/>
    <x v="6"/>
    <x v="41"/>
    <x v="1"/>
    <x v="2"/>
    <n v="0"/>
  </r>
  <r>
    <x v="1"/>
    <x v="5"/>
    <x v="2"/>
    <x v="6"/>
    <x v="41"/>
    <x v="1"/>
    <x v="3"/>
    <n v="0"/>
  </r>
  <r>
    <x v="1"/>
    <x v="5"/>
    <x v="2"/>
    <x v="6"/>
    <x v="41"/>
    <x v="1"/>
    <x v="4"/>
    <n v="0"/>
  </r>
  <r>
    <x v="1"/>
    <x v="5"/>
    <x v="2"/>
    <x v="6"/>
    <x v="41"/>
    <x v="1"/>
    <x v="5"/>
    <n v="0"/>
  </r>
  <r>
    <x v="1"/>
    <x v="5"/>
    <x v="2"/>
    <x v="6"/>
    <x v="41"/>
    <x v="1"/>
    <x v="6"/>
    <n v="0"/>
  </r>
  <r>
    <x v="1"/>
    <x v="5"/>
    <x v="2"/>
    <x v="6"/>
    <x v="42"/>
    <x v="1"/>
    <x v="0"/>
    <n v="0"/>
  </r>
  <r>
    <x v="1"/>
    <x v="5"/>
    <x v="2"/>
    <x v="6"/>
    <x v="42"/>
    <x v="1"/>
    <x v="1"/>
    <n v="0"/>
  </r>
  <r>
    <x v="1"/>
    <x v="5"/>
    <x v="2"/>
    <x v="6"/>
    <x v="42"/>
    <x v="1"/>
    <x v="2"/>
    <n v="0"/>
  </r>
  <r>
    <x v="1"/>
    <x v="5"/>
    <x v="2"/>
    <x v="6"/>
    <x v="42"/>
    <x v="1"/>
    <x v="3"/>
    <n v="0"/>
  </r>
  <r>
    <x v="1"/>
    <x v="5"/>
    <x v="2"/>
    <x v="6"/>
    <x v="42"/>
    <x v="1"/>
    <x v="4"/>
    <n v="0"/>
  </r>
  <r>
    <x v="1"/>
    <x v="5"/>
    <x v="2"/>
    <x v="6"/>
    <x v="42"/>
    <x v="1"/>
    <x v="5"/>
    <n v="0"/>
  </r>
  <r>
    <x v="1"/>
    <x v="5"/>
    <x v="2"/>
    <x v="6"/>
    <x v="42"/>
    <x v="1"/>
    <x v="6"/>
    <n v="0"/>
  </r>
  <r>
    <x v="1"/>
    <x v="5"/>
    <x v="2"/>
    <x v="6"/>
    <x v="43"/>
    <x v="1"/>
    <x v="0"/>
    <n v="0"/>
  </r>
  <r>
    <x v="1"/>
    <x v="5"/>
    <x v="2"/>
    <x v="6"/>
    <x v="43"/>
    <x v="1"/>
    <x v="1"/>
    <n v="0"/>
  </r>
  <r>
    <x v="1"/>
    <x v="5"/>
    <x v="2"/>
    <x v="6"/>
    <x v="43"/>
    <x v="1"/>
    <x v="2"/>
    <n v="0"/>
  </r>
  <r>
    <x v="1"/>
    <x v="5"/>
    <x v="2"/>
    <x v="6"/>
    <x v="43"/>
    <x v="1"/>
    <x v="3"/>
    <n v="0"/>
  </r>
  <r>
    <x v="1"/>
    <x v="5"/>
    <x v="2"/>
    <x v="6"/>
    <x v="43"/>
    <x v="1"/>
    <x v="4"/>
    <n v="0"/>
  </r>
  <r>
    <x v="1"/>
    <x v="5"/>
    <x v="2"/>
    <x v="6"/>
    <x v="43"/>
    <x v="1"/>
    <x v="5"/>
    <n v="0"/>
  </r>
  <r>
    <x v="1"/>
    <x v="5"/>
    <x v="2"/>
    <x v="6"/>
    <x v="43"/>
    <x v="1"/>
    <x v="6"/>
    <n v="0"/>
  </r>
  <r>
    <x v="1"/>
    <x v="4"/>
    <x v="4"/>
    <x v="7"/>
    <x v="61"/>
    <x v="1"/>
    <x v="0"/>
    <n v="0"/>
  </r>
  <r>
    <x v="1"/>
    <x v="4"/>
    <x v="4"/>
    <x v="7"/>
    <x v="61"/>
    <x v="1"/>
    <x v="1"/>
    <n v="0"/>
  </r>
  <r>
    <x v="1"/>
    <x v="4"/>
    <x v="4"/>
    <x v="7"/>
    <x v="61"/>
    <x v="1"/>
    <x v="2"/>
    <n v="0"/>
  </r>
  <r>
    <x v="1"/>
    <x v="4"/>
    <x v="4"/>
    <x v="7"/>
    <x v="61"/>
    <x v="1"/>
    <x v="3"/>
    <n v="0"/>
  </r>
  <r>
    <x v="1"/>
    <x v="4"/>
    <x v="4"/>
    <x v="7"/>
    <x v="61"/>
    <x v="1"/>
    <x v="4"/>
    <n v="0"/>
  </r>
  <r>
    <x v="1"/>
    <x v="4"/>
    <x v="4"/>
    <x v="7"/>
    <x v="61"/>
    <x v="1"/>
    <x v="5"/>
    <n v="0"/>
  </r>
  <r>
    <x v="1"/>
    <x v="4"/>
    <x v="4"/>
    <x v="7"/>
    <x v="61"/>
    <x v="1"/>
    <x v="6"/>
    <n v="0"/>
  </r>
  <r>
    <x v="1"/>
    <x v="4"/>
    <x v="4"/>
    <x v="7"/>
    <x v="62"/>
    <x v="1"/>
    <x v="0"/>
    <n v="0"/>
  </r>
  <r>
    <x v="1"/>
    <x v="4"/>
    <x v="4"/>
    <x v="7"/>
    <x v="62"/>
    <x v="1"/>
    <x v="1"/>
    <n v="0"/>
  </r>
  <r>
    <x v="1"/>
    <x v="4"/>
    <x v="4"/>
    <x v="7"/>
    <x v="62"/>
    <x v="1"/>
    <x v="2"/>
    <n v="0"/>
  </r>
  <r>
    <x v="1"/>
    <x v="4"/>
    <x v="4"/>
    <x v="7"/>
    <x v="62"/>
    <x v="1"/>
    <x v="3"/>
    <n v="0"/>
  </r>
  <r>
    <x v="1"/>
    <x v="4"/>
    <x v="4"/>
    <x v="7"/>
    <x v="62"/>
    <x v="1"/>
    <x v="4"/>
    <n v="0"/>
  </r>
  <r>
    <x v="1"/>
    <x v="4"/>
    <x v="4"/>
    <x v="7"/>
    <x v="62"/>
    <x v="1"/>
    <x v="5"/>
    <n v="0"/>
  </r>
  <r>
    <x v="1"/>
    <x v="4"/>
    <x v="4"/>
    <x v="7"/>
    <x v="62"/>
    <x v="1"/>
    <x v="6"/>
    <n v="0"/>
  </r>
  <r>
    <x v="1"/>
    <x v="4"/>
    <x v="4"/>
    <x v="7"/>
    <x v="63"/>
    <x v="1"/>
    <x v="0"/>
    <n v="0"/>
  </r>
  <r>
    <x v="1"/>
    <x v="4"/>
    <x v="4"/>
    <x v="7"/>
    <x v="63"/>
    <x v="1"/>
    <x v="1"/>
    <n v="0"/>
  </r>
  <r>
    <x v="1"/>
    <x v="4"/>
    <x v="4"/>
    <x v="7"/>
    <x v="63"/>
    <x v="1"/>
    <x v="2"/>
    <n v="0"/>
  </r>
  <r>
    <x v="1"/>
    <x v="4"/>
    <x v="4"/>
    <x v="7"/>
    <x v="63"/>
    <x v="1"/>
    <x v="3"/>
    <n v="0"/>
  </r>
  <r>
    <x v="1"/>
    <x v="4"/>
    <x v="4"/>
    <x v="7"/>
    <x v="63"/>
    <x v="1"/>
    <x v="4"/>
    <n v="0"/>
  </r>
  <r>
    <x v="1"/>
    <x v="4"/>
    <x v="4"/>
    <x v="7"/>
    <x v="63"/>
    <x v="1"/>
    <x v="5"/>
    <n v="0"/>
  </r>
  <r>
    <x v="1"/>
    <x v="4"/>
    <x v="4"/>
    <x v="7"/>
    <x v="63"/>
    <x v="1"/>
    <x v="6"/>
    <n v="0"/>
  </r>
  <r>
    <x v="1"/>
    <x v="4"/>
    <x v="4"/>
    <x v="7"/>
    <x v="64"/>
    <x v="1"/>
    <x v="0"/>
    <n v="50.942839135653749"/>
  </r>
  <r>
    <x v="1"/>
    <x v="4"/>
    <x v="4"/>
    <x v="7"/>
    <x v="64"/>
    <x v="1"/>
    <x v="1"/>
    <n v="102.28179189490022"/>
  </r>
  <r>
    <x v="1"/>
    <x v="4"/>
    <x v="4"/>
    <x v="7"/>
    <x v="64"/>
    <x v="1"/>
    <x v="2"/>
    <n v="199.12923795636326"/>
  </r>
  <r>
    <x v="1"/>
    <x v="4"/>
    <x v="4"/>
    <x v="7"/>
    <x v="64"/>
    <x v="1"/>
    <x v="3"/>
    <n v="393.7163963380163"/>
  </r>
  <r>
    <x v="1"/>
    <x v="4"/>
    <x v="4"/>
    <x v="7"/>
    <x v="64"/>
    <x v="1"/>
    <x v="4"/>
    <n v="624.99627138334517"/>
  </r>
  <r>
    <x v="1"/>
    <x v="4"/>
    <x v="4"/>
    <x v="7"/>
    <x v="64"/>
    <x v="1"/>
    <x v="5"/>
    <n v="1031.8978722420834"/>
  </r>
  <r>
    <x v="1"/>
    <x v="4"/>
    <x v="4"/>
    <x v="7"/>
    <x v="64"/>
    <x v="1"/>
    <x v="6"/>
    <n v="1316.5776508339898"/>
  </r>
  <r>
    <x v="1"/>
    <x v="5"/>
    <x v="4"/>
    <x v="7"/>
    <x v="44"/>
    <x v="1"/>
    <x v="0"/>
    <n v="0"/>
  </r>
  <r>
    <x v="1"/>
    <x v="5"/>
    <x v="4"/>
    <x v="7"/>
    <x v="44"/>
    <x v="1"/>
    <x v="1"/>
    <n v="0"/>
  </r>
  <r>
    <x v="1"/>
    <x v="5"/>
    <x v="4"/>
    <x v="7"/>
    <x v="44"/>
    <x v="1"/>
    <x v="2"/>
    <n v="0"/>
  </r>
  <r>
    <x v="1"/>
    <x v="5"/>
    <x v="4"/>
    <x v="7"/>
    <x v="44"/>
    <x v="1"/>
    <x v="3"/>
    <n v="0"/>
  </r>
  <r>
    <x v="1"/>
    <x v="5"/>
    <x v="4"/>
    <x v="7"/>
    <x v="44"/>
    <x v="1"/>
    <x v="4"/>
    <n v="0"/>
  </r>
  <r>
    <x v="1"/>
    <x v="5"/>
    <x v="4"/>
    <x v="7"/>
    <x v="44"/>
    <x v="1"/>
    <x v="5"/>
    <n v="0"/>
  </r>
  <r>
    <x v="1"/>
    <x v="5"/>
    <x v="4"/>
    <x v="7"/>
    <x v="44"/>
    <x v="1"/>
    <x v="6"/>
    <n v="0"/>
  </r>
  <r>
    <x v="1"/>
    <x v="5"/>
    <x v="4"/>
    <x v="7"/>
    <x v="45"/>
    <x v="1"/>
    <x v="0"/>
    <n v="0"/>
  </r>
  <r>
    <x v="1"/>
    <x v="5"/>
    <x v="4"/>
    <x v="7"/>
    <x v="45"/>
    <x v="1"/>
    <x v="1"/>
    <n v="0"/>
  </r>
  <r>
    <x v="1"/>
    <x v="5"/>
    <x v="4"/>
    <x v="7"/>
    <x v="45"/>
    <x v="1"/>
    <x v="2"/>
    <n v="0"/>
  </r>
  <r>
    <x v="1"/>
    <x v="5"/>
    <x v="4"/>
    <x v="7"/>
    <x v="45"/>
    <x v="1"/>
    <x v="3"/>
    <n v="0"/>
  </r>
  <r>
    <x v="1"/>
    <x v="5"/>
    <x v="4"/>
    <x v="7"/>
    <x v="45"/>
    <x v="1"/>
    <x v="4"/>
    <n v="0"/>
  </r>
  <r>
    <x v="1"/>
    <x v="5"/>
    <x v="4"/>
    <x v="7"/>
    <x v="45"/>
    <x v="1"/>
    <x v="5"/>
    <n v="0"/>
  </r>
  <r>
    <x v="1"/>
    <x v="5"/>
    <x v="4"/>
    <x v="7"/>
    <x v="45"/>
    <x v="1"/>
    <x v="6"/>
    <n v="0"/>
  </r>
  <r>
    <x v="1"/>
    <x v="5"/>
    <x v="4"/>
    <x v="7"/>
    <x v="46"/>
    <x v="1"/>
    <x v="0"/>
    <n v="0"/>
  </r>
  <r>
    <x v="1"/>
    <x v="5"/>
    <x v="4"/>
    <x v="7"/>
    <x v="46"/>
    <x v="1"/>
    <x v="1"/>
    <n v="0"/>
  </r>
  <r>
    <x v="1"/>
    <x v="5"/>
    <x v="4"/>
    <x v="7"/>
    <x v="46"/>
    <x v="1"/>
    <x v="2"/>
    <n v="0"/>
  </r>
  <r>
    <x v="1"/>
    <x v="5"/>
    <x v="4"/>
    <x v="7"/>
    <x v="46"/>
    <x v="1"/>
    <x v="3"/>
    <n v="0"/>
  </r>
  <r>
    <x v="1"/>
    <x v="5"/>
    <x v="4"/>
    <x v="7"/>
    <x v="46"/>
    <x v="1"/>
    <x v="4"/>
    <n v="0"/>
  </r>
  <r>
    <x v="1"/>
    <x v="5"/>
    <x v="4"/>
    <x v="7"/>
    <x v="46"/>
    <x v="1"/>
    <x v="5"/>
    <n v="0"/>
  </r>
  <r>
    <x v="1"/>
    <x v="5"/>
    <x v="4"/>
    <x v="7"/>
    <x v="46"/>
    <x v="1"/>
    <x v="6"/>
    <n v="0"/>
  </r>
  <r>
    <x v="1"/>
    <x v="5"/>
    <x v="5"/>
    <x v="8"/>
    <x v="51"/>
    <x v="1"/>
    <x v="0"/>
    <n v="0"/>
  </r>
  <r>
    <x v="1"/>
    <x v="5"/>
    <x v="5"/>
    <x v="8"/>
    <x v="51"/>
    <x v="1"/>
    <x v="1"/>
    <n v="0"/>
  </r>
  <r>
    <x v="1"/>
    <x v="5"/>
    <x v="5"/>
    <x v="8"/>
    <x v="51"/>
    <x v="1"/>
    <x v="2"/>
    <n v="0"/>
  </r>
  <r>
    <x v="1"/>
    <x v="5"/>
    <x v="5"/>
    <x v="8"/>
    <x v="51"/>
    <x v="1"/>
    <x v="3"/>
    <n v="0"/>
  </r>
  <r>
    <x v="1"/>
    <x v="5"/>
    <x v="5"/>
    <x v="8"/>
    <x v="51"/>
    <x v="1"/>
    <x v="4"/>
    <n v="0"/>
  </r>
  <r>
    <x v="1"/>
    <x v="5"/>
    <x v="5"/>
    <x v="8"/>
    <x v="51"/>
    <x v="1"/>
    <x v="5"/>
    <n v="0"/>
  </r>
  <r>
    <x v="1"/>
    <x v="5"/>
    <x v="5"/>
    <x v="8"/>
    <x v="51"/>
    <x v="1"/>
    <x v="6"/>
    <n v="0"/>
  </r>
  <r>
    <x v="1"/>
    <x v="5"/>
    <x v="3"/>
    <x v="5"/>
    <x v="52"/>
    <x v="1"/>
    <x v="0"/>
    <n v="0"/>
  </r>
  <r>
    <x v="1"/>
    <x v="5"/>
    <x v="3"/>
    <x v="5"/>
    <x v="52"/>
    <x v="1"/>
    <x v="1"/>
    <n v="0"/>
  </r>
  <r>
    <x v="1"/>
    <x v="5"/>
    <x v="3"/>
    <x v="5"/>
    <x v="52"/>
    <x v="1"/>
    <x v="2"/>
    <n v="0"/>
  </r>
  <r>
    <x v="1"/>
    <x v="5"/>
    <x v="3"/>
    <x v="5"/>
    <x v="52"/>
    <x v="1"/>
    <x v="3"/>
    <n v="0"/>
  </r>
  <r>
    <x v="1"/>
    <x v="5"/>
    <x v="3"/>
    <x v="5"/>
    <x v="52"/>
    <x v="1"/>
    <x v="4"/>
    <n v="0"/>
  </r>
  <r>
    <x v="1"/>
    <x v="5"/>
    <x v="3"/>
    <x v="5"/>
    <x v="52"/>
    <x v="1"/>
    <x v="5"/>
    <n v="0"/>
  </r>
  <r>
    <x v="1"/>
    <x v="5"/>
    <x v="3"/>
    <x v="5"/>
    <x v="52"/>
    <x v="1"/>
    <x v="6"/>
    <n v="0"/>
  </r>
  <r>
    <x v="1"/>
    <x v="5"/>
    <x v="5"/>
    <x v="8"/>
    <x v="53"/>
    <x v="1"/>
    <x v="0"/>
    <n v="0"/>
  </r>
  <r>
    <x v="1"/>
    <x v="5"/>
    <x v="5"/>
    <x v="8"/>
    <x v="53"/>
    <x v="1"/>
    <x v="1"/>
    <n v="0"/>
  </r>
  <r>
    <x v="1"/>
    <x v="5"/>
    <x v="5"/>
    <x v="8"/>
    <x v="53"/>
    <x v="1"/>
    <x v="2"/>
    <n v="0"/>
  </r>
  <r>
    <x v="1"/>
    <x v="5"/>
    <x v="5"/>
    <x v="8"/>
    <x v="53"/>
    <x v="1"/>
    <x v="3"/>
    <n v="0"/>
  </r>
  <r>
    <x v="1"/>
    <x v="5"/>
    <x v="5"/>
    <x v="8"/>
    <x v="53"/>
    <x v="1"/>
    <x v="4"/>
    <n v="0"/>
  </r>
  <r>
    <x v="1"/>
    <x v="5"/>
    <x v="5"/>
    <x v="8"/>
    <x v="53"/>
    <x v="1"/>
    <x v="5"/>
    <n v="0"/>
  </r>
  <r>
    <x v="1"/>
    <x v="5"/>
    <x v="5"/>
    <x v="8"/>
    <x v="53"/>
    <x v="1"/>
    <x v="6"/>
    <n v="0"/>
  </r>
  <r>
    <x v="1"/>
    <x v="5"/>
    <x v="4"/>
    <x v="7"/>
    <x v="47"/>
    <x v="1"/>
    <x v="0"/>
    <n v="0"/>
  </r>
  <r>
    <x v="1"/>
    <x v="5"/>
    <x v="4"/>
    <x v="7"/>
    <x v="47"/>
    <x v="1"/>
    <x v="1"/>
    <n v="0"/>
  </r>
  <r>
    <x v="1"/>
    <x v="5"/>
    <x v="4"/>
    <x v="7"/>
    <x v="47"/>
    <x v="1"/>
    <x v="2"/>
    <n v="0"/>
  </r>
  <r>
    <x v="1"/>
    <x v="5"/>
    <x v="4"/>
    <x v="7"/>
    <x v="47"/>
    <x v="1"/>
    <x v="3"/>
    <n v="0"/>
  </r>
  <r>
    <x v="1"/>
    <x v="5"/>
    <x v="4"/>
    <x v="7"/>
    <x v="47"/>
    <x v="1"/>
    <x v="4"/>
    <n v="0"/>
  </r>
  <r>
    <x v="1"/>
    <x v="5"/>
    <x v="4"/>
    <x v="7"/>
    <x v="47"/>
    <x v="1"/>
    <x v="5"/>
    <n v="0"/>
  </r>
  <r>
    <x v="1"/>
    <x v="5"/>
    <x v="4"/>
    <x v="7"/>
    <x v="47"/>
    <x v="1"/>
    <x v="6"/>
    <n v="0"/>
  </r>
  <r>
    <x v="1"/>
    <x v="5"/>
    <x v="4"/>
    <x v="7"/>
    <x v="48"/>
    <x v="1"/>
    <x v="0"/>
    <n v="0"/>
  </r>
  <r>
    <x v="1"/>
    <x v="5"/>
    <x v="4"/>
    <x v="7"/>
    <x v="48"/>
    <x v="1"/>
    <x v="1"/>
    <n v="0"/>
  </r>
  <r>
    <x v="1"/>
    <x v="5"/>
    <x v="4"/>
    <x v="7"/>
    <x v="48"/>
    <x v="1"/>
    <x v="2"/>
    <n v="0"/>
  </r>
  <r>
    <x v="1"/>
    <x v="5"/>
    <x v="4"/>
    <x v="7"/>
    <x v="48"/>
    <x v="1"/>
    <x v="3"/>
    <n v="0"/>
  </r>
  <r>
    <x v="1"/>
    <x v="5"/>
    <x v="4"/>
    <x v="7"/>
    <x v="48"/>
    <x v="1"/>
    <x v="4"/>
    <n v="0"/>
  </r>
  <r>
    <x v="1"/>
    <x v="5"/>
    <x v="4"/>
    <x v="7"/>
    <x v="48"/>
    <x v="1"/>
    <x v="5"/>
    <n v="0"/>
  </r>
  <r>
    <x v="1"/>
    <x v="5"/>
    <x v="4"/>
    <x v="7"/>
    <x v="48"/>
    <x v="1"/>
    <x v="6"/>
    <n v="0"/>
  </r>
  <r>
    <x v="1"/>
    <x v="5"/>
    <x v="4"/>
    <x v="7"/>
    <x v="49"/>
    <x v="1"/>
    <x v="0"/>
    <n v="0"/>
  </r>
  <r>
    <x v="1"/>
    <x v="5"/>
    <x v="4"/>
    <x v="7"/>
    <x v="49"/>
    <x v="1"/>
    <x v="1"/>
    <n v="0"/>
  </r>
  <r>
    <x v="1"/>
    <x v="5"/>
    <x v="4"/>
    <x v="7"/>
    <x v="49"/>
    <x v="1"/>
    <x v="2"/>
    <n v="0"/>
  </r>
  <r>
    <x v="1"/>
    <x v="5"/>
    <x v="4"/>
    <x v="7"/>
    <x v="49"/>
    <x v="1"/>
    <x v="3"/>
    <n v="0"/>
  </r>
  <r>
    <x v="1"/>
    <x v="5"/>
    <x v="4"/>
    <x v="7"/>
    <x v="49"/>
    <x v="1"/>
    <x v="4"/>
    <n v="0"/>
  </r>
  <r>
    <x v="1"/>
    <x v="5"/>
    <x v="4"/>
    <x v="7"/>
    <x v="49"/>
    <x v="1"/>
    <x v="5"/>
    <n v="0"/>
  </r>
  <r>
    <x v="1"/>
    <x v="5"/>
    <x v="4"/>
    <x v="7"/>
    <x v="49"/>
    <x v="1"/>
    <x v="6"/>
    <n v="0"/>
  </r>
  <r>
    <x v="1"/>
    <x v="5"/>
    <x v="4"/>
    <x v="7"/>
    <x v="50"/>
    <x v="1"/>
    <x v="0"/>
    <n v="0"/>
  </r>
  <r>
    <x v="1"/>
    <x v="5"/>
    <x v="4"/>
    <x v="7"/>
    <x v="50"/>
    <x v="1"/>
    <x v="1"/>
    <n v="0"/>
  </r>
  <r>
    <x v="1"/>
    <x v="5"/>
    <x v="4"/>
    <x v="7"/>
    <x v="50"/>
    <x v="1"/>
    <x v="2"/>
    <n v="0"/>
  </r>
  <r>
    <x v="1"/>
    <x v="5"/>
    <x v="4"/>
    <x v="7"/>
    <x v="50"/>
    <x v="1"/>
    <x v="3"/>
    <n v="0"/>
  </r>
  <r>
    <x v="1"/>
    <x v="5"/>
    <x v="4"/>
    <x v="7"/>
    <x v="50"/>
    <x v="1"/>
    <x v="4"/>
    <n v="0"/>
  </r>
  <r>
    <x v="1"/>
    <x v="5"/>
    <x v="4"/>
    <x v="7"/>
    <x v="50"/>
    <x v="1"/>
    <x v="5"/>
    <n v="0"/>
  </r>
  <r>
    <x v="1"/>
    <x v="5"/>
    <x v="4"/>
    <x v="7"/>
    <x v="50"/>
    <x v="1"/>
    <x v="6"/>
    <n v="0"/>
  </r>
  <r>
    <x v="1"/>
    <x v="5"/>
    <x v="4"/>
    <x v="7"/>
    <x v="54"/>
    <x v="1"/>
    <x v="0"/>
    <n v="0"/>
  </r>
  <r>
    <x v="1"/>
    <x v="5"/>
    <x v="4"/>
    <x v="7"/>
    <x v="54"/>
    <x v="1"/>
    <x v="1"/>
    <n v="0"/>
  </r>
  <r>
    <x v="1"/>
    <x v="5"/>
    <x v="4"/>
    <x v="7"/>
    <x v="54"/>
    <x v="1"/>
    <x v="2"/>
    <n v="0"/>
  </r>
  <r>
    <x v="1"/>
    <x v="5"/>
    <x v="4"/>
    <x v="7"/>
    <x v="54"/>
    <x v="1"/>
    <x v="3"/>
    <n v="0"/>
  </r>
  <r>
    <x v="1"/>
    <x v="5"/>
    <x v="4"/>
    <x v="7"/>
    <x v="54"/>
    <x v="1"/>
    <x v="4"/>
    <n v="0"/>
  </r>
  <r>
    <x v="1"/>
    <x v="5"/>
    <x v="4"/>
    <x v="7"/>
    <x v="54"/>
    <x v="1"/>
    <x v="5"/>
    <n v="0"/>
  </r>
  <r>
    <x v="1"/>
    <x v="5"/>
    <x v="4"/>
    <x v="7"/>
    <x v="54"/>
    <x v="1"/>
    <x v="6"/>
    <n v="0"/>
  </r>
  <r>
    <x v="1"/>
    <x v="5"/>
    <x v="4"/>
    <x v="7"/>
    <x v="55"/>
    <x v="1"/>
    <x v="0"/>
    <n v="0"/>
  </r>
  <r>
    <x v="1"/>
    <x v="5"/>
    <x v="4"/>
    <x v="7"/>
    <x v="55"/>
    <x v="1"/>
    <x v="1"/>
    <n v="0"/>
  </r>
  <r>
    <x v="1"/>
    <x v="5"/>
    <x v="4"/>
    <x v="7"/>
    <x v="55"/>
    <x v="1"/>
    <x v="2"/>
    <n v="0"/>
  </r>
  <r>
    <x v="1"/>
    <x v="5"/>
    <x v="4"/>
    <x v="7"/>
    <x v="55"/>
    <x v="1"/>
    <x v="3"/>
    <n v="0"/>
  </r>
  <r>
    <x v="1"/>
    <x v="5"/>
    <x v="4"/>
    <x v="7"/>
    <x v="55"/>
    <x v="1"/>
    <x v="4"/>
    <n v="0"/>
  </r>
  <r>
    <x v="1"/>
    <x v="5"/>
    <x v="4"/>
    <x v="7"/>
    <x v="55"/>
    <x v="1"/>
    <x v="5"/>
    <n v="0"/>
  </r>
  <r>
    <x v="1"/>
    <x v="5"/>
    <x v="4"/>
    <x v="7"/>
    <x v="55"/>
    <x v="1"/>
    <x v="6"/>
    <n v="0"/>
  </r>
  <r>
    <x v="1"/>
    <x v="5"/>
    <x v="4"/>
    <x v="7"/>
    <x v="56"/>
    <x v="1"/>
    <x v="0"/>
    <n v="0"/>
  </r>
  <r>
    <x v="1"/>
    <x v="5"/>
    <x v="4"/>
    <x v="7"/>
    <x v="56"/>
    <x v="1"/>
    <x v="1"/>
    <n v="0"/>
  </r>
  <r>
    <x v="1"/>
    <x v="5"/>
    <x v="4"/>
    <x v="7"/>
    <x v="56"/>
    <x v="1"/>
    <x v="2"/>
    <n v="0"/>
  </r>
  <r>
    <x v="1"/>
    <x v="5"/>
    <x v="4"/>
    <x v="7"/>
    <x v="56"/>
    <x v="1"/>
    <x v="3"/>
    <n v="0"/>
  </r>
  <r>
    <x v="1"/>
    <x v="5"/>
    <x v="4"/>
    <x v="7"/>
    <x v="56"/>
    <x v="1"/>
    <x v="4"/>
    <n v="0"/>
  </r>
  <r>
    <x v="1"/>
    <x v="5"/>
    <x v="4"/>
    <x v="7"/>
    <x v="56"/>
    <x v="1"/>
    <x v="5"/>
    <n v="0"/>
  </r>
  <r>
    <x v="1"/>
    <x v="5"/>
    <x v="4"/>
    <x v="7"/>
    <x v="56"/>
    <x v="1"/>
    <x v="6"/>
    <n v="0"/>
  </r>
  <r>
    <x v="1"/>
    <x v="5"/>
    <x v="4"/>
    <x v="7"/>
    <x v="57"/>
    <x v="1"/>
    <x v="0"/>
    <n v="0"/>
  </r>
  <r>
    <x v="1"/>
    <x v="5"/>
    <x v="4"/>
    <x v="7"/>
    <x v="57"/>
    <x v="1"/>
    <x v="1"/>
    <n v="0"/>
  </r>
  <r>
    <x v="1"/>
    <x v="5"/>
    <x v="4"/>
    <x v="7"/>
    <x v="57"/>
    <x v="1"/>
    <x v="2"/>
    <n v="0"/>
  </r>
  <r>
    <x v="1"/>
    <x v="5"/>
    <x v="4"/>
    <x v="7"/>
    <x v="57"/>
    <x v="1"/>
    <x v="3"/>
    <n v="0"/>
  </r>
  <r>
    <x v="1"/>
    <x v="5"/>
    <x v="4"/>
    <x v="7"/>
    <x v="57"/>
    <x v="1"/>
    <x v="4"/>
    <n v="0"/>
  </r>
  <r>
    <x v="1"/>
    <x v="5"/>
    <x v="4"/>
    <x v="7"/>
    <x v="57"/>
    <x v="1"/>
    <x v="5"/>
    <n v="0"/>
  </r>
  <r>
    <x v="1"/>
    <x v="5"/>
    <x v="4"/>
    <x v="7"/>
    <x v="57"/>
    <x v="1"/>
    <x v="6"/>
    <n v="0"/>
  </r>
  <r>
    <x v="1"/>
    <x v="5"/>
    <x v="4"/>
    <x v="7"/>
    <x v="58"/>
    <x v="1"/>
    <x v="0"/>
    <n v="0"/>
  </r>
  <r>
    <x v="1"/>
    <x v="5"/>
    <x v="4"/>
    <x v="7"/>
    <x v="58"/>
    <x v="1"/>
    <x v="1"/>
    <n v="0"/>
  </r>
  <r>
    <x v="1"/>
    <x v="5"/>
    <x v="4"/>
    <x v="7"/>
    <x v="58"/>
    <x v="1"/>
    <x v="2"/>
    <n v="0"/>
  </r>
  <r>
    <x v="1"/>
    <x v="5"/>
    <x v="4"/>
    <x v="7"/>
    <x v="58"/>
    <x v="1"/>
    <x v="3"/>
    <n v="0"/>
  </r>
  <r>
    <x v="1"/>
    <x v="5"/>
    <x v="4"/>
    <x v="7"/>
    <x v="58"/>
    <x v="1"/>
    <x v="4"/>
    <n v="0"/>
  </r>
  <r>
    <x v="1"/>
    <x v="5"/>
    <x v="4"/>
    <x v="7"/>
    <x v="58"/>
    <x v="1"/>
    <x v="5"/>
    <n v="0"/>
  </r>
  <r>
    <x v="1"/>
    <x v="5"/>
    <x v="4"/>
    <x v="7"/>
    <x v="58"/>
    <x v="1"/>
    <x v="6"/>
    <n v="0"/>
  </r>
  <r>
    <x v="1"/>
    <x v="5"/>
    <x v="4"/>
    <x v="7"/>
    <x v="59"/>
    <x v="1"/>
    <x v="0"/>
    <n v="0"/>
  </r>
  <r>
    <x v="1"/>
    <x v="5"/>
    <x v="4"/>
    <x v="7"/>
    <x v="59"/>
    <x v="1"/>
    <x v="1"/>
    <n v="0"/>
  </r>
  <r>
    <x v="1"/>
    <x v="5"/>
    <x v="4"/>
    <x v="7"/>
    <x v="59"/>
    <x v="1"/>
    <x v="2"/>
    <n v="0"/>
  </r>
  <r>
    <x v="1"/>
    <x v="5"/>
    <x v="4"/>
    <x v="7"/>
    <x v="59"/>
    <x v="1"/>
    <x v="3"/>
    <n v="0"/>
  </r>
  <r>
    <x v="1"/>
    <x v="5"/>
    <x v="4"/>
    <x v="7"/>
    <x v="59"/>
    <x v="1"/>
    <x v="4"/>
    <n v="0"/>
  </r>
  <r>
    <x v="1"/>
    <x v="5"/>
    <x v="4"/>
    <x v="7"/>
    <x v="59"/>
    <x v="1"/>
    <x v="5"/>
    <n v="0"/>
  </r>
  <r>
    <x v="1"/>
    <x v="5"/>
    <x v="4"/>
    <x v="7"/>
    <x v="59"/>
    <x v="1"/>
    <x v="6"/>
    <n v="0"/>
  </r>
  <r>
    <x v="1"/>
    <x v="5"/>
    <x v="4"/>
    <x v="7"/>
    <x v="60"/>
    <x v="1"/>
    <x v="0"/>
    <n v="0"/>
  </r>
  <r>
    <x v="1"/>
    <x v="5"/>
    <x v="4"/>
    <x v="7"/>
    <x v="60"/>
    <x v="1"/>
    <x v="1"/>
    <n v="0"/>
  </r>
  <r>
    <x v="1"/>
    <x v="5"/>
    <x v="4"/>
    <x v="7"/>
    <x v="60"/>
    <x v="1"/>
    <x v="2"/>
    <n v="0"/>
  </r>
  <r>
    <x v="1"/>
    <x v="5"/>
    <x v="4"/>
    <x v="7"/>
    <x v="60"/>
    <x v="1"/>
    <x v="3"/>
    <n v="0"/>
  </r>
  <r>
    <x v="1"/>
    <x v="5"/>
    <x v="4"/>
    <x v="7"/>
    <x v="60"/>
    <x v="1"/>
    <x v="4"/>
    <n v="0"/>
  </r>
  <r>
    <x v="1"/>
    <x v="5"/>
    <x v="4"/>
    <x v="7"/>
    <x v="60"/>
    <x v="1"/>
    <x v="5"/>
    <n v="0"/>
  </r>
  <r>
    <x v="1"/>
    <x v="5"/>
    <x v="4"/>
    <x v="7"/>
    <x v="60"/>
    <x v="1"/>
    <x v="6"/>
    <n v="0"/>
  </r>
  <r>
    <x v="1"/>
    <x v="5"/>
    <x v="3"/>
    <x v="5"/>
    <x v="65"/>
    <x v="1"/>
    <x v="0"/>
    <n v="0"/>
  </r>
  <r>
    <x v="1"/>
    <x v="5"/>
    <x v="3"/>
    <x v="5"/>
    <x v="65"/>
    <x v="1"/>
    <x v="1"/>
    <n v="0"/>
  </r>
  <r>
    <x v="1"/>
    <x v="5"/>
    <x v="3"/>
    <x v="5"/>
    <x v="65"/>
    <x v="1"/>
    <x v="2"/>
    <n v="0"/>
  </r>
  <r>
    <x v="1"/>
    <x v="5"/>
    <x v="3"/>
    <x v="5"/>
    <x v="65"/>
    <x v="1"/>
    <x v="3"/>
    <n v="0"/>
  </r>
  <r>
    <x v="1"/>
    <x v="5"/>
    <x v="3"/>
    <x v="5"/>
    <x v="65"/>
    <x v="1"/>
    <x v="4"/>
    <n v="0"/>
  </r>
  <r>
    <x v="1"/>
    <x v="5"/>
    <x v="3"/>
    <x v="5"/>
    <x v="65"/>
    <x v="1"/>
    <x v="5"/>
    <n v="0"/>
  </r>
  <r>
    <x v="1"/>
    <x v="5"/>
    <x v="3"/>
    <x v="5"/>
    <x v="65"/>
    <x v="1"/>
    <x v="6"/>
    <n v="0"/>
  </r>
  <r>
    <x v="1"/>
    <x v="5"/>
    <x v="3"/>
    <x v="5"/>
    <x v="66"/>
    <x v="1"/>
    <x v="0"/>
    <n v="0"/>
  </r>
  <r>
    <x v="1"/>
    <x v="5"/>
    <x v="3"/>
    <x v="5"/>
    <x v="66"/>
    <x v="1"/>
    <x v="1"/>
    <n v="0"/>
  </r>
  <r>
    <x v="1"/>
    <x v="5"/>
    <x v="3"/>
    <x v="5"/>
    <x v="66"/>
    <x v="1"/>
    <x v="2"/>
    <n v="0"/>
  </r>
  <r>
    <x v="1"/>
    <x v="5"/>
    <x v="3"/>
    <x v="5"/>
    <x v="66"/>
    <x v="1"/>
    <x v="3"/>
    <n v="0"/>
  </r>
  <r>
    <x v="1"/>
    <x v="5"/>
    <x v="3"/>
    <x v="5"/>
    <x v="66"/>
    <x v="1"/>
    <x v="4"/>
    <n v="0"/>
  </r>
  <r>
    <x v="1"/>
    <x v="5"/>
    <x v="3"/>
    <x v="5"/>
    <x v="66"/>
    <x v="1"/>
    <x v="5"/>
    <n v="0"/>
  </r>
  <r>
    <x v="1"/>
    <x v="5"/>
    <x v="3"/>
    <x v="5"/>
    <x v="66"/>
    <x v="1"/>
    <x v="6"/>
    <n v="0"/>
  </r>
  <r>
    <x v="1"/>
    <x v="5"/>
    <x v="3"/>
    <x v="5"/>
    <x v="67"/>
    <x v="1"/>
    <x v="0"/>
    <n v="0"/>
  </r>
  <r>
    <x v="1"/>
    <x v="5"/>
    <x v="3"/>
    <x v="5"/>
    <x v="67"/>
    <x v="1"/>
    <x v="1"/>
    <n v="0"/>
  </r>
  <r>
    <x v="1"/>
    <x v="5"/>
    <x v="3"/>
    <x v="5"/>
    <x v="67"/>
    <x v="1"/>
    <x v="2"/>
    <n v="0"/>
  </r>
  <r>
    <x v="1"/>
    <x v="5"/>
    <x v="3"/>
    <x v="5"/>
    <x v="67"/>
    <x v="1"/>
    <x v="3"/>
    <n v="0"/>
  </r>
  <r>
    <x v="1"/>
    <x v="5"/>
    <x v="3"/>
    <x v="5"/>
    <x v="67"/>
    <x v="1"/>
    <x v="4"/>
    <n v="0"/>
  </r>
  <r>
    <x v="1"/>
    <x v="5"/>
    <x v="3"/>
    <x v="5"/>
    <x v="67"/>
    <x v="1"/>
    <x v="5"/>
    <n v="0"/>
  </r>
  <r>
    <x v="1"/>
    <x v="5"/>
    <x v="3"/>
    <x v="5"/>
    <x v="67"/>
    <x v="1"/>
    <x v="6"/>
    <n v="0"/>
  </r>
  <r>
    <x v="1"/>
    <x v="5"/>
    <x v="3"/>
    <x v="5"/>
    <x v="68"/>
    <x v="1"/>
    <x v="0"/>
    <n v="0"/>
  </r>
  <r>
    <x v="1"/>
    <x v="5"/>
    <x v="3"/>
    <x v="5"/>
    <x v="68"/>
    <x v="1"/>
    <x v="1"/>
    <n v="0"/>
  </r>
  <r>
    <x v="1"/>
    <x v="5"/>
    <x v="3"/>
    <x v="5"/>
    <x v="68"/>
    <x v="1"/>
    <x v="2"/>
    <n v="0"/>
  </r>
  <r>
    <x v="1"/>
    <x v="5"/>
    <x v="3"/>
    <x v="5"/>
    <x v="68"/>
    <x v="1"/>
    <x v="3"/>
    <n v="0"/>
  </r>
  <r>
    <x v="1"/>
    <x v="5"/>
    <x v="3"/>
    <x v="5"/>
    <x v="68"/>
    <x v="1"/>
    <x v="4"/>
    <n v="0"/>
  </r>
  <r>
    <x v="1"/>
    <x v="5"/>
    <x v="3"/>
    <x v="5"/>
    <x v="68"/>
    <x v="1"/>
    <x v="5"/>
    <n v="0"/>
  </r>
  <r>
    <x v="1"/>
    <x v="5"/>
    <x v="3"/>
    <x v="5"/>
    <x v="68"/>
    <x v="1"/>
    <x v="6"/>
    <n v="0"/>
  </r>
  <r>
    <x v="1"/>
    <x v="5"/>
    <x v="3"/>
    <x v="5"/>
    <x v="69"/>
    <x v="1"/>
    <x v="0"/>
    <n v="0"/>
  </r>
  <r>
    <x v="1"/>
    <x v="5"/>
    <x v="3"/>
    <x v="5"/>
    <x v="69"/>
    <x v="1"/>
    <x v="1"/>
    <n v="0"/>
  </r>
  <r>
    <x v="1"/>
    <x v="5"/>
    <x v="3"/>
    <x v="5"/>
    <x v="69"/>
    <x v="1"/>
    <x v="2"/>
    <n v="0"/>
  </r>
  <r>
    <x v="1"/>
    <x v="5"/>
    <x v="3"/>
    <x v="5"/>
    <x v="69"/>
    <x v="1"/>
    <x v="3"/>
    <n v="0"/>
  </r>
  <r>
    <x v="1"/>
    <x v="5"/>
    <x v="3"/>
    <x v="5"/>
    <x v="69"/>
    <x v="1"/>
    <x v="4"/>
    <n v="0"/>
  </r>
  <r>
    <x v="1"/>
    <x v="5"/>
    <x v="3"/>
    <x v="5"/>
    <x v="69"/>
    <x v="1"/>
    <x v="5"/>
    <n v="0"/>
  </r>
  <r>
    <x v="1"/>
    <x v="5"/>
    <x v="3"/>
    <x v="5"/>
    <x v="69"/>
    <x v="1"/>
    <x v="6"/>
    <n v="0"/>
  </r>
  <r>
    <x v="1"/>
    <x v="5"/>
    <x v="3"/>
    <x v="5"/>
    <x v="70"/>
    <x v="1"/>
    <x v="0"/>
    <n v="0"/>
  </r>
  <r>
    <x v="1"/>
    <x v="5"/>
    <x v="3"/>
    <x v="5"/>
    <x v="70"/>
    <x v="1"/>
    <x v="1"/>
    <n v="0"/>
  </r>
  <r>
    <x v="1"/>
    <x v="5"/>
    <x v="3"/>
    <x v="5"/>
    <x v="70"/>
    <x v="1"/>
    <x v="2"/>
    <n v="0"/>
  </r>
  <r>
    <x v="1"/>
    <x v="5"/>
    <x v="3"/>
    <x v="5"/>
    <x v="70"/>
    <x v="1"/>
    <x v="3"/>
    <n v="0"/>
  </r>
  <r>
    <x v="1"/>
    <x v="5"/>
    <x v="3"/>
    <x v="5"/>
    <x v="70"/>
    <x v="1"/>
    <x v="4"/>
    <n v="0"/>
  </r>
  <r>
    <x v="1"/>
    <x v="5"/>
    <x v="3"/>
    <x v="5"/>
    <x v="70"/>
    <x v="1"/>
    <x v="5"/>
    <n v="0"/>
  </r>
  <r>
    <x v="1"/>
    <x v="5"/>
    <x v="3"/>
    <x v="5"/>
    <x v="70"/>
    <x v="1"/>
    <x v="6"/>
    <n v="0"/>
  </r>
  <r>
    <x v="1"/>
    <x v="5"/>
    <x v="3"/>
    <x v="5"/>
    <x v="71"/>
    <x v="1"/>
    <x v="0"/>
    <n v="0"/>
  </r>
  <r>
    <x v="1"/>
    <x v="5"/>
    <x v="3"/>
    <x v="5"/>
    <x v="71"/>
    <x v="1"/>
    <x v="1"/>
    <n v="0"/>
  </r>
  <r>
    <x v="1"/>
    <x v="5"/>
    <x v="3"/>
    <x v="5"/>
    <x v="71"/>
    <x v="1"/>
    <x v="2"/>
    <n v="0"/>
  </r>
  <r>
    <x v="1"/>
    <x v="5"/>
    <x v="3"/>
    <x v="5"/>
    <x v="71"/>
    <x v="1"/>
    <x v="3"/>
    <n v="0"/>
  </r>
  <r>
    <x v="1"/>
    <x v="5"/>
    <x v="3"/>
    <x v="5"/>
    <x v="71"/>
    <x v="1"/>
    <x v="4"/>
    <n v="0"/>
  </r>
  <r>
    <x v="1"/>
    <x v="5"/>
    <x v="3"/>
    <x v="5"/>
    <x v="71"/>
    <x v="1"/>
    <x v="5"/>
    <n v="0"/>
  </r>
  <r>
    <x v="1"/>
    <x v="5"/>
    <x v="3"/>
    <x v="5"/>
    <x v="71"/>
    <x v="1"/>
    <x v="6"/>
    <n v="0"/>
  </r>
  <r>
    <x v="1"/>
    <x v="5"/>
    <x v="3"/>
    <x v="5"/>
    <x v="72"/>
    <x v="1"/>
    <x v="0"/>
    <n v="0"/>
  </r>
  <r>
    <x v="1"/>
    <x v="5"/>
    <x v="3"/>
    <x v="5"/>
    <x v="72"/>
    <x v="1"/>
    <x v="1"/>
    <n v="0"/>
  </r>
  <r>
    <x v="1"/>
    <x v="5"/>
    <x v="3"/>
    <x v="5"/>
    <x v="72"/>
    <x v="1"/>
    <x v="2"/>
    <n v="0"/>
  </r>
  <r>
    <x v="1"/>
    <x v="5"/>
    <x v="3"/>
    <x v="5"/>
    <x v="72"/>
    <x v="1"/>
    <x v="3"/>
    <n v="0"/>
  </r>
  <r>
    <x v="1"/>
    <x v="5"/>
    <x v="3"/>
    <x v="5"/>
    <x v="72"/>
    <x v="1"/>
    <x v="4"/>
    <n v="0"/>
  </r>
  <r>
    <x v="1"/>
    <x v="5"/>
    <x v="3"/>
    <x v="5"/>
    <x v="72"/>
    <x v="1"/>
    <x v="5"/>
    <n v="0"/>
  </r>
  <r>
    <x v="1"/>
    <x v="5"/>
    <x v="3"/>
    <x v="5"/>
    <x v="72"/>
    <x v="1"/>
    <x v="6"/>
    <n v="0"/>
  </r>
  <r>
    <x v="1"/>
    <x v="5"/>
    <x v="3"/>
    <x v="5"/>
    <x v="73"/>
    <x v="1"/>
    <x v="0"/>
    <n v="0"/>
  </r>
  <r>
    <x v="1"/>
    <x v="5"/>
    <x v="3"/>
    <x v="5"/>
    <x v="73"/>
    <x v="1"/>
    <x v="1"/>
    <n v="0"/>
  </r>
  <r>
    <x v="1"/>
    <x v="5"/>
    <x v="3"/>
    <x v="5"/>
    <x v="73"/>
    <x v="1"/>
    <x v="2"/>
    <n v="0"/>
  </r>
  <r>
    <x v="1"/>
    <x v="5"/>
    <x v="3"/>
    <x v="5"/>
    <x v="73"/>
    <x v="1"/>
    <x v="3"/>
    <n v="0"/>
  </r>
  <r>
    <x v="1"/>
    <x v="5"/>
    <x v="3"/>
    <x v="5"/>
    <x v="73"/>
    <x v="1"/>
    <x v="4"/>
    <n v="0"/>
  </r>
  <r>
    <x v="1"/>
    <x v="5"/>
    <x v="3"/>
    <x v="5"/>
    <x v="73"/>
    <x v="1"/>
    <x v="5"/>
    <n v="0"/>
  </r>
  <r>
    <x v="1"/>
    <x v="5"/>
    <x v="3"/>
    <x v="5"/>
    <x v="73"/>
    <x v="1"/>
    <x v="6"/>
    <n v="0"/>
  </r>
  <r>
    <x v="1"/>
    <x v="5"/>
    <x v="5"/>
    <x v="8"/>
    <x v="74"/>
    <x v="1"/>
    <x v="0"/>
    <n v="0"/>
  </r>
  <r>
    <x v="1"/>
    <x v="5"/>
    <x v="5"/>
    <x v="8"/>
    <x v="74"/>
    <x v="1"/>
    <x v="1"/>
    <n v="0"/>
  </r>
  <r>
    <x v="1"/>
    <x v="5"/>
    <x v="5"/>
    <x v="8"/>
    <x v="74"/>
    <x v="1"/>
    <x v="2"/>
    <n v="0"/>
  </r>
  <r>
    <x v="1"/>
    <x v="5"/>
    <x v="5"/>
    <x v="8"/>
    <x v="74"/>
    <x v="1"/>
    <x v="3"/>
    <n v="0"/>
  </r>
  <r>
    <x v="1"/>
    <x v="5"/>
    <x v="5"/>
    <x v="8"/>
    <x v="74"/>
    <x v="1"/>
    <x v="4"/>
    <n v="0"/>
  </r>
  <r>
    <x v="1"/>
    <x v="5"/>
    <x v="5"/>
    <x v="8"/>
    <x v="74"/>
    <x v="1"/>
    <x v="5"/>
    <n v="0"/>
  </r>
  <r>
    <x v="1"/>
    <x v="5"/>
    <x v="5"/>
    <x v="8"/>
    <x v="74"/>
    <x v="1"/>
    <x v="6"/>
    <n v="0"/>
  </r>
  <r>
    <x v="1"/>
    <x v="5"/>
    <x v="5"/>
    <x v="8"/>
    <x v="75"/>
    <x v="1"/>
    <x v="0"/>
    <n v="0"/>
  </r>
  <r>
    <x v="1"/>
    <x v="5"/>
    <x v="5"/>
    <x v="8"/>
    <x v="75"/>
    <x v="1"/>
    <x v="1"/>
    <n v="0"/>
  </r>
  <r>
    <x v="1"/>
    <x v="5"/>
    <x v="5"/>
    <x v="8"/>
    <x v="75"/>
    <x v="1"/>
    <x v="2"/>
    <n v="0"/>
  </r>
  <r>
    <x v="1"/>
    <x v="5"/>
    <x v="5"/>
    <x v="8"/>
    <x v="75"/>
    <x v="1"/>
    <x v="3"/>
    <n v="0"/>
  </r>
  <r>
    <x v="1"/>
    <x v="5"/>
    <x v="5"/>
    <x v="8"/>
    <x v="75"/>
    <x v="1"/>
    <x v="4"/>
    <n v="0"/>
  </r>
  <r>
    <x v="1"/>
    <x v="5"/>
    <x v="5"/>
    <x v="8"/>
    <x v="75"/>
    <x v="1"/>
    <x v="5"/>
    <n v="0"/>
  </r>
  <r>
    <x v="1"/>
    <x v="5"/>
    <x v="5"/>
    <x v="8"/>
    <x v="75"/>
    <x v="1"/>
    <x v="6"/>
    <n v="0"/>
  </r>
  <r>
    <x v="1"/>
    <x v="5"/>
    <x v="5"/>
    <x v="8"/>
    <x v="76"/>
    <x v="1"/>
    <x v="0"/>
    <n v="0"/>
  </r>
  <r>
    <x v="1"/>
    <x v="5"/>
    <x v="5"/>
    <x v="8"/>
    <x v="76"/>
    <x v="1"/>
    <x v="1"/>
    <n v="0"/>
  </r>
  <r>
    <x v="1"/>
    <x v="5"/>
    <x v="5"/>
    <x v="8"/>
    <x v="76"/>
    <x v="1"/>
    <x v="2"/>
    <n v="0"/>
  </r>
  <r>
    <x v="1"/>
    <x v="5"/>
    <x v="5"/>
    <x v="8"/>
    <x v="76"/>
    <x v="1"/>
    <x v="3"/>
    <n v="0"/>
  </r>
  <r>
    <x v="1"/>
    <x v="5"/>
    <x v="5"/>
    <x v="8"/>
    <x v="76"/>
    <x v="1"/>
    <x v="4"/>
    <n v="0"/>
  </r>
  <r>
    <x v="1"/>
    <x v="5"/>
    <x v="5"/>
    <x v="8"/>
    <x v="76"/>
    <x v="1"/>
    <x v="5"/>
    <n v="0"/>
  </r>
  <r>
    <x v="1"/>
    <x v="5"/>
    <x v="5"/>
    <x v="8"/>
    <x v="76"/>
    <x v="1"/>
    <x v="6"/>
    <n v="0"/>
  </r>
  <r>
    <x v="1"/>
    <x v="5"/>
    <x v="5"/>
    <x v="8"/>
    <x v="77"/>
    <x v="1"/>
    <x v="0"/>
    <n v="0"/>
  </r>
  <r>
    <x v="1"/>
    <x v="5"/>
    <x v="5"/>
    <x v="8"/>
    <x v="77"/>
    <x v="1"/>
    <x v="1"/>
    <n v="0"/>
  </r>
  <r>
    <x v="1"/>
    <x v="5"/>
    <x v="5"/>
    <x v="8"/>
    <x v="77"/>
    <x v="1"/>
    <x v="2"/>
    <n v="0"/>
  </r>
  <r>
    <x v="1"/>
    <x v="5"/>
    <x v="5"/>
    <x v="8"/>
    <x v="77"/>
    <x v="1"/>
    <x v="3"/>
    <n v="0"/>
  </r>
  <r>
    <x v="1"/>
    <x v="5"/>
    <x v="5"/>
    <x v="8"/>
    <x v="77"/>
    <x v="1"/>
    <x v="4"/>
    <n v="0"/>
  </r>
  <r>
    <x v="1"/>
    <x v="5"/>
    <x v="5"/>
    <x v="8"/>
    <x v="77"/>
    <x v="1"/>
    <x v="5"/>
    <n v="0"/>
  </r>
  <r>
    <x v="1"/>
    <x v="5"/>
    <x v="5"/>
    <x v="8"/>
    <x v="77"/>
    <x v="1"/>
    <x v="6"/>
    <n v="0"/>
  </r>
  <r>
    <x v="1"/>
    <x v="5"/>
    <x v="5"/>
    <x v="8"/>
    <x v="78"/>
    <x v="1"/>
    <x v="0"/>
    <n v="0"/>
  </r>
  <r>
    <x v="1"/>
    <x v="5"/>
    <x v="5"/>
    <x v="8"/>
    <x v="78"/>
    <x v="1"/>
    <x v="1"/>
    <n v="0"/>
  </r>
  <r>
    <x v="1"/>
    <x v="5"/>
    <x v="5"/>
    <x v="8"/>
    <x v="78"/>
    <x v="1"/>
    <x v="2"/>
    <n v="0"/>
  </r>
  <r>
    <x v="1"/>
    <x v="5"/>
    <x v="5"/>
    <x v="8"/>
    <x v="78"/>
    <x v="1"/>
    <x v="3"/>
    <n v="0"/>
  </r>
  <r>
    <x v="1"/>
    <x v="5"/>
    <x v="5"/>
    <x v="8"/>
    <x v="78"/>
    <x v="1"/>
    <x v="4"/>
    <n v="0"/>
  </r>
  <r>
    <x v="1"/>
    <x v="5"/>
    <x v="5"/>
    <x v="8"/>
    <x v="78"/>
    <x v="1"/>
    <x v="5"/>
    <n v="0"/>
  </r>
  <r>
    <x v="1"/>
    <x v="5"/>
    <x v="5"/>
    <x v="8"/>
    <x v="78"/>
    <x v="1"/>
    <x v="6"/>
    <n v="0"/>
  </r>
  <r>
    <x v="1"/>
    <x v="5"/>
    <x v="5"/>
    <x v="8"/>
    <x v="79"/>
    <x v="1"/>
    <x v="0"/>
    <n v="0"/>
  </r>
  <r>
    <x v="1"/>
    <x v="5"/>
    <x v="5"/>
    <x v="8"/>
    <x v="79"/>
    <x v="1"/>
    <x v="1"/>
    <n v="0"/>
  </r>
  <r>
    <x v="1"/>
    <x v="5"/>
    <x v="5"/>
    <x v="8"/>
    <x v="79"/>
    <x v="1"/>
    <x v="2"/>
    <n v="0"/>
  </r>
  <r>
    <x v="1"/>
    <x v="5"/>
    <x v="5"/>
    <x v="8"/>
    <x v="79"/>
    <x v="1"/>
    <x v="3"/>
    <n v="0"/>
  </r>
  <r>
    <x v="1"/>
    <x v="5"/>
    <x v="5"/>
    <x v="8"/>
    <x v="79"/>
    <x v="1"/>
    <x v="4"/>
    <n v="0"/>
  </r>
  <r>
    <x v="1"/>
    <x v="5"/>
    <x v="5"/>
    <x v="8"/>
    <x v="79"/>
    <x v="1"/>
    <x v="5"/>
    <n v="0"/>
  </r>
  <r>
    <x v="1"/>
    <x v="5"/>
    <x v="5"/>
    <x v="8"/>
    <x v="79"/>
    <x v="1"/>
    <x v="6"/>
    <n v="0"/>
  </r>
  <r>
    <x v="1"/>
    <x v="5"/>
    <x v="5"/>
    <x v="8"/>
    <x v="80"/>
    <x v="1"/>
    <x v="0"/>
    <n v="0"/>
  </r>
  <r>
    <x v="1"/>
    <x v="5"/>
    <x v="5"/>
    <x v="8"/>
    <x v="80"/>
    <x v="1"/>
    <x v="1"/>
    <n v="0"/>
  </r>
  <r>
    <x v="1"/>
    <x v="5"/>
    <x v="5"/>
    <x v="8"/>
    <x v="80"/>
    <x v="1"/>
    <x v="2"/>
    <n v="0"/>
  </r>
  <r>
    <x v="1"/>
    <x v="5"/>
    <x v="5"/>
    <x v="8"/>
    <x v="80"/>
    <x v="1"/>
    <x v="3"/>
    <n v="0"/>
  </r>
  <r>
    <x v="1"/>
    <x v="5"/>
    <x v="5"/>
    <x v="8"/>
    <x v="80"/>
    <x v="1"/>
    <x v="4"/>
    <n v="0"/>
  </r>
  <r>
    <x v="1"/>
    <x v="5"/>
    <x v="5"/>
    <x v="8"/>
    <x v="80"/>
    <x v="1"/>
    <x v="5"/>
    <n v="0"/>
  </r>
  <r>
    <x v="1"/>
    <x v="5"/>
    <x v="5"/>
    <x v="8"/>
    <x v="80"/>
    <x v="1"/>
    <x v="6"/>
    <n v="0"/>
  </r>
  <r>
    <x v="1"/>
    <x v="5"/>
    <x v="5"/>
    <x v="8"/>
    <x v="81"/>
    <x v="1"/>
    <x v="0"/>
    <n v="0"/>
  </r>
  <r>
    <x v="1"/>
    <x v="5"/>
    <x v="5"/>
    <x v="8"/>
    <x v="81"/>
    <x v="1"/>
    <x v="1"/>
    <n v="0"/>
  </r>
  <r>
    <x v="1"/>
    <x v="5"/>
    <x v="5"/>
    <x v="8"/>
    <x v="81"/>
    <x v="1"/>
    <x v="2"/>
    <n v="0"/>
  </r>
  <r>
    <x v="1"/>
    <x v="5"/>
    <x v="5"/>
    <x v="8"/>
    <x v="81"/>
    <x v="1"/>
    <x v="3"/>
    <n v="0"/>
  </r>
  <r>
    <x v="1"/>
    <x v="5"/>
    <x v="5"/>
    <x v="8"/>
    <x v="81"/>
    <x v="1"/>
    <x v="4"/>
    <n v="0"/>
  </r>
  <r>
    <x v="1"/>
    <x v="5"/>
    <x v="5"/>
    <x v="8"/>
    <x v="81"/>
    <x v="1"/>
    <x v="5"/>
    <n v="0"/>
  </r>
  <r>
    <x v="1"/>
    <x v="5"/>
    <x v="5"/>
    <x v="8"/>
    <x v="81"/>
    <x v="1"/>
    <x v="6"/>
    <n v="0"/>
  </r>
  <r>
    <x v="1"/>
    <x v="5"/>
    <x v="5"/>
    <x v="8"/>
    <x v="82"/>
    <x v="1"/>
    <x v="0"/>
    <n v="0"/>
  </r>
  <r>
    <x v="1"/>
    <x v="5"/>
    <x v="5"/>
    <x v="8"/>
    <x v="82"/>
    <x v="1"/>
    <x v="1"/>
    <n v="0"/>
  </r>
  <r>
    <x v="1"/>
    <x v="5"/>
    <x v="5"/>
    <x v="8"/>
    <x v="82"/>
    <x v="1"/>
    <x v="2"/>
    <n v="0"/>
  </r>
  <r>
    <x v="1"/>
    <x v="5"/>
    <x v="5"/>
    <x v="8"/>
    <x v="82"/>
    <x v="1"/>
    <x v="3"/>
    <n v="0"/>
  </r>
  <r>
    <x v="1"/>
    <x v="5"/>
    <x v="5"/>
    <x v="8"/>
    <x v="82"/>
    <x v="1"/>
    <x v="4"/>
    <n v="0"/>
  </r>
  <r>
    <x v="1"/>
    <x v="5"/>
    <x v="5"/>
    <x v="8"/>
    <x v="82"/>
    <x v="1"/>
    <x v="5"/>
    <n v="0"/>
  </r>
  <r>
    <x v="1"/>
    <x v="5"/>
    <x v="5"/>
    <x v="8"/>
    <x v="82"/>
    <x v="1"/>
    <x v="6"/>
    <n v="0"/>
  </r>
  <r>
    <x v="1"/>
    <x v="5"/>
    <x v="5"/>
    <x v="8"/>
    <x v="83"/>
    <x v="1"/>
    <x v="0"/>
    <n v="0"/>
  </r>
  <r>
    <x v="1"/>
    <x v="5"/>
    <x v="5"/>
    <x v="8"/>
    <x v="83"/>
    <x v="1"/>
    <x v="1"/>
    <n v="0"/>
  </r>
  <r>
    <x v="1"/>
    <x v="5"/>
    <x v="5"/>
    <x v="8"/>
    <x v="83"/>
    <x v="1"/>
    <x v="2"/>
    <n v="0"/>
  </r>
  <r>
    <x v="1"/>
    <x v="5"/>
    <x v="5"/>
    <x v="8"/>
    <x v="83"/>
    <x v="1"/>
    <x v="3"/>
    <n v="0"/>
  </r>
  <r>
    <x v="1"/>
    <x v="5"/>
    <x v="5"/>
    <x v="8"/>
    <x v="83"/>
    <x v="1"/>
    <x v="4"/>
    <n v="0"/>
  </r>
  <r>
    <x v="1"/>
    <x v="5"/>
    <x v="5"/>
    <x v="8"/>
    <x v="83"/>
    <x v="1"/>
    <x v="5"/>
    <n v="0"/>
  </r>
  <r>
    <x v="1"/>
    <x v="5"/>
    <x v="5"/>
    <x v="8"/>
    <x v="83"/>
    <x v="1"/>
    <x v="6"/>
    <n v="0"/>
  </r>
  <r>
    <x v="1"/>
    <x v="6"/>
    <x v="0"/>
    <x v="0"/>
    <x v="0"/>
    <x v="1"/>
    <x v="0"/>
    <n v="0"/>
  </r>
  <r>
    <x v="1"/>
    <x v="6"/>
    <x v="0"/>
    <x v="0"/>
    <x v="0"/>
    <x v="1"/>
    <x v="1"/>
    <n v="0"/>
  </r>
  <r>
    <x v="1"/>
    <x v="6"/>
    <x v="0"/>
    <x v="0"/>
    <x v="0"/>
    <x v="1"/>
    <x v="2"/>
    <n v="0"/>
  </r>
  <r>
    <x v="1"/>
    <x v="6"/>
    <x v="0"/>
    <x v="0"/>
    <x v="0"/>
    <x v="1"/>
    <x v="3"/>
    <n v="0"/>
  </r>
  <r>
    <x v="1"/>
    <x v="6"/>
    <x v="0"/>
    <x v="0"/>
    <x v="0"/>
    <x v="1"/>
    <x v="4"/>
    <n v="0"/>
  </r>
  <r>
    <x v="1"/>
    <x v="6"/>
    <x v="0"/>
    <x v="0"/>
    <x v="0"/>
    <x v="1"/>
    <x v="5"/>
    <n v="0"/>
  </r>
  <r>
    <x v="1"/>
    <x v="6"/>
    <x v="0"/>
    <x v="0"/>
    <x v="0"/>
    <x v="1"/>
    <x v="6"/>
    <n v="0"/>
  </r>
  <r>
    <x v="1"/>
    <x v="6"/>
    <x v="0"/>
    <x v="1"/>
    <x v="1"/>
    <x v="1"/>
    <x v="0"/>
    <n v="0"/>
  </r>
  <r>
    <x v="1"/>
    <x v="6"/>
    <x v="0"/>
    <x v="1"/>
    <x v="1"/>
    <x v="1"/>
    <x v="1"/>
    <n v="0"/>
  </r>
  <r>
    <x v="1"/>
    <x v="6"/>
    <x v="0"/>
    <x v="1"/>
    <x v="1"/>
    <x v="1"/>
    <x v="2"/>
    <n v="0"/>
  </r>
  <r>
    <x v="1"/>
    <x v="6"/>
    <x v="0"/>
    <x v="1"/>
    <x v="1"/>
    <x v="1"/>
    <x v="3"/>
    <n v="0"/>
  </r>
  <r>
    <x v="1"/>
    <x v="6"/>
    <x v="0"/>
    <x v="1"/>
    <x v="1"/>
    <x v="1"/>
    <x v="4"/>
    <n v="0"/>
  </r>
  <r>
    <x v="1"/>
    <x v="6"/>
    <x v="0"/>
    <x v="1"/>
    <x v="1"/>
    <x v="1"/>
    <x v="5"/>
    <n v="0"/>
  </r>
  <r>
    <x v="1"/>
    <x v="6"/>
    <x v="0"/>
    <x v="1"/>
    <x v="1"/>
    <x v="1"/>
    <x v="6"/>
    <n v="0"/>
  </r>
  <r>
    <x v="1"/>
    <x v="6"/>
    <x v="0"/>
    <x v="1"/>
    <x v="2"/>
    <x v="1"/>
    <x v="0"/>
    <n v="0"/>
  </r>
  <r>
    <x v="1"/>
    <x v="6"/>
    <x v="0"/>
    <x v="1"/>
    <x v="2"/>
    <x v="1"/>
    <x v="1"/>
    <n v="0"/>
  </r>
  <r>
    <x v="1"/>
    <x v="6"/>
    <x v="0"/>
    <x v="1"/>
    <x v="2"/>
    <x v="1"/>
    <x v="2"/>
    <n v="0"/>
  </r>
  <r>
    <x v="1"/>
    <x v="6"/>
    <x v="0"/>
    <x v="1"/>
    <x v="2"/>
    <x v="1"/>
    <x v="3"/>
    <n v="0"/>
  </r>
  <r>
    <x v="1"/>
    <x v="6"/>
    <x v="0"/>
    <x v="1"/>
    <x v="2"/>
    <x v="1"/>
    <x v="4"/>
    <n v="0"/>
  </r>
  <r>
    <x v="1"/>
    <x v="6"/>
    <x v="0"/>
    <x v="1"/>
    <x v="2"/>
    <x v="1"/>
    <x v="5"/>
    <n v="0"/>
  </r>
  <r>
    <x v="1"/>
    <x v="6"/>
    <x v="0"/>
    <x v="1"/>
    <x v="2"/>
    <x v="1"/>
    <x v="6"/>
    <n v="0"/>
  </r>
  <r>
    <x v="1"/>
    <x v="6"/>
    <x v="0"/>
    <x v="1"/>
    <x v="3"/>
    <x v="1"/>
    <x v="0"/>
    <n v="0"/>
  </r>
  <r>
    <x v="1"/>
    <x v="6"/>
    <x v="0"/>
    <x v="1"/>
    <x v="3"/>
    <x v="1"/>
    <x v="1"/>
    <n v="0"/>
  </r>
  <r>
    <x v="1"/>
    <x v="6"/>
    <x v="0"/>
    <x v="1"/>
    <x v="3"/>
    <x v="1"/>
    <x v="2"/>
    <n v="0"/>
  </r>
  <r>
    <x v="1"/>
    <x v="6"/>
    <x v="0"/>
    <x v="1"/>
    <x v="3"/>
    <x v="1"/>
    <x v="3"/>
    <n v="0"/>
  </r>
  <r>
    <x v="1"/>
    <x v="6"/>
    <x v="0"/>
    <x v="1"/>
    <x v="3"/>
    <x v="1"/>
    <x v="4"/>
    <n v="0"/>
  </r>
  <r>
    <x v="1"/>
    <x v="6"/>
    <x v="0"/>
    <x v="1"/>
    <x v="3"/>
    <x v="1"/>
    <x v="5"/>
    <n v="0"/>
  </r>
  <r>
    <x v="1"/>
    <x v="6"/>
    <x v="0"/>
    <x v="1"/>
    <x v="3"/>
    <x v="1"/>
    <x v="6"/>
    <n v="0"/>
  </r>
  <r>
    <x v="1"/>
    <x v="6"/>
    <x v="0"/>
    <x v="1"/>
    <x v="4"/>
    <x v="1"/>
    <x v="0"/>
    <n v="0"/>
  </r>
  <r>
    <x v="1"/>
    <x v="6"/>
    <x v="0"/>
    <x v="1"/>
    <x v="4"/>
    <x v="1"/>
    <x v="1"/>
    <n v="0"/>
  </r>
  <r>
    <x v="1"/>
    <x v="6"/>
    <x v="0"/>
    <x v="1"/>
    <x v="4"/>
    <x v="1"/>
    <x v="2"/>
    <n v="0"/>
  </r>
  <r>
    <x v="1"/>
    <x v="6"/>
    <x v="0"/>
    <x v="1"/>
    <x v="4"/>
    <x v="1"/>
    <x v="3"/>
    <n v="0"/>
  </r>
  <r>
    <x v="1"/>
    <x v="6"/>
    <x v="0"/>
    <x v="1"/>
    <x v="4"/>
    <x v="1"/>
    <x v="4"/>
    <n v="0"/>
  </r>
  <r>
    <x v="1"/>
    <x v="6"/>
    <x v="0"/>
    <x v="1"/>
    <x v="4"/>
    <x v="1"/>
    <x v="5"/>
    <n v="0"/>
  </r>
  <r>
    <x v="1"/>
    <x v="6"/>
    <x v="0"/>
    <x v="1"/>
    <x v="4"/>
    <x v="1"/>
    <x v="6"/>
    <n v="0"/>
  </r>
  <r>
    <x v="1"/>
    <x v="6"/>
    <x v="0"/>
    <x v="1"/>
    <x v="5"/>
    <x v="1"/>
    <x v="0"/>
    <n v="0"/>
  </r>
  <r>
    <x v="1"/>
    <x v="6"/>
    <x v="0"/>
    <x v="1"/>
    <x v="5"/>
    <x v="1"/>
    <x v="1"/>
    <n v="0"/>
  </r>
  <r>
    <x v="1"/>
    <x v="6"/>
    <x v="0"/>
    <x v="1"/>
    <x v="5"/>
    <x v="1"/>
    <x v="2"/>
    <n v="0"/>
  </r>
  <r>
    <x v="1"/>
    <x v="6"/>
    <x v="0"/>
    <x v="1"/>
    <x v="5"/>
    <x v="1"/>
    <x v="3"/>
    <n v="0"/>
  </r>
  <r>
    <x v="1"/>
    <x v="6"/>
    <x v="0"/>
    <x v="1"/>
    <x v="5"/>
    <x v="1"/>
    <x v="4"/>
    <n v="0"/>
  </r>
  <r>
    <x v="1"/>
    <x v="6"/>
    <x v="0"/>
    <x v="1"/>
    <x v="5"/>
    <x v="1"/>
    <x v="5"/>
    <n v="0"/>
  </r>
  <r>
    <x v="1"/>
    <x v="6"/>
    <x v="0"/>
    <x v="1"/>
    <x v="5"/>
    <x v="1"/>
    <x v="6"/>
    <n v="0"/>
  </r>
  <r>
    <x v="1"/>
    <x v="6"/>
    <x v="0"/>
    <x v="1"/>
    <x v="6"/>
    <x v="1"/>
    <x v="0"/>
    <n v="0"/>
  </r>
  <r>
    <x v="1"/>
    <x v="6"/>
    <x v="0"/>
    <x v="1"/>
    <x v="6"/>
    <x v="1"/>
    <x v="1"/>
    <n v="0"/>
  </r>
  <r>
    <x v="1"/>
    <x v="6"/>
    <x v="0"/>
    <x v="1"/>
    <x v="6"/>
    <x v="1"/>
    <x v="2"/>
    <n v="0"/>
  </r>
  <r>
    <x v="1"/>
    <x v="6"/>
    <x v="0"/>
    <x v="1"/>
    <x v="6"/>
    <x v="1"/>
    <x v="3"/>
    <n v="0"/>
  </r>
  <r>
    <x v="1"/>
    <x v="6"/>
    <x v="0"/>
    <x v="1"/>
    <x v="6"/>
    <x v="1"/>
    <x v="4"/>
    <n v="0"/>
  </r>
  <r>
    <x v="1"/>
    <x v="6"/>
    <x v="0"/>
    <x v="1"/>
    <x v="6"/>
    <x v="1"/>
    <x v="5"/>
    <n v="0"/>
  </r>
  <r>
    <x v="1"/>
    <x v="6"/>
    <x v="0"/>
    <x v="1"/>
    <x v="6"/>
    <x v="1"/>
    <x v="6"/>
    <n v="0"/>
  </r>
  <r>
    <x v="1"/>
    <x v="6"/>
    <x v="0"/>
    <x v="1"/>
    <x v="7"/>
    <x v="1"/>
    <x v="0"/>
    <n v="0"/>
  </r>
  <r>
    <x v="1"/>
    <x v="6"/>
    <x v="0"/>
    <x v="1"/>
    <x v="7"/>
    <x v="1"/>
    <x v="1"/>
    <n v="0"/>
  </r>
  <r>
    <x v="1"/>
    <x v="6"/>
    <x v="0"/>
    <x v="1"/>
    <x v="7"/>
    <x v="1"/>
    <x v="2"/>
    <n v="0"/>
  </r>
  <r>
    <x v="1"/>
    <x v="6"/>
    <x v="0"/>
    <x v="1"/>
    <x v="7"/>
    <x v="1"/>
    <x v="3"/>
    <n v="0"/>
  </r>
  <r>
    <x v="1"/>
    <x v="6"/>
    <x v="0"/>
    <x v="1"/>
    <x v="7"/>
    <x v="1"/>
    <x v="4"/>
    <n v="0"/>
  </r>
  <r>
    <x v="1"/>
    <x v="6"/>
    <x v="0"/>
    <x v="1"/>
    <x v="7"/>
    <x v="1"/>
    <x v="5"/>
    <n v="0"/>
  </r>
  <r>
    <x v="1"/>
    <x v="6"/>
    <x v="0"/>
    <x v="1"/>
    <x v="7"/>
    <x v="1"/>
    <x v="6"/>
    <n v="0"/>
  </r>
  <r>
    <x v="1"/>
    <x v="6"/>
    <x v="0"/>
    <x v="1"/>
    <x v="8"/>
    <x v="1"/>
    <x v="0"/>
    <n v="0"/>
  </r>
  <r>
    <x v="1"/>
    <x v="6"/>
    <x v="0"/>
    <x v="1"/>
    <x v="8"/>
    <x v="1"/>
    <x v="1"/>
    <n v="0"/>
  </r>
  <r>
    <x v="1"/>
    <x v="6"/>
    <x v="0"/>
    <x v="1"/>
    <x v="8"/>
    <x v="1"/>
    <x v="2"/>
    <n v="0"/>
  </r>
  <r>
    <x v="1"/>
    <x v="6"/>
    <x v="0"/>
    <x v="1"/>
    <x v="8"/>
    <x v="1"/>
    <x v="3"/>
    <n v="0"/>
  </r>
  <r>
    <x v="1"/>
    <x v="6"/>
    <x v="0"/>
    <x v="1"/>
    <x v="8"/>
    <x v="1"/>
    <x v="4"/>
    <n v="0"/>
  </r>
  <r>
    <x v="1"/>
    <x v="6"/>
    <x v="0"/>
    <x v="1"/>
    <x v="8"/>
    <x v="1"/>
    <x v="5"/>
    <n v="0"/>
  </r>
  <r>
    <x v="1"/>
    <x v="6"/>
    <x v="0"/>
    <x v="1"/>
    <x v="8"/>
    <x v="1"/>
    <x v="6"/>
    <n v="0"/>
  </r>
  <r>
    <x v="1"/>
    <x v="6"/>
    <x v="0"/>
    <x v="1"/>
    <x v="9"/>
    <x v="1"/>
    <x v="0"/>
    <n v="0"/>
  </r>
  <r>
    <x v="1"/>
    <x v="6"/>
    <x v="0"/>
    <x v="1"/>
    <x v="9"/>
    <x v="1"/>
    <x v="1"/>
    <n v="0"/>
  </r>
  <r>
    <x v="1"/>
    <x v="6"/>
    <x v="0"/>
    <x v="1"/>
    <x v="9"/>
    <x v="1"/>
    <x v="2"/>
    <n v="0"/>
  </r>
  <r>
    <x v="1"/>
    <x v="6"/>
    <x v="0"/>
    <x v="1"/>
    <x v="9"/>
    <x v="1"/>
    <x v="3"/>
    <n v="0"/>
  </r>
  <r>
    <x v="1"/>
    <x v="6"/>
    <x v="0"/>
    <x v="1"/>
    <x v="9"/>
    <x v="1"/>
    <x v="4"/>
    <n v="0"/>
  </r>
  <r>
    <x v="1"/>
    <x v="6"/>
    <x v="0"/>
    <x v="1"/>
    <x v="9"/>
    <x v="1"/>
    <x v="5"/>
    <n v="0"/>
  </r>
  <r>
    <x v="1"/>
    <x v="6"/>
    <x v="0"/>
    <x v="1"/>
    <x v="9"/>
    <x v="1"/>
    <x v="6"/>
    <n v="0"/>
  </r>
  <r>
    <x v="1"/>
    <x v="6"/>
    <x v="0"/>
    <x v="1"/>
    <x v="10"/>
    <x v="1"/>
    <x v="0"/>
    <n v="0"/>
  </r>
  <r>
    <x v="1"/>
    <x v="6"/>
    <x v="0"/>
    <x v="1"/>
    <x v="10"/>
    <x v="1"/>
    <x v="1"/>
    <n v="0"/>
  </r>
  <r>
    <x v="1"/>
    <x v="6"/>
    <x v="0"/>
    <x v="1"/>
    <x v="10"/>
    <x v="1"/>
    <x v="2"/>
    <n v="0"/>
  </r>
  <r>
    <x v="1"/>
    <x v="6"/>
    <x v="0"/>
    <x v="1"/>
    <x v="10"/>
    <x v="1"/>
    <x v="3"/>
    <n v="0"/>
  </r>
  <r>
    <x v="1"/>
    <x v="6"/>
    <x v="0"/>
    <x v="1"/>
    <x v="10"/>
    <x v="1"/>
    <x v="4"/>
    <n v="0"/>
  </r>
  <r>
    <x v="1"/>
    <x v="6"/>
    <x v="0"/>
    <x v="1"/>
    <x v="10"/>
    <x v="1"/>
    <x v="5"/>
    <n v="0"/>
  </r>
  <r>
    <x v="1"/>
    <x v="6"/>
    <x v="0"/>
    <x v="1"/>
    <x v="10"/>
    <x v="1"/>
    <x v="6"/>
    <n v="0"/>
  </r>
  <r>
    <x v="1"/>
    <x v="6"/>
    <x v="0"/>
    <x v="0"/>
    <x v="11"/>
    <x v="1"/>
    <x v="0"/>
    <n v="0"/>
  </r>
  <r>
    <x v="1"/>
    <x v="6"/>
    <x v="0"/>
    <x v="0"/>
    <x v="11"/>
    <x v="1"/>
    <x v="1"/>
    <n v="0"/>
  </r>
  <r>
    <x v="1"/>
    <x v="6"/>
    <x v="0"/>
    <x v="0"/>
    <x v="11"/>
    <x v="1"/>
    <x v="2"/>
    <n v="0"/>
  </r>
  <r>
    <x v="1"/>
    <x v="6"/>
    <x v="0"/>
    <x v="0"/>
    <x v="11"/>
    <x v="1"/>
    <x v="3"/>
    <n v="0"/>
  </r>
  <r>
    <x v="1"/>
    <x v="6"/>
    <x v="0"/>
    <x v="0"/>
    <x v="11"/>
    <x v="1"/>
    <x v="4"/>
    <n v="0"/>
  </r>
  <r>
    <x v="1"/>
    <x v="6"/>
    <x v="0"/>
    <x v="0"/>
    <x v="11"/>
    <x v="1"/>
    <x v="5"/>
    <n v="0"/>
  </r>
  <r>
    <x v="1"/>
    <x v="6"/>
    <x v="0"/>
    <x v="0"/>
    <x v="11"/>
    <x v="1"/>
    <x v="6"/>
    <n v="0"/>
  </r>
  <r>
    <x v="1"/>
    <x v="6"/>
    <x v="0"/>
    <x v="0"/>
    <x v="12"/>
    <x v="1"/>
    <x v="0"/>
    <n v="0"/>
  </r>
  <r>
    <x v="1"/>
    <x v="6"/>
    <x v="0"/>
    <x v="0"/>
    <x v="12"/>
    <x v="1"/>
    <x v="1"/>
    <n v="0"/>
  </r>
  <r>
    <x v="1"/>
    <x v="6"/>
    <x v="0"/>
    <x v="0"/>
    <x v="12"/>
    <x v="1"/>
    <x v="2"/>
    <n v="0"/>
  </r>
  <r>
    <x v="1"/>
    <x v="6"/>
    <x v="0"/>
    <x v="0"/>
    <x v="12"/>
    <x v="1"/>
    <x v="3"/>
    <n v="0"/>
  </r>
  <r>
    <x v="1"/>
    <x v="6"/>
    <x v="0"/>
    <x v="0"/>
    <x v="12"/>
    <x v="1"/>
    <x v="4"/>
    <n v="0"/>
  </r>
  <r>
    <x v="1"/>
    <x v="6"/>
    <x v="0"/>
    <x v="0"/>
    <x v="12"/>
    <x v="1"/>
    <x v="5"/>
    <n v="0"/>
  </r>
  <r>
    <x v="1"/>
    <x v="6"/>
    <x v="0"/>
    <x v="0"/>
    <x v="12"/>
    <x v="1"/>
    <x v="6"/>
    <n v="0"/>
  </r>
  <r>
    <x v="1"/>
    <x v="6"/>
    <x v="0"/>
    <x v="0"/>
    <x v="13"/>
    <x v="1"/>
    <x v="0"/>
    <n v="0"/>
  </r>
  <r>
    <x v="1"/>
    <x v="6"/>
    <x v="0"/>
    <x v="0"/>
    <x v="13"/>
    <x v="1"/>
    <x v="1"/>
    <n v="0"/>
  </r>
  <r>
    <x v="1"/>
    <x v="6"/>
    <x v="0"/>
    <x v="0"/>
    <x v="13"/>
    <x v="1"/>
    <x v="2"/>
    <n v="0"/>
  </r>
  <r>
    <x v="1"/>
    <x v="6"/>
    <x v="0"/>
    <x v="0"/>
    <x v="13"/>
    <x v="1"/>
    <x v="3"/>
    <n v="0"/>
  </r>
  <r>
    <x v="1"/>
    <x v="6"/>
    <x v="0"/>
    <x v="0"/>
    <x v="13"/>
    <x v="1"/>
    <x v="4"/>
    <n v="0"/>
  </r>
  <r>
    <x v="1"/>
    <x v="6"/>
    <x v="0"/>
    <x v="0"/>
    <x v="13"/>
    <x v="1"/>
    <x v="5"/>
    <n v="0"/>
  </r>
  <r>
    <x v="1"/>
    <x v="6"/>
    <x v="0"/>
    <x v="0"/>
    <x v="13"/>
    <x v="1"/>
    <x v="6"/>
    <n v="0"/>
  </r>
  <r>
    <x v="1"/>
    <x v="6"/>
    <x v="0"/>
    <x v="2"/>
    <x v="14"/>
    <x v="1"/>
    <x v="0"/>
    <n v="0"/>
  </r>
  <r>
    <x v="1"/>
    <x v="6"/>
    <x v="0"/>
    <x v="2"/>
    <x v="14"/>
    <x v="1"/>
    <x v="1"/>
    <n v="0"/>
  </r>
  <r>
    <x v="1"/>
    <x v="6"/>
    <x v="0"/>
    <x v="2"/>
    <x v="14"/>
    <x v="1"/>
    <x v="2"/>
    <n v="0"/>
  </r>
  <r>
    <x v="1"/>
    <x v="6"/>
    <x v="0"/>
    <x v="2"/>
    <x v="14"/>
    <x v="1"/>
    <x v="3"/>
    <n v="0"/>
  </r>
  <r>
    <x v="1"/>
    <x v="6"/>
    <x v="0"/>
    <x v="2"/>
    <x v="14"/>
    <x v="1"/>
    <x v="4"/>
    <n v="0"/>
  </r>
  <r>
    <x v="1"/>
    <x v="6"/>
    <x v="0"/>
    <x v="2"/>
    <x v="14"/>
    <x v="1"/>
    <x v="5"/>
    <n v="0"/>
  </r>
  <r>
    <x v="1"/>
    <x v="6"/>
    <x v="0"/>
    <x v="2"/>
    <x v="14"/>
    <x v="1"/>
    <x v="6"/>
    <n v="0"/>
  </r>
  <r>
    <x v="1"/>
    <x v="6"/>
    <x v="0"/>
    <x v="2"/>
    <x v="15"/>
    <x v="1"/>
    <x v="0"/>
    <n v="0"/>
  </r>
  <r>
    <x v="1"/>
    <x v="6"/>
    <x v="0"/>
    <x v="2"/>
    <x v="15"/>
    <x v="1"/>
    <x v="1"/>
    <n v="0"/>
  </r>
  <r>
    <x v="1"/>
    <x v="6"/>
    <x v="0"/>
    <x v="2"/>
    <x v="15"/>
    <x v="1"/>
    <x v="2"/>
    <n v="0"/>
  </r>
  <r>
    <x v="1"/>
    <x v="6"/>
    <x v="0"/>
    <x v="2"/>
    <x v="15"/>
    <x v="1"/>
    <x v="3"/>
    <n v="0"/>
  </r>
  <r>
    <x v="1"/>
    <x v="6"/>
    <x v="0"/>
    <x v="2"/>
    <x v="15"/>
    <x v="1"/>
    <x v="4"/>
    <n v="0"/>
  </r>
  <r>
    <x v="1"/>
    <x v="6"/>
    <x v="0"/>
    <x v="2"/>
    <x v="15"/>
    <x v="1"/>
    <x v="5"/>
    <n v="0"/>
  </r>
  <r>
    <x v="1"/>
    <x v="6"/>
    <x v="0"/>
    <x v="2"/>
    <x v="15"/>
    <x v="1"/>
    <x v="6"/>
    <n v="0"/>
  </r>
  <r>
    <x v="1"/>
    <x v="6"/>
    <x v="0"/>
    <x v="2"/>
    <x v="16"/>
    <x v="1"/>
    <x v="0"/>
    <n v="0"/>
  </r>
  <r>
    <x v="1"/>
    <x v="6"/>
    <x v="0"/>
    <x v="2"/>
    <x v="16"/>
    <x v="1"/>
    <x v="1"/>
    <n v="0"/>
  </r>
  <r>
    <x v="1"/>
    <x v="6"/>
    <x v="0"/>
    <x v="2"/>
    <x v="16"/>
    <x v="1"/>
    <x v="2"/>
    <n v="0"/>
  </r>
  <r>
    <x v="1"/>
    <x v="6"/>
    <x v="0"/>
    <x v="2"/>
    <x v="16"/>
    <x v="1"/>
    <x v="3"/>
    <n v="0"/>
  </r>
  <r>
    <x v="1"/>
    <x v="6"/>
    <x v="0"/>
    <x v="2"/>
    <x v="16"/>
    <x v="1"/>
    <x v="4"/>
    <n v="0"/>
  </r>
  <r>
    <x v="1"/>
    <x v="6"/>
    <x v="0"/>
    <x v="2"/>
    <x v="16"/>
    <x v="1"/>
    <x v="5"/>
    <n v="0"/>
  </r>
  <r>
    <x v="1"/>
    <x v="6"/>
    <x v="0"/>
    <x v="2"/>
    <x v="16"/>
    <x v="1"/>
    <x v="6"/>
    <n v="0"/>
  </r>
  <r>
    <x v="1"/>
    <x v="6"/>
    <x v="0"/>
    <x v="0"/>
    <x v="17"/>
    <x v="1"/>
    <x v="0"/>
    <n v="0"/>
  </r>
  <r>
    <x v="1"/>
    <x v="6"/>
    <x v="0"/>
    <x v="0"/>
    <x v="17"/>
    <x v="1"/>
    <x v="1"/>
    <n v="0"/>
  </r>
  <r>
    <x v="1"/>
    <x v="6"/>
    <x v="0"/>
    <x v="0"/>
    <x v="17"/>
    <x v="1"/>
    <x v="2"/>
    <n v="0"/>
  </r>
  <r>
    <x v="1"/>
    <x v="6"/>
    <x v="0"/>
    <x v="0"/>
    <x v="17"/>
    <x v="1"/>
    <x v="3"/>
    <n v="0"/>
  </r>
  <r>
    <x v="1"/>
    <x v="6"/>
    <x v="0"/>
    <x v="0"/>
    <x v="17"/>
    <x v="1"/>
    <x v="4"/>
    <n v="0"/>
  </r>
  <r>
    <x v="1"/>
    <x v="6"/>
    <x v="0"/>
    <x v="0"/>
    <x v="17"/>
    <x v="1"/>
    <x v="5"/>
    <n v="0"/>
  </r>
  <r>
    <x v="1"/>
    <x v="6"/>
    <x v="0"/>
    <x v="0"/>
    <x v="17"/>
    <x v="1"/>
    <x v="6"/>
    <n v="0"/>
  </r>
  <r>
    <x v="1"/>
    <x v="6"/>
    <x v="0"/>
    <x v="2"/>
    <x v="18"/>
    <x v="1"/>
    <x v="0"/>
    <n v="0"/>
  </r>
  <r>
    <x v="1"/>
    <x v="6"/>
    <x v="0"/>
    <x v="2"/>
    <x v="18"/>
    <x v="1"/>
    <x v="1"/>
    <n v="0"/>
  </r>
  <r>
    <x v="1"/>
    <x v="6"/>
    <x v="0"/>
    <x v="2"/>
    <x v="18"/>
    <x v="1"/>
    <x v="2"/>
    <n v="0"/>
  </r>
  <r>
    <x v="1"/>
    <x v="6"/>
    <x v="0"/>
    <x v="2"/>
    <x v="18"/>
    <x v="1"/>
    <x v="3"/>
    <n v="0"/>
  </r>
  <r>
    <x v="1"/>
    <x v="6"/>
    <x v="0"/>
    <x v="2"/>
    <x v="18"/>
    <x v="1"/>
    <x v="4"/>
    <n v="0"/>
  </r>
  <r>
    <x v="1"/>
    <x v="6"/>
    <x v="0"/>
    <x v="2"/>
    <x v="18"/>
    <x v="1"/>
    <x v="5"/>
    <n v="0"/>
  </r>
  <r>
    <x v="1"/>
    <x v="6"/>
    <x v="0"/>
    <x v="2"/>
    <x v="18"/>
    <x v="1"/>
    <x v="6"/>
    <n v="0"/>
  </r>
  <r>
    <x v="1"/>
    <x v="6"/>
    <x v="1"/>
    <x v="3"/>
    <x v="19"/>
    <x v="1"/>
    <x v="0"/>
    <n v="0"/>
  </r>
  <r>
    <x v="1"/>
    <x v="6"/>
    <x v="1"/>
    <x v="3"/>
    <x v="19"/>
    <x v="1"/>
    <x v="1"/>
    <n v="0"/>
  </r>
  <r>
    <x v="1"/>
    <x v="6"/>
    <x v="1"/>
    <x v="3"/>
    <x v="19"/>
    <x v="1"/>
    <x v="2"/>
    <n v="0"/>
  </r>
  <r>
    <x v="1"/>
    <x v="6"/>
    <x v="1"/>
    <x v="3"/>
    <x v="19"/>
    <x v="1"/>
    <x v="3"/>
    <n v="0"/>
  </r>
  <r>
    <x v="1"/>
    <x v="6"/>
    <x v="1"/>
    <x v="3"/>
    <x v="19"/>
    <x v="1"/>
    <x v="4"/>
    <n v="0"/>
  </r>
  <r>
    <x v="1"/>
    <x v="6"/>
    <x v="1"/>
    <x v="3"/>
    <x v="19"/>
    <x v="1"/>
    <x v="5"/>
    <n v="0"/>
  </r>
  <r>
    <x v="1"/>
    <x v="6"/>
    <x v="1"/>
    <x v="3"/>
    <x v="19"/>
    <x v="1"/>
    <x v="6"/>
    <n v="0"/>
  </r>
  <r>
    <x v="1"/>
    <x v="6"/>
    <x v="1"/>
    <x v="3"/>
    <x v="20"/>
    <x v="1"/>
    <x v="0"/>
    <n v="0"/>
  </r>
  <r>
    <x v="1"/>
    <x v="6"/>
    <x v="1"/>
    <x v="3"/>
    <x v="20"/>
    <x v="1"/>
    <x v="1"/>
    <n v="0"/>
  </r>
  <r>
    <x v="1"/>
    <x v="6"/>
    <x v="1"/>
    <x v="3"/>
    <x v="20"/>
    <x v="1"/>
    <x v="2"/>
    <n v="0"/>
  </r>
  <r>
    <x v="1"/>
    <x v="6"/>
    <x v="1"/>
    <x v="3"/>
    <x v="20"/>
    <x v="1"/>
    <x v="3"/>
    <n v="0"/>
  </r>
  <r>
    <x v="1"/>
    <x v="6"/>
    <x v="1"/>
    <x v="3"/>
    <x v="20"/>
    <x v="1"/>
    <x v="4"/>
    <n v="0"/>
  </r>
  <r>
    <x v="1"/>
    <x v="6"/>
    <x v="1"/>
    <x v="3"/>
    <x v="20"/>
    <x v="1"/>
    <x v="5"/>
    <n v="0"/>
  </r>
  <r>
    <x v="1"/>
    <x v="6"/>
    <x v="1"/>
    <x v="3"/>
    <x v="20"/>
    <x v="1"/>
    <x v="6"/>
    <n v="0"/>
  </r>
  <r>
    <x v="1"/>
    <x v="6"/>
    <x v="1"/>
    <x v="3"/>
    <x v="21"/>
    <x v="1"/>
    <x v="0"/>
    <n v="0"/>
  </r>
  <r>
    <x v="1"/>
    <x v="6"/>
    <x v="1"/>
    <x v="3"/>
    <x v="21"/>
    <x v="1"/>
    <x v="1"/>
    <n v="0"/>
  </r>
  <r>
    <x v="1"/>
    <x v="6"/>
    <x v="1"/>
    <x v="3"/>
    <x v="21"/>
    <x v="1"/>
    <x v="2"/>
    <n v="0"/>
  </r>
  <r>
    <x v="1"/>
    <x v="6"/>
    <x v="1"/>
    <x v="3"/>
    <x v="21"/>
    <x v="1"/>
    <x v="3"/>
    <n v="0"/>
  </r>
  <r>
    <x v="1"/>
    <x v="6"/>
    <x v="1"/>
    <x v="3"/>
    <x v="21"/>
    <x v="1"/>
    <x v="4"/>
    <n v="0"/>
  </r>
  <r>
    <x v="1"/>
    <x v="6"/>
    <x v="1"/>
    <x v="3"/>
    <x v="21"/>
    <x v="1"/>
    <x v="5"/>
    <n v="0"/>
  </r>
  <r>
    <x v="1"/>
    <x v="6"/>
    <x v="1"/>
    <x v="3"/>
    <x v="21"/>
    <x v="1"/>
    <x v="6"/>
    <n v="0"/>
  </r>
  <r>
    <x v="1"/>
    <x v="6"/>
    <x v="1"/>
    <x v="3"/>
    <x v="22"/>
    <x v="1"/>
    <x v="0"/>
    <n v="0"/>
  </r>
  <r>
    <x v="1"/>
    <x v="6"/>
    <x v="1"/>
    <x v="3"/>
    <x v="22"/>
    <x v="1"/>
    <x v="1"/>
    <n v="0"/>
  </r>
  <r>
    <x v="1"/>
    <x v="6"/>
    <x v="1"/>
    <x v="3"/>
    <x v="22"/>
    <x v="1"/>
    <x v="2"/>
    <n v="0"/>
  </r>
  <r>
    <x v="1"/>
    <x v="6"/>
    <x v="1"/>
    <x v="3"/>
    <x v="22"/>
    <x v="1"/>
    <x v="3"/>
    <n v="0"/>
  </r>
  <r>
    <x v="1"/>
    <x v="6"/>
    <x v="1"/>
    <x v="3"/>
    <x v="22"/>
    <x v="1"/>
    <x v="4"/>
    <n v="0"/>
  </r>
  <r>
    <x v="1"/>
    <x v="6"/>
    <x v="1"/>
    <x v="3"/>
    <x v="22"/>
    <x v="1"/>
    <x v="5"/>
    <n v="0"/>
  </r>
  <r>
    <x v="1"/>
    <x v="6"/>
    <x v="1"/>
    <x v="3"/>
    <x v="22"/>
    <x v="1"/>
    <x v="6"/>
    <n v="0"/>
  </r>
  <r>
    <x v="1"/>
    <x v="6"/>
    <x v="1"/>
    <x v="3"/>
    <x v="23"/>
    <x v="1"/>
    <x v="0"/>
    <n v="0"/>
  </r>
  <r>
    <x v="1"/>
    <x v="6"/>
    <x v="1"/>
    <x v="3"/>
    <x v="23"/>
    <x v="1"/>
    <x v="1"/>
    <n v="0"/>
  </r>
  <r>
    <x v="1"/>
    <x v="6"/>
    <x v="1"/>
    <x v="3"/>
    <x v="23"/>
    <x v="1"/>
    <x v="2"/>
    <n v="0"/>
  </r>
  <r>
    <x v="1"/>
    <x v="6"/>
    <x v="1"/>
    <x v="3"/>
    <x v="23"/>
    <x v="1"/>
    <x v="3"/>
    <n v="0"/>
  </r>
  <r>
    <x v="1"/>
    <x v="6"/>
    <x v="1"/>
    <x v="3"/>
    <x v="23"/>
    <x v="1"/>
    <x v="4"/>
    <n v="0"/>
  </r>
  <r>
    <x v="1"/>
    <x v="6"/>
    <x v="1"/>
    <x v="3"/>
    <x v="23"/>
    <x v="1"/>
    <x v="5"/>
    <n v="0"/>
  </r>
  <r>
    <x v="1"/>
    <x v="6"/>
    <x v="1"/>
    <x v="3"/>
    <x v="23"/>
    <x v="1"/>
    <x v="6"/>
    <n v="0"/>
  </r>
  <r>
    <x v="1"/>
    <x v="6"/>
    <x v="1"/>
    <x v="3"/>
    <x v="24"/>
    <x v="1"/>
    <x v="0"/>
    <n v="0"/>
  </r>
  <r>
    <x v="1"/>
    <x v="6"/>
    <x v="1"/>
    <x v="3"/>
    <x v="24"/>
    <x v="1"/>
    <x v="1"/>
    <n v="0"/>
  </r>
  <r>
    <x v="1"/>
    <x v="6"/>
    <x v="1"/>
    <x v="3"/>
    <x v="24"/>
    <x v="1"/>
    <x v="2"/>
    <n v="0"/>
  </r>
  <r>
    <x v="1"/>
    <x v="6"/>
    <x v="1"/>
    <x v="3"/>
    <x v="24"/>
    <x v="1"/>
    <x v="3"/>
    <n v="0"/>
  </r>
  <r>
    <x v="1"/>
    <x v="6"/>
    <x v="1"/>
    <x v="3"/>
    <x v="24"/>
    <x v="1"/>
    <x v="4"/>
    <n v="0"/>
  </r>
  <r>
    <x v="1"/>
    <x v="6"/>
    <x v="1"/>
    <x v="3"/>
    <x v="24"/>
    <x v="1"/>
    <x v="5"/>
    <n v="0"/>
  </r>
  <r>
    <x v="1"/>
    <x v="6"/>
    <x v="1"/>
    <x v="3"/>
    <x v="24"/>
    <x v="1"/>
    <x v="6"/>
    <n v="0"/>
  </r>
  <r>
    <x v="1"/>
    <x v="6"/>
    <x v="1"/>
    <x v="3"/>
    <x v="25"/>
    <x v="1"/>
    <x v="0"/>
    <n v="0"/>
  </r>
  <r>
    <x v="1"/>
    <x v="6"/>
    <x v="1"/>
    <x v="3"/>
    <x v="25"/>
    <x v="1"/>
    <x v="1"/>
    <n v="0"/>
  </r>
  <r>
    <x v="1"/>
    <x v="6"/>
    <x v="1"/>
    <x v="3"/>
    <x v="25"/>
    <x v="1"/>
    <x v="2"/>
    <n v="0"/>
  </r>
  <r>
    <x v="1"/>
    <x v="6"/>
    <x v="1"/>
    <x v="3"/>
    <x v="25"/>
    <x v="1"/>
    <x v="3"/>
    <n v="0"/>
  </r>
  <r>
    <x v="1"/>
    <x v="6"/>
    <x v="1"/>
    <x v="3"/>
    <x v="25"/>
    <x v="1"/>
    <x v="4"/>
    <n v="0"/>
  </r>
  <r>
    <x v="1"/>
    <x v="6"/>
    <x v="1"/>
    <x v="3"/>
    <x v="25"/>
    <x v="1"/>
    <x v="5"/>
    <n v="0"/>
  </r>
  <r>
    <x v="1"/>
    <x v="6"/>
    <x v="1"/>
    <x v="3"/>
    <x v="25"/>
    <x v="1"/>
    <x v="6"/>
    <n v="0"/>
  </r>
  <r>
    <x v="1"/>
    <x v="6"/>
    <x v="2"/>
    <x v="4"/>
    <x v="26"/>
    <x v="1"/>
    <x v="0"/>
    <n v="0"/>
  </r>
  <r>
    <x v="1"/>
    <x v="6"/>
    <x v="2"/>
    <x v="4"/>
    <x v="26"/>
    <x v="1"/>
    <x v="1"/>
    <n v="0"/>
  </r>
  <r>
    <x v="1"/>
    <x v="6"/>
    <x v="2"/>
    <x v="4"/>
    <x v="26"/>
    <x v="1"/>
    <x v="2"/>
    <n v="0"/>
  </r>
  <r>
    <x v="1"/>
    <x v="6"/>
    <x v="2"/>
    <x v="4"/>
    <x v="26"/>
    <x v="1"/>
    <x v="3"/>
    <n v="0"/>
  </r>
  <r>
    <x v="1"/>
    <x v="6"/>
    <x v="2"/>
    <x v="4"/>
    <x v="26"/>
    <x v="1"/>
    <x v="4"/>
    <n v="0"/>
  </r>
  <r>
    <x v="1"/>
    <x v="6"/>
    <x v="2"/>
    <x v="4"/>
    <x v="26"/>
    <x v="1"/>
    <x v="5"/>
    <n v="0"/>
  </r>
  <r>
    <x v="1"/>
    <x v="6"/>
    <x v="2"/>
    <x v="4"/>
    <x v="26"/>
    <x v="1"/>
    <x v="6"/>
    <n v="0"/>
  </r>
  <r>
    <x v="1"/>
    <x v="6"/>
    <x v="2"/>
    <x v="4"/>
    <x v="27"/>
    <x v="1"/>
    <x v="0"/>
    <n v="0"/>
  </r>
  <r>
    <x v="1"/>
    <x v="6"/>
    <x v="2"/>
    <x v="4"/>
    <x v="27"/>
    <x v="1"/>
    <x v="1"/>
    <n v="0"/>
  </r>
  <r>
    <x v="1"/>
    <x v="6"/>
    <x v="2"/>
    <x v="4"/>
    <x v="27"/>
    <x v="1"/>
    <x v="2"/>
    <n v="0"/>
  </r>
  <r>
    <x v="1"/>
    <x v="6"/>
    <x v="2"/>
    <x v="4"/>
    <x v="27"/>
    <x v="1"/>
    <x v="3"/>
    <n v="0"/>
  </r>
  <r>
    <x v="1"/>
    <x v="6"/>
    <x v="2"/>
    <x v="4"/>
    <x v="27"/>
    <x v="1"/>
    <x v="4"/>
    <n v="0"/>
  </r>
  <r>
    <x v="1"/>
    <x v="6"/>
    <x v="2"/>
    <x v="4"/>
    <x v="27"/>
    <x v="1"/>
    <x v="5"/>
    <n v="0"/>
  </r>
  <r>
    <x v="1"/>
    <x v="6"/>
    <x v="2"/>
    <x v="4"/>
    <x v="27"/>
    <x v="1"/>
    <x v="6"/>
    <n v="0"/>
  </r>
  <r>
    <x v="1"/>
    <x v="6"/>
    <x v="2"/>
    <x v="4"/>
    <x v="28"/>
    <x v="1"/>
    <x v="0"/>
    <n v="0"/>
  </r>
  <r>
    <x v="1"/>
    <x v="6"/>
    <x v="2"/>
    <x v="4"/>
    <x v="28"/>
    <x v="1"/>
    <x v="1"/>
    <n v="0"/>
  </r>
  <r>
    <x v="1"/>
    <x v="6"/>
    <x v="2"/>
    <x v="4"/>
    <x v="28"/>
    <x v="1"/>
    <x v="2"/>
    <n v="0"/>
  </r>
  <r>
    <x v="1"/>
    <x v="6"/>
    <x v="2"/>
    <x v="4"/>
    <x v="28"/>
    <x v="1"/>
    <x v="3"/>
    <n v="0"/>
  </r>
  <r>
    <x v="1"/>
    <x v="6"/>
    <x v="2"/>
    <x v="4"/>
    <x v="28"/>
    <x v="1"/>
    <x v="4"/>
    <n v="0"/>
  </r>
  <r>
    <x v="1"/>
    <x v="6"/>
    <x v="2"/>
    <x v="4"/>
    <x v="28"/>
    <x v="1"/>
    <x v="5"/>
    <n v="0"/>
  </r>
  <r>
    <x v="1"/>
    <x v="6"/>
    <x v="2"/>
    <x v="4"/>
    <x v="28"/>
    <x v="1"/>
    <x v="6"/>
    <n v="0"/>
  </r>
  <r>
    <x v="1"/>
    <x v="6"/>
    <x v="2"/>
    <x v="4"/>
    <x v="29"/>
    <x v="1"/>
    <x v="0"/>
    <n v="0"/>
  </r>
  <r>
    <x v="1"/>
    <x v="6"/>
    <x v="2"/>
    <x v="4"/>
    <x v="29"/>
    <x v="1"/>
    <x v="1"/>
    <n v="0"/>
  </r>
  <r>
    <x v="1"/>
    <x v="6"/>
    <x v="2"/>
    <x v="4"/>
    <x v="29"/>
    <x v="1"/>
    <x v="2"/>
    <n v="0"/>
  </r>
  <r>
    <x v="1"/>
    <x v="6"/>
    <x v="2"/>
    <x v="4"/>
    <x v="29"/>
    <x v="1"/>
    <x v="3"/>
    <n v="0"/>
  </r>
  <r>
    <x v="1"/>
    <x v="6"/>
    <x v="2"/>
    <x v="4"/>
    <x v="29"/>
    <x v="1"/>
    <x v="4"/>
    <n v="0"/>
  </r>
  <r>
    <x v="1"/>
    <x v="6"/>
    <x v="2"/>
    <x v="4"/>
    <x v="29"/>
    <x v="1"/>
    <x v="5"/>
    <n v="0"/>
  </r>
  <r>
    <x v="1"/>
    <x v="6"/>
    <x v="2"/>
    <x v="4"/>
    <x v="29"/>
    <x v="1"/>
    <x v="6"/>
    <n v="0"/>
  </r>
  <r>
    <x v="1"/>
    <x v="6"/>
    <x v="3"/>
    <x v="5"/>
    <x v="30"/>
    <x v="1"/>
    <x v="0"/>
    <n v="0"/>
  </r>
  <r>
    <x v="1"/>
    <x v="6"/>
    <x v="3"/>
    <x v="5"/>
    <x v="30"/>
    <x v="1"/>
    <x v="1"/>
    <n v="0"/>
  </r>
  <r>
    <x v="1"/>
    <x v="6"/>
    <x v="3"/>
    <x v="5"/>
    <x v="30"/>
    <x v="1"/>
    <x v="2"/>
    <n v="0"/>
  </r>
  <r>
    <x v="1"/>
    <x v="6"/>
    <x v="3"/>
    <x v="5"/>
    <x v="30"/>
    <x v="1"/>
    <x v="3"/>
    <n v="0"/>
  </r>
  <r>
    <x v="1"/>
    <x v="6"/>
    <x v="3"/>
    <x v="5"/>
    <x v="30"/>
    <x v="1"/>
    <x v="4"/>
    <n v="0"/>
  </r>
  <r>
    <x v="1"/>
    <x v="6"/>
    <x v="3"/>
    <x v="5"/>
    <x v="30"/>
    <x v="1"/>
    <x v="5"/>
    <n v="0"/>
  </r>
  <r>
    <x v="1"/>
    <x v="6"/>
    <x v="3"/>
    <x v="5"/>
    <x v="30"/>
    <x v="1"/>
    <x v="6"/>
    <n v="0"/>
  </r>
  <r>
    <x v="1"/>
    <x v="6"/>
    <x v="2"/>
    <x v="4"/>
    <x v="31"/>
    <x v="1"/>
    <x v="0"/>
    <n v="0"/>
  </r>
  <r>
    <x v="1"/>
    <x v="6"/>
    <x v="2"/>
    <x v="4"/>
    <x v="31"/>
    <x v="1"/>
    <x v="1"/>
    <n v="0"/>
  </r>
  <r>
    <x v="1"/>
    <x v="6"/>
    <x v="2"/>
    <x v="4"/>
    <x v="31"/>
    <x v="1"/>
    <x v="2"/>
    <n v="0"/>
  </r>
  <r>
    <x v="1"/>
    <x v="6"/>
    <x v="2"/>
    <x v="4"/>
    <x v="31"/>
    <x v="1"/>
    <x v="3"/>
    <n v="0"/>
  </r>
  <r>
    <x v="1"/>
    <x v="6"/>
    <x v="2"/>
    <x v="4"/>
    <x v="31"/>
    <x v="1"/>
    <x v="4"/>
    <n v="0"/>
  </r>
  <r>
    <x v="1"/>
    <x v="6"/>
    <x v="2"/>
    <x v="4"/>
    <x v="31"/>
    <x v="1"/>
    <x v="5"/>
    <n v="0"/>
  </r>
  <r>
    <x v="1"/>
    <x v="6"/>
    <x v="2"/>
    <x v="4"/>
    <x v="31"/>
    <x v="1"/>
    <x v="6"/>
    <n v="0"/>
  </r>
  <r>
    <x v="1"/>
    <x v="6"/>
    <x v="2"/>
    <x v="4"/>
    <x v="32"/>
    <x v="1"/>
    <x v="0"/>
    <n v="0"/>
  </r>
  <r>
    <x v="1"/>
    <x v="6"/>
    <x v="2"/>
    <x v="4"/>
    <x v="32"/>
    <x v="1"/>
    <x v="1"/>
    <n v="0"/>
  </r>
  <r>
    <x v="1"/>
    <x v="6"/>
    <x v="2"/>
    <x v="4"/>
    <x v="32"/>
    <x v="1"/>
    <x v="2"/>
    <n v="0"/>
  </r>
  <r>
    <x v="1"/>
    <x v="6"/>
    <x v="2"/>
    <x v="4"/>
    <x v="32"/>
    <x v="1"/>
    <x v="3"/>
    <n v="0"/>
  </r>
  <r>
    <x v="1"/>
    <x v="6"/>
    <x v="2"/>
    <x v="4"/>
    <x v="32"/>
    <x v="1"/>
    <x v="4"/>
    <n v="0"/>
  </r>
  <r>
    <x v="1"/>
    <x v="6"/>
    <x v="2"/>
    <x v="4"/>
    <x v="32"/>
    <x v="1"/>
    <x v="5"/>
    <n v="0"/>
  </r>
  <r>
    <x v="1"/>
    <x v="6"/>
    <x v="2"/>
    <x v="4"/>
    <x v="32"/>
    <x v="1"/>
    <x v="6"/>
    <n v="0"/>
  </r>
  <r>
    <x v="1"/>
    <x v="6"/>
    <x v="2"/>
    <x v="4"/>
    <x v="33"/>
    <x v="1"/>
    <x v="0"/>
    <n v="0"/>
  </r>
  <r>
    <x v="1"/>
    <x v="6"/>
    <x v="2"/>
    <x v="4"/>
    <x v="33"/>
    <x v="1"/>
    <x v="1"/>
    <n v="0"/>
  </r>
  <r>
    <x v="1"/>
    <x v="6"/>
    <x v="2"/>
    <x v="4"/>
    <x v="33"/>
    <x v="1"/>
    <x v="2"/>
    <n v="0"/>
  </r>
  <r>
    <x v="1"/>
    <x v="6"/>
    <x v="2"/>
    <x v="4"/>
    <x v="33"/>
    <x v="1"/>
    <x v="3"/>
    <n v="0"/>
  </r>
  <r>
    <x v="1"/>
    <x v="6"/>
    <x v="2"/>
    <x v="4"/>
    <x v="33"/>
    <x v="1"/>
    <x v="4"/>
    <n v="0"/>
  </r>
  <r>
    <x v="1"/>
    <x v="6"/>
    <x v="2"/>
    <x v="4"/>
    <x v="33"/>
    <x v="1"/>
    <x v="5"/>
    <n v="0"/>
  </r>
  <r>
    <x v="1"/>
    <x v="6"/>
    <x v="2"/>
    <x v="4"/>
    <x v="33"/>
    <x v="1"/>
    <x v="6"/>
    <n v="0"/>
  </r>
  <r>
    <x v="1"/>
    <x v="6"/>
    <x v="2"/>
    <x v="4"/>
    <x v="34"/>
    <x v="1"/>
    <x v="0"/>
    <n v="0"/>
  </r>
  <r>
    <x v="1"/>
    <x v="6"/>
    <x v="2"/>
    <x v="4"/>
    <x v="34"/>
    <x v="1"/>
    <x v="1"/>
    <n v="0"/>
  </r>
  <r>
    <x v="1"/>
    <x v="6"/>
    <x v="2"/>
    <x v="4"/>
    <x v="34"/>
    <x v="1"/>
    <x v="2"/>
    <n v="0"/>
  </r>
  <r>
    <x v="1"/>
    <x v="6"/>
    <x v="2"/>
    <x v="4"/>
    <x v="34"/>
    <x v="1"/>
    <x v="3"/>
    <n v="0"/>
  </r>
  <r>
    <x v="1"/>
    <x v="6"/>
    <x v="2"/>
    <x v="4"/>
    <x v="34"/>
    <x v="1"/>
    <x v="4"/>
    <n v="0"/>
  </r>
  <r>
    <x v="1"/>
    <x v="6"/>
    <x v="2"/>
    <x v="4"/>
    <x v="34"/>
    <x v="1"/>
    <x v="5"/>
    <n v="0"/>
  </r>
  <r>
    <x v="1"/>
    <x v="6"/>
    <x v="2"/>
    <x v="4"/>
    <x v="34"/>
    <x v="1"/>
    <x v="6"/>
    <n v="0"/>
  </r>
  <r>
    <x v="1"/>
    <x v="6"/>
    <x v="2"/>
    <x v="6"/>
    <x v="35"/>
    <x v="1"/>
    <x v="0"/>
    <n v="0"/>
  </r>
  <r>
    <x v="1"/>
    <x v="6"/>
    <x v="2"/>
    <x v="6"/>
    <x v="35"/>
    <x v="1"/>
    <x v="1"/>
    <n v="0"/>
  </r>
  <r>
    <x v="1"/>
    <x v="6"/>
    <x v="2"/>
    <x v="6"/>
    <x v="35"/>
    <x v="1"/>
    <x v="2"/>
    <n v="0"/>
  </r>
  <r>
    <x v="1"/>
    <x v="6"/>
    <x v="2"/>
    <x v="6"/>
    <x v="35"/>
    <x v="1"/>
    <x v="3"/>
    <n v="0"/>
  </r>
  <r>
    <x v="1"/>
    <x v="6"/>
    <x v="2"/>
    <x v="6"/>
    <x v="35"/>
    <x v="1"/>
    <x v="4"/>
    <n v="0"/>
  </r>
  <r>
    <x v="1"/>
    <x v="6"/>
    <x v="2"/>
    <x v="6"/>
    <x v="35"/>
    <x v="1"/>
    <x v="5"/>
    <n v="0"/>
  </r>
  <r>
    <x v="1"/>
    <x v="6"/>
    <x v="2"/>
    <x v="6"/>
    <x v="35"/>
    <x v="1"/>
    <x v="6"/>
    <n v="0"/>
  </r>
  <r>
    <x v="1"/>
    <x v="6"/>
    <x v="2"/>
    <x v="6"/>
    <x v="36"/>
    <x v="1"/>
    <x v="0"/>
    <n v="0"/>
  </r>
  <r>
    <x v="1"/>
    <x v="6"/>
    <x v="2"/>
    <x v="6"/>
    <x v="36"/>
    <x v="1"/>
    <x v="1"/>
    <n v="0"/>
  </r>
  <r>
    <x v="1"/>
    <x v="6"/>
    <x v="2"/>
    <x v="6"/>
    <x v="36"/>
    <x v="1"/>
    <x v="2"/>
    <n v="0"/>
  </r>
  <r>
    <x v="1"/>
    <x v="6"/>
    <x v="2"/>
    <x v="6"/>
    <x v="36"/>
    <x v="1"/>
    <x v="3"/>
    <n v="0"/>
  </r>
  <r>
    <x v="1"/>
    <x v="6"/>
    <x v="2"/>
    <x v="6"/>
    <x v="36"/>
    <x v="1"/>
    <x v="4"/>
    <n v="0"/>
  </r>
  <r>
    <x v="1"/>
    <x v="6"/>
    <x v="2"/>
    <x v="6"/>
    <x v="36"/>
    <x v="1"/>
    <x v="5"/>
    <n v="0"/>
  </r>
  <r>
    <x v="1"/>
    <x v="6"/>
    <x v="2"/>
    <x v="6"/>
    <x v="36"/>
    <x v="1"/>
    <x v="6"/>
    <n v="0"/>
  </r>
  <r>
    <x v="1"/>
    <x v="6"/>
    <x v="2"/>
    <x v="6"/>
    <x v="37"/>
    <x v="1"/>
    <x v="0"/>
    <n v="0"/>
  </r>
  <r>
    <x v="1"/>
    <x v="6"/>
    <x v="2"/>
    <x v="6"/>
    <x v="37"/>
    <x v="1"/>
    <x v="1"/>
    <n v="0"/>
  </r>
  <r>
    <x v="1"/>
    <x v="6"/>
    <x v="2"/>
    <x v="6"/>
    <x v="37"/>
    <x v="1"/>
    <x v="2"/>
    <n v="0"/>
  </r>
  <r>
    <x v="1"/>
    <x v="6"/>
    <x v="2"/>
    <x v="6"/>
    <x v="37"/>
    <x v="1"/>
    <x v="3"/>
    <n v="0"/>
  </r>
  <r>
    <x v="1"/>
    <x v="6"/>
    <x v="2"/>
    <x v="6"/>
    <x v="37"/>
    <x v="1"/>
    <x v="4"/>
    <n v="0"/>
  </r>
  <r>
    <x v="1"/>
    <x v="6"/>
    <x v="2"/>
    <x v="6"/>
    <x v="37"/>
    <x v="1"/>
    <x v="5"/>
    <n v="0"/>
  </r>
  <r>
    <x v="1"/>
    <x v="6"/>
    <x v="2"/>
    <x v="6"/>
    <x v="37"/>
    <x v="1"/>
    <x v="6"/>
    <n v="0"/>
  </r>
  <r>
    <x v="1"/>
    <x v="6"/>
    <x v="2"/>
    <x v="6"/>
    <x v="38"/>
    <x v="1"/>
    <x v="0"/>
    <n v="0"/>
  </r>
  <r>
    <x v="1"/>
    <x v="6"/>
    <x v="2"/>
    <x v="6"/>
    <x v="38"/>
    <x v="1"/>
    <x v="1"/>
    <n v="0"/>
  </r>
  <r>
    <x v="1"/>
    <x v="6"/>
    <x v="2"/>
    <x v="6"/>
    <x v="38"/>
    <x v="1"/>
    <x v="2"/>
    <n v="0"/>
  </r>
  <r>
    <x v="1"/>
    <x v="6"/>
    <x v="2"/>
    <x v="6"/>
    <x v="38"/>
    <x v="1"/>
    <x v="3"/>
    <n v="0"/>
  </r>
  <r>
    <x v="1"/>
    <x v="6"/>
    <x v="2"/>
    <x v="6"/>
    <x v="38"/>
    <x v="1"/>
    <x v="4"/>
    <n v="0"/>
  </r>
  <r>
    <x v="1"/>
    <x v="6"/>
    <x v="2"/>
    <x v="6"/>
    <x v="38"/>
    <x v="1"/>
    <x v="5"/>
    <n v="0"/>
  </r>
  <r>
    <x v="1"/>
    <x v="6"/>
    <x v="2"/>
    <x v="6"/>
    <x v="38"/>
    <x v="1"/>
    <x v="6"/>
    <n v="0"/>
  </r>
  <r>
    <x v="1"/>
    <x v="6"/>
    <x v="3"/>
    <x v="5"/>
    <x v="39"/>
    <x v="1"/>
    <x v="0"/>
    <n v="0"/>
  </r>
  <r>
    <x v="1"/>
    <x v="6"/>
    <x v="3"/>
    <x v="5"/>
    <x v="39"/>
    <x v="1"/>
    <x v="1"/>
    <n v="0"/>
  </r>
  <r>
    <x v="1"/>
    <x v="6"/>
    <x v="3"/>
    <x v="5"/>
    <x v="39"/>
    <x v="1"/>
    <x v="2"/>
    <n v="0"/>
  </r>
  <r>
    <x v="1"/>
    <x v="6"/>
    <x v="3"/>
    <x v="5"/>
    <x v="39"/>
    <x v="1"/>
    <x v="3"/>
    <n v="0"/>
  </r>
  <r>
    <x v="1"/>
    <x v="6"/>
    <x v="3"/>
    <x v="5"/>
    <x v="39"/>
    <x v="1"/>
    <x v="4"/>
    <n v="0"/>
  </r>
  <r>
    <x v="1"/>
    <x v="6"/>
    <x v="3"/>
    <x v="5"/>
    <x v="39"/>
    <x v="1"/>
    <x v="5"/>
    <n v="0"/>
  </r>
  <r>
    <x v="1"/>
    <x v="6"/>
    <x v="3"/>
    <x v="5"/>
    <x v="39"/>
    <x v="1"/>
    <x v="6"/>
    <n v="0"/>
  </r>
  <r>
    <x v="1"/>
    <x v="6"/>
    <x v="2"/>
    <x v="6"/>
    <x v="40"/>
    <x v="1"/>
    <x v="0"/>
    <n v="0"/>
  </r>
  <r>
    <x v="1"/>
    <x v="6"/>
    <x v="2"/>
    <x v="6"/>
    <x v="40"/>
    <x v="1"/>
    <x v="1"/>
    <n v="0"/>
  </r>
  <r>
    <x v="1"/>
    <x v="6"/>
    <x v="2"/>
    <x v="6"/>
    <x v="40"/>
    <x v="1"/>
    <x v="2"/>
    <n v="0"/>
  </r>
  <r>
    <x v="1"/>
    <x v="6"/>
    <x v="2"/>
    <x v="6"/>
    <x v="40"/>
    <x v="1"/>
    <x v="3"/>
    <n v="0"/>
  </r>
  <r>
    <x v="1"/>
    <x v="6"/>
    <x v="2"/>
    <x v="6"/>
    <x v="40"/>
    <x v="1"/>
    <x v="4"/>
    <n v="0"/>
  </r>
  <r>
    <x v="1"/>
    <x v="6"/>
    <x v="2"/>
    <x v="6"/>
    <x v="40"/>
    <x v="1"/>
    <x v="5"/>
    <n v="0"/>
  </r>
  <r>
    <x v="1"/>
    <x v="6"/>
    <x v="2"/>
    <x v="6"/>
    <x v="40"/>
    <x v="1"/>
    <x v="6"/>
    <n v="0"/>
  </r>
  <r>
    <x v="1"/>
    <x v="6"/>
    <x v="2"/>
    <x v="6"/>
    <x v="41"/>
    <x v="1"/>
    <x v="0"/>
    <n v="0"/>
  </r>
  <r>
    <x v="1"/>
    <x v="6"/>
    <x v="2"/>
    <x v="6"/>
    <x v="41"/>
    <x v="1"/>
    <x v="1"/>
    <n v="0"/>
  </r>
  <r>
    <x v="1"/>
    <x v="6"/>
    <x v="2"/>
    <x v="6"/>
    <x v="41"/>
    <x v="1"/>
    <x v="2"/>
    <n v="0"/>
  </r>
  <r>
    <x v="1"/>
    <x v="6"/>
    <x v="2"/>
    <x v="6"/>
    <x v="41"/>
    <x v="1"/>
    <x v="3"/>
    <n v="0"/>
  </r>
  <r>
    <x v="1"/>
    <x v="6"/>
    <x v="2"/>
    <x v="6"/>
    <x v="41"/>
    <x v="1"/>
    <x v="4"/>
    <n v="0"/>
  </r>
  <r>
    <x v="1"/>
    <x v="6"/>
    <x v="2"/>
    <x v="6"/>
    <x v="41"/>
    <x v="1"/>
    <x v="5"/>
    <n v="0"/>
  </r>
  <r>
    <x v="1"/>
    <x v="6"/>
    <x v="2"/>
    <x v="6"/>
    <x v="41"/>
    <x v="1"/>
    <x v="6"/>
    <n v="0"/>
  </r>
  <r>
    <x v="1"/>
    <x v="6"/>
    <x v="2"/>
    <x v="6"/>
    <x v="42"/>
    <x v="1"/>
    <x v="0"/>
    <n v="0"/>
  </r>
  <r>
    <x v="1"/>
    <x v="6"/>
    <x v="2"/>
    <x v="6"/>
    <x v="42"/>
    <x v="1"/>
    <x v="1"/>
    <n v="0"/>
  </r>
  <r>
    <x v="1"/>
    <x v="6"/>
    <x v="2"/>
    <x v="6"/>
    <x v="42"/>
    <x v="1"/>
    <x v="2"/>
    <n v="0"/>
  </r>
  <r>
    <x v="1"/>
    <x v="6"/>
    <x v="2"/>
    <x v="6"/>
    <x v="42"/>
    <x v="1"/>
    <x v="3"/>
    <n v="0"/>
  </r>
  <r>
    <x v="1"/>
    <x v="6"/>
    <x v="2"/>
    <x v="6"/>
    <x v="42"/>
    <x v="1"/>
    <x v="4"/>
    <n v="0"/>
  </r>
  <r>
    <x v="1"/>
    <x v="6"/>
    <x v="2"/>
    <x v="6"/>
    <x v="42"/>
    <x v="1"/>
    <x v="5"/>
    <n v="0"/>
  </r>
  <r>
    <x v="1"/>
    <x v="6"/>
    <x v="2"/>
    <x v="6"/>
    <x v="42"/>
    <x v="1"/>
    <x v="6"/>
    <n v="0"/>
  </r>
  <r>
    <x v="1"/>
    <x v="6"/>
    <x v="2"/>
    <x v="6"/>
    <x v="43"/>
    <x v="1"/>
    <x v="0"/>
    <n v="0"/>
  </r>
  <r>
    <x v="1"/>
    <x v="6"/>
    <x v="2"/>
    <x v="6"/>
    <x v="43"/>
    <x v="1"/>
    <x v="1"/>
    <n v="0"/>
  </r>
  <r>
    <x v="1"/>
    <x v="6"/>
    <x v="2"/>
    <x v="6"/>
    <x v="43"/>
    <x v="1"/>
    <x v="2"/>
    <n v="0"/>
  </r>
  <r>
    <x v="1"/>
    <x v="6"/>
    <x v="2"/>
    <x v="6"/>
    <x v="43"/>
    <x v="1"/>
    <x v="3"/>
    <n v="0"/>
  </r>
  <r>
    <x v="1"/>
    <x v="6"/>
    <x v="2"/>
    <x v="6"/>
    <x v="43"/>
    <x v="1"/>
    <x v="4"/>
    <n v="0"/>
  </r>
  <r>
    <x v="1"/>
    <x v="6"/>
    <x v="2"/>
    <x v="6"/>
    <x v="43"/>
    <x v="1"/>
    <x v="5"/>
    <n v="0"/>
  </r>
  <r>
    <x v="1"/>
    <x v="6"/>
    <x v="2"/>
    <x v="6"/>
    <x v="43"/>
    <x v="1"/>
    <x v="6"/>
    <n v="0"/>
  </r>
  <r>
    <x v="1"/>
    <x v="5"/>
    <x v="4"/>
    <x v="7"/>
    <x v="61"/>
    <x v="1"/>
    <x v="0"/>
    <n v="0"/>
  </r>
  <r>
    <x v="1"/>
    <x v="5"/>
    <x v="4"/>
    <x v="7"/>
    <x v="61"/>
    <x v="1"/>
    <x v="1"/>
    <n v="0"/>
  </r>
  <r>
    <x v="1"/>
    <x v="5"/>
    <x v="4"/>
    <x v="7"/>
    <x v="61"/>
    <x v="1"/>
    <x v="2"/>
    <n v="0"/>
  </r>
  <r>
    <x v="1"/>
    <x v="5"/>
    <x v="4"/>
    <x v="7"/>
    <x v="61"/>
    <x v="1"/>
    <x v="3"/>
    <n v="0"/>
  </r>
  <r>
    <x v="1"/>
    <x v="5"/>
    <x v="4"/>
    <x v="7"/>
    <x v="61"/>
    <x v="1"/>
    <x v="4"/>
    <n v="0"/>
  </r>
  <r>
    <x v="1"/>
    <x v="5"/>
    <x v="4"/>
    <x v="7"/>
    <x v="61"/>
    <x v="1"/>
    <x v="5"/>
    <n v="0"/>
  </r>
  <r>
    <x v="1"/>
    <x v="5"/>
    <x v="4"/>
    <x v="7"/>
    <x v="61"/>
    <x v="1"/>
    <x v="6"/>
    <n v="0"/>
  </r>
  <r>
    <x v="1"/>
    <x v="5"/>
    <x v="4"/>
    <x v="7"/>
    <x v="62"/>
    <x v="1"/>
    <x v="0"/>
    <n v="0"/>
  </r>
  <r>
    <x v="1"/>
    <x v="5"/>
    <x v="4"/>
    <x v="7"/>
    <x v="62"/>
    <x v="1"/>
    <x v="1"/>
    <n v="0"/>
  </r>
  <r>
    <x v="1"/>
    <x v="5"/>
    <x v="4"/>
    <x v="7"/>
    <x v="62"/>
    <x v="1"/>
    <x v="2"/>
    <n v="0"/>
  </r>
  <r>
    <x v="1"/>
    <x v="5"/>
    <x v="4"/>
    <x v="7"/>
    <x v="62"/>
    <x v="1"/>
    <x v="3"/>
    <n v="0"/>
  </r>
  <r>
    <x v="1"/>
    <x v="5"/>
    <x v="4"/>
    <x v="7"/>
    <x v="62"/>
    <x v="1"/>
    <x v="4"/>
    <n v="0"/>
  </r>
  <r>
    <x v="1"/>
    <x v="5"/>
    <x v="4"/>
    <x v="7"/>
    <x v="62"/>
    <x v="1"/>
    <x v="5"/>
    <n v="0"/>
  </r>
  <r>
    <x v="1"/>
    <x v="5"/>
    <x v="4"/>
    <x v="7"/>
    <x v="62"/>
    <x v="1"/>
    <x v="6"/>
    <n v="0"/>
  </r>
  <r>
    <x v="1"/>
    <x v="5"/>
    <x v="4"/>
    <x v="7"/>
    <x v="63"/>
    <x v="1"/>
    <x v="0"/>
    <n v="0"/>
  </r>
  <r>
    <x v="1"/>
    <x v="5"/>
    <x v="4"/>
    <x v="7"/>
    <x v="63"/>
    <x v="1"/>
    <x v="1"/>
    <n v="0"/>
  </r>
  <r>
    <x v="1"/>
    <x v="5"/>
    <x v="4"/>
    <x v="7"/>
    <x v="63"/>
    <x v="1"/>
    <x v="2"/>
    <n v="0"/>
  </r>
  <r>
    <x v="1"/>
    <x v="5"/>
    <x v="4"/>
    <x v="7"/>
    <x v="63"/>
    <x v="1"/>
    <x v="3"/>
    <n v="0"/>
  </r>
  <r>
    <x v="1"/>
    <x v="5"/>
    <x v="4"/>
    <x v="7"/>
    <x v="63"/>
    <x v="1"/>
    <x v="4"/>
    <n v="0"/>
  </r>
  <r>
    <x v="1"/>
    <x v="5"/>
    <x v="4"/>
    <x v="7"/>
    <x v="63"/>
    <x v="1"/>
    <x v="5"/>
    <n v="0"/>
  </r>
  <r>
    <x v="1"/>
    <x v="5"/>
    <x v="4"/>
    <x v="7"/>
    <x v="63"/>
    <x v="1"/>
    <x v="6"/>
    <n v="0"/>
  </r>
  <r>
    <x v="1"/>
    <x v="5"/>
    <x v="4"/>
    <x v="7"/>
    <x v="64"/>
    <x v="1"/>
    <x v="0"/>
    <n v="0"/>
  </r>
  <r>
    <x v="1"/>
    <x v="5"/>
    <x v="4"/>
    <x v="7"/>
    <x v="64"/>
    <x v="1"/>
    <x v="1"/>
    <n v="0"/>
  </r>
  <r>
    <x v="1"/>
    <x v="5"/>
    <x v="4"/>
    <x v="7"/>
    <x v="64"/>
    <x v="1"/>
    <x v="2"/>
    <n v="0"/>
  </r>
  <r>
    <x v="1"/>
    <x v="5"/>
    <x v="4"/>
    <x v="7"/>
    <x v="64"/>
    <x v="1"/>
    <x v="3"/>
    <n v="0"/>
  </r>
  <r>
    <x v="1"/>
    <x v="5"/>
    <x v="4"/>
    <x v="7"/>
    <x v="64"/>
    <x v="1"/>
    <x v="4"/>
    <n v="0"/>
  </r>
  <r>
    <x v="1"/>
    <x v="5"/>
    <x v="4"/>
    <x v="7"/>
    <x v="64"/>
    <x v="1"/>
    <x v="5"/>
    <n v="0"/>
  </r>
  <r>
    <x v="1"/>
    <x v="5"/>
    <x v="4"/>
    <x v="7"/>
    <x v="64"/>
    <x v="1"/>
    <x v="6"/>
    <n v="0"/>
  </r>
  <r>
    <x v="1"/>
    <x v="6"/>
    <x v="4"/>
    <x v="7"/>
    <x v="44"/>
    <x v="1"/>
    <x v="0"/>
    <n v="0"/>
  </r>
  <r>
    <x v="1"/>
    <x v="6"/>
    <x v="4"/>
    <x v="7"/>
    <x v="44"/>
    <x v="1"/>
    <x v="1"/>
    <n v="0"/>
  </r>
  <r>
    <x v="1"/>
    <x v="6"/>
    <x v="4"/>
    <x v="7"/>
    <x v="44"/>
    <x v="1"/>
    <x v="2"/>
    <n v="0"/>
  </r>
  <r>
    <x v="1"/>
    <x v="6"/>
    <x v="4"/>
    <x v="7"/>
    <x v="44"/>
    <x v="1"/>
    <x v="3"/>
    <n v="0"/>
  </r>
  <r>
    <x v="1"/>
    <x v="6"/>
    <x v="4"/>
    <x v="7"/>
    <x v="44"/>
    <x v="1"/>
    <x v="4"/>
    <n v="0"/>
  </r>
  <r>
    <x v="1"/>
    <x v="6"/>
    <x v="4"/>
    <x v="7"/>
    <x v="44"/>
    <x v="1"/>
    <x v="5"/>
    <n v="0"/>
  </r>
  <r>
    <x v="1"/>
    <x v="6"/>
    <x v="4"/>
    <x v="7"/>
    <x v="44"/>
    <x v="1"/>
    <x v="6"/>
    <n v="0"/>
  </r>
  <r>
    <x v="1"/>
    <x v="6"/>
    <x v="4"/>
    <x v="7"/>
    <x v="45"/>
    <x v="1"/>
    <x v="0"/>
    <n v="0"/>
  </r>
  <r>
    <x v="1"/>
    <x v="6"/>
    <x v="4"/>
    <x v="7"/>
    <x v="45"/>
    <x v="1"/>
    <x v="1"/>
    <n v="0"/>
  </r>
  <r>
    <x v="1"/>
    <x v="6"/>
    <x v="4"/>
    <x v="7"/>
    <x v="45"/>
    <x v="1"/>
    <x v="2"/>
    <n v="0"/>
  </r>
  <r>
    <x v="1"/>
    <x v="6"/>
    <x v="4"/>
    <x v="7"/>
    <x v="45"/>
    <x v="1"/>
    <x v="3"/>
    <n v="0"/>
  </r>
  <r>
    <x v="1"/>
    <x v="6"/>
    <x v="4"/>
    <x v="7"/>
    <x v="45"/>
    <x v="1"/>
    <x v="4"/>
    <n v="0"/>
  </r>
  <r>
    <x v="1"/>
    <x v="6"/>
    <x v="4"/>
    <x v="7"/>
    <x v="45"/>
    <x v="1"/>
    <x v="5"/>
    <n v="0"/>
  </r>
  <r>
    <x v="1"/>
    <x v="6"/>
    <x v="4"/>
    <x v="7"/>
    <x v="45"/>
    <x v="1"/>
    <x v="6"/>
    <n v="0"/>
  </r>
  <r>
    <x v="1"/>
    <x v="6"/>
    <x v="4"/>
    <x v="7"/>
    <x v="46"/>
    <x v="1"/>
    <x v="0"/>
    <n v="0"/>
  </r>
  <r>
    <x v="1"/>
    <x v="6"/>
    <x v="4"/>
    <x v="7"/>
    <x v="46"/>
    <x v="1"/>
    <x v="1"/>
    <n v="0"/>
  </r>
  <r>
    <x v="1"/>
    <x v="6"/>
    <x v="4"/>
    <x v="7"/>
    <x v="46"/>
    <x v="1"/>
    <x v="2"/>
    <n v="0"/>
  </r>
  <r>
    <x v="1"/>
    <x v="6"/>
    <x v="4"/>
    <x v="7"/>
    <x v="46"/>
    <x v="1"/>
    <x v="3"/>
    <n v="0"/>
  </r>
  <r>
    <x v="1"/>
    <x v="6"/>
    <x v="4"/>
    <x v="7"/>
    <x v="46"/>
    <x v="1"/>
    <x v="4"/>
    <n v="0"/>
  </r>
  <r>
    <x v="1"/>
    <x v="6"/>
    <x v="4"/>
    <x v="7"/>
    <x v="46"/>
    <x v="1"/>
    <x v="5"/>
    <n v="0"/>
  </r>
  <r>
    <x v="1"/>
    <x v="6"/>
    <x v="4"/>
    <x v="7"/>
    <x v="46"/>
    <x v="1"/>
    <x v="6"/>
    <n v="0"/>
  </r>
  <r>
    <x v="1"/>
    <x v="6"/>
    <x v="5"/>
    <x v="8"/>
    <x v="51"/>
    <x v="1"/>
    <x v="0"/>
    <n v="0"/>
  </r>
  <r>
    <x v="1"/>
    <x v="6"/>
    <x v="5"/>
    <x v="8"/>
    <x v="51"/>
    <x v="1"/>
    <x v="1"/>
    <n v="0"/>
  </r>
  <r>
    <x v="1"/>
    <x v="6"/>
    <x v="5"/>
    <x v="8"/>
    <x v="51"/>
    <x v="1"/>
    <x v="2"/>
    <n v="0"/>
  </r>
  <r>
    <x v="1"/>
    <x v="6"/>
    <x v="5"/>
    <x v="8"/>
    <x v="51"/>
    <x v="1"/>
    <x v="3"/>
    <n v="0"/>
  </r>
  <r>
    <x v="1"/>
    <x v="6"/>
    <x v="5"/>
    <x v="8"/>
    <x v="51"/>
    <x v="1"/>
    <x v="4"/>
    <n v="0"/>
  </r>
  <r>
    <x v="1"/>
    <x v="6"/>
    <x v="5"/>
    <x v="8"/>
    <x v="51"/>
    <x v="1"/>
    <x v="5"/>
    <n v="0"/>
  </r>
  <r>
    <x v="1"/>
    <x v="6"/>
    <x v="5"/>
    <x v="8"/>
    <x v="51"/>
    <x v="1"/>
    <x v="6"/>
    <n v="0"/>
  </r>
  <r>
    <x v="1"/>
    <x v="6"/>
    <x v="3"/>
    <x v="5"/>
    <x v="52"/>
    <x v="1"/>
    <x v="0"/>
    <n v="0"/>
  </r>
  <r>
    <x v="1"/>
    <x v="6"/>
    <x v="3"/>
    <x v="5"/>
    <x v="52"/>
    <x v="1"/>
    <x v="1"/>
    <n v="0"/>
  </r>
  <r>
    <x v="1"/>
    <x v="6"/>
    <x v="3"/>
    <x v="5"/>
    <x v="52"/>
    <x v="1"/>
    <x v="2"/>
    <n v="0"/>
  </r>
  <r>
    <x v="1"/>
    <x v="6"/>
    <x v="3"/>
    <x v="5"/>
    <x v="52"/>
    <x v="1"/>
    <x v="3"/>
    <n v="0"/>
  </r>
  <r>
    <x v="1"/>
    <x v="6"/>
    <x v="3"/>
    <x v="5"/>
    <x v="52"/>
    <x v="1"/>
    <x v="4"/>
    <n v="0"/>
  </r>
  <r>
    <x v="1"/>
    <x v="6"/>
    <x v="3"/>
    <x v="5"/>
    <x v="52"/>
    <x v="1"/>
    <x v="5"/>
    <n v="0"/>
  </r>
  <r>
    <x v="1"/>
    <x v="6"/>
    <x v="3"/>
    <x v="5"/>
    <x v="52"/>
    <x v="1"/>
    <x v="6"/>
    <n v="0"/>
  </r>
  <r>
    <x v="1"/>
    <x v="6"/>
    <x v="5"/>
    <x v="8"/>
    <x v="53"/>
    <x v="1"/>
    <x v="0"/>
    <n v="0"/>
  </r>
  <r>
    <x v="1"/>
    <x v="6"/>
    <x v="5"/>
    <x v="8"/>
    <x v="53"/>
    <x v="1"/>
    <x v="1"/>
    <n v="0"/>
  </r>
  <r>
    <x v="1"/>
    <x v="6"/>
    <x v="5"/>
    <x v="8"/>
    <x v="53"/>
    <x v="1"/>
    <x v="2"/>
    <n v="0"/>
  </r>
  <r>
    <x v="1"/>
    <x v="6"/>
    <x v="5"/>
    <x v="8"/>
    <x v="53"/>
    <x v="1"/>
    <x v="3"/>
    <n v="0"/>
  </r>
  <r>
    <x v="1"/>
    <x v="6"/>
    <x v="5"/>
    <x v="8"/>
    <x v="53"/>
    <x v="1"/>
    <x v="4"/>
    <n v="0"/>
  </r>
  <r>
    <x v="1"/>
    <x v="6"/>
    <x v="5"/>
    <x v="8"/>
    <x v="53"/>
    <x v="1"/>
    <x v="5"/>
    <n v="0"/>
  </r>
  <r>
    <x v="1"/>
    <x v="6"/>
    <x v="5"/>
    <x v="8"/>
    <x v="53"/>
    <x v="1"/>
    <x v="6"/>
    <n v="0"/>
  </r>
  <r>
    <x v="1"/>
    <x v="6"/>
    <x v="4"/>
    <x v="7"/>
    <x v="47"/>
    <x v="1"/>
    <x v="0"/>
    <n v="0"/>
  </r>
  <r>
    <x v="1"/>
    <x v="6"/>
    <x v="4"/>
    <x v="7"/>
    <x v="47"/>
    <x v="1"/>
    <x v="1"/>
    <n v="0"/>
  </r>
  <r>
    <x v="1"/>
    <x v="6"/>
    <x v="4"/>
    <x v="7"/>
    <x v="47"/>
    <x v="1"/>
    <x v="2"/>
    <n v="0"/>
  </r>
  <r>
    <x v="1"/>
    <x v="6"/>
    <x v="4"/>
    <x v="7"/>
    <x v="47"/>
    <x v="1"/>
    <x v="3"/>
    <n v="0"/>
  </r>
  <r>
    <x v="1"/>
    <x v="6"/>
    <x v="4"/>
    <x v="7"/>
    <x v="47"/>
    <x v="1"/>
    <x v="4"/>
    <n v="0"/>
  </r>
  <r>
    <x v="1"/>
    <x v="6"/>
    <x v="4"/>
    <x v="7"/>
    <x v="47"/>
    <x v="1"/>
    <x v="5"/>
    <n v="0"/>
  </r>
  <r>
    <x v="1"/>
    <x v="6"/>
    <x v="4"/>
    <x v="7"/>
    <x v="47"/>
    <x v="1"/>
    <x v="6"/>
    <n v="0"/>
  </r>
  <r>
    <x v="1"/>
    <x v="6"/>
    <x v="4"/>
    <x v="7"/>
    <x v="48"/>
    <x v="1"/>
    <x v="0"/>
    <n v="0"/>
  </r>
  <r>
    <x v="1"/>
    <x v="6"/>
    <x v="4"/>
    <x v="7"/>
    <x v="48"/>
    <x v="1"/>
    <x v="1"/>
    <n v="0"/>
  </r>
  <r>
    <x v="1"/>
    <x v="6"/>
    <x v="4"/>
    <x v="7"/>
    <x v="48"/>
    <x v="1"/>
    <x v="2"/>
    <n v="0"/>
  </r>
  <r>
    <x v="1"/>
    <x v="6"/>
    <x v="4"/>
    <x v="7"/>
    <x v="48"/>
    <x v="1"/>
    <x v="3"/>
    <n v="0"/>
  </r>
  <r>
    <x v="1"/>
    <x v="6"/>
    <x v="4"/>
    <x v="7"/>
    <x v="48"/>
    <x v="1"/>
    <x v="4"/>
    <n v="0"/>
  </r>
  <r>
    <x v="1"/>
    <x v="6"/>
    <x v="4"/>
    <x v="7"/>
    <x v="48"/>
    <x v="1"/>
    <x v="5"/>
    <n v="0"/>
  </r>
  <r>
    <x v="1"/>
    <x v="6"/>
    <x v="4"/>
    <x v="7"/>
    <x v="48"/>
    <x v="1"/>
    <x v="6"/>
    <n v="0"/>
  </r>
  <r>
    <x v="1"/>
    <x v="6"/>
    <x v="4"/>
    <x v="7"/>
    <x v="49"/>
    <x v="1"/>
    <x v="0"/>
    <n v="0"/>
  </r>
  <r>
    <x v="1"/>
    <x v="6"/>
    <x v="4"/>
    <x v="7"/>
    <x v="49"/>
    <x v="1"/>
    <x v="1"/>
    <n v="0"/>
  </r>
  <r>
    <x v="1"/>
    <x v="6"/>
    <x v="4"/>
    <x v="7"/>
    <x v="49"/>
    <x v="1"/>
    <x v="2"/>
    <n v="0"/>
  </r>
  <r>
    <x v="1"/>
    <x v="6"/>
    <x v="4"/>
    <x v="7"/>
    <x v="49"/>
    <x v="1"/>
    <x v="3"/>
    <n v="0"/>
  </r>
  <r>
    <x v="1"/>
    <x v="6"/>
    <x v="4"/>
    <x v="7"/>
    <x v="49"/>
    <x v="1"/>
    <x v="4"/>
    <n v="0"/>
  </r>
  <r>
    <x v="1"/>
    <x v="6"/>
    <x v="4"/>
    <x v="7"/>
    <x v="49"/>
    <x v="1"/>
    <x v="5"/>
    <n v="0"/>
  </r>
  <r>
    <x v="1"/>
    <x v="6"/>
    <x v="4"/>
    <x v="7"/>
    <x v="49"/>
    <x v="1"/>
    <x v="6"/>
    <n v="0"/>
  </r>
  <r>
    <x v="1"/>
    <x v="6"/>
    <x v="4"/>
    <x v="7"/>
    <x v="50"/>
    <x v="1"/>
    <x v="0"/>
    <n v="0"/>
  </r>
  <r>
    <x v="1"/>
    <x v="6"/>
    <x v="4"/>
    <x v="7"/>
    <x v="50"/>
    <x v="1"/>
    <x v="1"/>
    <n v="0"/>
  </r>
  <r>
    <x v="1"/>
    <x v="6"/>
    <x v="4"/>
    <x v="7"/>
    <x v="50"/>
    <x v="1"/>
    <x v="2"/>
    <n v="0"/>
  </r>
  <r>
    <x v="1"/>
    <x v="6"/>
    <x v="4"/>
    <x v="7"/>
    <x v="50"/>
    <x v="1"/>
    <x v="3"/>
    <n v="0"/>
  </r>
  <r>
    <x v="1"/>
    <x v="6"/>
    <x v="4"/>
    <x v="7"/>
    <x v="50"/>
    <x v="1"/>
    <x v="4"/>
    <n v="0"/>
  </r>
  <r>
    <x v="1"/>
    <x v="6"/>
    <x v="4"/>
    <x v="7"/>
    <x v="50"/>
    <x v="1"/>
    <x v="5"/>
    <n v="0"/>
  </r>
  <r>
    <x v="1"/>
    <x v="6"/>
    <x v="4"/>
    <x v="7"/>
    <x v="50"/>
    <x v="1"/>
    <x v="6"/>
    <n v="0"/>
  </r>
  <r>
    <x v="1"/>
    <x v="6"/>
    <x v="4"/>
    <x v="7"/>
    <x v="54"/>
    <x v="1"/>
    <x v="0"/>
    <n v="0"/>
  </r>
  <r>
    <x v="1"/>
    <x v="6"/>
    <x v="4"/>
    <x v="7"/>
    <x v="54"/>
    <x v="1"/>
    <x v="1"/>
    <n v="0"/>
  </r>
  <r>
    <x v="1"/>
    <x v="6"/>
    <x v="4"/>
    <x v="7"/>
    <x v="54"/>
    <x v="1"/>
    <x v="2"/>
    <n v="0"/>
  </r>
  <r>
    <x v="1"/>
    <x v="6"/>
    <x v="4"/>
    <x v="7"/>
    <x v="54"/>
    <x v="1"/>
    <x v="3"/>
    <n v="0"/>
  </r>
  <r>
    <x v="1"/>
    <x v="6"/>
    <x v="4"/>
    <x v="7"/>
    <x v="54"/>
    <x v="1"/>
    <x v="4"/>
    <n v="0"/>
  </r>
  <r>
    <x v="1"/>
    <x v="6"/>
    <x v="4"/>
    <x v="7"/>
    <x v="54"/>
    <x v="1"/>
    <x v="5"/>
    <n v="0"/>
  </r>
  <r>
    <x v="1"/>
    <x v="6"/>
    <x v="4"/>
    <x v="7"/>
    <x v="54"/>
    <x v="1"/>
    <x v="6"/>
    <n v="0"/>
  </r>
  <r>
    <x v="1"/>
    <x v="6"/>
    <x v="4"/>
    <x v="7"/>
    <x v="55"/>
    <x v="1"/>
    <x v="0"/>
    <n v="0"/>
  </r>
  <r>
    <x v="1"/>
    <x v="6"/>
    <x v="4"/>
    <x v="7"/>
    <x v="55"/>
    <x v="1"/>
    <x v="1"/>
    <n v="0"/>
  </r>
  <r>
    <x v="1"/>
    <x v="6"/>
    <x v="4"/>
    <x v="7"/>
    <x v="55"/>
    <x v="1"/>
    <x v="2"/>
    <n v="0"/>
  </r>
  <r>
    <x v="1"/>
    <x v="6"/>
    <x v="4"/>
    <x v="7"/>
    <x v="55"/>
    <x v="1"/>
    <x v="3"/>
    <n v="0"/>
  </r>
  <r>
    <x v="1"/>
    <x v="6"/>
    <x v="4"/>
    <x v="7"/>
    <x v="55"/>
    <x v="1"/>
    <x v="4"/>
    <n v="0"/>
  </r>
  <r>
    <x v="1"/>
    <x v="6"/>
    <x v="4"/>
    <x v="7"/>
    <x v="55"/>
    <x v="1"/>
    <x v="5"/>
    <n v="0"/>
  </r>
  <r>
    <x v="1"/>
    <x v="6"/>
    <x v="4"/>
    <x v="7"/>
    <x v="55"/>
    <x v="1"/>
    <x v="6"/>
    <n v="0"/>
  </r>
  <r>
    <x v="1"/>
    <x v="6"/>
    <x v="4"/>
    <x v="7"/>
    <x v="56"/>
    <x v="1"/>
    <x v="0"/>
    <n v="0"/>
  </r>
  <r>
    <x v="1"/>
    <x v="6"/>
    <x v="4"/>
    <x v="7"/>
    <x v="56"/>
    <x v="1"/>
    <x v="1"/>
    <n v="0"/>
  </r>
  <r>
    <x v="1"/>
    <x v="6"/>
    <x v="4"/>
    <x v="7"/>
    <x v="56"/>
    <x v="1"/>
    <x v="2"/>
    <n v="0"/>
  </r>
  <r>
    <x v="1"/>
    <x v="6"/>
    <x v="4"/>
    <x v="7"/>
    <x v="56"/>
    <x v="1"/>
    <x v="3"/>
    <n v="0"/>
  </r>
  <r>
    <x v="1"/>
    <x v="6"/>
    <x v="4"/>
    <x v="7"/>
    <x v="56"/>
    <x v="1"/>
    <x v="4"/>
    <n v="0"/>
  </r>
  <r>
    <x v="1"/>
    <x v="6"/>
    <x v="4"/>
    <x v="7"/>
    <x v="56"/>
    <x v="1"/>
    <x v="5"/>
    <n v="0"/>
  </r>
  <r>
    <x v="1"/>
    <x v="6"/>
    <x v="4"/>
    <x v="7"/>
    <x v="56"/>
    <x v="1"/>
    <x v="6"/>
    <n v="0"/>
  </r>
  <r>
    <x v="1"/>
    <x v="6"/>
    <x v="4"/>
    <x v="7"/>
    <x v="57"/>
    <x v="1"/>
    <x v="0"/>
    <n v="0"/>
  </r>
  <r>
    <x v="1"/>
    <x v="6"/>
    <x v="4"/>
    <x v="7"/>
    <x v="57"/>
    <x v="1"/>
    <x v="1"/>
    <n v="0"/>
  </r>
  <r>
    <x v="1"/>
    <x v="6"/>
    <x v="4"/>
    <x v="7"/>
    <x v="57"/>
    <x v="1"/>
    <x v="2"/>
    <n v="0"/>
  </r>
  <r>
    <x v="1"/>
    <x v="6"/>
    <x v="4"/>
    <x v="7"/>
    <x v="57"/>
    <x v="1"/>
    <x v="3"/>
    <n v="0"/>
  </r>
  <r>
    <x v="1"/>
    <x v="6"/>
    <x v="4"/>
    <x v="7"/>
    <x v="57"/>
    <x v="1"/>
    <x v="4"/>
    <n v="0"/>
  </r>
  <r>
    <x v="1"/>
    <x v="6"/>
    <x v="4"/>
    <x v="7"/>
    <x v="57"/>
    <x v="1"/>
    <x v="5"/>
    <n v="0"/>
  </r>
  <r>
    <x v="1"/>
    <x v="6"/>
    <x v="4"/>
    <x v="7"/>
    <x v="57"/>
    <x v="1"/>
    <x v="6"/>
    <n v="0"/>
  </r>
  <r>
    <x v="1"/>
    <x v="6"/>
    <x v="4"/>
    <x v="7"/>
    <x v="58"/>
    <x v="1"/>
    <x v="0"/>
    <n v="0"/>
  </r>
  <r>
    <x v="1"/>
    <x v="6"/>
    <x v="4"/>
    <x v="7"/>
    <x v="58"/>
    <x v="1"/>
    <x v="1"/>
    <n v="0"/>
  </r>
  <r>
    <x v="1"/>
    <x v="6"/>
    <x v="4"/>
    <x v="7"/>
    <x v="58"/>
    <x v="1"/>
    <x v="2"/>
    <n v="0"/>
  </r>
  <r>
    <x v="1"/>
    <x v="6"/>
    <x v="4"/>
    <x v="7"/>
    <x v="58"/>
    <x v="1"/>
    <x v="3"/>
    <n v="0"/>
  </r>
  <r>
    <x v="1"/>
    <x v="6"/>
    <x v="4"/>
    <x v="7"/>
    <x v="58"/>
    <x v="1"/>
    <x v="4"/>
    <n v="0"/>
  </r>
  <r>
    <x v="1"/>
    <x v="6"/>
    <x v="4"/>
    <x v="7"/>
    <x v="58"/>
    <x v="1"/>
    <x v="5"/>
    <n v="0"/>
  </r>
  <r>
    <x v="1"/>
    <x v="6"/>
    <x v="4"/>
    <x v="7"/>
    <x v="58"/>
    <x v="1"/>
    <x v="6"/>
    <n v="0"/>
  </r>
  <r>
    <x v="1"/>
    <x v="6"/>
    <x v="4"/>
    <x v="7"/>
    <x v="59"/>
    <x v="1"/>
    <x v="0"/>
    <n v="0"/>
  </r>
  <r>
    <x v="1"/>
    <x v="6"/>
    <x v="4"/>
    <x v="7"/>
    <x v="59"/>
    <x v="1"/>
    <x v="1"/>
    <n v="0"/>
  </r>
  <r>
    <x v="1"/>
    <x v="6"/>
    <x v="4"/>
    <x v="7"/>
    <x v="59"/>
    <x v="1"/>
    <x v="2"/>
    <n v="0"/>
  </r>
  <r>
    <x v="1"/>
    <x v="6"/>
    <x v="4"/>
    <x v="7"/>
    <x v="59"/>
    <x v="1"/>
    <x v="3"/>
    <n v="0"/>
  </r>
  <r>
    <x v="1"/>
    <x v="6"/>
    <x v="4"/>
    <x v="7"/>
    <x v="59"/>
    <x v="1"/>
    <x v="4"/>
    <n v="0"/>
  </r>
  <r>
    <x v="1"/>
    <x v="6"/>
    <x v="4"/>
    <x v="7"/>
    <x v="59"/>
    <x v="1"/>
    <x v="5"/>
    <n v="0"/>
  </r>
  <r>
    <x v="1"/>
    <x v="6"/>
    <x v="4"/>
    <x v="7"/>
    <x v="59"/>
    <x v="1"/>
    <x v="6"/>
    <n v="0"/>
  </r>
  <r>
    <x v="1"/>
    <x v="6"/>
    <x v="4"/>
    <x v="7"/>
    <x v="60"/>
    <x v="1"/>
    <x v="0"/>
    <n v="0"/>
  </r>
  <r>
    <x v="1"/>
    <x v="6"/>
    <x v="4"/>
    <x v="7"/>
    <x v="60"/>
    <x v="1"/>
    <x v="1"/>
    <n v="0"/>
  </r>
  <r>
    <x v="1"/>
    <x v="6"/>
    <x v="4"/>
    <x v="7"/>
    <x v="60"/>
    <x v="1"/>
    <x v="2"/>
    <n v="0"/>
  </r>
  <r>
    <x v="1"/>
    <x v="6"/>
    <x v="4"/>
    <x v="7"/>
    <x v="60"/>
    <x v="1"/>
    <x v="3"/>
    <n v="0"/>
  </r>
  <r>
    <x v="1"/>
    <x v="6"/>
    <x v="4"/>
    <x v="7"/>
    <x v="60"/>
    <x v="1"/>
    <x v="4"/>
    <n v="0"/>
  </r>
  <r>
    <x v="1"/>
    <x v="6"/>
    <x v="4"/>
    <x v="7"/>
    <x v="60"/>
    <x v="1"/>
    <x v="5"/>
    <n v="0"/>
  </r>
  <r>
    <x v="1"/>
    <x v="6"/>
    <x v="4"/>
    <x v="7"/>
    <x v="60"/>
    <x v="1"/>
    <x v="6"/>
    <n v="0"/>
  </r>
  <r>
    <x v="1"/>
    <x v="6"/>
    <x v="3"/>
    <x v="5"/>
    <x v="65"/>
    <x v="1"/>
    <x v="0"/>
    <n v="0"/>
  </r>
  <r>
    <x v="1"/>
    <x v="6"/>
    <x v="3"/>
    <x v="5"/>
    <x v="65"/>
    <x v="1"/>
    <x v="1"/>
    <n v="0"/>
  </r>
  <r>
    <x v="1"/>
    <x v="6"/>
    <x v="3"/>
    <x v="5"/>
    <x v="65"/>
    <x v="1"/>
    <x v="2"/>
    <n v="0"/>
  </r>
  <r>
    <x v="1"/>
    <x v="6"/>
    <x v="3"/>
    <x v="5"/>
    <x v="65"/>
    <x v="1"/>
    <x v="3"/>
    <n v="0"/>
  </r>
  <r>
    <x v="1"/>
    <x v="6"/>
    <x v="3"/>
    <x v="5"/>
    <x v="65"/>
    <x v="1"/>
    <x v="4"/>
    <n v="0"/>
  </r>
  <r>
    <x v="1"/>
    <x v="6"/>
    <x v="3"/>
    <x v="5"/>
    <x v="65"/>
    <x v="1"/>
    <x v="5"/>
    <n v="0"/>
  </r>
  <r>
    <x v="1"/>
    <x v="6"/>
    <x v="3"/>
    <x v="5"/>
    <x v="65"/>
    <x v="1"/>
    <x v="6"/>
    <n v="0"/>
  </r>
  <r>
    <x v="1"/>
    <x v="6"/>
    <x v="3"/>
    <x v="5"/>
    <x v="66"/>
    <x v="1"/>
    <x v="0"/>
    <n v="0"/>
  </r>
  <r>
    <x v="1"/>
    <x v="6"/>
    <x v="3"/>
    <x v="5"/>
    <x v="66"/>
    <x v="1"/>
    <x v="1"/>
    <n v="0"/>
  </r>
  <r>
    <x v="1"/>
    <x v="6"/>
    <x v="3"/>
    <x v="5"/>
    <x v="66"/>
    <x v="1"/>
    <x v="2"/>
    <n v="0"/>
  </r>
  <r>
    <x v="1"/>
    <x v="6"/>
    <x v="3"/>
    <x v="5"/>
    <x v="66"/>
    <x v="1"/>
    <x v="3"/>
    <n v="0"/>
  </r>
  <r>
    <x v="1"/>
    <x v="6"/>
    <x v="3"/>
    <x v="5"/>
    <x v="66"/>
    <x v="1"/>
    <x v="4"/>
    <n v="0"/>
  </r>
  <r>
    <x v="1"/>
    <x v="6"/>
    <x v="3"/>
    <x v="5"/>
    <x v="66"/>
    <x v="1"/>
    <x v="5"/>
    <n v="0"/>
  </r>
  <r>
    <x v="1"/>
    <x v="6"/>
    <x v="3"/>
    <x v="5"/>
    <x v="66"/>
    <x v="1"/>
    <x v="6"/>
    <n v="0"/>
  </r>
  <r>
    <x v="1"/>
    <x v="6"/>
    <x v="3"/>
    <x v="5"/>
    <x v="67"/>
    <x v="1"/>
    <x v="0"/>
    <n v="0"/>
  </r>
  <r>
    <x v="1"/>
    <x v="6"/>
    <x v="3"/>
    <x v="5"/>
    <x v="67"/>
    <x v="1"/>
    <x v="1"/>
    <n v="0"/>
  </r>
  <r>
    <x v="1"/>
    <x v="6"/>
    <x v="3"/>
    <x v="5"/>
    <x v="67"/>
    <x v="1"/>
    <x v="2"/>
    <n v="0"/>
  </r>
  <r>
    <x v="1"/>
    <x v="6"/>
    <x v="3"/>
    <x v="5"/>
    <x v="67"/>
    <x v="1"/>
    <x v="3"/>
    <n v="0"/>
  </r>
  <r>
    <x v="1"/>
    <x v="6"/>
    <x v="3"/>
    <x v="5"/>
    <x v="67"/>
    <x v="1"/>
    <x v="4"/>
    <n v="0"/>
  </r>
  <r>
    <x v="1"/>
    <x v="6"/>
    <x v="3"/>
    <x v="5"/>
    <x v="67"/>
    <x v="1"/>
    <x v="5"/>
    <n v="0"/>
  </r>
  <r>
    <x v="1"/>
    <x v="6"/>
    <x v="3"/>
    <x v="5"/>
    <x v="67"/>
    <x v="1"/>
    <x v="6"/>
    <n v="0"/>
  </r>
  <r>
    <x v="1"/>
    <x v="6"/>
    <x v="3"/>
    <x v="5"/>
    <x v="68"/>
    <x v="1"/>
    <x v="0"/>
    <n v="0"/>
  </r>
  <r>
    <x v="1"/>
    <x v="6"/>
    <x v="3"/>
    <x v="5"/>
    <x v="68"/>
    <x v="1"/>
    <x v="1"/>
    <n v="0"/>
  </r>
  <r>
    <x v="1"/>
    <x v="6"/>
    <x v="3"/>
    <x v="5"/>
    <x v="68"/>
    <x v="1"/>
    <x v="2"/>
    <n v="0"/>
  </r>
  <r>
    <x v="1"/>
    <x v="6"/>
    <x v="3"/>
    <x v="5"/>
    <x v="68"/>
    <x v="1"/>
    <x v="3"/>
    <n v="0"/>
  </r>
  <r>
    <x v="1"/>
    <x v="6"/>
    <x v="3"/>
    <x v="5"/>
    <x v="68"/>
    <x v="1"/>
    <x v="4"/>
    <n v="0"/>
  </r>
  <r>
    <x v="1"/>
    <x v="6"/>
    <x v="3"/>
    <x v="5"/>
    <x v="68"/>
    <x v="1"/>
    <x v="5"/>
    <n v="0"/>
  </r>
  <r>
    <x v="1"/>
    <x v="6"/>
    <x v="3"/>
    <x v="5"/>
    <x v="68"/>
    <x v="1"/>
    <x v="6"/>
    <n v="0"/>
  </r>
  <r>
    <x v="1"/>
    <x v="6"/>
    <x v="3"/>
    <x v="5"/>
    <x v="69"/>
    <x v="1"/>
    <x v="0"/>
    <n v="0"/>
  </r>
  <r>
    <x v="1"/>
    <x v="6"/>
    <x v="3"/>
    <x v="5"/>
    <x v="69"/>
    <x v="1"/>
    <x v="1"/>
    <n v="0"/>
  </r>
  <r>
    <x v="1"/>
    <x v="6"/>
    <x v="3"/>
    <x v="5"/>
    <x v="69"/>
    <x v="1"/>
    <x v="2"/>
    <n v="0"/>
  </r>
  <r>
    <x v="1"/>
    <x v="6"/>
    <x v="3"/>
    <x v="5"/>
    <x v="69"/>
    <x v="1"/>
    <x v="3"/>
    <n v="0"/>
  </r>
  <r>
    <x v="1"/>
    <x v="6"/>
    <x v="3"/>
    <x v="5"/>
    <x v="69"/>
    <x v="1"/>
    <x v="4"/>
    <n v="0"/>
  </r>
  <r>
    <x v="1"/>
    <x v="6"/>
    <x v="3"/>
    <x v="5"/>
    <x v="69"/>
    <x v="1"/>
    <x v="5"/>
    <n v="0"/>
  </r>
  <r>
    <x v="1"/>
    <x v="6"/>
    <x v="3"/>
    <x v="5"/>
    <x v="69"/>
    <x v="1"/>
    <x v="6"/>
    <n v="0"/>
  </r>
  <r>
    <x v="1"/>
    <x v="6"/>
    <x v="3"/>
    <x v="5"/>
    <x v="70"/>
    <x v="1"/>
    <x v="0"/>
    <n v="0"/>
  </r>
  <r>
    <x v="1"/>
    <x v="6"/>
    <x v="3"/>
    <x v="5"/>
    <x v="70"/>
    <x v="1"/>
    <x v="1"/>
    <n v="0"/>
  </r>
  <r>
    <x v="1"/>
    <x v="6"/>
    <x v="3"/>
    <x v="5"/>
    <x v="70"/>
    <x v="1"/>
    <x v="2"/>
    <n v="0"/>
  </r>
  <r>
    <x v="1"/>
    <x v="6"/>
    <x v="3"/>
    <x v="5"/>
    <x v="70"/>
    <x v="1"/>
    <x v="3"/>
    <n v="0"/>
  </r>
  <r>
    <x v="1"/>
    <x v="6"/>
    <x v="3"/>
    <x v="5"/>
    <x v="70"/>
    <x v="1"/>
    <x v="4"/>
    <n v="0"/>
  </r>
  <r>
    <x v="1"/>
    <x v="6"/>
    <x v="3"/>
    <x v="5"/>
    <x v="70"/>
    <x v="1"/>
    <x v="5"/>
    <n v="0"/>
  </r>
  <r>
    <x v="1"/>
    <x v="6"/>
    <x v="3"/>
    <x v="5"/>
    <x v="70"/>
    <x v="1"/>
    <x v="6"/>
    <n v="0"/>
  </r>
  <r>
    <x v="1"/>
    <x v="6"/>
    <x v="3"/>
    <x v="5"/>
    <x v="71"/>
    <x v="1"/>
    <x v="0"/>
    <n v="0"/>
  </r>
  <r>
    <x v="1"/>
    <x v="6"/>
    <x v="3"/>
    <x v="5"/>
    <x v="71"/>
    <x v="1"/>
    <x v="1"/>
    <n v="0"/>
  </r>
  <r>
    <x v="1"/>
    <x v="6"/>
    <x v="3"/>
    <x v="5"/>
    <x v="71"/>
    <x v="1"/>
    <x v="2"/>
    <n v="0"/>
  </r>
  <r>
    <x v="1"/>
    <x v="6"/>
    <x v="3"/>
    <x v="5"/>
    <x v="71"/>
    <x v="1"/>
    <x v="3"/>
    <n v="0"/>
  </r>
  <r>
    <x v="1"/>
    <x v="6"/>
    <x v="3"/>
    <x v="5"/>
    <x v="71"/>
    <x v="1"/>
    <x v="4"/>
    <n v="0"/>
  </r>
  <r>
    <x v="1"/>
    <x v="6"/>
    <x v="3"/>
    <x v="5"/>
    <x v="71"/>
    <x v="1"/>
    <x v="5"/>
    <n v="0"/>
  </r>
  <r>
    <x v="1"/>
    <x v="6"/>
    <x v="3"/>
    <x v="5"/>
    <x v="71"/>
    <x v="1"/>
    <x v="6"/>
    <n v="0"/>
  </r>
  <r>
    <x v="1"/>
    <x v="6"/>
    <x v="3"/>
    <x v="5"/>
    <x v="72"/>
    <x v="1"/>
    <x v="0"/>
    <n v="0"/>
  </r>
  <r>
    <x v="1"/>
    <x v="6"/>
    <x v="3"/>
    <x v="5"/>
    <x v="72"/>
    <x v="1"/>
    <x v="1"/>
    <n v="0"/>
  </r>
  <r>
    <x v="1"/>
    <x v="6"/>
    <x v="3"/>
    <x v="5"/>
    <x v="72"/>
    <x v="1"/>
    <x v="2"/>
    <n v="0"/>
  </r>
  <r>
    <x v="1"/>
    <x v="6"/>
    <x v="3"/>
    <x v="5"/>
    <x v="72"/>
    <x v="1"/>
    <x v="3"/>
    <n v="0"/>
  </r>
  <r>
    <x v="1"/>
    <x v="6"/>
    <x v="3"/>
    <x v="5"/>
    <x v="72"/>
    <x v="1"/>
    <x v="4"/>
    <n v="0"/>
  </r>
  <r>
    <x v="1"/>
    <x v="6"/>
    <x v="3"/>
    <x v="5"/>
    <x v="72"/>
    <x v="1"/>
    <x v="5"/>
    <n v="0"/>
  </r>
  <r>
    <x v="1"/>
    <x v="6"/>
    <x v="3"/>
    <x v="5"/>
    <x v="72"/>
    <x v="1"/>
    <x v="6"/>
    <n v="0"/>
  </r>
  <r>
    <x v="1"/>
    <x v="6"/>
    <x v="3"/>
    <x v="5"/>
    <x v="73"/>
    <x v="1"/>
    <x v="0"/>
    <n v="0"/>
  </r>
  <r>
    <x v="1"/>
    <x v="6"/>
    <x v="3"/>
    <x v="5"/>
    <x v="73"/>
    <x v="1"/>
    <x v="1"/>
    <n v="0"/>
  </r>
  <r>
    <x v="1"/>
    <x v="6"/>
    <x v="3"/>
    <x v="5"/>
    <x v="73"/>
    <x v="1"/>
    <x v="2"/>
    <n v="0"/>
  </r>
  <r>
    <x v="1"/>
    <x v="6"/>
    <x v="3"/>
    <x v="5"/>
    <x v="73"/>
    <x v="1"/>
    <x v="3"/>
    <n v="0"/>
  </r>
  <r>
    <x v="1"/>
    <x v="6"/>
    <x v="3"/>
    <x v="5"/>
    <x v="73"/>
    <x v="1"/>
    <x v="4"/>
    <n v="0"/>
  </r>
  <r>
    <x v="1"/>
    <x v="6"/>
    <x v="3"/>
    <x v="5"/>
    <x v="73"/>
    <x v="1"/>
    <x v="5"/>
    <n v="0"/>
  </r>
  <r>
    <x v="1"/>
    <x v="6"/>
    <x v="3"/>
    <x v="5"/>
    <x v="73"/>
    <x v="1"/>
    <x v="6"/>
    <n v="0"/>
  </r>
  <r>
    <x v="1"/>
    <x v="6"/>
    <x v="5"/>
    <x v="8"/>
    <x v="74"/>
    <x v="1"/>
    <x v="0"/>
    <n v="0"/>
  </r>
  <r>
    <x v="1"/>
    <x v="6"/>
    <x v="5"/>
    <x v="8"/>
    <x v="74"/>
    <x v="1"/>
    <x v="1"/>
    <n v="0"/>
  </r>
  <r>
    <x v="1"/>
    <x v="6"/>
    <x v="5"/>
    <x v="8"/>
    <x v="74"/>
    <x v="1"/>
    <x v="2"/>
    <n v="0"/>
  </r>
  <r>
    <x v="1"/>
    <x v="6"/>
    <x v="5"/>
    <x v="8"/>
    <x v="74"/>
    <x v="1"/>
    <x v="3"/>
    <n v="0"/>
  </r>
  <r>
    <x v="1"/>
    <x v="6"/>
    <x v="5"/>
    <x v="8"/>
    <x v="74"/>
    <x v="1"/>
    <x v="4"/>
    <n v="0"/>
  </r>
  <r>
    <x v="1"/>
    <x v="6"/>
    <x v="5"/>
    <x v="8"/>
    <x v="74"/>
    <x v="1"/>
    <x v="5"/>
    <n v="0"/>
  </r>
  <r>
    <x v="1"/>
    <x v="6"/>
    <x v="5"/>
    <x v="8"/>
    <x v="74"/>
    <x v="1"/>
    <x v="6"/>
    <n v="0"/>
  </r>
  <r>
    <x v="1"/>
    <x v="6"/>
    <x v="5"/>
    <x v="8"/>
    <x v="75"/>
    <x v="1"/>
    <x v="0"/>
    <n v="0"/>
  </r>
  <r>
    <x v="1"/>
    <x v="6"/>
    <x v="5"/>
    <x v="8"/>
    <x v="75"/>
    <x v="1"/>
    <x v="1"/>
    <n v="0"/>
  </r>
  <r>
    <x v="1"/>
    <x v="6"/>
    <x v="5"/>
    <x v="8"/>
    <x v="75"/>
    <x v="1"/>
    <x v="2"/>
    <n v="0"/>
  </r>
  <r>
    <x v="1"/>
    <x v="6"/>
    <x v="5"/>
    <x v="8"/>
    <x v="75"/>
    <x v="1"/>
    <x v="3"/>
    <n v="0"/>
  </r>
  <r>
    <x v="1"/>
    <x v="6"/>
    <x v="5"/>
    <x v="8"/>
    <x v="75"/>
    <x v="1"/>
    <x v="4"/>
    <n v="0"/>
  </r>
  <r>
    <x v="1"/>
    <x v="6"/>
    <x v="5"/>
    <x v="8"/>
    <x v="75"/>
    <x v="1"/>
    <x v="5"/>
    <n v="0"/>
  </r>
  <r>
    <x v="1"/>
    <x v="6"/>
    <x v="5"/>
    <x v="8"/>
    <x v="75"/>
    <x v="1"/>
    <x v="6"/>
    <n v="0"/>
  </r>
  <r>
    <x v="1"/>
    <x v="6"/>
    <x v="5"/>
    <x v="8"/>
    <x v="76"/>
    <x v="1"/>
    <x v="0"/>
    <n v="0"/>
  </r>
  <r>
    <x v="1"/>
    <x v="6"/>
    <x v="5"/>
    <x v="8"/>
    <x v="76"/>
    <x v="1"/>
    <x v="1"/>
    <n v="0"/>
  </r>
  <r>
    <x v="1"/>
    <x v="6"/>
    <x v="5"/>
    <x v="8"/>
    <x v="76"/>
    <x v="1"/>
    <x v="2"/>
    <n v="0"/>
  </r>
  <r>
    <x v="1"/>
    <x v="6"/>
    <x v="5"/>
    <x v="8"/>
    <x v="76"/>
    <x v="1"/>
    <x v="3"/>
    <n v="0"/>
  </r>
  <r>
    <x v="1"/>
    <x v="6"/>
    <x v="5"/>
    <x v="8"/>
    <x v="76"/>
    <x v="1"/>
    <x v="4"/>
    <n v="0"/>
  </r>
  <r>
    <x v="1"/>
    <x v="6"/>
    <x v="5"/>
    <x v="8"/>
    <x v="76"/>
    <x v="1"/>
    <x v="5"/>
    <n v="0"/>
  </r>
  <r>
    <x v="1"/>
    <x v="6"/>
    <x v="5"/>
    <x v="8"/>
    <x v="76"/>
    <x v="1"/>
    <x v="6"/>
    <n v="0"/>
  </r>
  <r>
    <x v="1"/>
    <x v="6"/>
    <x v="5"/>
    <x v="8"/>
    <x v="77"/>
    <x v="1"/>
    <x v="0"/>
    <n v="0"/>
  </r>
  <r>
    <x v="1"/>
    <x v="6"/>
    <x v="5"/>
    <x v="8"/>
    <x v="77"/>
    <x v="1"/>
    <x v="1"/>
    <n v="0"/>
  </r>
  <r>
    <x v="1"/>
    <x v="6"/>
    <x v="5"/>
    <x v="8"/>
    <x v="77"/>
    <x v="1"/>
    <x v="2"/>
    <n v="0"/>
  </r>
  <r>
    <x v="1"/>
    <x v="6"/>
    <x v="5"/>
    <x v="8"/>
    <x v="77"/>
    <x v="1"/>
    <x v="3"/>
    <n v="0"/>
  </r>
  <r>
    <x v="1"/>
    <x v="6"/>
    <x v="5"/>
    <x v="8"/>
    <x v="77"/>
    <x v="1"/>
    <x v="4"/>
    <n v="0"/>
  </r>
  <r>
    <x v="1"/>
    <x v="6"/>
    <x v="5"/>
    <x v="8"/>
    <x v="77"/>
    <x v="1"/>
    <x v="5"/>
    <n v="0"/>
  </r>
  <r>
    <x v="1"/>
    <x v="6"/>
    <x v="5"/>
    <x v="8"/>
    <x v="77"/>
    <x v="1"/>
    <x v="6"/>
    <n v="0"/>
  </r>
  <r>
    <x v="1"/>
    <x v="6"/>
    <x v="5"/>
    <x v="8"/>
    <x v="78"/>
    <x v="1"/>
    <x v="0"/>
    <n v="0"/>
  </r>
  <r>
    <x v="1"/>
    <x v="6"/>
    <x v="5"/>
    <x v="8"/>
    <x v="78"/>
    <x v="1"/>
    <x v="1"/>
    <n v="0"/>
  </r>
  <r>
    <x v="1"/>
    <x v="6"/>
    <x v="5"/>
    <x v="8"/>
    <x v="78"/>
    <x v="1"/>
    <x v="2"/>
    <n v="0"/>
  </r>
  <r>
    <x v="1"/>
    <x v="6"/>
    <x v="5"/>
    <x v="8"/>
    <x v="78"/>
    <x v="1"/>
    <x v="3"/>
    <n v="0"/>
  </r>
  <r>
    <x v="1"/>
    <x v="6"/>
    <x v="5"/>
    <x v="8"/>
    <x v="78"/>
    <x v="1"/>
    <x v="4"/>
    <n v="0"/>
  </r>
  <r>
    <x v="1"/>
    <x v="6"/>
    <x v="5"/>
    <x v="8"/>
    <x v="78"/>
    <x v="1"/>
    <x v="5"/>
    <n v="0"/>
  </r>
  <r>
    <x v="1"/>
    <x v="6"/>
    <x v="5"/>
    <x v="8"/>
    <x v="78"/>
    <x v="1"/>
    <x v="6"/>
    <n v="0"/>
  </r>
  <r>
    <x v="1"/>
    <x v="6"/>
    <x v="5"/>
    <x v="8"/>
    <x v="79"/>
    <x v="1"/>
    <x v="0"/>
    <n v="0"/>
  </r>
  <r>
    <x v="1"/>
    <x v="6"/>
    <x v="5"/>
    <x v="8"/>
    <x v="79"/>
    <x v="1"/>
    <x v="1"/>
    <n v="0"/>
  </r>
  <r>
    <x v="1"/>
    <x v="6"/>
    <x v="5"/>
    <x v="8"/>
    <x v="79"/>
    <x v="1"/>
    <x v="2"/>
    <n v="0"/>
  </r>
  <r>
    <x v="1"/>
    <x v="6"/>
    <x v="5"/>
    <x v="8"/>
    <x v="79"/>
    <x v="1"/>
    <x v="3"/>
    <n v="0"/>
  </r>
  <r>
    <x v="1"/>
    <x v="6"/>
    <x v="5"/>
    <x v="8"/>
    <x v="79"/>
    <x v="1"/>
    <x v="4"/>
    <n v="0"/>
  </r>
  <r>
    <x v="1"/>
    <x v="6"/>
    <x v="5"/>
    <x v="8"/>
    <x v="79"/>
    <x v="1"/>
    <x v="5"/>
    <n v="0"/>
  </r>
  <r>
    <x v="1"/>
    <x v="6"/>
    <x v="5"/>
    <x v="8"/>
    <x v="79"/>
    <x v="1"/>
    <x v="6"/>
    <n v="0"/>
  </r>
  <r>
    <x v="1"/>
    <x v="6"/>
    <x v="5"/>
    <x v="8"/>
    <x v="80"/>
    <x v="1"/>
    <x v="0"/>
    <n v="0"/>
  </r>
  <r>
    <x v="1"/>
    <x v="6"/>
    <x v="5"/>
    <x v="8"/>
    <x v="80"/>
    <x v="1"/>
    <x v="1"/>
    <n v="0"/>
  </r>
  <r>
    <x v="1"/>
    <x v="6"/>
    <x v="5"/>
    <x v="8"/>
    <x v="80"/>
    <x v="1"/>
    <x v="2"/>
    <n v="0"/>
  </r>
  <r>
    <x v="1"/>
    <x v="6"/>
    <x v="5"/>
    <x v="8"/>
    <x v="80"/>
    <x v="1"/>
    <x v="3"/>
    <n v="0"/>
  </r>
  <r>
    <x v="1"/>
    <x v="6"/>
    <x v="5"/>
    <x v="8"/>
    <x v="80"/>
    <x v="1"/>
    <x v="4"/>
    <n v="0"/>
  </r>
  <r>
    <x v="1"/>
    <x v="6"/>
    <x v="5"/>
    <x v="8"/>
    <x v="80"/>
    <x v="1"/>
    <x v="5"/>
    <n v="0"/>
  </r>
  <r>
    <x v="1"/>
    <x v="6"/>
    <x v="5"/>
    <x v="8"/>
    <x v="80"/>
    <x v="1"/>
    <x v="6"/>
    <n v="0"/>
  </r>
  <r>
    <x v="1"/>
    <x v="6"/>
    <x v="5"/>
    <x v="8"/>
    <x v="81"/>
    <x v="1"/>
    <x v="0"/>
    <n v="0"/>
  </r>
  <r>
    <x v="1"/>
    <x v="6"/>
    <x v="5"/>
    <x v="8"/>
    <x v="81"/>
    <x v="1"/>
    <x v="1"/>
    <n v="0"/>
  </r>
  <r>
    <x v="1"/>
    <x v="6"/>
    <x v="5"/>
    <x v="8"/>
    <x v="81"/>
    <x v="1"/>
    <x v="2"/>
    <n v="0"/>
  </r>
  <r>
    <x v="1"/>
    <x v="6"/>
    <x v="5"/>
    <x v="8"/>
    <x v="81"/>
    <x v="1"/>
    <x v="3"/>
    <n v="0"/>
  </r>
  <r>
    <x v="1"/>
    <x v="6"/>
    <x v="5"/>
    <x v="8"/>
    <x v="81"/>
    <x v="1"/>
    <x v="4"/>
    <n v="0"/>
  </r>
  <r>
    <x v="1"/>
    <x v="6"/>
    <x v="5"/>
    <x v="8"/>
    <x v="81"/>
    <x v="1"/>
    <x v="5"/>
    <n v="0"/>
  </r>
  <r>
    <x v="1"/>
    <x v="6"/>
    <x v="5"/>
    <x v="8"/>
    <x v="81"/>
    <x v="1"/>
    <x v="6"/>
    <n v="0"/>
  </r>
  <r>
    <x v="1"/>
    <x v="6"/>
    <x v="5"/>
    <x v="8"/>
    <x v="82"/>
    <x v="1"/>
    <x v="0"/>
    <n v="0"/>
  </r>
  <r>
    <x v="1"/>
    <x v="6"/>
    <x v="5"/>
    <x v="8"/>
    <x v="82"/>
    <x v="1"/>
    <x v="1"/>
    <n v="0"/>
  </r>
  <r>
    <x v="1"/>
    <x v="6"/>
    <x v="5"/>
    <x v="8"/>
    <x v="82"/>
    <x v="1"/>
    <x v="2"/>
    <n v="0"/>
  </r>
  <r>
    <x v="1"/>
    <x v="6"/>
    <x v="5"/>
    <x v="8"/>
    <x v="82"/>
    <x v="1"/>
    <x v="3"/>
    <n v="0"/>
  </r>
  <r>
    <x v="1"/>
    <x v="6"/>
    <x v="5"/>
    <x v="8"/>
    <x v="82"/>
    <x v="1"/>
    <x v="4"/>
    <n v="0"/>
  </r>
  <r>
    <x v="1"/>
    <x v="6"/>
    <x v="5"/>
    <x v="8"/>
    <x v="82"/>
    <x v="1"/>
    <x v="5"/>
    <n v="0"/>
  </r>
  <r>
    <x v="1"/>
    <x v="6"/>
    <x v="5"/>
    <x v="8"/>
    <x v="82"/>
    <x v="1"/>
    <x v="6"/>
    <n v="0"/>
  </r>
  <r>
    <x v="1"/>
    <x v="6"/>
    <x v="5"/>
    <x v="8"/>
    <x v="83"/>
    <x v="1"/>
    <x v="0"/>
    <n v="0"/>
  </r>
  <r>
    <x v="1"/>
    <x v="6"/>
    <x v="5"/>
    <x v="8"/>
    <x v="83"/>
    <x v="1"/>
    <x v="1"/>
    <n v="0"/>
  </r>
  <r>
    <x v="1"/>
    <x v="6"/>
    <x v="5"/>
    <x v="8"/>
    <x v="83"/>
    <x v="1"/>
    <x v="2"/>
    <n v="0"/>
  </r>
  <r>
    <x v="1"/>
    <x v="6"/>
    <x v="5"/>
    <x v="8"/>
    <x v="83"/>
    <x v="1"/>
    <x v="3"/>
    <n v="0"/>
  </r>
  <r>
    <x v="1"/>
    <x v="6"/>
    <x v="5"/>
    <x v="8"/>
    <x v="83"/>
    <x v="1"/>
    <x v="4"/>
    <n v="0"/>
  </r>
  <r>
    <x v="1"/>
    <x v="6"/>
    <x v="5"/>
    <x v="8"/>
    <x v="83"/>
    <x v="1"/>
    <x v="5"/>
    <n v="0"/>
  </r>
  <r>
    <x v="1"/>
    <x v="6"/>
    <x v="5"/>
    <x v="8"/>
    <x v="83"/>
    <x v="1"/>
    <x v="6"/>
    <n v="0"/>
  </r>
  <r>
    <x v="1"/>
    <x v="7"/>
    <x v="0"/>
    <x v="0"/>
    <x v="0"/>
    <x v="1"/>
    <x v="0"/>
    <n v="0"/>
  </r>
  <r>
    <x v="1"/>
    <x v="7"/>
    <x v="0"/>
    <x v="0"/>
    <x v="0"/>
    <x v="1"/>
    <x v="1"/>
    <n v="0"/>
  </r>
  <r>
    <x v="1"/>
    <x v="7"/>
    <x v="0"/>
    <x v="0"/>
    <x v="0"/>
    <x v="1"/>
    <x v="2"/>
    <n v="0"/>
  </r>
  <r>
    <x v="1"/>
    <x v="7"/>
    <x v="0"/>
    <x v="0"/>
    <x v="0"/>
    <x v="1"/>
    <x v="3"/>
    <n v="0"/>
  </r>
  <r>
    <x v="1"/>
    <x v="7"/>
    <x v="0"/>
    <x v="0"/>
    <x v="0"/>
    <x v="1"/>
    <x v="4"/>
    <n v="0"/>
  </r>
  <r>
    <x v="1"/>
    <x v="7"/>
    <x v="0"/>
    <x v="0"/>
    <x v="0"/>
    <x v="1"/>
    <x v="5"/>
    <n v="0"/>
  </r>
  <r>
    <x v="1"/>
    <x v="7"/>
    <x v="0"/>
    <x v="0"/>
    <x v="0"/>
    <x v="1"/>
    <x v="6"/>
    <n v="0"/>
  </r>
  <r>
    <x v="1"/>
    <x v="7"/>
    <x v="0"/>
    <x v="1"/>
    <x v="1"/>
    <x v="1"/>
    <x v="0"/>
    <n v="0"/>
  </r>
  <r>
    <x v="1"/>
    <x v="7"/>
    <x v="0"/>
    <x v="1"/>
    <x v="1"/>
    <x v="1"/>
    <x v="1"/>
    <n v="0"/>
  </r>
  <r>
    <x v="1"/>
    <x v="7"/>
    <x v="0"/>
    <x v="1"/>
    <x v="1"/>
    <x v="1"/>
    <x v="2"/>
    <n v="0"/>
  </r>
  <r>
    <x v="1"/>
    <x v="7"/>
    <x v="0"/>
    <x v="1"/>
    <x v="1"/>
    <x v="1"/>
    <x v="3"/>
    <n v="0"/>
  </r>
  <r>
    <x v="1"/>
    <x v="7"/>
    <x v="0"/>
    <x v="1"/>
    <x v="1"/>
    <x v="1"/>
    <x v="4"/>
    <n v="0"/>
  </r>
  <r>
    <x v="1"/>
    <x v="7"/>
    <x v="0"/>
    <x v="1"/>
    <x v="1"/>
    <x v="1"/>
    <x v="5"/>
    <n v="0"/>
  </r>
  <r>
    <x v="1"/>
    <x v="7"/>
    <x v="0"/>
    <x v="1"/>
    <x v="1"/>
    <x v="1"/>
    <x v="6"/>
    <n v="0"/>
  </r>
  <r>
    <x v="1"/>
    <x v="7"/>
    <x v="0"/>
    <x v="1"/>
    <x v="2"/>
    <x v="1"/>
    <x v="0"/>
    <n v="0"/>
  </r>
  <r>
    <x v="1"/>
    <x v="7"/>
    <x v="0"/>
    <x v="1"/>
    <x v="2"/>
    <x v="1"/>
    <x v="1"/>
    <n v="0"/>
  </r>
  <r>
    <x v="1"/>
    <x v="7"/>
    <x v="0"/>
    <x v="1"/>
    <x v="2"/>
    <x v="1"/>
    <x v="2"/>
    <n v="0"/>
  </r>
  <r>
    <x v="1"/>
    <x v="7"/>
    <x v="0"/>
    <x v="1"/>
    <x v="2"/>
    <x v="1"/>
    <x v="3"/>
    <n v="0"/>
  </r>
  <r>
    <x v="1"/>
    <x v="7"/>
    <x v="0"/>
    <x v="1"/>
    <x v="2"/>
    <x v="1"/>
    <x v="4"/>
    <n v="0"/>
  </r>
  <r>
    <x v="1"/>
    <x v="7"/>
    <x v="0"/>
    <x v="1"/>
    <x v="2"/>
    <x v="1"/>
    <x v="5"/>
    <n v="0"/>
  </r>
  <r>
    <x v="1"/>
    <x v="7"/>
    <x v="0"/>
    <x v="1"/>
    <x v="2"/>
    <x v="1"/>
    <x v="6"/>
    <n v="0"/>
  </r>
  <r>
    <x v="1"/>
    <x v="7"/>
    <x v="0"/>
    <x v="1"/>
    <x v="3"/>
    <x v="1"/>
    <x v="0"/>
    <n v="0"/>
  </r>
  <r>
    <x v="1"/>
    <x v="7"/>
    <x v="0"/>
    <x v="1"/>
    <x v="3"/>
    <x v="1"/>
    <x v="1"/>
    <n v="0"/>
  </r>
  <r>
    <x v="1"/>
    <x v="7"/>
    <x v="0"/>
    <x v="1"/>
    <x v="3"/>
    <x v="1"/>
    <x v="2"/>
    <n v="0"/>
  </r>
  <r>
    <x v="1"/>
    <x v="7"/>
    <x v="0"/>
    <x v="1"/>
    <x v="3"/>
    <x v="1"/>
    <x v="3"/>
    <n v="0"/>
  </r>
  <r>
    <x v="1"/>
    <x v="7"/>
    <x v="0"/>
    <x v="1"/>
    <x v="3"/>
    <x v="1"/>
    <x v="4"/>
    <n v="0"/>
  </r>
  <r>
    <x v="1"/>
    <x v="7"/>
    <x v="0"/>
    <x v="1"/>
    <x v="3"/>
    <x v="1"/>
    <x v="5"/>
    <n v="0"/>
  </r>
  <r>
    <x v="1"/>
    <x v="7"/>
    <x v="0"/>
    <x v="1"/>
    <x v="3"/>
    <x v="1"/>
    <x v="6"/>
    <n v="0"/>
  </r>
  <r>
    <x v="1"/>
    <x v="7"/>
    <x v="0"/>
    <x v="1"/>
    <x v="4"/>
    <x v="1"/>
    <x v="0"/>
    <n v="0"/>
  </r>
  <r>
    <x v="1"/>
    <x v="7"/>
    <x v="0"/>
    <x v="1"/>
    <x v="4"/>
    <x v="1"/>
    <x v="1"/>
    <n v="0"/>
  </r>
  <r>
    <x v="1"/>
    <x v="7"/>
    <x v="0"/>
    <x v="1"/>
    <x v="4"/>
    <x v="1"/>
    <x v="2"/>
    <n v="0"/>
  </r>
  <r>
    <x v="1"/>
    <x v="7"/>
    <x v="0"/>
    <x v="1"/>
    <x v="4"/>
    <x v="1"/>
    <x v="3"/>
    <n v="0"/>
  </r>
  <r>
    <x v="1"/>
    <x v="7"/>
    <x v="0"/>
    <x v="1"/>
    <x v="4"/>
    <x v="1"/>
    <x v="4"/>
    <n v="0"/>
  </r>
  <r>
    <x v="1"/>
    <x v="7"/>
    <x v="0"/>
    <x v="1"/>
    <x v="4"/>
    <x v="1"/>
    <x v="5"/>
    <n v="0"/>
  </r>
  <r>
    <x v="1"/>
    <x v="7"/>
    <x v="0"/>
    <x v="1"/>
    <x v="4"/>
    <x v="1"/>
    <x v="6"/>
    <n v="0"/>
  </r>
  <r>
    <x v="1"/>
    <x v="7"/>
    <x v="0"/>
    <x v="1"/>
    <x v="5"/>
    <x v="1"/>
    <x v="0"/>
    <n v="0"/>
  </r>
  <r>
    <x v="1"/>
    <x v="7"/>
    <x v="0"/>
    <x v="1"/>
    <x v="5"/>
    <x v="1"/>
    <x v="1"/>
    <n v="0"/>
  </r>
  <r>
    <x v="1"/>
    <x v="7"/>
    <x v="0"/>
    <x v="1"/>
    <x v="5"/>
    <x v="1"/>
    <x v="2"/>
    <n v="0"/>
  </r>
  <r>
    <x v="1"/>
    <x v="7"/>
    <x v="0"/>
    <x v="1"/>
    <x v="5"/>
    <x v="1"/>
    <x v="3"/>
    <n v="0"/>
  </r>
  <r>
    <x v="1"/>
    <x v="7"/>
    <x v="0"/>
    <x v="1"/>
    <x v="5"/>
    <x v="1"/>
    <x v="4"/>
    <n v="0"/>
  </r>
  <r>
    <x v="1"/>
    <x v="7"/>
    <x v="0"/>
    <x v="1"/>
    <x v="5"/>
    <x v="1"/>
    <x v="5"/>
    <n v="0"/>
  </r>
  <r>
    <x v="1"/>
    <x v="7"/>
    <x v="0"/>
    <x v="1"/>
    <x v="5"/>
    <x v="1"/>
    <x v="6"/>
    <n v="0"/>
  </r>
  <r>
    <x v="1"/>
    <x v="7"/>
    <x v="0"/>
    <x v="1"/>
    <x v="6"/>
    <x v="1"/>
    <x v="0"/>
    <n v="0"/>
  </r>
  <r>
    <x v="1"/>
    <x v="7"/>
    <x v="0"/>
    <x v="1"/>
    <x v="6"/>
    <x v="1"/>
    <x v="1"/>
    <n v="0"/>
  </r>
  <r>
    <x v="1"/>
    <x v="7"/>
    <x v="0"/>
    <x v="1"/>
    <x v="6"/>
    <x v="1"/>
    <x v="2"/>
    <n v="0"/>
  </r>
  <r>
    <x v="1"/>
    <x v="7"/>
    <x v="0"/>
    <x v="1"/>
    <x v="6"/>
    <x v="1"/>
    <x v="3"/>
    <n v="0"/>
  </r>
  <r>
    <x v="1"/>
    <x v="7"/>
    <x v="0"/>
    <x v="1"/>
    <x v="6"/>
    <x v="1"/>
    <x v="4"/>
    <n v="0"/>
  </r>
  <r>
    <x v="1"/>
    <x v="7"/>
    <x v="0"/>
    <x v="1"/>
    <x v="6"/>
    <x v="1"/>
    <x v="5"/>
    <n v="0"/>
  </r>
  <r>
    <x v="1"/>
    <x v="7"/>
    <x v="0"/>
    <x v="1"/>
    <x v="6"/>
    <x v="1"/>
    <x v="6"/>
    <n v="0"/>
  </r>
  <r>
    <x v="1"/>
    <x v="7"/>
    <x v="0"/>
    <x v="1"/>
    <x v="7"/>
    <x v="1"/>
    <x v="0"/>
    <n v="0"/>
  </r>
  <r>
    <x v="1"/>
    <x v="7"/>
    <x v="0"/>
    <x v="1"/>
    <x v="7"/>
    <x v="1"/>
    <x v="1"/>
    <n v="0"/>
  </r>
  <r>
    <x v="1"/>
    <x v="7"/>
    <x v="0"/>
    <x v="1"/>
    <x v="7"/>
    <x v="1"/>
    <x v="2"/>
    <n v="0"/>
  </r>
  <r>
    <x v="1"/>
    <x v="7"/>
    <x v="0"/>
    <x v="1"/>
    <x v="7"/>
    <x v="1"/>
    <x v="3"/>
    <n v="0"/>
  </r>
  <r>
    <x v="1"/>
    <x v="7"/>
    <x v="0"/>
    <x v="1"/>
    <x v="7"/>
    <x v="1"/>
    <x v="4"/>
    <n v="0"/>
  </r>
  <r>
    <x v="1"/>
    <x v="7"/>
    <x v="0"/>
    <x v="1"/>
    <x v="7"/>
    <x v="1"/>
    <x v="5"/>
    <n v="0"/>
  </r>
  <r>
    <x v="1"/>
    <x v="7"/>
    <x v="0"/>
    <x v="1"/>
    <x v="7"/>
    <x v="1"/>
    <x v="6"/>
    <n v="0"/>
  </r>
  <r>
    <x v="1"/>
    <x v="7"/>
    <x v="0"/>
    <x v="1"/>
    <x v="8"/>
    <x v="1"/>
    <x v="0"/>
    <n v="0"/>
  </r>
  <r>
    <x v="1"/>
    <x v="7"/>
    <x v="0"/>
    <x v="1"/>
    <x v="8"/>
    <x v="1"/>
    <x v="1"/>
    <n v="0"/>
  </r>
  <r>
    <x v="1"/>
    <x v="7"/>
    <x v="0"/>
    <x v="1"/>
    <x v="8"/>
    <x v="1"/>
    <x v="2"/>
    <n v="0"/>
  </r>
  <r>
    <x v="1"/>
    <x v="7"/>
    <x v="0"/>
    <x v="1"/>
    <x v="8"/>
    <x v="1"/>
    <x v="3"/>
    <n v="0"/>
  </r>
  <r>
    <x v="1"/>
    <x v="7"/>
    <x v="0"/>
    <x v="1"/>
    <x v="8"/>
    <x v="1"/>
    <x v="4"/>
    <n v="0"/>
  </r>
  <r>
    <x v="1"/>
    <x v="7"/>
    <x v="0"/>
    <x v="1"/>
    <x v="8"/>
    <x v="1"/>
    <x v="5"/>
    <n v="0"/>
  </r>
  <r>
    <x v="1"/>
    <x v="7"/>
    <x v="0"/>
    <x v="1"/>
    <x v="8"/>
    <x v="1"/>
    <x v="6"/>
    <n v="0"/>
  </r>
  <r>
    <x v="1"/>
    <x v="7"/>
    <x v="0"/>
    <x v="1"/>
    <x v="9"/>
    <x v="1"/>
    <x v="0"/>
    <n v="0"/>
  </r>
  <r>
    <x v="1"/>
    <x v="7"/>
    <x v="0"/>
    <x v="1"/>
    <x v="9"/>
    <x v="1"/>
    <x v="1"/>
    <n v="0"/>
  </r>
  <r>
    <x v="1"/>
    <x v="7"/>
    <x v="0"/>
    <x v="1"/>
    <x v="9"/>
    <x v="1"/>
    <x v="2"/>
    <n v="0"/>
  </r>
  <r>
    <x v="1"/>
    <x v="7"/>
    <x v="0"/>
    <x v="1"/>
    <x v="9"/>
    <x v="1"/>
    <x v="3"/>
    <n v="0"/>
  </r>
  <r>
    <x v="1"/>
    <x v="7"/>
    <x v="0"/>
    <x v="1"/>
    <x v="9"/>
    <x v="1"/>
    <x v="4"/>
    <n v="0"/>
  </r>
  <r>
    <x v="1"/>
    <x v="7"/>
    <x v="0"/>
    <x v="1"/>
    <x v="9"/>
    <x v="1"/>
    <x v="5"/>
    <n v="0"/>
  </r>
  <r>
    <x v="1"/>
    <x v="7"/>
    <x v="0"/>
    <x v="1"/>
    <x v="9"/>
    <x v="1"/>
    <x v="6"/>
    <n v="0"/>
  </r>
  <r>
    <x v="1"/>
    <x v="7"/>
    <x v="0"/>
    <x v="1"/>
    <x v="10"/>
    <x v="1"/>
    <x v="0"/>
    <n v="0"/>
  </r>
  <r>
    <x v="1"/>
    <x v="7"/>
    <x v="0"/>
    <x v="1"/>
    <x v="10"/>
    <x v="1"/>
    <x v="1"/>
    <n v="0"/>
  </r>
  <r>
    <x v="1"/>
    <x v="7"/>
    <x v="0"/>
    <x v="1"/>
    <x v="10"/>
    <x v="1"/>
    <x v="2"/>
    <n v="0"/>
  </r>
  <r>
    <x v="1"/>
    <x v="7"/>
    <x v="0"/>
    <x v="1"/>
    <x v="10"/>
    <x v="1"/>
    <x v="3"/>
    <n v="0"/>
  </r>
  <r>
    <x v="1"/>
    <x v="7"/>
    <x v="0"/>
    <x v="1"/>
    <x v="10"/>
    <x v="1"/>
    <x v="4"/>
    <n v="0"/>
  </r>
  <r>
    <x v="1"/>
    <x v="7"/>
    <x v="0"/>
    <x v="1"/>
    <x v="10"/>
    <x v="1"/>
    <x v="5"/>
    <n v="0"/>
  </r>
  <r>
    <x v="1"/>
    <x v="7"/>
    <x v="0"/>
    <x v="1"/>
    <x v="10"/>
    <x v="1"/>
    <x v="6"/>
    <n v="0"/>
  </r>
  <r>
    <x v="1"/>
    <x v="7"/>
    <x v="0"/>
    <x v="0"/>
    <x v="11"/>
    <x v="1"/>
    <x v="0"/>
    <n v="0"/>
  </r>
  <r>
    <x v="1"/>
    <x v="7"/>
    <x v="0"/>
    <x v="0"/>
    <x v="11"/>
    <x v="1"/>
    <x v="1"/>
    <n v="0"/>
  </r>
  <r>
    <x v="1"/>
    <x v="7"/>
    <x v="0"/>
    <x v="0"/>
    <x v="11"/>
    <x v="1"/>
    <x v="2"/>
    <n v="0"/>
  </r>
  <r>
    <x v="1"/>
    <x v="7"/>
    <x v="0"/>
    <x v="0"/>
    <x v="11"/>
    <x v="1"/>
    <x v="3"/>
    <n v="0"/>
  </r>
  <r>
    <x v="1"/>
    <x v="7"/>
    <x v="0"/>
    <x v="0"/>
    <x v="11"/>
    <x v="1"/>
    <x v="4"/>
    <n v="0"/>
  </r>
  <r>
    <x v="1"/>
    <x v="7"/>
    <x v="0"/>
    <x v="0"/>
    <x v="11"/>
    <x v="1"/>
    <x v="5"/>
    <n v="0"/>
  </r>
  <r>
    <x v="1"/>
    <x v="7"/>
    <x v="0"/>
    <x v="0"/>
    <x v="11"/>
    <x v="1"/>
    <x v="6"/>
    <n v="0"/>
  </r>
  <r>
    <x v="1"/>
    <x v="7"/>
    <x v="0"/>
    <x v="0"/>
    <x v="12"/>
    <x v="1"/>
    <x v="0"/>
    <n v="0"/>
  </r>
  <r>
    <x v="1"/>
    <x v="7"/>
    <x v="0"/>
    <x v="0"/>
    <x v="12"/>
    <x v="1"/>
    <x v="1"/>
    <n v="0"/>
  </r>
  <r>
    <x v="1"/>
    <x v="7"/>
    <x v="0"/>
    <x v="0"/>
    <x v="12"/>
    <x v="1"/>
    <x v="2"/>
    <n v="0"/>
  </r>
  <r>
    <x v="1"/>
    <x v="7"/>
    <x v="0"/>
    <x v="0"/>
    <x v="12"/>
    <x v="1"/>
    <x v="3"/>
    <n v="0"/>
  </r>
  <r>
    <x v="1"/>
    <x v="7"/>
    <x v="0"/>
    <x v="0"/>
    <x v="12"/>
    <x v="1"/>
    <x v="4"/>
    <n v="0"/>
  </r>
  <r>
    <x v="1"/>
    <x v="7"/>
    <x v="0"/>
    <x v="0"/>
    <x v="12"/>
    <x v="1"/>
    <x v="5"/>
    <n v="0"/>
  </r>
  <r>
    <x v="1"/>
    <x v="7"/>
    <x v="0"/>
    <x v="0"/>
    <x v="12"/>
    <x v="1"/>
    <x v="6"/>
    <n v="0"/>
  </r>
  <r>
    <x v="1"/>
    <x v="7"/>
    <x v="0"/>
    <x v="0"/>
    <x v="13"/>
    <x v="1"/>
    <x v="0"/>
    <n v="0"/>
  </r>
  <r>
    <x v="1"/>
    <x v="7"/>
    <x v="0"/>
    <x v="0"/>
    <x v="13"/>
    <x v="1"/>
    <x v="1"/>
    <n v="0"/>
  </r>
  <r>
    <x v="1"/>
    <x v="7"/>
    <x v="0"/>
    <x v="0"/>
    <x v="13"/>
    <x v="1"/>
    <x v="2"/>
    <n v="0"/>
  </r>
  <r>
    <x v="1"/>
    <x v="7"/>
    <x v="0"/>
    <x v="0"/>
    <x v="13"/>
    <x v="1"/>
    <x v="3"/>
    <n v="0"/>
  </r>
  <r>
    <x v="1"/>
    <x v="7"/>
    <x v="0"/>
    <x v="0"/>
    <x v="13"/>
    <x v="1"/>
    <x v="4"/>
    <n v="0"/>
  </r>
  <r>
    <x v="1"/>
    <x v="7"/>
    <x v="0"/>
    <x v="0"/>
    <x v="13"/>
    <x v="1"/>
    <x v="5"/>
    <n v="0"/>
  </r>
  <r>
    <x v="1"/>
    <x v="7"/>
    <x v="0"/>
    <x v="0"/>
    <x v="13"/>
    <x v="1"/>
    <x v="6"/>
    <n v="0"/>
  </r>
  <r>
    <x v="1"/>
    <x v="7"/>
    <x v="0"/>
    <x v="2"/>
    <x v="14"/>
    <x v="1"/>
    <x v="0"/>
    <n v="0"/>
  </r>
  <r>
    <x v="1"/>
    <x v="7"/>
    <x v="0"/>
    <x v="2"/>
    <x v="14"/>
    <x v="1"/>
    <x v="1"/>
    <n v="0"/>
  </r>
  <r>
    <x v="1"/>
    <x v="7"/>
    <x v="0"/>
    <x v="2"/>
    <x v="14"/>
    <x v="1"/>
    <x v="2"/>
    <n v="0"/>
  </r>
  <r>
    <x v="1"/>
    <x v="7"/>
    <x v="0"/>
    <x v="2"/>
    <x v="14"/>
    <x v="1"/>
    <x v="3"/>
    <n v="0"/>
  </r>
  <r>
    <x v="1"/>
    <x v="7"/>
    <x v="0"/>
    <x v="2"/>
    <x v="14"/>
    <x v="1"/>
    <x v="4"/>
    <n v="0"/>
  </r>
  <r>
    <x v="1"/>
    <x v="7"/>
    <x v="0"/>
    <x v="2"/>
    <x v="14"/>
    <x v="1"/>
    <x v="5"/>
    <n v="0"/>
  </r>
  <r>
    <x v="1"/>
    <x v="7"/>
    <x v="0"/>
    <x v="2"/>
    <x v="14"/>
    <x v="1"/>
    <x v="6"/>
    <n v="0"/>
  </r>
  <r>
    <x v="1"/>
    <x v="7"/>
    <x v="0"/>
    <x v="2"/>
    <x v="15"/>
    <x v="1"/>
    <x v="0"/>
    <n v="0"/>
  </r>
  <r>
    <x v="1"/>
    <x v="7"/>
    <x v="0"/>
    <x v="2"/>
    <x v="15"/>
    <x v="1"/>
    <x v="1"/>
    <n v="0"/>
  </r>
  <r>
    <x v="1"/>
    <x v="7"/>
    <x v="0"/>
    <x v="2"/>
    <x v="15"/>
    <x v="1"/>
    <x v="2"/>
    <n v="0"/>
  </r>
  <r>
    <x v="1"/>
    <x v="7"/>
    <x v="0"/>
    <x v="2"/>
    <x v="15"/>
    <x v="1"/>
    <x v="3"/>
    <n v="0"/>
  </r>
  <r>
    <x v="1"/>
    <x v="7"/>
    <x v="0"/>
    <x v="2"/>
    <x v="15"/>
    <x v="1"/>
    <x v="4"/>
    <n v="0"/>
  </r>
  <r>
    <x v="1"/>
    <x v="7"/>
    <x v="0"/>
    <x v="2"/>
    <x v="15"/>
    <x v="1"/>
    <x v="5"/>
    <n v="0"/>
  </r>
  <r>
    <x v="1"/>
    <x v="7"/>
    <x v="0"/>
    <x v="2"/>
    <x v="15"/>
    <x v="1"/>
    <x v="6"/>
    <n v="0"/>
  </r>
  <r>
    <x v="1"/>
    <x v="7"/>
    <x v="0"/>
    <x v="2"/>
    <x v="16"/>
    <x v="1"/>
    <x v="0"/>
    <n v="0"/>
  </r>
  <r>
    <x v="1"/>
    <x v="7"/>
    <x v="0"/>
    <x v="2"/>
    <x v="16"/>
    <x v="1"/>
    <x v="1"/>
    <n v="0"/>
  </r>
  <r>
    <x v="1"/>
    <x v="7"/>
    <x v="0"/>
    <x v="2"/>
    <x v="16"/>
    <x v="1"/>
    <x v="2"/>
    <n v="0"/>
  </r>
  <r>
    <x v="1"/>
    <x v="7"/>
    <x v="0"/>
    <x v="2"/>
    <x v="16"/>
    <x v="1"/>
    <x v="3"/>
    <n v="0"/>
  </r>
  <r>
    <x v="1"/>
    <x v="7"/>
    <x v="0"/>
    <x v="2"/>
    <x v="16"/>
    <x v="1"/>
    <x v="4"/>
    <n v="0"/>
  </r>
  <r>
    <x v="1"/>
    <x v="7"/>
    <x v="0"/>
    <x v="2"/>
    <x v="16"/>
    <x v="1"/>
    <x v="5"/>
    <n v="0"/>
  </r>
  <r>
    <x v="1"/>
    <x v="7"/>
    <x v="0"/>
    <x v="2"/>
    <x v="16"/>
    <x v="1"/>
    <x v="6"/>
    <n v="0"/>
  </r>
  <r>
    <x v="1"/>
    <x v="7"/>
    <x v="0"/>
    <x v="0"/>
    <x v="17"/>
    <x v="1"/>
    <x v="0"/>
    <n v="0"/>
  </r>
  <r>
    <x v="1"/>
    <x v="7"/>
    <x v="0"/>
    <x v="0"/>
    <x v="17"/>
    <x v="1"/>
    <x v="1"/>
    <n v="0"/>
  </r>
  <r>
    <x v="1"/>
    <x v="7"/>
    <x v="0"/>
    <x v="0"/>
    <x v="17"/>
    <x v="1"/>
    <x v="2"/>
    <n v="0"/>
  </r>
  <r>
    <x v="1"/>
    <x v="7"/>
    <x v="0"/>
    <x v="0"/>
    <x v="17"/>
    <x v="1"/>
    <x v="3"/>
    <n v="0"/>
  </r>
  <r>
    <x v="1"/>
    <x v="7"/>
    <x v="0"/>
    <x v="0"/>
    <x v="17"/>
    <x v="1"/>
    <x v="4"/>
    <n v="0"/>
  </r>
  <r>
    <x v="1"/>
    <x v="7"/>
    <x v="0"/>
    <x v="0"/>
    <x v="17"/>
    <x v="1"/>
    <x v="5"/>
    <n v="0"/>
  </r>
  <r>
    <x v="1"/>
    <x v="7"/>
    <x v="0"/>
    <x v="0"/>
    <x v="17"/>
    <x v="1"/>
    <x v="6"/>
    <n v="0"/>
  </r>
  <r>
    <x v="1"/>
    <x v="7"/>
    <x v="0"/>
    <x v="2"/>
    <x v="18"/>
    <x v="1"/>
    <x v="0"/>
    <n v="0"/>
  </r>
  <r>
    <x v="1"/>
    <x v="7"/>
    <x v="0"/>
    <x v="2"/>
    <x v="18"/>
    <x v="1"/>
    <x v="1"/>
    <n v="0"/>
  </r>
  <r>
    <x v="1"/>
    <x v="7"/>
    <x v="0"/>
    <x v="2"/>
    <x v="18"/>
    <x v="1"/>
    <x v="2"/>
    <n v="0"/>
  </r>
  <r>
    <x v="1"/>
    <x v="7"/>
    <x v="0"/>
    <x v="2"/>
    <x v="18"/>
    <x v="1"/>
    <x v="3"/>
    <n v="0"/>
  </r>
  <r>
    <x v="1"/>
    <x v="7"/>
    <x v="0"/>
    <x v="2"/>
    <x v="18"/>
    <x v="1"/>
    <x v="4"/>
    <n v="0"/>
  </r>
  <r>
    <x v="1"/>
    <x v="7"/>
    <x v="0"/>
    <x v="2"/>
    <x v="18"/>
    <x v="1"/>
    <x v="5"/>
    <n v="0"/>
  </r>
  <r>
    <x v="1"/>
    <x v="7"/>
    <x v="0"/>
    <x v="2"/>
    <x v="18"/>
    <x v="1"/>
    <x v="6"/>
    <n v="0"/>
  </r>
  <r>
    <x v="1"/>
    <x v="7"/>
    <x v="1"/>
    <x v="3"/>
    <x v="19"/>
    <x v="1"/>
    <x v="0"/>
    <n v="0"/>
  </r>
  <r>
    <x v="1"/>
    <x v="7"/>
    <x v="1"/>
    <x v="3"/>
    <x v="19"/>
    <x v="1"/>
    <x v="1"/>
    <n v="0"/>
  </r>
  <r>
    <x v="1"/>
    <x v="7"/>
    <x v="1"/>
    <x v="3"/>
    <x v="19"/>
    <x v="1"/>
    <x v="2"/>
    <n v="0"/>
  </r>
  <r>
    <x v="1"/>
    <x v="7"/>
    <x v="1"/>
    <x v="3"/>
    <x v="19"/>
    <x v="1"/>
    <x v="3"/>
    <n v="0"/>
  </r>
  <r>
    <x v="1"/>
    <x v="7"/>
    <x v="1"/>
    <x v="3"/>
    <x v="19"/>
    <x v="1"/>
    <x v="4"/>
    <n v="0"/>
  </r>
  <r>
    <x v="1"/>
    <x v="7"/>
    <x v="1"/>
    <x v="3"/>
    <x v="19"/>
    <x v="1"/>
    <x v="5"/>
    <n v="0"/>
  </r>
  <r>
    <x v="1"/>
    <x v="7"/>
    <x v="1"/>
    <x v="3"/>
    <x v="19"/>
    <x v="1"/>
    <x v="6"/>
    <n v="0"/>
  </r>
  <r>
    <x v="1"/>
    <x v="7"/>
    <x v="1"/>
    <x v="3"/>
    <x v="20"/>
    <x v="1"/>
    <x v="0"/>
    <n v="0"/>
  </r>
  <r>
    <x v="1"/>
    <x v="7"/>
    <x v="1"/>
    <x v="3"/>
    <x v="20"/>
    <x v="1"/>
    <x v="1"/>
    <n v="0"/>
  </r>
  <r>
    <x v="1"/>
    <x v="7"/>
    <x v="1"/>
    <x v="3"/>
    <x v="20"/>
    <x v="1"/>
    <x v="2"/>
    <n v="0"/>
  </r>
  <r>
    <x v="1"/>
    <x v="7"/>
    <x v="1"/>
    <x v="3"/>
    <x v="20"/>
    <x v="1"/>
    <x v="3"/>
    <n v="0"/>
  </r>
  <r>
    <x v="1"/>
    <x v="7"/>
    <x v="1"/>
    <x v="3"/>
    <x v="20"/>
    <x v="1"/>
    <x v="4"/>
    <n v="0"/>
  </r>
  <r>
    <x v="1"/>
    <x v="7"/>
    <x v="1"/>
    <x v="3"/>
    <x v="20"/>
    <x v="1"/>
    <x v="5"/>
    <n v="0"/>
  </r>
  <r>
    <x v="1"/>
    <x v="7"/>
    <x v="1"/>
    <x v="3"/>
    <x v="20"/>
    <x v="1"/>
    <x v="6"/>
    <n v="0"/>
  </r>
  <r>
    <x v="1"/>
    <x v="7"/>
    <x v="1"/>
    <x v="3"/>
    <x v="21"/>
    <x v="1"/>
    <x v="0"/>
    <n v="0"/>
  </r>
  <r>
    <x v="1"/>
    <x v="7"/>
    <x v="1"/>
    <x v="3"/>
    <x v="21"/>
    <x v="1"/>
    <x v="1"/>
    <n v="0"/>
  </r>
  <r>
    <x v="1"/>
    <x v="7"/>
    <x v="1"/>
    <x v="3"/>
    <x v="21"/>
    <x v="1"/>
    <x v="2"/>
    <n v="0"/>
  </r>
  <r>
    <x v="1"/>
    <x v="7"/>
    <x v="1"/>
    <x v="3"/>
    <x v="21"/>
    <x v="1"/>
    <x v="3"/>
    <n v="0"/>
  </r>
  <r>
    <x v="1"/>
    <x v="7"/>
    <x v="1"/>
    <x v="3"/>
    <x v="21"/>
    <x v="1"/>
    <x v="4"/>
    <n v="0"/>
  </r>
  <r>
    <x v="1"/>
    <x v="7"/>
    <x v="1"/>
    <x v="3"/>
    <x v="21"/>
    <x v="1"/>
    <x v="5"/>
    <n v="0"/>
  </r>
  <r>
    <x v="1"/>
    <x v="7"/>
    <x v="1"/>
    <x v="3"/>
    <x v="21"/>
    <x v="1"/>
    <x v="6"/>
    <n v="0"/>
  </r>
  <r>
    <x v="1"/>
    <x v="7"/>
    <x v="1"/>
    <x v="3"/>
    <x v="22"/>
    <x v="1"/>
    <x v="0"/>
    <n v="0"/>
  </r>
  <r>
    <x v="1"/>
    <x v="7"/>
    <x v="1"/>
    <x v="3"/>
    <x v="22"/>
    <x v="1"/>
    <x v="1"/>
    <n v="0"/>
  </r>
  <r>
    <x v="1"/>
    <x v="7"/>
    <x v="1"/>
    <x v="3"/>
    <x v="22"/>
    <x v="1"/>
    <x v="2"/>
    <n v="0"/>
  </r>
  <r>
    <x v="1"/>
    <x v="7"/>
    <x v="1"/>
    <x v="3"/>
    <x v="22"/>
    <x v="1"/>
    <x v="3"/>
    <n v="0"/>
  </r>
  <r>
    <x v="1"/>
    <x v="7"/>
    <x v="1"/>
    <x v="3"/>
    <x v="22"/>
    <x v="1"/>
    <x v="4"/>
    <n v="0"/>
  </r>
  <r>
    <x v="1"/>
    <x v="7"/>
    <x v="1"/>
    <x v="3"/>
    <x v="22"/>
    <x v="1"/>
    <x v="5"/>
    <n v="0"/>
  </r>
  <r>
    <x v="1"/>
    <x v="7"/>
    <x v="1"/>
    <x v="3"/>
    <x v="22"/>
    <x v="1"/>
    <x v="6"/>
    <n v="0"/>
  </r>
  <r>
    <x v="1"/>
    <x v="7"/>
    <x v="1"/>
    <x v="3"/>
    <x v="23"/>
    <x v="1"/>
    <x v="0"/>
    <n v="0"/>
  </r>
  <r>
    <x v="1"/>
    <x v="7"/>
    <x v="1"/>
    <x v="3"/>
    <x v="23"/>
    <x v="1"/>
    <x v="1"/>
    <n v="0"/>
  </r>
  <r>
    <x v="1"/>
    <x v="7"/>
    <x v="1"/>
    <x v="3"/>
    <x v="23"/>
    <x v="1"/>
    <x v="2"/>
    <n v="0"/>
  </r>
  <r>
    <x v="1"/>
    <x v="7"/>
    <x v="1"/>
    <x v="3"/>
    <x v="23"/>
    <x v="1"/>
    <x v="3"/>
    <n v="0"/>
  </r>
  <r>
    <x v="1"/>
    <x v="7"/>
    <x v="1"/>
    <x v="3"/>
    <x v="23"/>
    <x v="1"/>
    <x v="4"/>
    <n v="0"/>
  </r>
  <r>
    <x v="1"/>
    <x v="7"/>
    <x v="1"/>
    <x v="3"/>
    <x v="23"/>
    <x v="1"/>
    <x v="5"/>
    <n v="0"/>
  </r>
  <r>
    <x v="1"/>
    <x v="7"/>
    <x v="1"/>
    <x v="3"/>
    <x v="23"/>
    <x v="1"/>
    <x v="6"/>
    <n v="0"/>
  </r>
  <r>
    <x v="1"/>
    <x v="7"/>
    <x v="1"/>
    <x v="3"/>
    <x v="24"/>
    <x v="1"/>
    <x v="0"/>
    <n v="0"/>
  </r>
  <r>
    <x v="1"/>
    <x v="7"/>
    <x v="1"/>
    <x v="3"/>
    <x v="24"/>
    <x v="1"/>
    <x v="1"/>
    <n v="0"/>
  </r>
  <r>
    <x v="1"/>
    <x v="7"/>
    <x v="1"/>
    <x v="3"/>
    <x v="24"/>
    <x v="1"/>
    <x v="2"/>
    <n v="0"/>
  </r>
  <r>
    <x v="1"/>
    <x v="7"/>
    <x v="1"/>
    <x v="3"/>
    <x v="24"/>
    <x v="1"/>
    <x v="3"/>
    <n v="0"/>
  </r>
  <r>
    <x v="1"/>
    <x v="7"/>
    <x v="1"/>
    <x v="3"/>
    <x v="24"/>
    <x v="1"/>
    <x v="4"/>
    <n v="0"/>
  </r>
  <r>
    <x v="1"/>
    <x v="7"/>
    <x v="1"/>
    <x v="3"/>
    <x v="24"/>
    <x v="1"/>
    <x v="5"/>
    <n v="0"/>
  </r>
  <r>
    <x v="1"/>
    <x v="7"/>
    <x v="1"/>
    <x v="3"/>
    <x v="24"/>
    <x v="1"/>
    <x v="6"/>
    <n v="0"/>
  </r>
  <r>
    <x v="1"/>
    <x v="7"/>
    <x v="1"/>
    <x v="3"/>
    <x v="25"/>
    <x v="1"/>
    <x v="0"/>
    <n v="0"/>
  </r>
  <r>
    <x v="1"/>
    <x v="7"/>
    <x v="1"/>
    <x v="3"/>
    <x v="25"/>
    <x v="1"/>
    <x v="1"/>
    <n v="0"/>
  </r>
  <r>
    <x v="1"/>
    <x v="7"/>
    <x v="1"/>
    <x v="3"/>
    <x v="25"/>
    <x v="1"/>
    <x v="2"/>
    <n v="0"/>
  </r>
  <r>
    <x v="1"/>
    <x v="7"/>
    <x v="1"/>
    <x v="3"/>
    <x v="25"/>
    <x v="1"/>
    <x v="3"/>
    <n v="0"/>
  </r>
  <r>
    <x v="1"/>
    <x v="7"/>
    <x v="1"/>
    <x v="3"/>
    <x v="25"/>
    <x v="1"/>
    <x v="4"/>
    <n v="0"/>
  </r>
  <r>
    <x v="1"/>
    <x v="7"/>
    <x v="1"/>
    <x v="3"/>
    <x v="25"/>
    <x v="1"/>
    <x v="5"/>
    <n v="0"/>
  </r>
  <r>
    <x v="1"/>
    <x v="7"/>
    <x v="1"/>
    <x v="3"/>
    <x v="25"/>
    <x v="1"/>
    <x v="6"/>
    <n v="0"/>
  </r>
  <r>
    <x v="1"/>
    <x v="7"/>
    <x v="2"/>
    <x v="4"/>
    <x v="26"/>
    <x v="1"/>
    <x v="0"/>
    <n v="0"/>
  </r>
  <r>
    <x v="1"/>
    <x v="7"/>
    <x v="2"/>
    <x v="4"/>
    <x v="26"/>
    <x v="1"/>
    <x v="1"/>
    <n v="0"/>
  </r>
  <r>
    <x v="1"/>
    <x v="7"/>
    <x v="2"/>
    <x v="4"/>
    <x v="26"/>
    <x v="1"/>
    <x v="2"/>
    <n v="0"/>
  </r>
  <r>
    <x v="1"/>
    <x v="7"/>
    <x v="2"/>
    <x v="4"/>
    <x v="26"/>
    <x v="1"/>
    <x v="3"/>
    <n v="0"/>
  </r>
  <r>
    <x v="1"/>
    <x v="7"/>
    <x v="2"/>
    <x v="4"/>
    <x v="26"/>
    <x v="1"/>
    <x v="4"/>
    <n v="0"/>
  </r>
  <r>
    <x v="1"/>
    <x v="7"/>
    <x v="2"/>
    <x v="4"/>
    <x v="26"/>
    <x v="1"/>
    <x v="5"/>
    <n v="0"/>
  </r>
  <r>
    <x v="1"/>
    <x v="7"/>
    <x v="2"/>
    <x v="4"/>
    <x v="26"/>
    <x v="1"/>
    <x v="6"/>
    <n v="0"/>
  </r>
  <r>
    <x v="1"/>
    <x v="7"/>
    <x v="2"/>
    <x v="4"/>
    <x v="27"/>
    <x v="1"/>
    <x v="0"/>
    <n v="0"/>
  </r>
  <r>
    <x v="1"/>
    <x v="7"/>
    <x v="2"/>
    <x v="4"/>
    <x v="27"/>
    <x v="1"/>
    <x v="1"/>
    <n v="0"/>
  </r>
  <r>
    <x v="1"/>
    <x v="7"/>
    <x v="2"/>
    <x v="4"/>
    <x v="27"/>
    <x v="1"/>
    <x v="2"/>
    <n v="0"/>
  </r>
  <r>
    <x v="1"/>
    <x v="7"/>
    <x v="2"/>
    <x v="4"/>
    <x v="27"/>
    <x v="1"/>
    <x v="3"/>
    <n v="0"/>
  </r>
  <r>
    <x v="1"/>
    <x v="7"/>
    <x v="2"/>
    <x v="4"/>
    <x v="27"/>
    <x v="1"/>
    <x v="4"/>
    <n v="0"/>
  </r>
  <r>
    <x v="1"/>
    <x v="7"/>
    <x v="2"/>
    <x v="4"/>
    <x v="27"/>
    <x v="1"/>
    <x v="5"/>
    <n v="0"/>
  </r>
  <r>
    <x v="1"/>
    <x v="7"/>
    <x v="2"/>
    <x v="4"/>
    <x v="27"/>
    <x v="1"/>
    <x v="6"/>
    <n v="0"/>
  </r>
  <r>
    <x v="1"/>
    <x v="7"/>
    <x v="2"/>
    <x v="4"/>
    <x v="28"/>
    <x v="1"/>
    <x v="0"/>
    <n v="0"/>
  </r>
  <r>
    <x v="1"/>
    <x v="7"/>
    <x v="2"/>
    <x v="4"/>
    <x v="28"/>
    <x v="1"/>
    <x v="1"/>
    <n v="0"/>
  </r>
  <r>
    <x v="1"/>
    <x v="7"/>
    <x v="2"/>
    <x v="4"/>
    <x v="28"/>
    <x v="1"/>
    <x v="2"/>
    <n v="0"/>
  </r>
  <r>
    <x v="1"/>
    <x v="7"/>
    <x v="2"/>
    <x v="4"/>
    <x v="28"/>
    <x v="1"/>
    <x v="3"/>
    <n v="0"/>
  </r>
  <r>
    <x v="1"/>
    <x v="7"/>
    <x v="2"/>
    <x v="4"/>
    <x v="28"/>
    <x v="1"/>
    <x v="4"/>
    <n v="0"/>
  </r>
  <r>
    <x v="1"/>
    <x v="7"/>
    <x v="2"/>
    <x v="4"/>
    <x v="28"/>
    <x v="1"/>
    <x v="5"/>
    <n v="0"/>
  </r>
  <r>
    <x v="1"/>
    <x v="7"/>
    <x v="2"/>
    <x v="4"/>
    <x v="28"/>
    <x v="1"/>
    <x v="6"/>
    <n v="0"/>
  </r>
  <r>
    <x v="1"/>
    <x v="7"/>
    <x v="2"/>
    <x v="4"/>
    <x v="29"/>
    <x v="1"/>
    <x v="0"/>
    <n v="0"/>
  </r>
  <r>
    <x v="1"/>
    <x v="7"/>
    <x v="2"/>
    <x v="4"/>
    <x v="29"/>
    <x v="1"/>
    <x v="1"/>
    <n v="0"/>
  </r>
  <r>
    <x v="1"/>
    <x v="7"/>
    <x v="2"/>
    <x v="4"/>
    <x v="29"/>
    <x v="1"/>
    <x v="2"/>
    <n v="0"/>
  </r>
  <r>
    <x v="1"/>
    <x v="7"/>
    <x v="2"/>
    <x v="4"/>
    <x v="29"/>
    <x v="1"/>
    <x v="3"/>
    <n v="0"/>
  </r>
  <r>
    <x v="1"/>
    <x v="7"/>
    <x v="2"/>
    <x v="4"/>
    <x v="29"/>
    <x v="1"/>
    <x v="4"/>
    <n v="0"/>
  </r>
  <r>
    <x v="1"/>
    <x v="7"/>
    <x v="2"/>
    <x v="4"/>
    <x v="29"/>
    <x v="1"/>
    <x v="5"/>
    <n v="0"/>
  </r>
  <r>
    <x v="1"/>
    <x v="7"/>
    <x v="2"/>
    <x v="4"/>
    <x v="29"/>
    <x v="1"/>
    <x v="6"/>
    <n v="0"/>
  </r>
  <r>
    <x v="1"/>
    <x v="7"/>
    <x v="3"/>
    <x v="5"/>
    <x v="30"/>
    <x v="1"/>
    <x v="0"/>
    <n v="0"/>
  </r>
  <r>
    <x v="1"/>
    <x v="7"/>
    <x v="3"/>
    <x v="5"/>
    <x v="30"/>
    <x v="1"/>
    <x v="1"/>
    <n v="0"/>
  </r>
  <r>
    <x v="1"/>
    <x v="7"/>
    <x v="3"/>
    <x v="5"/>
    <x v="30"/>
    <x v="1"/>
    <x v="2"/>
    <n v="0"/>
  </r>
  <r>
    <x v="1"/>
    <x v="7"/>
    <x v="3"/>
    <x v="5"/>
    <x v="30"/>
    <x v="1"/>
    <x v="3"/>
    <n v="0"/>
  </r>
  <r>
    <x v="1"/>
    <x v="7"/>
    <x v="3"/>
    <x v="5"/>
    <x v="30"/>
    <x v="1"/>
    <x v="4"/>
    <n v="0"/>
  </r>
  <r>
    <x v="1"/>
    <x v="7"/>
    <x v="3"/>
    <x v="5"/>
    <x v="30"/>
    <x v="1"/>
    <x v="5"/>
    <n v="0"/>
  </r>
  <r>
    <x v="1"/>
    <x v="7"/>
    <x v="3"/>
    <x v="5"/>
    <x v="30"/>
    <x v="1"/>
    <x v="6"/>
    <n v="0"/>
  </r>
  <r>
    <x v="1"/>
    <x v="7"/>
    <x v="2"/>
    <x v="4"/>
    <x v="31"/>
    <x v="1"/>
    <x v="0"/>
    <n v="0"/>
  </r>
  <r>
    <x v="1"/>
    <x v="7"/>
    <x v="2"/>
    <x v="4"/>
    <x v="31"/>
    <x v="1"/>
    <x v="1"/>
    <n v="0"/>
  </r>
  <r>
    <x v="1"/>
    <x v="7"/>
    <x v="2"/>
    <x v="4"/>
    <x v="31"/>
    <x v="1"/>
    <x v="2"/>
    <n v="0"/>
  </r>
  <r>
    <x v="1"/>
    <x v="7"/>
    <x v="2"/>
    <x v="4"/>
    <x v="31"/>
    <x v="1"/>
    <x v="3"/>
    <n v="0"/>
  </r>
  <r>
    <x v="1"/>
    <x v="7"/>
    <x v="2"/>
    <x v="4"/>
    <x v="31"/>
    <x v="1"/>
    <x v="4"/>
    <n v="0"/>
  </r>
  <r>
    <x v="1"/>
    <x v="7"/>
    <x v="2"/>
    <x v="4"/>
    <x v="31"/>
    <x v="1"/>
    <x v="5"/>
    <n v="0"/>
  </r>
  <r>
    <x v="1"/>
    <x v="7"/>
    <x v="2"/>
    <x v="4"/>
    <x v="31"/>
    <x v="1"/>
    <x v="6"/>
    <n v="0"/>
  </r>
  <r>
    <x v="1"/>
    <x v="7"/>
    <x v="2"/>
    <x v="4"/>
    <x v="32"/>
    <x v="1"/>
    <x v="0"/>
    <n v="0"/>
  </r>
  <r>
    <x v="1"/>
    <x v="7"/>
    <x v="2"/>
    <x v="4"/>
    <x v="32"/>
    <x v="1"/>
    <x v="1"/>
    <n v="0"/>
  </r>
  <r>
    <x v="1"/>
    <x v="7"/>
    <x v="2"/>
    <x v="4"/>
    <x v="32"/>
    <x v="1"/>
    <x v="2"/>
    <n v="0"/>
  </r>
  <r>
    <x v="1"/>
    <x v="7"/>
    <x v="2"/>
    <x v="4"/>
    <x v="32"/>
    <x v="1"/>
    <x v="3"/>
    <n v="0"/>
  </r>
  <r>
    <x v="1"/>
    <x v="7"/>
    <x v="2"/>
    <x v="4"/>
    <x v="32"/>
    <x v="1"/>
    <x v="4"/>
    <n v="0"/>
  </r>
  <r>
    <x v="1"/>
    <x v="7"/>
    <x v="2"/>
    <x v="4"/>
    <x v="32"/>
    <x v="1"/>
    <x v="5"/>
    <n v="0"/>
  </r>
  <r>
    <x v="1"/>
    <x v="7"/>
    <x v="2"/>
    <x v="4"/>
    <x v="32"/>
    <x v="1"/>
    <x v="6"/>
    <n v="0"/>
  </r>
  <r>
    <x v="1"/>
    <x v="7"/>
    <x v="2"/>
    <x v="4"/>
    <x v="33"/>
    <x v="1"/>
    <x v="0"/>
    <n v="0"/>
  </r>
  <r>
    <x v="1"/>
    <x v="7"/>
    <x v="2"/>
    <x v="4"/>
    <x v="33"/>
    <x v="1"/>
    <x v="1"/>
    <n v="0"/>
  </r>
  <r>
    <x v="1"/>
    <x v="7"/>
    <x v="2"/>
    <x v="4"/>
    <x v="33"/>
    <x v="1"/>
    <x v="2"/>
    <n v="0"/>
  </r>
  <r>
    <x v="1"/>
    <x v="7"/>
    <x v="2"/>
    <x v="4"/>
    <x v="33"/>
    <x v="1"/>
    <x v="3"/>
    <n v="0"/>
  </r>
  <r>
    <x v="1"/>
    <x v="7"/>
    <x v="2"/>
    <x v="4"/>
    <x v="33"/>
    <x v="1"/>
    <x v="4"/>
    <n v="0"/>
  </r>
  <r>
    <x v="1"/>
    <x v="7"/>
    <x v="2"/>
    <x v="4"/>
    <x v="33"/>
    <x v="1"/>
    <x v="5"/>
    <n v="0"/>
  </r>
  <r>
    <x v="1"/>
    <x v="7"/>
    <x v="2"/>
    <x v="4"/>
    <x v="33"/>
    <x v="1"/>
    <x v="6"/>
    <n v="0"/>
  </r>
  <r>
    <x v="1"/>
    <x v="7"/>
    <x v="2"/>
    <x v="4"/>
    <x v="34"/>
    <x v="1"/>
    <x v="0"/>
    <n v="0"/>
  </r>
  <r>
    <x v="1"/>
    <x v="7"/>
    <x v="2"/>
    <x v="4"/>
    <x v="34"/>
    <x v="1"/>
    <x v="1"/>
    <n v="0"/>
  </r>
  <r>
    <x v="1"/>
    <x v="7"/>
    <x v="2"/>
    <x v="4"/>
    <x v="34"/>
    <x v="1"/>
    <x v="2"/>
    <n v="0"/>
  </r>
  <r>
    <x v="1"/>
    <x v="7"/>
    <x v="2"/>
    <x v="4"/>
    <x v="34"/>
    <x v="1"/>
    <x v="3"/>
    <n v="0"/>
  </r>
  <r>
    <x v="1"/>
    <x v="7"/>
    <x v="2"/>
    <x v="4"/>
    <x v="34"/>
    <x v="1"/>
    <x v="4"/>
    <n v="0"/>
  </r>
  <r>
    <x v="1"/>
    <x v="7"/>
    <x v="2"/>
    <x v="4"/>
    <x v="34"/>
    <x v="1"/>
    <x v="5"/>
    <n v="0"/>
  </r>
  <r>
    <x v="1"/>
    <x v="7"/>
    <x v="2"/>
    <x v="4"/>
    <x v="34"/>
    <x v="1"/>
    <x v="6"/>
    <n v="0"/>
  </r>
  <r>
    <x v="1"/>
    <x v="7"/>
    <x v="2"/>
    <x v="6"/>
    <x v="35"/>
    <x v="1"/>
    <x v="0"/>
    <n v="0"/>
  </r>
  <r>
    <x v="1"/>
    <x v="7"/>
    <x v="2"/>
    <x v="6"/>
    <x v="35"/>
    <x v="1"/>
    <x v="1"/>
    <n v="0"/>
  </r>
  <r>
    <x v="1"/>
    <x v="7"/>
    <x v="2"/>
    <x v="6"/>
    <x v="35"/>
    <x v="1"/>
    <x v="2"/>
    <n v="0"/>
  </r>
  <r>
    <x v="1"/>
    <x v="7"/>
    <x v="2"/>
    <x v="6"/>
    <x v="35"/>
    <x v="1"/>
    <x v="3"/>
    <n v="0"/>
  </r>
  <r>
    <x v="1"/>
    <x v="7"/>
    <x v="2"/>
    <x v="6"/>
    <x v="35"/>
    <x v="1"/>
    <x v="4"/>
    <n v="0"/>
  </r>
  <r>
    <x v="1"/>
    <x v="7"/>
    <x v="2"/>
    <x v="6"/>
    <x v="35"/>
    <x v="1"/>
    <x v="5"/>
    <n v="0"/>
  </r>
  <r>
    <x v="1"/>
    <x v="7"/>
    <x v="2"/>
    <x v="6"/>
    <x v="35"/>
    <x v="1"/>
    <x v="6"/>
    <n v="0"/>
  </r>
  <r>
    <x v="1"/>
    <x v="7"/>
    <x v="2"/>
    <x v="6"/>
    <x v="36"/>
    <x v="1"/>
    <x v="0"/>
    <n v="0"/>
  </r>
  <r>
    <x v="1"/>
    <x v="7"/>
    <x v="2"/>
    <x v="6"/>
    <x v="36"/>
    <x v="1"/>
    <x v="1"/>
    <n v="0"/>
  </r>
  <r>
    <x v="1"/>
    <x v="7"/>
    <x v="2"/>
    <x v="6"/>
    <x v="36"/>
    <x v="1"/>
    <x v="2"/>
    <n v="0"/>
  </r>
  <r>
    <x v="1"/>
    <x v="7"/>
    <x v="2"/>
    <x v="6"/>
    <x v="36"/>
    <x v="1"/>
    <x v="3"/>
    <n v="0"/>
  </r>
  <r>
    <x v="1"/>
    <x v="7"/>
    <x v="2"/>
    <x v="6"/>
    <x v="36"/>
    <x v="1"/>
    <x v="4"/>
    <n v="0"/>
  </r>
  <r>
    <x v="1"/>
    <x v="7"/>
    <x v="2"/>
    <x v="6"/>
    <x v="36"/>
    <x v="1"/>
    <x v="5"/>
    <n v="0"/>
  </r>
  <r>
    <x v="1"/>
    <x v="7"/>
    <x v="2"/>
    <x v="6"/>
    <x v="36"/>
    <x v="1"/>
    <x v="6"/>
    <n v="0"/>
  </r>
  <r>
    <x v="1"/>
    <x v="7"/>
    <x v="2"/>
    <x v="6"/>
    <x v="37"/>
    <x v="1"/>
    <x v="0"/>
    <n v="0"/>
  </r>
  <r>
    <x v="1"/>
    <x v="7"/>
    <x v="2"/>
    <x v="6"/>
    <x v="37"/>
    <x v="1"/>
    <x v="1"/>
    <n v="0"/>
  </r>
  <r>
    <x v="1"/>
    <x v="7"/>
    <x v="2"/>
    <x v="6"/>
    <x v="37"/>
    <x v="1"/>
    <x v="2"/>
    <n v="0"/>
  </r>
  <r>
    <x v="1"/>
    <x v="7"/>
    <x v="2"/>
    <x v="6"/>
    <x v="37"/>
    <x v="1"/>
    <x v="3"/>
    <n v="0"/>
  </r>
  <r>
    <x v="1"/>
    <x v="7"/>
    <x v="2"/>
    <x v="6"/>
    <x v="37"/>
    <x v="1"/>
    <x v="4"/>
    <n v="0"/>
  </r>
  <r>
    <x v="1"/>
    <x v="7"/>
    <x v="2"/>
    <x v="6"/>
    <x v="37"/>
    <x v="1"/>
    <x v="5"/>
    <n v="0"/>
  </r>
  <r>
    <x v="1"/>
    <x v="7"/>
    <x v="2"/>
    <x v="6"/>
    <x v="37"/>
    <x v="1"/>
    <x v="6"/>
    <n v="0"/>
  </r>
  <r>
    <x v="1"/>
    <x v="7"/>
    <x v="2"/>
    <x v="6"/>
    <x v="38"/>
    <x v="1"/>
    <x v="0"/>
    <n v="0"/>
  </r>
  <r>
    <x v="1"/>
    <x v="7"/>
    <x v="2"/>
    <x v="6"/>
    <x v="38"/>
    <x v="1"/>
    <x v="1"/>
    <n v="0"/>
  </r>
  <r>
    <x v="1"/>
    <x v="7"/>
    <x v="2"/>
    <x v="6"/>
    <x v="38"/>
    <x v="1"/>
    <x v="2"/>
    <n v="0"/>
  </r>
  <r>
    <x v="1"/>
    <x v="7"/>
    <x v="2"/>
    <x v="6"/>
    <x v="38"/>
    <x v="1"/>
    <x v="3"/>
    <n v="0"/>
  </r>
  <r>
    <x v="1"/>
    <x v="7"/>
    <x v="2"/>
    <x v="6"/>
    <x v="38"/>
    <x v="1"/>
    <x v="4"/>
    <n v="0"/>
  </r>
  <r>
    <x v="1"/>
    <x v="7"/>
    <x v="2"/>
    <x v="6"/>
    <x v="38"/>
    <x v="1"/>
    <x v="5"/>
    <n v="0"/>
  </r>
  <r>
    <x v="1"/>
    <x v="7"/>
    <x v="2"/>
    <x v="6"/>
    <x v="38"/>
    <x v="1"/>
    <x v="6"/>
    <n v="0"/>
  </r>
  <r>
    <x v="1"/>
    <x v="7"/>
    <x v="3"/>
    <x v="5"/>
    <x v="39"/>
    <x v="1"/>
    <x v="0"/>
    <n v="0"/>
  </r>
  <r>
    <x v="1"/>
    <x v="7"/>
    <x v="3"/>
    <x v="5"/>
    <x v="39"/>
    <x v="1"/>
    <x v="1"/>
    <n v="0"/>
  </r>
  <r>
    <x v="1"/>
    <x v="7"/>
    <x v="3"/>
    <x v="5"/>
    <x v="39"/>
    <x v="1"/>
    <x v="2"/>
    <n v="0"/>
  </r>
  <r>
    <x v="1"/>
    <x v="7"/>
    <x v="3"/>
    <x v="5"/>
    <x v="39"/>
    <x v="1"/>
    <x v="3"/>
    <n v="0"/>
  </r>
  <r>
    <x v="1"/>
    <x v="7"/>
    <x v="3"/>
    <x v="5"/>
    <x v="39"/>
    <x v="1"/>
    <x v="4"/>
    <n v="0"/>
  </r>
  <r>
    <x v="1"/>
    <x v="7"/>
    <x v="3"/>
    <x v="5"/>
    <x v="39"/>
    <x v="1"/>
    <x v="5"/>
    <n v="0"/>
  </r>
  <r>
    <x v="1"/>
    <x v="7"/>
    <x v="3"/>
    <x v="5"/>
    <x v="39"/>
    <x v="1"/>
    <x v="6"/>
    <n v="0"/>
  </r>
  <r>
    <x v="1"/>
    <x v="7"/>
    <x v="2"/>
    <x v="6"/>
    <x v="40"/>
    <x v="1"/>
    <x v="0"/>
    <n v="0"/>
  </r>
  <r>
    <x v="1"/>
    <x v="7"/>
    <x v="2"/>
    <x v="6"/>
    <x v="40"/>
    <x v="1"/>
    <x v="1"/>
    <n v="0"/>
  </r>
  <r>
    <x v="1"/>
    <x v="7"/>
    <x v="2"/>
    <x v="6"/>
    <x v="40"/>
    <x v="1"/>
    <x v="2"/>
    <n v="0"/>
  </r>
  <r>
    <x v="1"/>
    <x v="7"/>
    <x v="2"/>
    <x v="6"/>
    <x v="40"/>
    <x v="1"/>
    <x v="3"/>
    <n v="0"/>
  </r>
  <r>
    <x v="1"/>
    <x v="7"/>
    <x v="2"/>
    <x v="6"/>
    <x v="40"/>
    <x v="1"/>
    <x v="4"/>
    <n v="0"/>
  </r>
  <r>
    <x v="1"/>
    <x v="7"/>
    <x v="2"/>
    <x v="6"/>
    <x v="40"/>
    <x v="1"/>
    <x v="5"/>
    <n v="0"/>
  </r>
  <r>
    <x v="1"/>
    <x v="7"/>
    <x v="2"/>
    <x v="6"/>
    <x v="40"/>
    <x v="1"/>
    <x v="6"/>
    <n v="0"/>
  </r>
  <r>
    <x v="1"/>
    <x v="7"/>
    <x v="2"/>
    <x v="6"/>
    <x v="41"/>
    <x v="1"/>
    <x v="0"/>
    <n v="0"/>
  </r>
  <r>
    <x v="1"/>
    <x v="7"/>
    <x v="2"/>
    <x v="6"/>
    <x v="41"/>
    <x v="1"/>
    <x v="1"/>
    <n v="0"/>
  </r>
  <r>
    <x v="1"/>
    <x v="7"/>
    <x v="2"/>
    <x v="6"/>
    <x v="41"/>
    <x v="1"/>
    <x v="2"/>
    <n v="0"/>
  </r>
  <r>
    <x v="1"/>
    <x v="7"/>
    <x v="2"/>
    <x v="6"/>
    <x v="41"/>
    <x v="1"/>
    <x v="3"/>
    <n v="0"/>
  </r>
  <r>
    <x v="1"/>
    <x v="7"/>
    <x v="2"/>
    <x v="6"/>
    <x v="41"/>
    <x v="1"/>
    <x v="4"/>
    <n v="0"/>
  </r>
  <r>
    <x v="1"/>
    <x v="7"/>
    <x v="2"/>
    <x v="6"/>
    <x v="41"/>
    <x v="1"/>
    <x v="5"/>
    <n v="0"/>
  </r>
  <r>
    <x v="1"/>
    <x v="7"/>
    <x v="2"/>
    <x v="6"/>
    <x v="41"/>
    <x v="1"/>
    <x v="6"/>
    <n v="0"/>
  </r>
  <r>
    <x v="1"/>
    <x v="7"/>
    <x v="2"/>
    <x v="6"/>
    <x v="42"/>
    <x v="1"/>
    <x v="0"/>
    <n v="0"/>
  </r>
  <r>
    <x v="1"/>
    <x v="7"/>
    <x v="2"/>
    <x v="6"/>
    <x v="42"/>
    <x v="1"/>
    <x v="1"/>
    <n v="0"/>
  </r>
  <r>
    <x v="1"/>
    <x v="7"/>
    <x v="2"/>
    <x v="6"/>
    <x v="42"/>
    <x v="1"/>
    <x v="2"/>
    <n v="0"/>
  </r>
  <r>
    <x v="1"/>
    <x v="7"/>
    <x v="2"/>
    <x v="6"/>
    <x v="42"/>
    <x v="1"/>
    <x v="3"/>
    <n v="0"/>
  </r>
  <r>
    <x v="1"/>
    <x v="7"/>
    <x v="2"/>
    <x v="6"/>
    <x v="42"/>
    <x v="1"/>
    <x v="4"/>
    <n v="0"/>
  </r>
  <r>
    <x v="1"/>
    <x v="7"/>
    <x v="2"/>
    <x v="6"/>
    <x v="42"/>
    <x v="1"/>
    <x v="5"/>
    <n v="0"/>
  </r>
  <r>
    <x v="1"/>
    <x v="7"/>
    <x v="2"/>
    <x v="6"/>
    <x v="42"/>
    <x v="1"/>
    <x v="6"/>
    <n v="0"/>
  </r>
  <r>
    <x v="1"/>
    <x v="7"/>
    <x v="2"/>
    <x v="6"/>
    <x v="43"/>
    <x v="1"/>
    <x v="0"/>
    <n v="0"/>
  </r>
  <r>
    <x v="1"/>
    <x v="7"/>
    <x v="2"/>
    <x v="6"/>
    <x v="43"/>
    <x v="1"/>
    <x v="1"/>
    <n v="0"/>
  </r>
  <r>
    <x v="1"/>
    <x v="7"/>
    <x v="2"/>
    <x v="6"/>
    <x v="43"/>
    <x v="1"/>
    <x v="2"/>
    <n v="0"/>
  </r>
  <r>
    <x v="1"/>
    <x v="7"/>
    <x v="2"/>
    <x v="6"/>
    <x v="43"/>
    <x v="1"/>
    <x v="3"/>
    <n v="0"/>
  </r>
  <r>
    <x v="1"/>
    <x v="7"/>
    <x v="2"/>
    <x v="6"/>
    <x v="43"/>
    <x v="1"/>
    <x v="4"/>
    <n v="0"/>
  </r>
  <r>
    <x v="1"/>
    <x v="7"/>
    <x v="2"/>
    <x v="6"/>
    <x v="43"/>
    <x v="1"/>
    <x v="5"/>
    <n v="0"/>
  </r>
  <r>
    <x v="1"/>
    <x v="7"/>
    <x v="2"/>
    <x v="6"/>
    <x v="43"/>
    <x v="1"/>
    <x v="6"/>
    <n v="0"/>
  </r>
  <r>
    <x v="1"/>
    <x v="6"/>
    <x v="4"/>
    <x v="7"/>
    <x v="61"/>
    <x v="1"/>
    <x v="0"/>
    <n v="0"/>
  </r>
  <r>
    <x v="1"/>
    <x v="6"/>
    <x v="4"/>
    <x v="7"/>
    <x v="61"/>
    <x v="1"/>
    <x v="1"/>
    <n v="0"/>
  </r>
  <r>
    <x v="1"/>
    <x v="6"/>
    <x v="4"/>
    <x v="7"/>
    <x v="61"/>
    <x v="1"/>
    <x v="2"/>
    <n v="0"/>
  </r>
  <r>
    <x v="1"/>
    <x v="6"/>
    <x v="4"/>
    <x v="7"/>
    <x v="61"/>
    <x v="1"/>
    <x v="3"/>
    <n v="0"/>
  </r>
  <r>
    <x v="1"/>
    <x v="6"/>
    <x v="4"/>
    <x v="7"/>
    <x v="61"/>
    <x v="1"/>
    <x v="4"/>
    <n v="0"/>
  </r>
  <r>
    <x v="1"/>
    <x v="6"/>
    <x v="4"/>
    <x v="7"/>
    <x v="61"/>
    <x v="1"/>
    <x v="5"/>
    <n v="0"/>
  </r>
  <r>
    <x v="1"/>
    <x v="6"/>
    <x v="4"/>
    <x v="7"/>
    <x v="61"/>
    <x v="1"/>
    <x v="6"/>
    <n v="0"/>
  </r>
  <r>
    <x v="1"/>
    <x v="6"/>
    <x v="4"/>
    <x v="7"/>
    <x v="62"/>
    <x v="1"/>
    <x v="0"/>
    <n v="0"/>
  </r>
  <r>
    <x v="1"/>
    <x v="6"/>
    <x v="4"/>
    <x v="7"/>
    <x v="62"/>
    <x v="1"/>
    <x v="1"/>
    <n v="0"/>
  </r>
  <r>
    <x v="1"/>
    <x v="6"/>
    <x v="4"/>
    <x v="7"/>
    <x v="62"/>
    <x v="1"/>
    <x v="2"/>
    <n v="0"/>
  </r>
  <r>
    <x v="1"/>
    <x v="6"/>
    <x v="4"/>
    <x v="7"/>
    <x v="62"/>
    <x v="1"/>
    <x v="3"/>
    <n v="0"/>
  </r>
  <r>
    <x v="1"/>
    <x v="6"/>
    <x v="4"/>
    <x v="7"/>
    <x v="62"/>
    <x v="1"/>
    <x v="4"/>
    <n v="0"/>
  </r>
  <r>
    <x v="1"/>
    <x v="6"/>
    <x v="4"/>
    <x v="7"/>
    <x v="62"/>
    <x v="1"/>
    <x v="5"/>
    <n v="0"/>
  </r>
  <r>
    <x v="1"/>
    <x v="6"/>
    <x v="4"/>
    <x v="7"/>
    <x v="62"/>
    <x v="1"/>
    <x v="6"/>
    <n v="0"/>
  </r>
  <r>
    <x v="1"/>
    <x v="6"/>
    <x v="4"/>
    <x v="7"/>
    <x v="63"/>
    <x v="1"/>
    <x v="0"/>
    <n v="0"/>
  </r>
  <r>
    <x v="1"/>
    <x v="6"/>
    <x v="4"/>
    <x v="7"/>
    <x v="63"/>
    <x v="1"/>
    <x v="1"/>
    <n v="0"/>
  </r>
  <r>
    <x v="1"/>
    <x v="6"/>
    <x v="4"/>
    <x v="7"/>
    <x v="63"/>
    <x v="1"/>
    <x v="2"/>
    <n v="0"/>
  </r>
  <r>
    <x v="1"/>
    <x v="6"/>
    <x v="4"/>
    <x v="7"/>
    <x v="63"/>
    <x v="1"/>
    <x v="3"/>
    <n v="0"/>
  </r>
  <r>
    <x v="1"/>
    <x v="6"/>
    <x v="4"/>
    <x v="7"/>
    <x v="63"/>
    <x v="1"/>
    <x v="4"/>
    <n v="0"/>
  </r>
  <r>
    <x v="1"/>
    <x v="6"/>
    <x v="4"/>
    <x v="7"/>
    <x v="63"/>
    <x v="1"/>
    <x v="5"/>
    <n v="0"/>
  </r>
  <r>
    <x v="1"/>
    <x v="6"/>
    <x v="4"/>
    <x v="7"/>
    <x v="63"/>
    <x v="1"/>
    <x v="6"/>
    <n v="0"/>
  </r>
  <r>
    <x v="1"/>
    <x v="6"/>
    <x v="4"/>
    <x v="7"/>
    <x v="64"/>
    <x v="1"/>
    <x v="0"/>
    <n v="0"/>
  </r>
  <r>
    <x v="1"/>
    <x v="6"/>
    <x v="4"/>
    <x v="7"/>
    <x v="64"/>
    <x v="1"/>
    <x v="1"/>
    <n v="0"/>
  </r>
  <r>
    <x v="1"/>
    <x v="6"/>
    <x v="4"/>
    <x v="7"/>
    <x v="64"/>
    <x v="1"/>
    <x v="2"/>
    <n v="0"/>
  </r>
  <r>
    <x v="1"/>
    <x v="6"/>
    <x v="4"/>
    <x v="7"/>
    <x v="64"/>
    <x v="1"/>
    <x v="3"/>
    <n v="0"/>
  </r>
  <r>
    <x v="1"/>
    <x v="6"/>
    <x v="4"/>
    <x v="7"/>
    <x v="64"/>
    <x v="1"/>
    <x v="4"/>
    <n v="0"/>
  </r>
  <r>
    <x v="1"/>
    <x v="6"/>
    <x v="4"/>
    <x v="7"/>
    <x v="64"/>
    <x v="1"/>
    <x v="5"/>
    <n v="0"/>
  </r>
  <r>
    <x v="1"/>
    <x v="6"/>
    <x v="4"/>
    <x v="7"/>
    <x v="64"/>
    <x v="1"/>
    <x v="6"/>
    <n v="0"/>
  </r>
  <r>
    <x v="1"/>
    <x v="7"/>
    <x v="4"/>
    <x v="7"/>
    <x v="44"/>
    <x v="1"/>
    <x v="0"/>
    <n v="0"/>
  </r>
  <r>
    <x v="1"/>
    <x v="7"/>
    <x v="4"/>
    <x v="7"/>
    <x v="44"/>
    <x v="1"/>
    <x v="1"/>
    <n v="0"/>
  </r>
  <r>
    <x v="1"/>
    <x v="7"/>
    <x v="4"/>
    <x v="7"/>
    <x v="44"/>
    <x v="1"/>
    <x v="2"/>
    <n v="0"/>
  </r>
  <r>
    <x v="1"/>
    <x v="7"/>
    <x v="4"/>
    <x v="7"/>
    <x v="44"/>
    <x v="1"/>
    <x v="3"/>
    <n v="0"/>
  </r>
  <r>
    <x v="1"/>
    <x v="7"/>
    <x v="4"/>
    <x v="7"/>
    <x v="44"/>
    <x v="1"/>
    <x v="4"/>
    <n v="0"/>
  </r>
  <r>
    <x v="1"/>
    <x v="7"/>
    <x v="4"/>
    <x v="7"/>
    <x v="44"/>
    <x v="1"/>
    <x v="5"/>
    <n v="0"/>
  </r>
  <r>
    <x v="1"/>
    <x v="7"/>
    <x v="4"/>
    <x v="7"/>
    <x v="44"/>
    <x v="1"/>
    <x v="6"/>
    <n v="0"/>
  </r>
  <r>
    <x v="1"/>
    <x v="7"/>
    <x v="4"/>
    <x v="7"/>
    <x v="45"/>
    <x v="1"/>
    <x v="0"/>
    <n v="0"/>
  </r>
  <r>
    <x v="1"/>
    <x v="7"/>
    <x v="4"/>
    <x v="7"/>
    <x v="45"/>
    <x v="1"/>
    <x v="1"/>
    <n v="0"/>
  </r>
  <r>
    <x v="1"/>
    <x v="7"/>
    <x v="4"/>
    <x v="7"/>
    <x v="45"/>
    <x v="1"/>
    <x v="2"/>
    <n v="0"/>
  </r>
  <r>
    <x v="1"/>
    <x v="7"/>
    <x v="4"/>
    <x v="7"/>
    <x v="45"/>
    <x v="1"/>
    <x v="3"/>
    <n v="0"/>
  </r>
  <r>
    <x v="1"/>
    <x v="7"/>
    <x v="4"/>
    <x v="7"/>
    <x v="45"/>
    <x v="1"/>
    <x v="4"/>
    <n v="0"/>
  </r>
  <r>
    <x v="1"/>
    <x v="7"/>
    <x v="4"/>
    <x v="7"/>
    <x v="45"/>
    <x v="1"/>
    <x v="5"/>
    <n v="0"/>
  </r>
  <r>
    <x v="1"/>
    <x v="7"/>
    <x v="4"/>
    <x v="7"/>
    <x v="45"/>
    <x v="1"/>
    <x v="6"/>
    <n v="0"/>
  </r>
  <r>
    <x v="1"/>
    <x v="7"/>
    <x v="4"/>
    <x v="7"/>
    <x v="46"/>
    <x v="1"/>
    <x v="0"/>
    <n v="0"/>
  </r>
  <r>
    <x v="1"/>
    <x v="7"/>
    <x v="4"/>
    <x v="7"/>
    <x v="46"/>
    <x v="1"/>
    <x v="1"/>
    <n v="0"/>
  </r>
  <r>
    <x v="1"/>
    <x v="7"/>
    <x v="4"/>
    <x v="7"/>
    <x v="46"/>
    <x v="1"/>
    <x v="2"/>
    <n v="0"/>
  </r>
  <r>
    <x v="1"/>
    <x v="7"/>
    <x v="4"/>
    <x v="7"/>
    <x v="46"/>
    <x v="1"/>
    <x v="3"/>
    <n v="0"/>
  </r>
  <r>
    <x v="1"/>
    <x v="7"/>
    <x v="4"/>
    <x v="7"/>
    <x v="46"/>
    <x v="1"/>
    <x v="4"/>
    <n v="0"/>
  </r>
  <r>
    <x v="1"/>
    <x v="7"/>
    <x v="4"/>
    <x v="7"/>
    <x v="46"/>
    <x v="1"/>
    <x v="5"/>
    <n v="0"/>
  </r>
  <r>
    <x v="1"/>
    <x v="7"/>
    <x v="4"/>
    <x v="7"/>
    <x v="46"/>
    <x v="1"/>
    <x v="6"/>
    <n v="0"/>
  </r>
  <r>
    <x v="1"/>
    <x v="7"/>
    <x v="5"/>
    <x v="8"/>
    <x v="51"/>
    <x v="1"/>
    <x v="0"/>
    <n v="0"/>
  </r>
  <r>
    <x v="1"/>
    <x v="7"/>
    <x v="5"/>
    <x v="8"/>
    <x v="51"/>
    <x v="1"/>
    <x v="1"/>
    <n v="0"/>
  </r>
  <r>
    <x v="1"/>
    <x v="7"/>
    <x v="5"/>
    <x v="8"/>
    <x v="51"/>
    <x v="1"/>
    <x v="2"/>
    <n v="0"/>
  </r>
  <r>
    <x v="1"/>
    <x v="7"/>
    <x v="5"/>
    <x v="8"/>
    <x v="51"/>
    <x v="1"/>
    <x v="3"/>
    <n v="0"/>
  </r>
  <r>
    <x v="1"/>
    <x v="7"/>
    <x v="5"/>
    <x v="8"/>
    <x v="51"/>
    <x v="1"/>
    <x v="4"/>
    <n v="0"/>
  </r>
  <r>
    <x v="1"/>
    <x v="7"/>
    <x v="5"/>
    <x v="8"/>
    <x v="51"/>
    <x v="1"/>
    <x v="5"/>
    <n v="0"/>
  </r>
  <r>
    <x v="1"/>
    <x v="7"/>
    <x v="5"/>
    <x v="8"/>
    <x v="51"/>
    <x v="1"/>
    <x v="6"/>
    <n v="0"/>
  </r>
  <r>
    <x v="1"/>
    <x v="7"/>
    <x v="3"/>
    <x v="5"/>
    <x v="52"/>
    <x v="1"/>
    <x v="0"/>
    <n v="0"/>
  </r>
  <r>
    <x v="1"/>
    <x v="7"/>
    <x v="3"/>
    <x v="5"/>
    <x v="52"/>
    <x v="1"/>
    <x v="1"/>
    <n v="0"/>
  </r>
  <r>
    <x v="1"/>
    <x v="7"/>
    <x v="3"/>
    <x v="5"/>
    <x v="52"/>
    <x v="1"/>
    <x v="2"/>
    <n v="0"/>
  </r>
  <r>
    <x v="1"/>
    <x v="7"/>
    <x v="3"/>
    <x v="5"/>
    <x v="52"/>
    <x v="1"/>
    <x v="3"/>
    <n v="0"/>
  </r>
  <r>
    <x v="1"/>
    <x v="7"/>
    <x v="3"/>
    <x v="5"/>
    <x v="52"/>
    <x v="1"/>
    <x v="4"/>
    <n v="0"/>
  </r>
  <r>
    <x v="1"/>
    <x v="7"/>
    <x v="3"/>
    <x v="5"/>
    <x v="52"/>
    <x v="1"/>
    <x v="5"/>
    <n v="0"/>
  </r>
  <r>
    <x v="1"/>
    <x v="7"/>
    <x v="3"/>
    <x v="5"/>
    <x v="52"/>
    <x v="1"/>
    <x v="6"/>
    <n v="0"/>
  </r>
  <r>
    <x v="1"/>
    <x v="7"/>
    <x v="5"/>
    <x v="8"/>
    <x v="53"/>
    <x v="1"/>
    <x v="0"/>
    <n v="0"/>
  </r>
  <r>
    <x v="1"/>
    <x v="7"/>
    <x v="5"/>
    <x v="8"/>
    <x v="53"/>
    <x v="1"/>
    <x v="1"/>
    <n v="0"/>
  </r>
  <r>
    <x v="1"/>
    <x v="7"/>
    <x v="5"/>
    <x v="8"/>
    <x v="53"/>
    <x v="1"/>
    <x v="2"/>
    <n v="0"/>
  </r>
  <r>
    <x v="1"/>
    <x v="7"/>
    <x v="5"/>
    <x v="8"/>
    <x v="53"/>
    <x v="1"/>
    <x v="3"/>
    <n v="0"/>
  </r>
  <r>
    <x v="1"/>
    <x v="7"/>
    <x v="5"/>
    <x v="8"/>
    <x v="53"/>
    <x v="1"/>
    <x v="4"/>
    <n v="0"/>
  </r>
  <r>
    <x v="1"/>
    <x v="7"/>
    <x v="5"/>
    <x v="8"/>
    <x v="53"/>
    <x v="1"/>
    <x v="5"/>
    <n v="0"/>
  </r>
  <r>
    <x v="1"/>
    <x v="7"/>
    <x v="5"/>
    <x v="8"/>
    <x v="53"/>
    <x v="1"/>
    <x v="6"/>
    <n v="0"/>
  </r>
  <r>
    <x v="1"/>
    <x v="7"/>
    <x v="4"/>
    <x v="7"/>
    <x v="47"/>
    <x v="1"/>
    <x v="0"/>
    <n v="0"/>
  </r>
  <r>
    <x v="1"/>
    <x v="7"/>
    <x v="4"/>
    <x v="7"/>
    <x v="47"/>
    <x v="1"/>
    <x v="1"/>
    <n v="0"/>
  </r>
  <r>
    <x v="1"/>
    <x v="7"/>
    <x v="4"/>
    <x v="7"/>
    <x v="47"/>
    <x v="1"/>
    <x v="2"/>
    <n v="0"/>
  </r>
  <r>
    <x v="1"/>
    <x v="7"/>
    <x v="4"/>
    <x v="7"/>
    <x v="47"/>
    <x v="1"/>
    <x v="3"/>
    <n v="0"/>
  </r>
  <r>
    <x v="1"/>
    <x v="7"/>
    <x v="4"/>
    <x v="7"/>
    <x v="47"/>
    <x v="1"/>
    <x v="4"/>
    <n v="0"/>
  </r>
  <r>
    <x v="1"/>
    <x v="7"/>
    <x v="4"/>
    <x v="7"/>
    <x v="47"/>
    <x v="1"/>
    <x v="5"/>
    <n v="0"/>
  </r>
  <r>
    <x v="1"/>
    <x v="7"/>
    <x v="4"/>
    <x v="7"/>
    <x v="47"/>
    <x v="1"/>
    <x v="6"/>
    <n v="0"/>
  </r>
  <r>
    <x v="1"/>
    <x v="7"/>
    <x v="4"/>
    <x v="7"/>
    <x v="48"/>
    <x v="1"/>
    <x v="0"/>
    <n v="0"/>
  </r>
  <r>
    <x v="1"/>
    <x v="7"/>
    <x v="4"/>
    <x v="7"/>
    <x v="48"/>
    <x v="1"/>
    <x v="1"/>
    <n v="0"/>
  </r>
  <r>
    <x v="1"/>
    <x v="7"/>
    <x v="4"/>
    <x v="7"/>
    <x v="48"/>
    <x v="1"/>
    <x v="2"/>
    <n v="0"/>
  </r>
  <r>
    <x v="1"/>
    <x v="7"/>
    <x v="4"/>
    <x v="7"/>
    <x v="48"/>
    <x v="1"/>
    <x v="3"/>
    <n v="0"/>
  </r>
  <r>
    <x v="1"/>
    <x v="7"/>
    <x v="4"/>
    <x v="7"/>
    <x v="48"/>
    <x v="1"/>
    <x v="4"/>
    <n v="0"/>
  </r>
  <r>
    <x v="1"/>
    <x v="7"/>
    <x v="4"/>
    <x v="7"/>
    <x v="48"/>
    <x v="1"/>
    <x v="5"/>
    <n v="0"/>
  </r>
  <r>
    <x v="1"/>
    <x v="7"/>
    <x v="4"/>
    <x v="7"/>
    <x v="48"/>
    <x v="1"/>
    <x v="6"/>
    <n v="0"/>
  </r>
  <r>
    <x v="1"/>
    <x v="7"/>
    <x v="4"/>
    <x v="7"/>
    <x v="49"/>
    <x v="1"/>
    <x v="0"/>
    <n v="0"/>
  </r>
  <r>
    <x v="1"/>
    <x v="7"/>
    <x v="4"/>
    <x v="7"/>
    <x v="49"/>
    <x v="1"/>
    <x v="1"/>
    <n v="0"/>
  </r>
  <r>
    <x v="1"/>
    <x v="7"/>
    <x v="4"/>
    <x v="7"/>
    <x v="49"/>
    <x v="1"/>
    <x v="2"/>
    <n v="0"/>
  </r>
  <r>
    <x v="1"/>
    <x v="7"/>
    <x v="4"/>
    <x v="7"/>
    <x v="49"/>
    <x v="1"/>
    <x v="3"/>
    <n v="0"/>
  </r>
  <r>
    <x v="1"/>
    <x v="7"/>
    <x v="4"/>
    <x v="7"/>
    <x v="49"/>
    <x v="1"/>
    <x v="4"/>
    <n v="0"/>
  </r>
  <r>
    <x v="1"/>
    <x v="7"/>
    <x v="4"/>
    <x v="7"/>
    <x v="49"/>
    <x v="1"/>
    <x v="5"/>
    <n v="0"/>
  </r>
  <r>
    <x v="1"/>
    <x v="7"/>
    <x v="4"/>
    <x v="7"/>
    <x v="49"/>
    <x v="1"/>
    <x v="6"/>
    <n v="0"/>
  </r>
  <r>
    <x v="1"/>
    <x v="7"/>
    <x v="4"/>
    <x v="7"/>
    <x v="50"/>
    <x v="1"/>
    <x v="0"/>
    <n v="0"/>
  </r>
  <r>
    <x v="1"/>
    <x v="7"/>
    <x v="4"/>
    <x v="7"/>
    <x v="50"/>
    <x v="1"/>
    <x v="1"/>
    <n v="0"/>
  </r>
  <r>
    <x v="1"/>
    <x v="7"/>
    <x v="4"/>
    <x v="7"/>
    <x v="50"/>
    <x v="1"/>
    <x v="2"/>
    <n v="0"/>
  </r>
  <r>
    <x v="1"/>
    <x v="7"/>
    <x v="4"/>
    <x v="7"/>
    <x v="50"/>
    <x v="1"/>
    <x v="3"/>
    <n v="0"/>
  </r>
  <r>
    <x v="1"/>
    <x v="7"/>
    <x v="4"/>
    <x v="7"/>
    <x v="50"/>
    <x v="1"/>
    <x v="4"/>
    <n v="0"/>
  </r>
  <r>
    <x v="1"/>
    <x v="7"/>
    <x v="4"/>
    <x v="7"/>
    <x v="50"/>
    <x v="1"/>
    <x v="5"/>
    <n v="0"/>
  </r>
  <r>
    <x v="1"/>
    <x v="7"/>
    <x v="4"/>
    <x v="7"/>
    <x v="50"/>
    <x v="1"/>
    <x v="6"/>
    <n v="0"/>
  </r>
  <r>
    <x v="1"/>
    <x v="7"/>
    <x v="4"/>
    <x v="7"/>
    <x v="54"/>
    <x v="1"/>
    <x v="0"/>
    <n v="0"/>
  </r>
  <r>
    <x v="1"/>
    <x v="7"/>
    <x v="4"/>
    <x v="7"/>
    <x v="54"/>
    <x v="1"/>
    <x v="1"/>
    <n v="0"/>
  </r>
  <r>
    <x v="1"/>
    <x v="7"/>
    <x v="4"/>
    <x v="7"/>
    <x v="54"/>
    <x v="1"/>
    <x v="2"/>
    <n v="0"/>
  </r>
  <r>
    <x v="1"/>
    <x v="7"/>
    <x v="4"/>
    <x v="7"/>
    <x v="54"/>
    <x v="1"/>
    <x v="3"/>
    <n v="0"/>
  </r>
  <r>
    <x v="1"/>
    <x v="7"/>
    <x v="4"/>
    <x v="7"/>
    <x v="54"/>
    <x v="1"/>
    <x v="4"/>
    <n v="0"/>
  </r>
  <r>
    <x v="1"/>
    <x v="7"/>
    <x v="4"/>
    <x v="7"/>
    <x v="54"/>
    <x v="1"/>
    <x v="5"/>
    <n v="0"/>
  </r>
  <r>
    <x v="1"/>
    <x v="7"/>
    <x v="4"/>
    <x v="7"/>
    <x v="54"/>
    <x v="1"/>
    <x v="6"/>
    <n v="0"/>
  </r>
  <r>
    <x v="1"/>
    <x v="7"/>
    <x v="4"/>
    <x v="7"/>
    <x v="55"/>
    <x v="1"/>
    <x v="0"/>
    <n v="0"/>
  </r>
  <r>
    <x v="1"/>
    <x v="7"/>
    <x v="4"/>
    <x v="7"/>
    <x v="55"/>
    <x v="1"/>
    <x v="1"/>
    <n v="0"/>
  </r>
  <r>
    <x v="1"/>
    <x v="7"/>
    <x v="4"/>
    <x v="7"/>
    <x v="55"/>
    <x v="1"/>
    <x v="2"/>
    <n v="0"/>
  </r>
  <r>
    <x v="1"/>
    <x v="7"/>
    <x v="4"/>
    <x v="7"/>
    <x v="55"/>
    <x v="1"/>
    <x v="3"/>
    <n v="0"/>
  </r>
  <r>
    <x v="1"/>
    <x v="7"/>
    <x v="4"/>
    <x v="7"/>
    <x v="55"/>
    <x v="1"/>
    <x v="4"/>
    <n v="0"/>
  </r>
  <r>
    <x v="1"/>
    <x v="7"/>
    <x v="4"/>
    <x v="7"/>
    <x v="55"/>
    <x v="1"/>
    <x v="5"/>
    <n v="0"/>
  </r>
  <r>
    <x v="1"/>
    <x v="7"/>
    <x v="4"/>
    <x v="7"/>
    <x v="55"/>
    <x v="1"/>
    <x v="6"/>
    <n v="0"/>
  </r>
  <r>
    <x v="1"/>
    <x v="7"/>
    <x v="4"/>
    <x v="7"/>
    <x v="56"/>
    <x v="1"/>
    <x v="0"/>
    <n v="0"/>
  </r>
  <r>
    <x v="1"/>
    <x v="7"/>
    <x v="4"/>
    <x v="7"/>
    <x v="56"/>
    <x v="1"/>
    <x v="1"/>
    <n v="0"/>
  </r>
  <r>
    <x v="1"/>
    <x v="7"/>
    <x v="4"/>
    <x v="7"/>
    <x v="56"/>
    <x v="1"/>
    <x v="2"/>
    <n v="0"/>
  </r>
  <r>
    <x v="1"/>
    <x v="7"/>
    <x v="4"/>
    <x v="7"/>
    <x v="56"/>
    <x v="1"/>
    <x v="3"/>
    <n v="0"/>
  </r>
  <r>
    <x v="1"/>
    <x v="7"/>
    <x v="4"/>
    <x v="7"/>
    <x v="56"/>
    <x v="1"/>
    <x v="4"/>
    <n v="0"/>
  </r>
  <r>
    <x v="1"/>
    <x v="7"/>
    <x v="4"/>
    <x v="7"/>
    <x v="56"/>
    <x v="1"/>
    <x v="5"/>
    <n v="0"/>
  </r>
  <r>
    <x v="1"/>
    <x v="7"/>
    <x v="4"/>
    <x v="7"/>
    <x v="56"/>
    <x v="1"/>
    <x v="6"/>
    <n v="0"/>
  </r>
  <r>
    <x v="1"/>
    <x v="7"/>
    <x v="4"/>
    <x v="7"/>
    <x v="57"/>
    <x v="1"/>
    <x v="0"/>
    <n v="0"/>
  </r>
  <r>
    <x v="1"/>
    <x v="7"/>
    <x v="4"/>
    <x v="7"/>
    <x v="57"/>
    <x v="1"/>
    <x v="1"/>
    <n v="0"/>
  </r>
  <r>
    <x v="1"/>
    <x v="7"/>
    <x v="4"/>
    <x v="7"/>
    <x v="57"/>
    <x v="1"/>
    <x v="2"/>
    <n v="0"/>
  </r>
  <r>
    <x v="1"/>
    <x v="7"/>
    <x v="4"/>
    <x v="7"/>
    <x v="57"/>
    <x v="1"/>
    <x v="3"/>
    <n v="0"/>
  </r>
  <r>
    <x v="1"/>
    <x v="7"/>
    <x v="4"/>
    <x v="7"/>
    <x v="57"/>
    <x v="1"/>
    <x v="4"/>
    <n v="0"/>
  </r>
  <r>
    <x v="1"/>
    <x v="7"/>
    <x v="4"/>
    <x v="7"/>
    <x v="57"/>
    <x v="1"/>
    <x v="5"/>
    <n v="0"/>
  </r>
  <r>
    <x v="1"/>
    <x v="7"/>
    <x v="4"/>
    <x v="7"/>
    <x v="57"/>
    <x v="1"/>
    <x v="6"/>
    <n v="0"/>
  </r>
  <r>
    <x v="1"/>
    <x v="7"/>
    <x v="4"/>
    <x v="7"/>
    <x v="58"/>
    <x v="1"/>
    <x v="0"/>
    <n v="0"/>
  </r>
  <r>
    <x v="1"/>
    <x v="7"/>
    <x v="4"/>
    <x v="7"/>
    <x v="58"/>
    <x v="1"/>
    <x v="1"/>
    <n v="0"/>
  </r>
  <r>
    <x v="1"/>
    <x v="7"/>
    <x v="4"/>
    <x v="7"/>
    <x v="58"/>
    <x v="1"/>
    <x v="2"/>
    <n v="0"/>
  </r>
  <r>
    <x v="1"/>
    <x v="7"/>
    <x v="4"/>
    <x v="7"/>
    <x v="58"/>
    <x v="1"/>
    <x v="3"/>
    <n v="0"/>
  </r>
  <r>
    <x v="1"/>
    <x v="7"/>
    <x v="4"/>
    <x v="7"/>
    <x v="58"/>
    <x v="1"/>
    <x v="4"/>
    <n v="0"/>
  </r>
  <r>
    <x v="1"/>
    <x v="7"/>
    <x v="4"/>
    <x v="7"/>
    <x v="58"/>
    <x v="1"/>
    <x v="5"/>
    <n v="0"/>
  </r>
  <r>
    <x v="1"/>
    <x v="7"/>
    <x v="4"/>
    <x v="7"/>
    <x v="58"/>
    <x v="1"/>
    <x v="6"/>
    <n v="0"/>
  </r>
  <r>
    <x v="1"/>
    <x v="7"/>
    <x v="4"/>
    <x v="7"/>
    <x v="59"/>
    <x v="1"/>
    <x v="0"/>
    <n v="0"/>
  </r>
  <r>
    <x v="1"/>
    <x v="7"/>
    <x v="4"/>
    <x v="7"/>
    <x v="59"/>
    <x v="1"/>
    <x v="1"/>
    <n v="0"/>
  </r>
  <r>
    <x v="1"/>
    <x v="7"/>
    <x v="4"/>
    <x v="7"/>
    <x v="59"/>
    <x v="1"/>
    <x v="2"/>
    <n v="0"/>
  </r>
  <r>
    <x v="1"/>
    <x v="7"/>
    <x v="4"/>
    <x v="7"/>
    <x v="59"/>
    <x v="1"/>
    <x v="3"/>
    <n v="0"/>
  </r>
  <r>
    <x v="1"/>
    <x v="7"/>
    <x v="4"/>
    <x v="7"/>
    <x v="59"/>
    <x v="1"/>
    <x v="4"/>
    <n v="0"/>
  </r>
  <r>
    <x v="1"/>
    <x v="7"/>
    <x v="4"/>
    <x v="7"/>
    <x v="59"/>
    <x v="1"/>
    <x v="5"/>
    <n v="0"/>
  </r>
  <r>
    <x v="1"/>
    <x v="7"/>
    <x v="4"/>
    <x v="7"/>
    <x v="59"/>
    <x v="1"/>
    <x v="6"/>
    <n v="0"/>
  </r>
  <r>
    <x v="1"/>
    <x v="7"/>
    <x v="4"/>
    <x v="7"/>
    <x v="60"/>
    <x v="1"/>
    <x v="0"/>
    <n v="0"/>
  </r>
  <r>
    <x v="1"/>
    <x v="7"/>
    <x v="4"/>
    <x v="7"/>
    <x v="60"/>
    <x v="1"/>
    <x v="1"/>
    <n v="0"/>
  </r>
  <r>
    <x v="1"/>
    <x v="7"/>
    <x v="4"/>
    <x v="7"/>
    <x v="60"/>
    <x v="1"/>
    <x v="2"/>
    <n v="0"/>
  </r>
  <r>
    <x v="1"/>
    <x v="7"/>
    <x v="4"/>
    <x v="7"/>
    <x v="60"/>
    <x v="1"/>
    <x v="3"/>
    <n v="0"/>
  </r>
  <r>
    <x v="1"/>
    <x v="7"/>
    <x v="4"/>
    <x v="7"/>
    <x v="60"/>
    <x v="1"/>
    <x v="4"/>
    <n v="0"/>
  </r>
  <r>
    <x v="1"/>
    <x v="7"/>
    <x v="4"/>
    <x v="7"/>
    <x v="60"/>
    <x v="1"/>
    <x v="5"/>
    <n v="0"/>
  </r>
  <r>
    <x v="1"/>
    <x v="7"/>
    <x v="4"/>
    <x v="7"/>
    <x v="60"/>
    <x v="1"/>
    <x v="6"/>
    <n v="0"/>
  </r>
  <r>
    <x v="1"/>
    <x v="7"/>
    <x v="3"/>
    <x v="5"/>
    <x v="65"/>
    <x v="1"/>
    <x v="0"/>
    <n v="0"/>
  </r>
  <r>
    <x v="1"/>
    <x v="7"/>
    <x v="3"/>
    <x v="5"/>
    <x v="65"/>
    <x v="1"/>
    <x v="1"/>
    <n v="0"/>
  </r>
  <r>
    <x v="1"/>
    <x v="7"/>
    <x v="3"/>
    <x v="5"/>
    <x v="65"/>
    <x v="1"/>
    <x v="2"/>
    <n v="0"/>
  </r>
  <r>
    <x v="1"/>
    <x v="7"/>
    <x v="3"/>
    <x v="5"/>
    <x v="65"/>
    <x v="1"/>
    <x v="3"/>
    <n v="0"/>
  </r>
  <r>
    <x v="1"/>
    <x v="7"/>
    <x v="3"/>
    <x v="5"/>
    <x v="65"/>
    <x v="1"/>
    <x v="4"/>
    <n v="0"/>
  </r>
  <r>
    <x v="1"/>
    <x v="7"/>
    <x v="3"/>
    <x v="5"/>
    <x v="65"/>
    <x v="1"/>
    <x v="5"/>
    <n v="0"/>
  </r>
  <r>
    <x v="1"/>
    <x v="7"/>
    <x v="3"/>
    <x v="5"/>
    <x v="65"/>
    <x v="1"/>
    <x v="6"/>
    <n v="0"/>
  </r>
  <r>
    <x v="1"/>
    <x v="7"/>
    <x v="3"/>
    <x v="5"/>
    <x v="66"/>
    <x v="1"/>
    <x v="0"/>
    <n v="0"/>
  </r>
  <r>
    <x v="1"/>
    <x v="7"/>
    <x v="3"/>
    <x v="5"/>
    <x v="66"/>
    <x v="1"/>
    <x v="1"/>
    <n v="0"/>
  </r>
  <r>
    <x v="1"/>
    <x v="7"/>
    <x v="3"/>
    <x v="5"/>
    <x v="66"/>
    <x v="1"/>
    <x v="2"/>
    <n v="0"/>
  </r>
  <r>
    <x v="1"/>
    <x v="7"/>
    <x v="3"/>
    <x v="5"/>
    <x v="66"/>
    <x v="1"/>
    <x v="3"/>
    <n v="0"/>
  </r>
  <r>
    <x v="1"/>
    <x v="7"/>
    <x v="3"/>
    <x v="5"/>
    <x v="66"/>
    <x v="1"/>
    <x v="4"/>
    <n v="0"/>
  </r>
  <r>
    <x v="1"/>
    <x v="7"/>
    <x v="3"/>
    <x v="5"/>
    <x v="66"/>
    <x v="1"/>
    <x v="5"/>
    <n v="0"/>
  </r>
  <r>
    <x v="1"/>
    <x v="7"/>
    <x v="3"/>
    <x v="5"/>
    <x v="66"/>
    <x v="1"/>
    <x v="6"/>
    <n v="0"/>
  </r>
  <r>
    <x v="1"/>
    <x v="7"/>
    <x v="3"/>
    <x v="5"/>
    <x v="67"/>
    <x v="1"/>
    <x v="0"/>
    <n v="0"/>
  </r>
  <r>
    <x v="1"/>
    <x v="7"/>
    <x v="3"/>
    <x v="5"/>
    <x v="67"/>
    <x v="1"/>
    <x v="1"/>
    <n v="0"/>
  </r>
  <r>
    <x v="1"/>
    <x v="7"/>
    <x v="3"/>
    <x v="5"/>
    <x v="67"/>
    <x v="1"/>
    <x v="2"/>
    <n v="0"/>
  </r>
  <r>
    <x v="1"/>
    <x v="7"/>
    <x v="3"/>
    <x v="5"/>
    <x v="67"/>
    <x v="1"/>
    <x v="3"/>
    <n v="0"/>
  </r>
  <r>
    <x v="1"/>
    <x v="7"/>
    <x v="3"/>
    <x v="5"/>
    <x v="67"/>
    <x v="1"/>
    <x v="4"/>
    <n v="0"/>
  </r>
  <r>
    <x v="1"/>
    <x v="7"/>
    <x v="3"/>
    <x v="5"/>
    <x v="67"/>
    <x v="1"/>
    <x v="5"/>
    <n v="0"/>
  </r>
  <r>
    <x v="1"/>
    <x v="7"/>
    <x v="3"/>
    <x v="5"/>
    <x v="67"/>
    <x v="1"/>
    <x v="6"/>
    <n v="0"/>
  </r>
  <r>
    <x v="1"/>
    <x v="7"/>
    <x v="3"/>
    <x v="5"/>
    <x v="68"/>
    <x v="1"/>
    <x v="0"/>
    <n v="0"/>
  </r>
  <r>
    <x v="1"/>
    <x v="7"/>
    <x v="3"/>
    <x v="5"/>
    <x v="68"/>
    <x v="1"/>
    <x v="1"/>
    <n v="0"/>
  </r>
  <r>
    <x v="1"/>
    <x v="7"/>
    <x v="3"/>
    <x v="5"/>
    <x v="68"/>
    <x v="1"/>
    <x v="2"/>
    <n v="0"/>
  </r>
  <r>
    <x v="1"/>
    <x v="7"/>
    <x v="3"/>
    <x v="5"/>
    <x v="68"/>
    <x v="1"/>
    <x v="3"/>
    <n v="0"/>
  </r>
  <r>
    <x v="1"/>
    <x v="7"/>
    <x v="3"/>
    <x v="5"/>
    <x v="68"/>
    <x v="1"/>
    <x v="4"/>
    <n v="0"/>
  </r>
  <r>
    <x v="1"/>
    <x v="7"/>
    <x v="3"/>
    <x v="5"/>
    <x v="68"/>
    <x v="1"/>
    <x v="5"/>
    <n v="0"/>
  </r>
  <r>
    <x v="1"/>
    <x v="7"/>
    <x v="3"/>
    <x v="5"/>
    <x v="68"/>
    <x v="1"/>
    <x v="6"/>
    <n v="0"/>
  </r>
  <r>
    <x v="1"/>
    <x v="7"/>
    <x v="3"/>
    <x v="5"/>
    <x v="69"/>
    <x v="1"/>
    <x v="0"/>
    <n v="0"/>
  </r>
  <r>
    <x v="1"/>
    <x v="7"/>
    <x v="3"/>
    <x v="5"/>
    <x v="69"/>
    <x v="1"/>
    <x v="1"/>
    <n v="0"/>
  </r>
  <r>
    <x v="1"/>
    <x v="7"/>
    <x v="3"/>
    <x v="5"/>
    <x v="69"/>
    <x v="1"/>
    <x v="2"/>
    <n v="0"/>
  </r>
  <r>
    <x v="1"/>
    <x v="7"/>
    <x v="3"/>
    <x v="5"/>
    <x v="69"/>
    <x v="1"/>
    <x v="3"/>
    <n v="0"/>
  </r>
  <r>
    <x v="1"/>
    <x v="7"/>
    <x v="3"/>
    <x v="5"/>
    <x v="69"/>
    <x v="1"/>
    <x v="4"/>
    <n v="0"/>
  </r>
  <r>
    <x v="1"/>
    <x v="7"/>
    <x v="3"/>
    <x v="5"/>
    <x v="69"/>
    <x v="1"/>
    <x v="5"/>
    <n v="0"/>
  </r>
  <r>
    <x v="1"/>
    <x v="7"/>
    <x v="3"/>
    <x v="5"/>
    <x v="69"/>
    <x v="1"/>
    <x v="6"/>
    <n v="0"/>
  </r>
  <r>
    <x v="1"/>
    <x v="7"/>
    <x v="3"/>
    <x v="5"/>
    <x v="70"/>
    <x v="1"/>
    <x v="0"/>
    <n v="0"/>
  </r>
  <r>
    <x v="1"/>
    <x v="7"/>
    <x v="3"/>
    <x v="5"/>
    <x v="70"/>
    <x v="1"/>
    <x v="1"/>
    <n v="0"/>
  </r>
  <r>
    <x v="1"/>
    <x v="7"/>
    <x v="3"/>
    <x v="5"/>
    <x v="70"/>
    <x v="1"/>
    <x v="2"/>
    <n v="0"/>
  </r>
  <r>
    <x v="1"/>
    <x v="7"/>
    <x v="3"/>
    <x v="5"/>
    <x v="70"/>
    <x v="1"/>
    <x v="3"/>
    <n v="0"/>
  </r>
  <r>
    <x v="1"/>
    <x v="7"/>
    <x v="3"/>
    <x v="5"/>
    <x v="70"/>
    <x v="1"/>
    <x v="4"/>
    <n v="0"/>
  </r>
  <r>
    <x v="1"/>
    <x v="7"/>
    <x v="3"/>
    <x v="5"/>
    <x v="70"/>
    <x v="1"/>
    <x v="5"/>
    <n v="0"/>
  </r>
  <r>
    <x v="1"/>
    <x v="7"/>
    <x v="3"/>
    <x v="5"/>
    <x v="70"/>
    <x v="1"/>
    <x v="6"/>
    <n v="0"/>
  </r>
  <r>
    <x v="1"/>
    <x v="7"/>
    <x v="3"/>
    <x v="5"/>
    <x v="71"/>
    <x v="1"/>
    <x v="0"/>
    <n v="0"/>
  </r>
  <r>
    <x v="1"/>
    <x v="7"/>
    <x v="3"/>
    <x v="5"/>
    <x v="71"/>
    <x v="1"/>
    <x v="1"/>
    <n v="0"/>
  </r>
  <r>
    <x v="1"/>
    <x v="7"/>
    <x v="3"/>
    <x v="5"/>
    <x v="71"/>
    <x v="1"/>
    <x v="2"/>
    <n v="0"/>
  </r>
  <r>
    <x v="1"/>
    <x v="7"/>
    <x v="3"/>
    <x v="5"/>
    <x v="71"/>
    <x v="1"/>
    <x v="3"/>
    <n v="0"/>
  </r>
  <r>
    <x v="1"/>
    <x v="7"/>
    <x v="3"/>
    <x v="5"/>
    <x v="71"/>
    <x v="1"/>
    <x v="4"/>
    <n v="0"/>
  </r>
  <r>
    <x v="1"/>
    <x v="7"/>
    <x v="3"/>
    <x v="5"/>
    <x v="71"/>
    <x v="1"/>
    <x v="5"/>
    <n v="0"/>
  </r>
  <r>
    <x v="1"/>
    <x v="7"/>
    <x v="3"/>
    <x v="5"/>
    <x v="71"/>
    <x v="1"/>
    <x v="6"/>
    <n v="0"/>
  </r>
  <r>
    <x v="1"/>
    <x v="7"/>
    <x v="3"/>
    <x v="5"/>
    <x v="72"/>
    <x v="1"/>
    <x v="0"/>
    <n v="0"/>
  </r>
  <r>
    <x v="1"/>
    <x v="7"/>
    <x v="3"/>
    <x v="5"/>
    <x v="72"/>
    <x v="1"/>
    <x v="1"/>
    <n v="0"/>
  </r>
  <r>
    <x v="1"/>
    <x v="7"/>
    <x v="3"/>
    <x v="5"/>
    <x v="72"/>
    <x v="1"/>
    <x v="2"/>
    <n v="0"/>
  </r>
  <r>
    <x v="1"/>
    <x v="7"/>
    <x v="3"/>
    <x v="5"/>
    <x v="72"/>
    <x v="1"/>
    <x v="3"/>
    <n v="0"/>
  </r>
  <r>
    <x v="1"/>
    <x v="7"/>
    <x v="3"/>
    <x v="5"/>
    <x v="72"/>
    <x v="1"/>
    <x v="4"/>
    <n v="0"/>
  </r>
  <r>
    <x v="1"/>
    <x v="7"/>
    <x v="3"/>
    <x v="5"/>
    <x v="72"/>
    <x v="1"/>
    <x v="5"/>
    <n v="0"/>
  </r>
  <r>
    <x v="1"/>
    <x v="7"/>
    <x v="3"/>
    <x v="5"/>
    <x v="72"/>
    <x v="1"/>
    <x v="6"/>
    <n v="0"/>
  </r>
  <r>
    <x v="1"/>
    <x v="7"/>
    <x v="3"/>
    <x v="5"/>
    <x v="73"/>
    <x v="1"/>
    <x v="0"/>
    <n v="0"/>
  </r>
  <r>
    <x v="1"/>
    <x v="7"/>
    <x v="3"/>
    <x v="5"/>
    <x v="73"/>
    <x v="1"/>
    <x v="1"/>
    <n v="0"/>
  </r>
  <r>
    <x v="1"/>
    <x v="7"/>
    <x v="3"/>
    <x v="5"/>
    <x v="73"/>
    <x v="1"/>
    <x v="2"/>
    <n v="0"/>
  </r>
  <r>
    <x v="1"/>
    <x v="7"/>
    <x v="3"/>
    <x v="5"/>
    <x v="73"/>
    <x v="1"/>
    <x v="3"/>
    <n v="0"/>
  </r>
  <r>
    <x v="1"/>
    <x v="7"/>
    <x v="3"/>
    <x v="5"/>
    <x v="73"/>
    <x v="1"/>
    <x v="4"/>
    <n v="0"/>
  </r>
  <r>
    <x v="1"/>
    <x v="7"/>
    <x v="3"/>
    <x v="5"/>
    <x v="73"/>
    <x v="1"/>
    <x v="5"/>
    <n v="0"/>
  </r>
  <r>
    <x v="1"/>
    <x v="7"/>
    <x v="3"/>
    <x v="5"/>
    <x v="73"/>
    <x v="1"/>
    <x v="6"/>
    <n v="0"/>
  </r>
  <r>
    <x v="1"/>
    <x v="7"/>
    <x v="5"/>
    <x v="8"/>
    <x v="74"/>
    <x v="1"/>
    <x v="0"/>
    <n v="0"/>
  </r>
  <r>
    <x v="1"/>
    <x v="7"/>
    <x v="5"/>
    <x v="8"/>
    <x v="74"/>
    <x v="1"/>
    <x v="1"/>
    <n v="0"/>
  </r>
  <r>
    <x v="1"/>
    <x v="7"/>
    <x v="5"/>
    <x v="8"/>
    <x v="74"/>
    <x v="1"/>
    <x v="2"/>
    <n v="0"/>
  </r>
  <r>
    <x v="1"/>
    <x v="7"/>
    <x v="5"/>
    <x v="8"/>
    <x v="74"/>
    <x v="1"/>
    <x v="3"/>
    <n v="0"/>
  </r>
  <r>
    <x v="1"/>
    <x v="7"/>
    <x v="5"/>
    <x v="8"/>
    <x v="74"/>
    <x v="1"/>
    <x v="4"/>
    <n v="0"/>
  </r>
  <r>
    <x v="1"/>
    <x v="7"/>
    <x v="5"/>
    <x v="8"/>
    <x v="74"/>
    <x v="1"/>
    <x v="5"/>
    <n v="0"/>
  </r>
  <r>
    <x v="1"/>
    <x v="7"/>
    <x v="5"/>
    <x v="8"/>
    <x v="74"/>
    <x v="1"/>
    <x v="6"/>
    <n v="0"/>
  </r>
  <r>
    <x v="1"/>
    <x v="7"/>
    <x v="5"/>
    <x v="8"/>
    <x v="75"/>
    <x v="1"/>
    <x v="0"/>
    <n v="0"/>
  </r>
  <r>
    <x v="1"/>
    <x v="7"/>
    <x v="5"/>
    <x v="8"/>
    <x v="75"/>
    <x v="1"/>
    <x v="1"/>
    <n v="0"/>
  </r>
  <r>
    <x v="1"/>
    <x v="7"/>
    <x v="5"/>
    <x v="8"/>
    <x v="75"/>
    <x v="1"/>
    <x v="2"/>
    <n v="0"/>
  </r>
  <r>
    <x v="1"/>
    <x v="7"/>
    <x v="5"/>
    <x v="8"/>
    <x v="75"/>
    <x v="1"/>
    <x v="3"/>
    <n v="0"/>
  </r>
  <r>
    <x v="1"/>
    <x v="7"/>
    <x v="5"/>
    <x v="8"/>
    <x v="75"/>
    <x v="1"/>
    <x v="4"/>
    <n v="0"/>
  </r>
  <r>
    <x v="1"/>
    <x v="7"/>
    <x v="5"/>
    <x v="8"/>
    <x v="75"/>
    <x v="1"/>
    <x v="5"/>
    <n v="0"/>
  </r>
  <r>
    <x v="1"/>
    <x v="7"/>
    <x v="5"/>
    <x v="8"/>
    <x v="75"/>
    <x v="1"/>
    <x v="6"/>
    <n v="0"/>
  </r>
  <r>
    <x v="1"/>
    <x v="7"/>
    <x v="5"/>
    <x v="8"/>
    <x v="76"/>
    <x v="1"/>
    <x v="0"/>
    <n v="0"/>
  </r>
  <r>
    <x v="1"/>
    <x v="7"/>
    <x v="5"/>
    <x v="8"/>
    <x v="76"/>
    <x v="1"/>
    <x v="1"/>
    <n v="0"/>
  </r>
  <r>
    <x v="1"/>
    <x v="7"/>
    <x v="5"/>
    <x v="8"/>
    <x v="76"/>
    <x v="1"/>
    <x v="2"/>
    <n v="0"/>
  </r>
  <r>
    <x v="1"/>
    <x v="7"/>
    <x v="5"/>
    <x v="8"/>
    <x v="76"/>
    <x v="1"/>
    <x v="3"/>
    <n v="0"/>
  </r>
  <r>
    <x v="1"/>
    <x v="7"/>
    <x v="5"/>
    <x v="8"/>
    <x v="76"/>
    <x v="1"/>
    <x v="4"/>
    <n v="0"/>
  </r>
  <r>
    <x v="1"/>
    <x v="7"/>
    <x v="5"/>
    <x v="8"/>
    <x v="76"/>
    <x v="1"/>
    <x v="5"/>
    <n v="0"/>
  </r>
  <r>
    <x v="1"/>
    <x v="7"/>
    <x v="5"/>
    <x v="8"/>
    <x v="76"/>
    <x v="1"/>
    <x v="6"/>
    <n v="0"/>
  </r>
  <r>
    <x v="1"/>
    <x v="7"/>
    <x v="5"/>
    <x v="8"/>
    <x v="77"/>
    <x v="1"/>
    <x v="0"/>
    <n v="0"/>
  </r>
  <r>
    <x v="1"/>
    <x v="7"/>
    <x v="5"/>
    <x v="8"/>
    <x v="77"/>
    <x v="1"/>
    <x v="1"/>
    <n v="0"/>
  </r>
  <r>
    <x v="1"/>
    <x v="7"/>
    <x v="5"/>
    <x v="8"/>
    <x v="77"/>
    <x v="1"/>
    <x v="2"/>
    <n v="0"/>
  </r>
  <r>
    <x v="1"/>
    <x v="7"/>
    <x v="5"/>
    <x v="8"/>
    <x v="77"/>
    <x v="1"/>
    <x v="3"/>
    <n v="0"/>
  </r>
  <r>
    <x v="1"/>
    <x v="7"/>
    <x v="5"/>
    <x v="8"/>
    <x v="77"/>
    <x v="1"/>
    <x v="4"/>
    <n v="0"/>
  </r>
  <r>
    <x v="1"/>
    <x v="7"/>
    <x v="5"/>
    <x v="8"/>
    <x v="77"/>
    <x v="1"/>
    <x v="5"/>
    <n v="0"/>
  </r>
  <r>
    <x v="1"/>
    <x v="7"/>
    <x v="5"/>
    <x v="8"/>
    <x v="77"/>
    <x v="1"/>
    <x v="6"/>
    <n v="0"/>
  </r>
  <r>
    <x v="1"/>
    <x v="7"/>
    <x v="5"/>
    <x v="8"/>
    <x v="78"/>
    <x v="1"/>
    <x v="0"/>
    <n v="0"/>
  </r>
  <r>
    <x v="1"/>
    <x v="7"/>
    <x v="5"/>
    <x v="8"/>
    <x v="78"/>
    <x v="1"/>
    <x v="1"/>
    <n v="0"/>
  </r>
  <r>
    <x v="1"/>
    <x v="7"/>
    <x v="5"/>
    <x v="8"/>
    <x v="78"/>
    <x v="1"/>
    <x v="2"/>
    <n v="0"/>
  </r>
  <r>
    <x v="1"/>
    <x v="7"/>
    <x v="5"/>
    <x v="8"/>
    <x v="78"/>
    <x v="1"/>
    <x v="3"/>
    <n v="0"/>
  </r>
  <r>
    <x v="1"/>
    <x v="7"/>
    <x v="5"/>
    <x v="8"/>
    <x v="78"/>
    <x v="1"/>
    <x v="4"/>
    <n v="0"/>
  </r>
  <r>
    <x v="1"/>
    <x v="7"/>
    <x v="5"/>
    <x v="8"/>
    <x v="78"/>
    <x v="1"/>
    <x v="5"/>
    <n v="0"/>
  </r>
  <r>
    <x v="1"/>
    <x v="7"/>
    <x v="5"/>
    <x v="8"/>
    <x v="78"/>
    <x v="1"/>
    <x v="6"/>
    <n v="0"/>
  </r>
  <r>
    <x v="1"/>
    <x v="7"/>
    <x v="5"/>
    <x v="8"/>
    <x v="79"/>
    <x v="1"/>
    <x v="0"/>
    <n v="0"/>
  </r>
  <r>
    <x v="1"/>
    <x v="7"/>
    <x v="5"/>
    <x v="8"/>
    <x v="79"/>
    <x v="1"/>
    <x v="1"/>
    <n v="0"/>
  </r>
  <r>
    <x v="1"/>
    <x v="7"/>
    <x v="5"/>
    <x v="8"/>
    <x v="79"/>
    <x v="1"/>
    <x v="2"/>
    <n v="0"/>
  </r>
  <r>
    <x v="1"/>
    <x v="7"/>
    <x v="5"/>
    <x v="8"/>
    <x v="79"/>
    <x v="1"/>
    <x v="3"/>
    <n v="0"/>
  </r>
  <r>
    <x v="1"/>
    <x v="7"/>
    <x v="5"/>
    <x v="8"/>
    <x v="79"/>
    <x v="1"/>
    <x v="4"/>
    <n v="0"/>
  </r>
  <r>
    <x v="1"/>
    <x v="7"/>
    <x v="5"/>
    <x v="8"/>
    <x v="79"/>
    <x v="1"/>
    <x v="5"/>
    <n v="0"/>
  </r>
  <r>
    <x v="1"/>
    <x v="7"/>
    <x v="5"/>
    <x v="8"/>
    <x v="79"/>
    <x v="1"/>
    <x v="6"/>
    <n v="0"/>
  </r>
  <r>
    <x v="1"/>
    <x v="7"/>
    <x v="5"/>
    <x v="8"/>
    <x v="80"/>
    <x v="1"/>
    <x v="0"/>
    <n v="0"/>
  </r>
  <r>
    <x v="1"/>
    <x v="7"/>
    <x v="5"/>
    <x v="8"/>
    <x v="80"/>
    <x v="1"/>
    <x v="1"/>
    <n v="0"/>
  </r>
  <r>
    <x v="1"/>
    <x v="7"/>
    <x v="5"/>
    <x v="8"/>
    <x v="80"/>
    <x v="1"/>
    <x v="2"/>
    <n v="0"/>
  </r>
  <r>
    <x v="1"/>
    <x v="7"/>
    <x v="5"/>
    <x v="8"/>
    <x v="80"/>
    <x v="1"/>
    <x v="3"/>
    <n v="0"/>
  </r>
  <r>
    <x v="1"/>
    <x v="7"/>
    <x v="5"/>
    <x v="8"/>
    <x v="80"/>
    <x v="1"/>
    <x v="4"/>
    <n v="0"/>
  </r>
  <r>
    <x v="1"/>
    <x v="7"/>
    <x v="5"/>
    <x v="8"/>
    <x v="80"/>
    <x v="1"/>
    <x v="5"/>
    <n v="0"/>
  </r>
  <r>
    <x v="1"/>
    <x v="7"/>
    <x v="5"/>
    <x v="8"/>
    <x v="80"/>
    <x v="1"/>
    <x v="6"/>
    <n v="0"/>
  </r>
  <r>
    <x v="1"/>
    <x v="7"/>
    <x v="5"/>
    <x v="8"/>
    <x v="81"/>
    <x v="1"/>
    <x v="0"/>
    <n v="0"/>
  </r>
  <r>
    <x v="1"/>
    <x v="7"/>
    <x v="5"/>
    <x v="8"/>
    <x v="81"/>
    <x v="1"/>
    <x v="1"/>
    <n v="0"/>
  </r>
  <r>
    <x v="1"/>
    <x v="7"/>
    <x v="5"/>
    <x v="8"/>
    <x v="81"/>
    <x v="1"/>
    <x v="2"/>
    <n v="0"/>
  </r>
  <r>
    <x v="1"/>
    <x v="7"/>
    <x v="5"/>
    <x v="8"/>
    <x v="81"/>
    <x v="1"/>
    <x v="3"/>
    <n v="0"/>
  </r>
  <r>
    <x v="1"/>
    <x v="7"/>
    <x v="5"/>
    <x v="8"/>
    <x v="81"/>
    <x v="1"/>
    <x v="4"/>
    <n v="0"/>
  </r>
  <r>
    <x v="1"/>
    <x v="7"/>
    <x v="5"/>
    <x v="8"/>
    <x v="81"/>
    <x v="1"/>
    <x v="5"/>
    <n v="0"/>
  </r>
  <r>
    <x v="1"/>
    <x v="7"/>
    <x v="5"/>
    <x v="8"/>
    <x v="81"/>
    <x v="1"/>
    <x v="6"/>
    <n v="0"/>
  </r>
  <r>
    <x v="1"/>
    <x v="7"/>
    <x v="5"/>
    <x v="8"/>
    <x v="82"/>
    <x v="1"/>
    <x v="0"/>
    <n v="0"/>
  </r>
  <r>
    <x v="1"/>
    <x v="7"/>
    <x v="5"/>
    <x v="8"/>
    <x v="82"/>
    <x v="1"/>
    <x v="1"/>
    <n v="0"/>
  </r>
  <r>
    <x v="1"/>
    <x v="7"/>
    <x v="5"/>
    <x v="8"/>
    <x v="82"/>
    <x v="1"/>
    <x v="2"/>
    <n v="0"/>
  </r>
  <r>
    <x v="1"/>
    <x v="7"/>
    <x v="5"/>
    <x v="8"/>
    <x v="82"/>
    <x v="1"/>
    <x v="3"/>
    <n v="0"/>
  </r>
  <r>
    <x v="1"/>
    <x v="7"/>
    <x v="5"/>
    <x v="8"/>
    <x v="82"/>
    <x v="1"/>
    <x v="4"/>
    <n v="0"/>
  </r>
  <r>
    <x v="1"/>
    <x v="7"/>
    <x v="5"/>
    <x v="8"/>
    <x v="82"/>
    <x v="1"/>
    <x v="5"/>
    <n v="0"/>
  </r>
  <r>
    <x v="1"/>
    <x v="7"/>
    <x v="5"/>
    <x v="8"/>
    <x v="82"/>
    <x v="1"/>
    <x v="6"/>
    <n v="0"/>
  </r>
  <r>
    <x v="1"/>
    <x v="7"/>
    <x v="5"/>
    <x v="8"/>
    <x v="83"/>
    <x v="1"/>
    <x v="0"/>
    <n v="0"/>
  </r>
  <r>
    <x v="1"/>
    <x v="7"/>
    <x v="5"/>
    <x v="8"/>
    <x v="83"/>
    <x v="1"/>
    <x v="1"/>
    <n v="0"/>
  </r>
  <r>
    <x v="1"/>
    <x v="7"/>
    <x v="5"/>
    <x v="8"/>
    <x v="83"/>
    <x v="1"/>
    <x v="2"/>
    <n v="0"/>
  </r>
  <r>
    <x v="1"/>
    <x v="7"/>
    <x v="5"/>
    <x v="8"/>
    <x v="83"/>
    <x v="1"/>
    <x v="3"/>
    <n v="0"/>
  </r>
  <r>
    <x v="1"/>
    <x v="7"/>
    <x v="5"/>
    <x v="8"/>
    <x v="83"/>
    <x v="1"/>
    <x v="4"/>
    <n v="0"/>
  </r>
  <r>
    <x v="1"/>
    <x v="7"/>
    <x v="5"/>
    <x v="8"/>
    <x v="83"/>
    <x v="1"/>
    <x v="5"/>
    <n v="0"/>
  </r>
  <r>
    <x v="1"/>
    <x v="7"/>
    <x v="5"/>
    <x v="8"/>
    <x v="83"/>
    <x v="1"/>
    <x v="6"/>
    <n v="0"/>
  </r>
  <r>
    <x v="1"/>
    <x v="8"/>
    <x v="0"/>
    <x v="0"/>
    <x v="0"/>
    <x v="1"/>
    <x v="0"/>
    <n v="0"/>
  </r>
  <r>
    <x v="1"/>
    <x v="8"/>
    <x v="0"/>
    <x v="0"/>
    <x v="0"/>
    <x v="1"/>
    <x v="1"/>
    <n v="0"/>
  </r>
  <r>
    <x v="1"/>
    <x v="8"/>
    <x v="0"/>
    <x v="0"/>
    <x v="0"/>
    <x v="1"/>
    <x v="2"/>
    <n v="0"/>
  </r>
  <r>
    <x v="1"/>
    <x v="8"/>
    <x v="0"/>
    <x v="0"/>
    <x v="0"/>
    <x v="1"/>
    <x v="3"/>
    <n v="0"/>
  </r>
  <r>
    <x v="1"/>
    <x v="8"/>
    <x v="0"/>
    <x v="0"/>
    <x v="0"/>
    <x v="1"/>
    <x v="4"/>
    <n v="0"/>
  </r>
  <r>
    <x v="1"/>
    <x v="8"/>
    <x v="0"/>
    <x v="0"/>
    <x v="0"/>
    <x v="1"/>
    <x v="5"/>
    <n v="0"/>
  </r>
  <r>
    <x v="1"/>
    <x v="8"/>
    <x v="0"/>
    <x v="0"/>
    <x v="0"/>
    <x v="1"/>
    <x v="6"/>
    <n v="0"/>
  </r>
  <r>
    <x v="1"/>
    <x v="8"/>
    <x v="0"/>
    <x v="1"/>
    <x v="1"/>
    <x v="1"/>
    <x v="0"/>
    <n v="0"/>
  </r>
  <r>
    <x v="1"/>
    <x v="8"/>
    <x v="0"/>
    <x v="1"/>
    <x v="1"/>
    <x v="1"/>
    <x v="1"/>
    <n v="0"/>
  </r>
  <r>
    <x v="1"/>
    <x v="8"/>
    <x v="0"/>
    <x v="1"/>
    <x v="1"/>
    <x v="1"/>
    <x v="2"/>
    <n v="0"/>
  </r>
  <r>
    <x v="1"/>
    <x v="8"/>
    <x v="0"/>
    <x v="1"/>
    <x v="1"/>
    <x v="1"/>
    <x v="3"/>
    <n v="0"/>
  </r>
  <r>
    <x v="1"/>
    <x v="8"/>
    <x v="0"/>
    <x v="1"/>
    <x v="1"/>
    <x v="1"/>
    <x v="4"/>
    <n v="0"/>
  </r>
  <r>
    <x v="1"/>
    <x v="8"/>
    <x v="0"/>
    <x v="1"/>
    <x v="1"/>
    <x v="1"/>
    <x v="5"/>
    <n v="0"/>
  </r>
  <r>
    <x v="1"/>
    <x v="8"/>
    <x v="0"/>
    <x v="1"/>
    <x v="1"/>
    <x v="1"/>
    <x v="6"/>
    <n v="0"/>
  </r>
  <r>
    <x v="1"/>
    <x v="8"/>
    <x v="0"/>
    <x v="1"/>
    <x v="2"/>
    <x v="1"/>
    <x v="0"/>
    <n v="18.422909184654809"/>
  </r>
  <r>
    <x v="1"/>
    <x v="8"/>
    <x v="0"/>
    <x v="1"/>
    <x v="2"/>
    <x v="1"/>
    <x v="1"/>
    <n v="32.656020654763573"/>
  </r>
  <r>
    <x v="1"/>
    <x v="8"/>
    <x v="0"/>
    <x v="1"/>
    <x v="2"/>
    <x v="1"/>
    <x v="2"/>
    <n v="42.513841423151412"/>
  </r>
  <r>
    <x v="1"/>
    <x v="8"/>
    <x v="0"/>
    <x v="1"/>
    <x v="2"/>
    <x v="1"/>
    <x v="3"/>
    <n v="55.52239888614676"/>
  </r>
  <r>
    <x v="1"/>
    <x v="8"/>
    <x v="0"/>
    <x v="1"/>
    <x v="2"/>
    <x v="1"/>
    <x v="4"/>
    <n v="47.443344577132727"/>
  </r>
  <r>
    <x v="1"/>
    <x v="8"/>
    <x v="0"/>
    <x v="1"/>
    <x v="2"/>
    <x v="1"/>
    <x v="5"/>
    <n v="71.575873492663661"/>
  </r>
  <r>
    <x v="1"/>
    <x v="8"/>
    <x v="0"/>
    <x v="1"/>
    <x v="2"/>
    <x v="1"/>
    <x v="6"/>
    <n v="55.715458913881605"/>
  </r>
  <r>
    <x v="1"/>
    <x v="8"/>
    <x v="0"/>
    <x v="1"/>
    <x v="3"/>
    <x v="1"/>
    <x v="0"/>
    <n v="3.5048077790184475"/>
  </r>
  <r>
    <x v="1"/>
    <x v="8"/>
    <x v="0"/>
    <x v="1"/>
    <x v="3"/>
    <x v="1"/>
    <x v="1"/>
    <n v="11.470734395967179"/>
  </r>
  <r>
    <x v="1"/>
    <x v="8"/>
    <x v="0"/>
    <x v="1"/>
    <x v="3"/>
    <x v="1"/>
    <x v="2"/>
    <n v="17.001988703949326"/>
  </r>
  <r>
    <x v="1"/>
    <x v="8"/>
    <x v="0"/>
    <x v="1"/>
    <x v="3"/>
    <x v="1"/>
    <x v="3"/>
    <n v="26.317342397981385"/>
  </r>
  <r>
    <x v="1"/>
    <x v="8"/>
    <x v="0"/>
    <x v="1"/>
    <x v="3"/>
    <x v="1"/>
    <x v="4"/>
    <n v="35.285237625313201"/>
  </r>
  <r>
    <x v="1"/>
    <x v="8"/>
    <x v="0"/>
    <x v="1"/>
    <x v="3"/>
    <x v="1"/>
    <x v="5"/>
    <n v="58.810825903983542"/>
  </r>
  <r>
    <x v="1"/>
    <x v="8"/>
    <x v="0"/>
    <x v="1"/>
    <x v="3"/>
    <x v="1"/>
    <x v="6"/>
    <n v="46.230206353583604"/>
  </r>
  <r>
    <x v="1"/>
    <x v="8"/>
    <x v="0"/>
    <x v="1"/>
    <x v="4"/>
    <x v="1"/>
    <x v="0"/>
    <n v="0.31223114037660837"/>
  </r>
  <r>
    <x v="1"/>
    <x v="8"/>
    <x v="0"/>
    <x v="1"/>
    <x v="4"/>
    <x v="1"/>
    <x v="1"/>
    <n v="0.73695014826796434"/>
  </r>
  <r>
    <x v="1"/>
    <x v="8"/>
    <x v="0"/>
    <x v="1"/>
    <x v="4"/>
    <x v="1"/>
    <x v="2"/>
    <n v="2.1004912093449954"/>
  </r>
  <r>
    <x v="1"/>
    <x v="8"/>
    <x v="0"/>
    <x v="1"/>
    <x v="4"/>
    <x v="1"/>
    <x v="3"/>
    <n v="2.453177898348621"/>
  </r>
  <r>
    <x v="1"/>
    <x v="8"/>
    <x v="0"/>
    <x v="1"/>
    <x v="4"/>
    <x v="1"/>
    <x v="4"/>
    <n v="2.877542230140929"/>
  </r>
  <r>
    <x v="1"/>
    <x v="8"/>
    <x v="0"/>
    <x v="1"/>
    <x v="4"/>
    <x v="1"/>
    <x v="5"/>
    <n v="4.4980689567762875"/>
  </r>
  <r>
    <x v="1"/>
    <x v="8"/>
    <x v="0"/>
    <x v="1"/>
    <x v="4"/>
    <x v="1"/>
    <x v="6"/>
    <n v="3.178207778464571"/>
  </r>
  <r>
    <x v="1"/>
    <x v="8"/>
    <x v="0"/>
    <x v="1"/>
    <x v="5"/>
    <x v="1"/>
    <x v="0"/>
    <n v="16.470970998614067"/>
  </r>
  <r>
    <x v="1"/>
    <x v="8"/>
    <x v="0"/>
    <x v="1"/>
    <x v="5"/>
    <x v="1"/>
    <x v="1"/>
    <n v="48.870159188141592"/>
  </r>
  <r>
    <x v="1"/>
    <x v="8"/>
    <x v="0"/>
    <x v="1"/>
    <x v="5"/>
    <x v="1"/>
    <x v="2"/>
    <n v="104.94642841220384"/>
  </r>
  <r>
    <x v="1"/>
    <x v="8"/>
    <x v="0"/>
    <x v="1"/>
    <x v="5"/>
    <x v="1"/>
    <x v="3"/>
    <n v="180.01269387002588"/>
  </r>
  <r>
    <x v="1"/>
    <x v="8"/>
    <x v="0"/>
    <x v="1"/>
    <x v="5"/>
    <x v="1"/>
    <x v="4"/>
    <n v="291.34869243140514"/>
  </r>
  <r>
    <x v="1"/>
    <x v="8"/>
    <x v="0"/>
    <x v="1"/>
    <x v="5"/>
    <x v="1"/>
    <x v="5"/>
    <n v="355.14136997452084"/>
  </r>
  <r>
    <x v="1"/>
    <x v="8"/>
    <x v="0"/>
    <x v="1"/>
    <x v="5"/>
    <x v="1"/>
    <x v="6"/>
    <n v="260.18237773605074"/>
  </r>
  <r>
    <x v="1"/>
    <x v="8"/>
    <x v="0"/>
    <x v="1"/>
    <x v="6"/>
    <x v="1"/>
    <x v="0"/>
    <n v="25.554978859157988"/>
  </r>
  <r>
    <x v="1"/>
    <x v="8"/>
    <x v="0"/>
    <x v="1"/>
    <x v="6"/>
    <x v="1"/>
    <x v="1"/>
    <n v="37.667488810470601"/>
  </r>
  <r>
    <x v="1"/>
    <x v="8"/>
    <x v="0"/>
    <x v="1"/>
    <x v="6"/>
    <x v="1"/>
    <x v="2"/>
    <n v="48.431745777063277"/>
  </r>
  <r>
    <x v="1"/>
    <x v="8"/>
    <x v="0"/>
    <x v="1"/>
    <x v="6"/>
    <x v="1"/>
    <x v="3"/>
    <n v="64.436250961215535"/>
  </r>
  <r>
    <x v="1"/>
    <x v="8"/>
    <x v="0"/>
    <x v="1"/>
    <x v="6"/>
    <x v="1"/>
    <x v="4"/>
    <n v="84.265246610484354"/>
  </r>
  <r>
    <x v="1"/>
    <x v="8"/>
    <x v="0"/>
    <x v="1"/>
    <x v="6"/>
    <x v="1"/>
    <x v="5"/>
    <n v="147.59442912791539"/>
  </r>
  <r>
    <x v="1"/>
    <x v="8"/>
    <x v="0"/>
    <x v="1"/>
    <x v="6"/>
    <x v="1"/>
    <x v="6"/>
    <n v="114.5243571143718"/>
  </r>
  <r>
    <x v="1"/>
    <x v="8"/>
    <x v="0"/>
    <x v="1"/>
    <x v="7"/>
    <x v="1"/>
    <x v="0"/>
    <n v="32.412923468745205"/>
  </r>
  <r>
    <x v="1"/>
    <x v="8"/>
    <x v="0"/>
    <x v="1"/>
    <x v="7"/>
    <x v="1"/>
    <x v="1"/>
    <n v="74.521446878821692"/>
  </r>
  <r>
    <x v="1"/>
    <x v="8"/>
    <x v="0"/>
    <x v="1"/>
    <x v="7"/>
    <x v="1"/>
    <x v="2"/>
    <n v="146.92048945072563"/>
  </r>
  <r>
    <x v="1"/>
    <x v="8"/>
    <x v="0"/>
    <x v="1"/>
    <x v="7"/>
    <x v="1"/>
    <x v="3"/>
    <n v="231.8982428630658"/>
  </r>
  <r>
    <x v="1"/>
    <x v="8"/>
    <x v="0"/>
    <x v="1"/>
    <x v="7"/>
    <x v="1"/>
    <x v="4"/>
    <n v="285.2958089588451"/>
  </r>
  <r>
    <x v="1"/>
    <x v="8"/>
    <x v="0"/>
    <x v="1"/>
    <x v="7"/>
    <x v="1"/>
    <x v="5"/>
    <n v="453.73388000797974"/>
  </r>
  <r>
    <x v="1"/>
    <x v="8"/>
    <x v="0"/>
    <x v="1"/>
    <x v="7"/>
    <x v="1"/>
    <x v="6"/>
    <n v="327.00263694535636"/>
  </r>
  <r>
    <x v="1"/>
    <x v="8"/>
    <x v="0"/>
    <x v="1"/>
    <x v="8"/>
    <x v="1"/>
    <x v="0"/>
    <n v="0.14430698504927778"/>
  </r>
  <r>
    <x v="1"/>
    <x v="8"/>
    <x v="0"/>
    <x v="1"/>
    <x v="8"/>
    <x v="1"/>
    <x v="1"/>
    <n v="0.56994650785830847"/>
  </r>
  <r>
    <x v="1"/>
    <x v="8"/>
    <x v="0"/>
    <x v="1"/>
    <x v="8"/>
    <x v="1"/>
    <x v="2"/>
    <n v="0.87106751888743605"/>
  </r>
  <r>
    <x v="1"/>
    <x v="8"/>
    <x v="0"/>
    <x v="1"/>
    <x v="8"/>
    <x v="1"/>
    <x v="3"/>
    <n v="1.1731112891389117"/>
  </r>
  <r>
    <x v="1"/>
    <x v="8"/>
    <x v="0"/>
    <x v="1"/>
    <x v="8"/>
    <x v="1"/>
    <x v="4"/>
    <n v="1.4479646413594993"/>
  </r>
  <r>
    <x v="1"/>
    <x v="8"/>
    <x v="0"/>
    <x v="1"/>
    <x v="8"/>
    <x v="1"/>
    <x v="5"/>
    <n v="2.3694207857227685"/>
  </r>
  <r>
    <x v="1"/>
    <x v="8"/>
    <x v="0"/>
    <x v="1"/>
    <x v="8"/>
    <x v="1"/>
    <x v="6"/>
    <n v="1.6574704859067386"/>
  </r>
  <r>
    <x v="1"/>
    <x v="8"/>
    <x v="0"/>
    <x v="1"/>
    <x v="9"/>
    <x v="1"/>
    <x v="0"/>
    <n v="32.839366553038936"/>
  </r>
  <r>
    <x v="1"/>
    <x v="8"/>
    <x v="0"/>
    <x v="1"/>
    <x v="9"/>
    <x v="1"/>
    <x v="1"/>
    <n v="61.144463339975459"/>
  </r>
  <r>
    <x v="1"/>
    <x v="8"/>
    <x v="0"/>
    <x v="1"/>
    <x v="9"/>
    <x v="1"/>
    <x v="2"/>
    <n v="103.13303622478466"/>
  </r>
  <r>
    <x v="1"/>
    <x v="8"/>
    <x v="0"/>
    <x v="1"/>
    <x v="9"/>
    <x v="1"/>
    <x v="3"/>
    <n v="152.31344277981015"/>
  </r>
  <r>
    <x v="1"/>
    <x v="8"/>
    <x v="0"/>
    <x v="1"/>
    <x v="9"/>
    <x v="1"/>
    <x v="4"/>
    <n v="145.35027484454602"/>
  </r>
  <r>
    <x v="1"/>
    <x v="8"/>
    <x v="0"/>
    <x v="1"/>
    <x v="9"/>
    <x v="1"/>
    <x v="5"/>
    <n v="191.56917404900534"/>
  </r>
  <r>
    <x v="1"/>
    <x v="8"/>
    <x v="0"/>
    <x v="1"/>
    <x v="9"/>
    <x v="1"/>
    <x v="6"/>
    <n v="146.68352765821854"/>
  </r>
  <r>
    <x v="1"/>
    <x v="8"/>
    <x v="0"/>
    <x v="1"/>
    <x v="10"/>
    <x v="1"/>
    <x v="0"/>
    <n v="44.65952468562525"/>
  </r>
  <r>
    <x v="1"/>
    <x v="8"/>
    <x v="0"/>
    <x v="1"/>
    <x v="10"/>
    <x v="1"/>
    <x v="1"/>
    <n v="80.207806237056914"/>
  </r>
  <r>
    <x v="1"/>
    <x v="8"/>
    <x v="0"/>
    <x v="1"/>
    <x v="10"/>
    <x v="1"/>
    <x v="2"/>
    <n v="118.36158848319185"/>
  </r>
  <r>
    <x v="1"/>
    <x v="8"/>
    <x v="0"/>
    <x v="1"/>
    <x v="10"/>
    <x v="1"/>
    <x v="3"/>
    <n v="157.95632279219444"/>
  </r>
  <r>
    <x v="1"/>
    <x v="8"/>
    <x v="0"/>
    <x v="1"/>
    <x v="10"/>
    <x v="1"/>
    <x v="4"/>
    <n v="162.55938468795836"/>
  </r>
  <r>
    <x v="1"/>
    <x v="8"/>
    <x v="0"/>
    <x v="1"/>
    <x v="10"/>
    <x v="1"/>
    <x v="5"/>
    <n v="258.13258435309723"/>
  </r>
  <r>
    <x v="1"/>
    <x v="8"/>
    <x v="0"/>
    <x v="1"/>
    <x v="10"/>
    <x v="1"/>
    <x v="6"/>
    <n v="216.57724234822086"/>
  </r>
  <r>
    <x v="1"/>
    <x v="8"/>
    <x v="0"/>
    <x v="0"/>
    <x v="11"/>
    <x v="1"/>
    <x v="0"/>
    <n v="53.083489741491377"/>
  </r>
  <r>
    <x v="1"/>
    <x v="8"/>
    <x v="0"/>
    <x v="0"/>
    <x v="11"/>
    <x v="1"/>
    <x v="1"/>
    <n v="220.99100850616975"/>
  </r>
  <r>
    <x v="1"/>
    <x v="8"/>
    <x v="0"/>
    <x v="0"/>
    <x v="11"/>
    <x v="1"/>
    <x v="2"/>
    <n v="857.15254488751418"/>
  </r>
  <r>
    <x v="1"/>
    <x v="8"/>
    <x v="0"/>
    <x v="0"/>
    <x v="11"/>
    <x v="1"/>
    <x v="3"/>
    <n v="3277.7105482111238"/>
  </r>
  <r>
    <x v="1"/>
    <x v="8"/>
    <x v="0"/>
    <x v="0"/>
    <x v="11"/>
    <x v="1"/>
    <x v="4"/>
    <n v="8276.0599319244138"/>
  </r>
  <r>
    <x v="1"/>
    <x v="8"/>
    <x v="0"/>
    <x v="0"/>
    <x v="11"/>
    <x v="1"/>
    <x v="5"/>
    <n v="9310.3905326824115"/>
  </r>
  <r>
    <x v="1"/>
    <x v="8"/>
    <x v="0"/>
    <x v="0"/>
    <x v="11"/>
    <x v="1"/>
    <x v="6"/>
    <n v="14401.509512346014"/>
  </r>
  <r>
    <x v="1"/>
    <x v="8"/>
    <x v="0"/>
    <x v="0"/>
    <x v="12"/>
    <x v="1"/>
    <x v="0"/>
    <n v="0"/>
  </r>
  <r>
    <x v="1"/>
    <x v="8"/>
    <x v="0"/>
    <x v="0"/>
    <x v="12"/>
    <x v="1"/>
    <x v="1"/>
    <n v="0"/>
  </r>
  <r>
    <x v="1"/>
    <x v="8"/>
    <x v="0"/>
    <x v="0"/>
    <x v="12"/>
    <x v="1"/>
    <x v="2"/>
    <n v="0"/>
  </r>
  <r>
    <x v="1"/>
    <x v="8"/>
    <x v="0"/>
    <x v="0"/>
    <x v="12"/>
    <x v="1"/>
    <x v="3"/>
    <n v="0"/>
  </r>
  <r>
    <x v="1"/>
    <x v="8"/>
    <x v="0"/>
    <x v="0"/>
    <x v="12"/>
    <x v="1"/>
    <x v="4"/>
    <n v="0"/>
  </r>
  <r>
    <x v="1"/>
    <x v="8"/>
    <x v="0"/>
    <x v="0"/>
    <x v="12"/>
    <x v="1"/>
    <x v="5"/>
    <n v="0"/>
  </r>
  <r>
    <x v="1"/>
    <x v="8"/>
    <x v="0"/>
    <x v="0"/>
    <x v="12"/>
    <x v="1"/>
    <x v="6"/>
    <n v="0"/>
  </r>
  <r>
    <x v="1"/>
    <x v="8"/>
    <x v="0"/>
    <x v="0"/>
    <x v="13"/>
    <x v="1"/>
    <x v="0"/>
    <n v="0"/>
  </r>
  <r>
    <x v="1"/>
    <x v="8"/>
    <x v="0"/>
    <x v="0"/>
    <x v="13"/>
    <x v="1"/>
    <x v="1"/>
    <n v="0"/>
  </r>
  <r>
    <x v="1"/>
    <x v="8"/>
    <x v="0"/>
    <x v="0"/>
    <x v="13"/>
    <x v="1"/>
    <x v="2"/>
    <n v="0"/>
  </r>
  <r>
    <x v="1"/>
    <x v="8"/>
    <x v="0"/>
    <x v="0"/>
    <x v="13"/>
    <x v="1"/>
    <x v="3"/>
    <n v="0"/>
  </r>
  <r>
    <x v="1"/>
    <x v="8"/>
    <x v="0"/>
    <x v="0"/>
    <x v="13"/>
    <x v="1"/>
    <x v="4"/>
    <n v="0"/>
  </r>
  <r>
    <x v="1"/>
    <x v="8"/>
    <x v="0"/>
    <x v="0"/>
    <x v="13"/>
    <x v="1"/>
    <x v="5"/>
    <n v="0"/>
  </r>
  <r>
    <x v="1"/>
    <x v="8"/>
    <x v="0"/>
    <x v="0"/>
    <x v="13"/>
    <x v="1"/>
    <x v="6"/>
    <n v="0"/>
  </r>
  <r>
    <x v="1"/>
    <x v="8"/>
    <x v="0"/>
    <x v="2"/>
    <x v="14"/>
    <x v="1"/>
    <x v="0"/>
    <n v="2.1919314812476175E-2"/>
  </r>
  <r>
    <x v="1"/>
    <x v="8"/>
    <x v="0"/>
    <x v="2"/>
    <x v="14"/>
    <x v="1"/>
    <x v="1"/>
    <n v="9.2078560340789511E-2"/>
  </r>
  <r>
    <x v="1"/>
    <x v="8"/>
    <x v="0"/>
    <x v="2"/>
    <x v="14"/>
    <x v="1"/>
    <x v="2"/>
    <n v="0.38319324124018039"/>
  </r>
  <r>
    <x v="1"/>
    <x v="8"/>
    <x v="0"/>
    <x v="2"/>
    <x v="14"/>
    <x v="1"/>
    <x v="3"/>
    <n v="1.5907762914639145"/>
  </r>
  <r>
    <x v="1"/>
    <x v="8"/>
    <x v="0"/>
    <x v="2"/>
    <x v="14"/>
    <x v="1"/>
    <x v="4"/>
    <n v="4.3601779992799354"/>
  </r>
  <r>
    <x v="1"/>
    <x v="8"/>
    <x v="0"/>
    <x v="2"/>
    <x v="14"/>
    <x v="1"/>
    <x v="5"/>
    <n v="5.0944766542832465"/>
  </r>
  <r>
    <x v="1"/>
    <x v="8"/>
    <x v="0"/>
    <x v="2"/>
    <x v="14"/>
    <x v="1"/>
    <x v="6"/>
    <n v="7.6292080611482191"/>
  </r>
  <r>
    <x v="1"/>
    <x v="8"/>
    <x v="0"/>
    <x v="2"/>
    <x v="15"/>
    <x v="1"/>
    <x v="0"/>
    <n v="38.223647910989918"/>
  </r>
  <r>
    <x v="1"/>
    <x v="8"/>
    <x v="0"/>
    <x v="2"/>
    <x v="15"/>
    <x v="1"/>
    <x v="1"/>
    <n v="86.298551067109145"/>
  </r>
  <r>
    <x v="1"/>
    <x v="8"/>
    <x v="0"/>
    <x v="2"/>
    <x v="15"/>
    <x v="1"/>
    <x v="2"/>
    <n v="208.3094679051591"/>
  </r>
  <r>
    <x v="1"/>
    <x v="8"/>
    <x v="0"/>
    <x v="2"/>
    <x v="15"/>
    <x v="1"/>
    <x v="3"/>
    <n v="461.31115592021689"/>
  </r>
  <r>
    <x v="1"/>
    <x v="8"/>
    <x v="0"/>
    <x v="2"/>
    <x v="15"/>
    <x v="1"/>
    <x v="4"/>
    <n v="848.91908515807518"/>
  </r>
  <r>
    <x v="1"/>
    <x v="8"/>
    <x v="0"/>
    <x v="2"/>
    <x v="15"/>
    <x v="1"/>
    <x v="5"/>
    <n v="1295.1807245857613"/>
  </r>
  <r>
    <x v="1"/>
    <x v="8"/>
    <x v="0"/>
    <x v="2"/>
    <x v="15"/>
    <x v="1"/>
    <x v="6"/>
    <n v="1789.5640541364255"/>
  </r>
  <r>
    <x v="1"/>
    <x v="8"/>
    <x v="0"/>
    <x v="2"/>
    <x v="16"/>
    <x v="1"/>
    <x v="0"/>
    <n v="1.1468176152387288"/>
  </r>
  <r>
    <x v="1"/>
    <x v="8"/>
    <x v="0"/>
    <x v="2"/>
    <x v="16"/>
    <x v="1"/>
    <x v="1"/>
    <n v="17.343769757634057"/>
  </r>
  <r>
    <x v="1"/>
    <x v="8"/>
    <x v="0"/>
    <x v="2"/>
    <x v="16"/>
    <x v="1"/>
    <x v="2"/>
    <n v="49.206056587763477"/>
  </r>
  <r>
    <x v="1"/>
    <x v="8"/>
    <x v="0"/>
    <x v="2"/>
    <x v="16"/>
    <x v="1"/>
    <x v="3"/>
    <n v="76.389100807017613"/>
  </r>
  <r>
    <x v="1"/>
    <x v="8"/>
    <x v="0"/>
    <x v="2"/>
    <x v="16"/>
    <x v="1"/>
    <x v="4"/>
    <n v="108.31577197281645"/>
  </r>
  <r>
    <x v="1"/>
    <x v="8"/>
    <x v="0"/>
    <x v="2"/>
    <x v="16"/>
    <x v="1"/>
    <x v="5"/>
    <n v="216.31245064397177"/>
  </r>
  <r>
    <x v="1"/>
    <x v="8"/>
    <x v="0"/>
    <x v="2"/>
    <x v="16"/>
    <x v="1"/>
    <x v="6"/>
    <n v="308.80282654836139"/>
  </r>
  <r>
    <x v="1"/>
    <x v="8"/>
    <x v="0"/>
    <x v="0"/>
    <x v="17"/>
    <x v="1"/>
    <x v="0"/>
    <n v="0"/>
  </r>
  <r>
    <x v="1"/>
    <x v="8"/>
    <x v="0"/>
    <x v="0"/>
    <x v="17"/>
    <x v="1"/>
    <x v="1"/>
    <n v="0"/>
  </r>
  <r>
    <x v="1"/>
    <x v="8"/>
    <x v="0"/>
    <x v="0"/>
    <x v="17"/>
    <x v="1"/>
    <x v="2"/>
    <n v="0"/>
  </r>
  <r>
    <x v="1"/>
    <x v="8"/>
    <x v="0"/>
    <x v="0"/>
    <x v="17"/>
    <x v="1"/>
    <x v="3"/>
    <n v="0"/>
  </r>
  <r>
    <x v="1"/>
    <x v="8"/>
    <x v="0"/>
    <x v="0"/>
    <x v="17"/>
    <x v="1"/>
    <x v="4"/>
    <n v="0"/>
  </r>
  <r>
    <x v="1"/>
    <x v="8"/>
    <x v="0"/>
    <x v="0"/>
    <x v="17"/>
    <x v="1"/>
    <x v="5"/>
    <n v="0"/>
  </r>
  <r>
    <x v="1"/>
    <x v="8"/>
    <x v="0"/>
    <x v="0"/>
    <x v="17"/>
    <x v="1"/>
    <x v="6"/>
    <n v="0"/>
  </r>
  <r>
    <x v="1"/>
    <x v="8"/>
    <x v="0"/>
    <x v="2"/>
    <x v="18"/>
    <x v="1"/>
    <x v="0"/>
    <n v="36.019110928748354"/>
  </r>
  <r>
    <x v="1"/>
    <x v="8"/>
    <x v="0"/>
    <x v="2"/>
    <x v="18"/>
    <x v="1"/>
    <x v="1"/>
    <n v="66.017592979086871"/>
  </r>
  <r>
    <x v="1"/>
    <x v="8"/>
    <x v="0"/>
    <x v="2"/>
    <x v="18"/>
    <x v="1"/>
    <x v="2"/>
    <n v="104.08945799829245"/>
  </r>
  <r>
    <x v="1"/>
    <x v="8"/>
    <x v="0"/>
    <x v="2"/>
    <x v="18"/>
    <x v="1"/>
    <x v="3"/>
    <n v="201.80388640989426"/>
  </r>
  <r>
    <x v="1"/>
    <x v="8"/>
    <x v="0"/>
    <x v="2"/>
    <x v="18"/>
    <x v="1"/>
    <x v="4"/>
    <n v="376.61598407450253"/>
  </r>
  <r>
    <x v="1"/>
    <x v="8"/>
    <x v="0"/>
    <x v="2"/>
    <x v="18"/>
    <x v="1"/>
    <x v="5"/>
    <n v="664.25127828829193"/>
  </r>
  <r>
    <x v="1"/>
    <x v="8"/>
    <x v="0"/>
    <x v="2"/>
    <x v="18"/>
    <x v="1"/>
    <x v="6"/>
    <n v="815.412927241126"/>
  </r>
  <r>
    <x v="1"/>
    <x v="8"/>
    <x v="1"/>
    <x v="3"/>
    <x v="19"/>
    <x v="1"/>
    <x v="0"/>
    <n v="2.3728469053040233"/>
  </r>
  <r>
    <x v="1"/>
    <x v="8"/>
    <x v="1"/>
    <x v="3"/>
    <x v="19"/>
    <x v="1"/>
    <x v="1"/>
    <n v="4.9128867976884836"/>
  </r>
  <r>
    <x v="1"/>
    <x v="8"/>
    <x v="1"/>
    <x v="3"/>
    <x v="19"/>
    <x v="1"/>
    <x v="2"/>
    <n v="11.469362921786932"/>
  </r>
  <r>
    <x v="1"/>
    <x v="8"/>
    <x v="1"/>
    <x v="3"/>
    <x v="19"/>
    <x v="1"/>
    <x v="3"/>
    <n v="25.901693045588075"/>
  </r>
  <r>
    <x v="1"/>
    <x v="8"/>
    <x v="1"/>
    <x v="3"/>
    <x v="19"/>
    <x v="1"/>
    <x v="4"/>
    <n v="36.639989091996021"/>
  </r>
  <r>
    <x v="1"/>
    <x v="8"/>
    <x v="1"/>
    <x v="3"/>
    <x v="19"/>
    <x v="1"/>
    <x v="5"/>
    <n v="46.418128274491401"/>
  </r>
  <r>
    <x v="1"/>
    <x v="8"/>
    <x v="1"/>
    <x v="3"/>
    <x v="19"/>
    <x v="1"/>
    <x v="6"/>
    <n v="63.393450106718447"/>
  </r>
  <r>
    <x v="1"/>
    <x v="8"/>
    <x v="1"/>
    <x v="3"/>
    <x v="20"/>
    <x v="1"/>
    <x v="0"/>
    <n v="14.24822591696792"/>
  </r>
  <r>
    <x v="1"/>
    <x v="8"/>
    <x v="1"/>
    <x v="3"/>
    <x v="20"/>
    <x v="1"/>
    <x v="1"/>
    <n v="28.332358541729736"/>
  </r>
  <r>
    <x v="1"/>
    <x v="8"/>
    <x v="1"/>
    <x v="3"/>
    <x v="20"/>
    <x v="1"/>
    <x v="2"/>
    <n v="59.009186398071371"/>
  </r>
  <r>
    <x v="1"/>
    <x v="8"/>
    <x v="1"/>
    <x v="3"/>
    <x v="20"/>
    <x v="1"/>
    <x v="3"/>
    <n v="123.63114018204917"/>
  </r>
  <r>
    <x v="1"/>
    <x v="8"/>
    <x v="1"/>
    <x v="3"/>
    <x v="20"/>
    <x v="1"/>
    <x v="4"/>
    <n v="166.16891616170324"/>
  </r>
  <r>
    <x v="1"/>
    <x v="8"/>
    <x v="1"/>
    <x v="3"/>
    <x v="20"/>
    <x v="1"/>
    <x v="5"/>
    <n v="224.17368811923239"/>
  </r>
  <r>
    <x v="1"/>
    <x v="8"/>
    <x v="1"/>
    <x v="3"/>
    <x v="20"/>
    <x v="1"/>
    <x v="6"/>
    <n v="257.72981024238163"/>
  </r>
  <r>
    <x v="1"/>
    <x v="8"/>
    <x v="1"/>
    <x v="3"/>
    <x v="21"/>
    <x v="1"/>
    <x v="0"/>
    <n v="1.2002724045500883"/>
  </r>
  <r>
    <x v="1"/>
    <x v="8"/>
    <x v="1"/>
    <x v="3"/>
    <x v="21"/>
    <x v="1"/>
    <x v="1"/>
    <n v="2.4481727526371819"/>
  </r>
  <r>
    <x v="1"/>
    <x v="8"/>
    <x v="1"/>
    <x v="3"/>
    <x v="21"/>
    <x v="1"/>
    <x v="2"/>
    <n v="5.0881838803834318"/>
  </r>
  <r>
    <x v="1"/>
    <x v="8"/>
    <x v="1"/>
    <x v="3"/>
    <x v="21"/>
    <x v="1"/>
    <x v="3"/>
    <n v="10.231032458596003"/>
  </r>
  <r>
    <x v="1"/>
    <x v="8"/>
    <x v="1"/>
    <x v="3"/>
    <x v="21"/>
    <x v="1"/>
    <x v="4"/>
    <n v="13.181187929808853"/>
  </r>
  <r>
    <x v="1"/>
    <x v="8"/>
    <x v="1"/>
    <x v="3"/>
    <x v="21"/>
    <x v="1"/>
    <x v="5"/>
    <n v="17.440615693786878"/>
  </r>
  <r>
    <x v="1"/>
    <x v="8"/>
    <x v="1"/>
    <x v="3"/>
    <x v="21"/>
    <x v="1"/>
    <x v="6"/>
    <n v="22.244437022659316"/>
  </r>
  <r>
    <x v="1"/>
    <x v="8"/>
    <x v="1"/>
    <x v="3"/>
    <x v="22"/>
    <x v="1"/>
    <x v="0"/>
    <n v="0"/>
  </r>
  <r>
    <x v="1"/>
    <x v="8"/>
    <x v="1"/>
    <x v="3"/>
    <x v="22"/>
    <x v="1"/>
    <x v="1"/>
    <n v="0"/>
  </r>
  <r>
    <x v="1"/>
    <x v="8"/>
    <x v="1"/>
    <x v="3"/>
    <x v="22"/>
    <x v="1"/>
    <x v="2"/>
    <n v="0"/>
  </r>
  <r>
    <x v="1"/>
    <x v="8"/>
    <x v="1"/>
    <x v="3"/>
    <x v="22"/>
    <x v="1"/>
    <x v="3"/>
    <n v="0"/>
  </r>
  <r>
    <x v="1"/>
    <x v="8"/>
    <x v="1"/>
    <x v="3"/>
    <x v="22"/>
    <x v="1"/>
    <x v="4"/>
    <n v="0"/>
  </r>
  <r>
    <x v="1"/>
    <x v="8"/>
    <x v="1"/>
    <x v="3"/>
    <x v="22"/>
    <x v="1"/>
    <x v="5"/>
    <n v="0"/>
  </r>
  <r>
    <x v="1"/>
    <x v="8"/>
    <x v="1"/>
    <x v="3"/>
    <x v="22"/>
    <x v="1"/>
    <x v="6"/>
    <n v="0"/>
  </r>
  <r>
    <x v="1"/>
    <x v="8"/>
    <x v="1"/>
    <x v="3"/>
    <x v="23"/>
    <x v="1"/>
    <x v="0"/>
    <n v="0"/>
  </r>
  <r>
    <x v="1"/>
    <x v="8"/>
    <x v="1"/>
    <x v="3"/>
    <x v="23"/>
    <x v="1"/>
    <x v="1"/>
    <n v="0"/>
  </r>
  <r>
    <x v="1"/>
    <x v="8"/>
    <x v="1"/>
    <x v="3"/>
    <x v="23"/>
    <x v="1"/>
    <x v="2"/>
    <n v="0"/>
  </r>
  <r>
    <x v="1"/>
    <x v="8"/>
    <x v="1"/>
    <x v="3"/>
    <x v="23"/>
    <x v="1"/>
    <x v="3"/>
    <n v="0"/>
  </r>
  <r>
    <x v="1"/>
    <x v="8"/>
    <x v="1"/>
    <x v="3"/>
    <x v="23"/>
    <x v="1"/>
    <x v="4"/>
    <n v="0"/>
  </r>
  <r>
    <x v="1"/>
    <x v="8"/>
    <x v="1"/>
    <x v="3"/>
    <x v="23"/>
    <x v="1"/>
    <x v="5"/>
    <n v="0"/>
  </r>
  <r>
    <x v="1"/>
    <x v="8"/>
    <x v="1"/>
    <x v="3"/>
    <x v="23"/>
    <x v="1"/>
    <x v="6"/>
    <n v="0"/>
  </r>
  <r>
    <x v="1"/>
    <x v="8"/>
    <x v="1"/>
    <x v="3"/>
    <x v="24"/>
    <x v="1"/>
    <x v="0"/>
    <n v="0"/>
  </r>
  <r>
    <x v="1"/>
    <x v="8"/>
    <x v="1"/>
    <x v="3"/>
    <x v="24"/>
    <x v="1"/>
    <x v="1"/>
    <n v="0"/>
  </r>
  <r>
    <x v="1"/>
    <x v="8"/>
    <x v="1"/>
    <x v="3"/>
    <x v="24"/>
    <x v="1"/>
    <x v="2"/>
    <n v="0"/>
  </r>
  <r>
    <x v="1"/>
    <x v="8"/>
    <x v="1"/>
    <x v="3"/>
    <x v="24"/>
    <x v="1"/>
    <x v="3"/>
    <n v="0"/>
  </r>
  <r>
    <x v="1"/>
    <x v="8"/>
    <x v="1"/>
    <x v="3"/>
    <x v="24"/>
    <x v="1"/>
    <x v="4"/>
    <n v="0"/>
  </r>
  <r>
    <x v="1"/>
    <x v="8"/>
    <x v="1"/>
    <x v="3"/>
    <x v="24"/>
    <x v="1"/>
    <x v="5"/>
    <n v="0"/>
  </r>
  <r>
    <x v="1"/>
    <x v="8"/>
    <x v="1"/>
    <x v="3"/>
    <x v="24"/>
    <x v="1"/>
    <x v="6"/>
    <n v="0"/>
  </r>
  <r>
    <x v="1"/>
    <x v="8"/>
    <x v="1"/>
    <x v="3"/>
    <x v="25"/>
    <x v="1"/>
    <x v="0"/>
    <n v="5.09138956448062"/>
  </r>
  <r>
    <x v="1"/>
    <x v="8"/>
    <x v="1"/>
    <x v="3"/>
    <x v="25"/>
    <x v="1"/>
    <x v="1"/>
    <n v="14.267160133103463"/>
  </r>
  <r>
    <x v="1"/>
    <x v="8"/>
    <x v="1"/>
    <x v="3"/>
    <x v="25"/>
    <x v="1"/>
    <x v="2"/>
    <n v="47.821747797339746"/>
  </r>
  <r>
    <x v="1"/>
    <x v="8"/>
    <x v="1"/>
    <x v="3"/>
    <x v="25"/>
    <x v="1"/>
    <x v="3"/>
    <n v="139.53409031467055"/>
  </r>
  <r>
    <x v="1"/>
    <x v="8"/>
    <x v="1"/>
    <x v="3"/>
    <x v="25"/>
    <x v="1"/>
    <x v="4"/>
    <n v="257.10965250000004"/>
  </r>
  <r>
    <x v="1"/>
    <x v="8"/>
    <x v="1"/>
    <x v="3"/>
    <x v="25"/>
    <x v="1"/>
    <x v="5"/>
    <n v="379.39490946374991"/>
  </r>
  <r>
    <x v="1"/>
    <x v="8"/>
    <x v="1"/>
    <x v="3"/>
    <x v="25"/>
    <x v="1"/>
    <x v="6"/>
    <n v="482.51533050426343"/>
  </r>
  <r>
    <x v="1"/>
    <x v="8"/>
    <x v="2"/>
    <x v="4"/>
    <x v="26"/>
    <x v="1"/>
    <x v="0"/>
    <n v="0.70999114448154654"/>
  </r>
  <r>
    <x v="1"/>
    <x v="8"/>
    <x v="2"/>
    <x v="4"/>
    <x v="26"/>
    <x v="1"/>
    <x v="1"/>
    <n v="0.98188373303209231"/>
  </r>
  <r>
    <x v="1"/>
    <x v="8"/>
    <x v="2"/>
    <x v="4"/>
    <x v="26"/>
    <x v="1"/>
    <x v="2"/>
    <n v="1.2469695490578432"/>
  </r>
  <r>
    <x v="1"/>
    <x v="8"/>
    <x v="2"/>
    <x v="4"/>
    <x v="26"/>
    <x v="1"/>
    <x v="3"/>
    <n v="2.7431797477440805"/>
  </r>
  <r>
    <x v="1"/>
    <x v="8"/>
    <x v="2"/>
    <x v="4"/>
    <x v="26"/>
    <x v="1"/>
    <x v="4"/>
    <n v="3.3693646958490282"/>
  </r>
  <r>
    <x v="1"/>
    <x v="8"/>
    <x v="2"/>
    <x v="4"/>
    <x v="26"/>
    <x v="1"/>
    <x v="5"/>
    <n v="4.3935059213453211"/>
  </r>
  <r>
    <x v="1"/>
    <x v="8"/>
    <x v="2"/>
    <x v="4"/>
    <x v="26"/>
    <x v="1"/>
    <x v="6"/>
    <n v="5.192424978737078"/>
  </r>
  <r>
    <x v="1"/>
    <x v="8"/>
    <x v="2"/>
    <x v="4"/>
    <x v="27"/>
    <x v="1"/>
    <x v="0"/>
    <n v="5.9641514094208246"/>
  </r>
  <r>
    <x v="1"/>
    <x v="8"/>
    <x v="2"/>
    <x v="4"/>
    <x v="27"/>
    <x v="1"/>
    <x v="1"/>
    <n v="20.645632638512811"/>
  </r>
  <r>
    <x v="1"/>
    <x v="8"/>
    <x v="2"/>
    <x v="4"/>
    <x v="27"/>
    <x v="1"/>
    <x v="2"/>
    <n v="53.01668553530881"/>
  </r>
  <r>
    <x v="1"/>
    <x v="8"/>
    <x v="2"/>
    <x v="4"/>
    <x v="27"/>
    <x v="1"/>
    <x v="3"/>
    <n v="226.09727023113695"/>
  </r>
  <r>
    <x v="1"/>
    <x v="8"/>
    <x v="2"/>
    <x v="4"/>
    <x v="27"/>
    <x v="1"/>
    <x v="4"/>
    <n v="755.74609304233888"/>
  </r>
  <r>
    <x v="1"/>
    <x v="8"/>
    <x v="2"/>
    <x v="4"/>
    <x v="27"/>
    <x v="1"/>
    <x v="5"/>
    <n v="1074.1499793958096"/>
  </r>
  <r>
    <x v="1"/>
    <x v="8"/>
    <x v="2"/>
    <x v="4"/>
    <x v="27"/>
    <x v="1"/>
    <x v="6"/>
    <n v="1750.5518894279794"/>
  </r>
  <r>
    <x v="1"/>
    <x v="8"/>
    <x v="2"/>
    <x v="4"/>
    <x v="28"/>
    <x v="1"/>
    <x v="0"/>
    <n v="5.5552621024824749"/>
  </r>
  <r>
    <x v="1"/>
    <x v="8"/>
    <x v="2"/>
    <x v="4"/>
    <x v="28"/>
    <x v="1"/>
    <x v="1"/>
    <n v="20.499228189031975"/>
  </r>
  <r>
    <x v="1"/>
    <x v="8"/>
    <x v="2"/>
    <x v="4"/>
    <x v="28"/>
    <x v="1"/>
    <x v="2"/>
    <n v="31.377264907647611"/>
  </r>
  <r>
    <x v="1"/>
    <x v="8"/>
    <x v="2"/>
    <x v="4"/>
    <x v="28"/>
    <x v="1"/>
    <x v="3"/>
    <n v="76.655807533284843"/>
  </r>
  <r>
    <x v="1"/>
    <x v="8"/>
    <x v="2"/>
    <x v="4"/>
    <x v="28"/>
    <x v="1"/>
    <x v="4"/>
    <n v="165.05756921026725"/>
  </r>
  <r>
    <x v="1"/>
    <x v="8"/>
    <x v="2"/>
    <x v="4"/>
    <x v="28"/>
    <x v="1"/>
    <x v="5"/>
    <n v="279.65653478645811"/>
  </r>
  <r>
    <x v="1"/>
    <x v="8"/>
    <x v="2"/>
    <x v="4"/>
    <x v="28"/>
    <x v="1"/>
    <x v="6"/>
    <n v="405.00373000345894"/>
  </r>
  <r>
    <x v="1"/>
    <x v="8"/>
    <x v="2"/>
    <x v="4"/>
    <x v="29"/>
    <x v="1"/>
    <x v="0"/>
    <n v="175.94817671632788"/>
  </r>
  <r>
    <x v="1"/>
    <x v="8"/>
    <x v="2"/>
    <x v="4"/>
    <x v="29"/>
    <x v="1"/>
    <x v="1"/>
    <n v="291.49084738668364"/>
  </r>
  <r>
    <x v="1"/>
    <x v="8"/>
    <x v="2"/>
    <x v="4"/>
    <x v="29"/>
    <x v="1"/>
    <x v="2"/>
    <n v="409.12657105209183"/>
  </r>
  <r>
    <x v="1"/>
    <x v="8"/>
    <x v="2"/>
    <x v="4"/>
    <x v="29"/>
    <x v="1"/>
    <x v="3"/>
    <n v="1190.7392907943974"/>
  </r>
  <r>
    <x v="1"/>
    <x v="8"/>
    <x v="2"/>
    <x v="4"/>
    <x v="29"/>
    <x v="1"/>
    <x v="4"/>
    <n v="1833.5967592784928"/>
  </r>
  <r>
    <x v="1"/>
    <x v="8"/>
    <x v="2"/>
    <x v="4"/>
    <x v="29"/>
    <x v="1"/>
    <x v="5"/>
    <n v="2522.8133867173651"/>
  </r>
  <r>
    <x v="1"/>
    <x v="8"/>
    <x v="2"/>
    <x v="4"/>
    <x v="29"/>
    <x v="1"/>
    <x v="6"/>
    <n v="3629.2356607880856"/>
  </r>
  <r>
    <x v="1"/>
    <x v="8"/>
    <x v="3"/>
    <x v="5"/>
    <x v="30"/>
    <x v="1"/>
    <x v="0"/>
    <n v="1.4528561267686735"/>
  </r>
  <r>
    <x v="1"/>
    <x v="8"/>
    <x v="3"/>
    <x v="5"/>
    <x v="30"/>
    <x v="1"/>
    <x v="1"/>
    <n v="3.7494565911881335"/>
  </r>
  <r>
    <x v="1"/>
    <x v="8"/>
    <x v="3"/>
    <x v="5"/>
    <x v="30"/>
    <x v="1"/>
    <x v="2"/>
    <n v="27.029822116919185"/>
  </r>
  <r>
    <x v="1"/>
    <x v="8"/>
    <x v="3"/>
    <x v="5"/>
    <x v="30"/>
    <x v="1"/>
    <x v="3"/>
    <n v="115.64211291516898"/>
  </r>
  <r>
    <x v="1"/>
    <x v="8"/>
    <x v="3"/>
    <x v="5"/>
    <x v="30"/>
    <x v="1"/>
    <x v="4"/>
    <n v="187.05139498615401"/>
  </r>
  <r>
    <x v="1"/>
    <x v="8"/>
    <x v="3"/>
    <x v="5"/>
    <x v="30"/>
    <x v="1"/>
    <x v="5"/>
    <n v="237.03526757978619"/>
  </r>
  <r>
    <x v="1"/>
    <x v="8"/>
    <x v="3"/>
    <x v="5"/>
    <x v="30"/>
    <x v="1"/>
    <x v="6"/>
    <n v="194.96023513719658"/>
  </r>
  <r>
    <x v="1"/>
    <x v="8"/>
    <x v="2"/>
    <x v="4"/>
    <x v="31"/>
    <x v="1"/>
    <x v="0"/>
    <n v="4.8660420040348695"/>
  </r>
  <r>
    <x v="1"/>
    <x v="8"/>
    <x v="2"/>
    <x v="4"/>
    <x v="31"/>
    <x v="1"/>
    <x v="1"/>
    <n v="19.205585429649041"/>
  </r>
  <r>
    <x v="1"/>
    <x v="8"/>
    <x v="2"/>
    <x v="4"/>
    <x v="31"/>
    <x v="1"/>
    <x v="2"/>
    <n v="74.879082467832021"/>
  </r>
  <r>
    <x v="1"/>
    <x v="8"/>
    <x v="2"/>
    <x v="4"/>
    <x v="31"/>
    <x v="1"/>
    <x v="3"/>
    <n v="289.35308502288456"/>
  </r>
  <r>
    <x v="1"/>
    <x v="8"/>
    <x v="2"/>
    <x v="4"/>
    <x v="31"/>
    <x v="1"/>
    <x v="4"/>
    <n v="912.11672328232316"/>
  </r>
  <r>
    <x v="1"/>
    <x v="8"/>
    <x v="2"/>
    <x v="4"/>
    <x v="31"/>
    <x v="1"/>
    <x v="5"/>
    <n v="1379.4092948816278"/>
  </r>
  <r>
    <x v="1"/>
    <x v="8"/>
    <x v="2"/>
    <x v="4"/>
    <x v="31"/>
    <x v="1"/>
    <x v="6"/>
    <n v="1753.2686259867123"/>
  </r>
  <r>
    <x v="1"/>
    <x v="8"/>
    <x v="2"/>
    <x v="4"/>
    <x v="32"/>
    <x v="1"/>
    <x v="0"/>
    <n v="19.340745836353733"/>
  </r>
  <r>
    <x v="1"/>
    <x v="8"/>
    <x v="2"/>
    <x v="4"/>
    <x v="32"/>
    <x v="1"/>
    <x v="1"/>
    <n v="63.528719437055429"/>
  </r>
  <r>
    <x v="1"/>
    <x v="8"/>
    <x v="2"/>
    <x v="4"/>
    <x v="32"/>
    <x v="1"/>
    <x v="2"/>
    <n v="197.36867969855609"/>
  </r>
  <r>
    <x v="1"/>
    <x v="8"/>
    <x v="2"/>
    <x v="4"/>
    <x v="32"/>
    <x v="1"/>
    <x v="3"/>
    <n v="548.01133631799632"/>
  </r>
  <r>
    <x v="1"/>
    <x v="8"/>
    <x v="2"/>
    <x v="4"/>
    <x v="32"/>
    <x v="1"/>
    <x v="4"/>
    <n v="342.7710551991305"/>
  </r>
  <r>
    <x v="1"/>
    <x v="8"/>
    <x v="2"/>
    <x v="4"/>
    <x v="32"/>
    <x v="1"/>
    <x v="5"/>
    <n v="434.82136640268357"/>
  </r>
  <r>
    <x v="1"/>
    <x v="8"/>
    <x v="2"/>
    <x v="4"/>
    <x v="32"/>
    <x v="1"/>
    <x v="6"/>
    <n v="1217.6485466645961"/>
  </r>
  <r>
    <x v="1"/>
    <x v="8"/>
    <x v="2"/>
    <x v="4"/>
    <x v="33"/>
    <x v="1"/>
    <x v="0"/>
    <n v="0.10992019355624792"/>
  </r>
  <r>
    <x v="1"/>
    <x v="8"/>
    <x v="2"/>
    <x v="4"/>
    <x v="33"/>
    <x v="1"/>
    <x v="1"/>
    <n v="0.60346502969128968"/>
  </r>
  <r>
    <x v="1"/>
    <x v="8"/>
    <x v="2"/>
    <x v="4"/>
    <x v="33"/>
    <x v="1"/>
    <x v="2"/>
    <n v="5.7534709149647014"/>
  </r>
  <r>
    <x v="1"/>
    <x v="8"/>
    <x v="2"/>
    <x v="4"/>
    <x v="33"/>
    <x v="1"/>
    <x v="3"/>
    <n v="12.338693810882301"/>
  </r>
  <r>
    <x v="1"/>
    <x v="8"/>
    <x v="2"/>
    <x v="4"/>
    <x v="33"/>
    <x v="1"/>
    <x v="4"/>
    <n v="36.901231548328326"/>
  </r>
  <r>
    <x v="1"/>
    <x v="8"/>
    <x v="2"/>
    <x v="4"/>
    <x v="33"/>
    <x v="1"/>
    <x v="5"/>
    <n v="55.953252216031863"/>
  </r>
  <r>
    <x v="1"/>
    <x v="8"/>
    <x v="2"/>
    <x v="4"/>
    <x v="33"/>
    <x v="1"/>
    <x v="6"/>
    <n v="97.10549509411635"/>
  </r>
  <r>
    <x v="1"/>
    <x v="8"/>
    <x v="2"/>
    <x v="4"/>
    <x v="34"/>
    <x v="1"/>
    <x v="0"/>
    <n v="1.9706829380507063"/>
  </r>
  <r>
    <x v="1"/>
    <x v="8"/>
    <x v="2"/>
    <x v="4"/>
    <x v="34"/>
    <x v="1"/>
    <x v="1"/>
    <n v="5.9491129193085968"/>
  </r>
  <r>
    <x v="1"/>
    <x v="8"/>
    <x v="2"/>
    <x v="4"/>
    <x v="34"/>
    <x v="1"/>
    <x v="2"/>
    <n v="18.152226611635694"/>
  </r>
  <r>
    <x v="1"/>
    <x v="8"/>
    <x v="2"/>
    <x v="4"/>
    <x v="34"/>
    <x v="1"/>
    <x v="3"/>
    <n v="49.07574959686746"/>
  </r>
  <r>
    <x v="1"/>
    <x v="8"/>
    <x v="2"/>
    <x v="4"/>
    <x v="34"/>
    <x v="1"/>
    <x v="4"/>
    <n v="60.313837380844497"/>
  </r>
  <r>
    <x v="1"/>
    <x v="8"/>
    <x v="2"/>
    <x v="4"/>
    <x v="34"/>
    <x v="1"/>
    <x v="5"/>
    <n v="92.837919711958477"/>
  </r>
  <r>
    <x v="1"/>
    <x v="8"/>
    <x v="2"/>
    <x v="4"/>
    <x v="34"/>
    <x v="1"/>
    <x v="6"/>
    <n v="117.56197262390386"/>
  </r>
  <r>
    <x v="1"/>
    <x v="8"/>
    <x v="2"/>
    <x v="6"/>
    <x v="35"/>
    <x v="1"/>
    <x v="0"/>
    <n v="1.3261895760461599"/>
  </r>
  <r>
    <x v="1"/>
    <x v="8"/>
    <x v="2"/>
    <x v="6"/>
    <x v="35"/>
    <x v="1"/>
    <x v="1"/>
    <n v="1.0705630569990578"/>
  </r>
  <r>
    <x v="1"/>
    <x v="8"/>
    <x v="2"/>
    <x v="6"/>
    <x v="35"/>
    <x v="1"/>
    <x v="2"/>
    <n v="0.91297039930691981"/>
  </r>
  <r>
    <x v="1"/>
    <x v="8"/>
    <x v="2"/>
    <x v="6"/>
    <x v="35"/>
    <x v="1"/>
    <x v="3"/>
    <n v="0.73642142568837432"/>
  </r>
  <r>
    <x v="1"/>
    <x v="8"/>
    <x v="2"/>
    <x v="6"/>
    <x v="35"/>
    <x v="1"/>
    <x v="4"/>
    <n v="0.41825606232749224"/>
  </r>
  <r>
    <x v="1"/>
    <x v="8"/>
    <x v="2"/>
    <x v="6"/>
    <x v="35"/>
    <x v="1"/>
    <x v="5"/>
    <n v="0.66705838230334691"/>
  </r>
  <r>
    <x v="1"/>
    <x v="8"/>
    <x v="2"/>
    <x v="6"/>
    <x v="35"/>
    <x v="1"/>
    <x v="6"/>
    <n v="-1.5354723595716477"/>
  </r>
  <r>
    <x v="1"/>
    <x v="8"/>
    <x v="2"/>
    <x v="6"/>
    <x v="36"/>
    <x v="1"/>
    <x v="0"/>
    <n v="1.2926904219329414"/>
  </r>
  <r>
    <x v="1"/>
    <x v="8"/>
    <x v="2"/>
    <x v="6"/>
    <x v="36"/>
    <x v="1"/>
    <x v="1"/>
    <n v="1.0343277947875373"/>
  </r>
  <r>
    <x v="1"/>
    <x v="8"/>
    <x v="2"/>
    <x v="6"/>
    <x v="36"/>
    <x v="1"/>
    <x v="2"/>
    <n v="0.91258560403921274"/>
  </r>
  <r>
    <x v="1"/>
    <x v="8"/>
    <x v="2"/>
    <x v="6"/>
    <x v="36"/>
    <x v="1"/>
    <x v="3"/>
    <n v="0.79365959022589161"/>
  </r>
  <r>
    <x v="1"/>
    <x v="8"/>
    <x v="2"/>
    <x v="6"/>
    <x v="36"/>
    <x v="1"/>
    <x v="4"/>
    <n v="0.43220092816832889"/>
  </r>
  <r>
    <x v="1"/>
    <x v="8"/>
    <x v="2"/>
    <x v="6"/>
    <x v="36"/>
    <x v="1"/>
    <x v="5"/>
    <n v="0.7101493865291677"/>
  </r>
  <r>
    <x v="1"/>
    <x v="8"/>
    <x v="2"/>
    <x v="6"/>
    <x v="36"/>
    <x v="1"/>
    <x v="6"/>
    <n v="-1.8702118060826005"/>
  </r>
  <r>
    <x v="1"/>
    <x v="8"/>
    <x v="2"/>
    <x v="6"/>
    <x v="37"/>
    <x v="1"/>
    <x v="0"/>
    <n v="1.416338855668835"/>
  </r>
  <r>
    <x v="1"/>
    <x v="8"/>
    <x v="2"/>
    <x v="6"/>
    <x v="37"/>
    <x v="1"/>
    <x v="1"/>
    <n v="1.2301293124797721"/>
  </r>
  <r>
    <x v="1"/>
    <x v="8"/>
    <x v="2"/>
    <x v="6"/>
    <x v="37"/>
    <x v="1"/>
    <x v="2"/>
    <n v="0.99396143719514374"/>
  </r>
  <r>
    <x v="1"/>
    <x v="8"/>
    <x v="2"/>
    <x v="6"/>
    <x v="37"/>
    <x v="1"/>
    <x v="3"/>
    <n v="0.8053101532133814"/>
  </r>
  <r>
    <x v="1"/>
    <x v="8"/>
    <x v="2"/>
    <x v="6"/>
    <x v="37"/>
    <x v="1"/>
    <x v="4"/>
    <n v="0.41896557550290697"/>
  </r>
  <r>
    <x v="1"/>
    <x v="8"/>
    <x v="2"/>
    <x v="6"/>
    <x v="37"/>
    <x v="1"/>
    <x v="5"/>
    <n v="0.68906713279591325"/>
  </r>
  <r>
    <x v="1"/>
    <x v="8"/>
    <x v="2"/>
    <x v="6"/>
    <x v="37"/>
    <x v="1"/>
    <x v="6"/>
    <n v="-1.7996152242793764"/>
  </r>
  <r>
    <x v="1"/>
    <x v="8"/>
    <x v="2"/>
    <x v="6"/>
    <x v="38"/>
    <x v="1"/>
    <x v="0"/>
    <n v="0.564707769346943"/>
  </r>
  <r>
    <x v="1"/>
    <x v="8"/>
    <x v="2"/>
    <x v="6"/>
    <x v="38"/>
    <x v="1"/>
    <x v="1"/>
    <n v="0.55175698014984964"/>
  </r>
  <r>
    <x v="1"/>
    <x v="8"/>
    <x v="2"/>
    <x v="6"/>
    <x v="38"/>
    <x v="1"/>
    <x v="2"/>
    <n v="0.52505750581135746"/>
  </r>
  <r>
    <x v="1"/>
    <x v="8"/>
    <x v="2"/>
    <x v="6"/>
    <x v="38"/>
    <x v="1"/>
    <x v="3"/>
    <n v="0.4669575657101811"/>
  </r>
  <r>
    <x v="1"/>
    <x v="8"/>
    <x v="2"/>
    <x v="6"/>
    <x v="38"/>
    <x v="1"/>
    <x v="4"/>
    <n v="0.25655950461284976"/>
  </r>
  <r>
    <x v="1"/>
    <x v="8"/>
    <x v="2"/>
    <x v="6"/>
    <x v="38"/>
    <x v="1"/>
    <x v="5"/>
    <n v="0.41964745020152266"/>
  </r>
  <r>
    <x v="1"/>
    <x v="8"/>
    <x v="2"/>
    <x v="6"/>
    <x v="38"/>
    <x v="1"/>
    <x v="6"/>
    <n v="-1.0282738245343368"/>
  </r>
  <r>
    <x v="1"/>
    <x v="8"/>
    <x v="3"/>
    <x v="5"/>
    <x v="39"/>
    <x v="1"/>
    <x v="0"/>
    <n v="6.8435707820436216"/>
  </r>
  <r>
    <x v="1"/>
    <x v="8"/>
    <x v="3"/>
    <x v="5"/>
    <x v="39"/>
    <x v="1"/>
    <x v="1"/>
    <n v="10.225973776879616"/>
  </r>
  <r>
    <x v="1"/>
    <x v="8"/>
    <x v="3"/>
    <x v="5"/>
    <x v="39"/>
    <x v="1"/>
    <x v="2"/>
    <n v="39.701624858911856"/>
  </r>
  <r>
    <x v="1"/>
    <x v="8"/>
    <x v="3"/>
    <x v="5"/>
    <x v="39"/>
    <x v="1"/>
    <x v="3"/>
    <n v="116.83962043014334"/>
  </r>
  <r>
    <x v="1"/>
    <x v="8"/>
    <x v="3"/>
    <x v="5"/>
    <x v="39"/>
    <x v="1"/>
    <x v="4"/>
    <n v="163.15030968031746"/>
  </r>
  <r>
    <x v="1"/>
    <x v="8"/>
    <x v="3"/>
    <x v="5"/>
    <x v="39"/>
    <x v="1"/>
    <x v="5"/>
    <n v="187.34774618695064"/>
  </r>
  <r>
    <x v="1"/>
    <x v="8"/>
    <x v="3"/>
    <x v="5"/>
    <x v="39"/>
    <x v="1"/>
    <x v="6"/>
    <n v="152.72809686615074"/>
  </r>
  <r>
    <x v="1"/>
    <x v="8"/>
    <x v="2"/>
    <x v="6"/>
    <x v="40"/>
    <x v="1"/>
    <x v="0"/>
    <n v="1.681005382592341"/>
  </r>
  <r>
    <x v="1"/>
    <x v="8"/>
    <x v="2"/>
    <x v="6"/>
    <x v="40"/>
    <x v="1"/>
    <x v="1"/>
    <n v="1.5750086042706519"/>
  </r>
  <r>
    <x v="1"/>
    <x v="8"/>
    <x v="2"/>
    <x v="6"/>
    <x v="40"/>
    <x v="1"/>
    <x v="2"/>
    <n v="1.4386637636677273"/>
  </r>
  <r>
    <x v="1"/>
    <x v="8"/>
    <x v="2"/>
    <x v="6"/>
    <x v="40"/>
    <x v="1"/>
    <x v="3"/>
    <n v="1.2514469606396148"/>
  </r>
  <r>
    <x v="1"/>
    <x v="8"/>
    <x v="2"/>
    <x v="6"/>
    <x v="40"/>
    <x v="1"/>
    <x v="4"/>
    <n v="0.71110877163668262"/>
  </r>
  <r>
    <x v="1"/>
    <x v="8"/>
    <x v="2"/>
    <x v="6"/>
    <x v="40"/>
    <x v="1"/>
    <x v="5"/>
    <n v="1.192603592261785"/>
  </r>
  <r>
    <x v="1"/>
    <x v="8"/>
    <x v="2"/>
    <x v="6"/>
    <x v="40"/>
    <x v="1"/>
    <x v="6"/>
    <n v="-2.9311177180055572"/>
  </r>
  <r>
    <x v="1"/>
    <x v="8"/>
    <x v="2"/>
    <x v="6"/>
    <x v="41"/>
    <x v="1"/>
    <x v="0"/>
    <n v="0.76025987149053065"/>
  </r>
  <r>
    <x v="1"/>
    <x v="8"/>
    <x v="2"/>
    <x v="6"/>
    <x v="41"/>
    <x v="1"/>
    <x v="1"/>
    <n v="0.68661533857027224"/>
  </r>
  <r>
    <x v="1"/>
    <x v="8"/>
    <x v="2"/>
    <x v="6"/>
    <x v="41"/>
    <x v="1"/>
    <x v="2"/>
    <n v="0.63614761452802637"/>
  </r>
  <r>
    <x v="1"/>
    <x v="8"/>
    <x v="2"/>
    <x v="6"/>
    <x v="41"/>
    <x v="1"/>
    <x v="3"/>
    <n v="0.56403443785257934"/>
  </r>
  <r>
    <x v="1"/>
    <x v="8"/>
    <x v="2"/>
    <x v="6"/>
    <x v="41"/>
    <x v="1"/>
    <x v="4"/>
    <n v="0.316159982698274"/>
  </r>
  <r>
    <x v="1"/>
    <x v="8"/>
    <x v="2"/>
    <x v="6"/>
    <x v="41"/>
    <x v="1"/>
    <x v="5"/>
    <n v="0.53643179861027479"/>
  </r>
  <r>
    <x v="1"/>
    <x v="8"/>
    <x v="2"/>
    <x v="6"/>
    <x v="41"/>
    <x v="1"/>
    <x v="6"/>
    <n v="-1.3009227607932741"/>
  </r>
  <r>
    <x v="1"/>
    <x v="8"/>
    <x v="2"/>
    <x v="6"/>
    <x v="42"/>
    <x v="1"/>
    <x v="0"/>
    <n v="0.71956801945459659"/>
  </r>
  <r>
    <x v="1"/>
    <x v="8"/>
    <x v="2"/>
    <x v="6"/>
    <x v="42"/>
    <x v="1"/>
    <x v="1"/>
    <n v="0.63131436635114857"/>
  </r>
  <r>
    <x v="1"/>
    <x v="8"/>
    <x v="2"/>
    <x v="6"/>
    <x v="42"/>
    <x v="1"/>
    <x v="2"/>
    <n v="0.56333138046258335"/>
  </r>
  <r>
    <x v="1"/>
    <x v="8"/>
    <x v="2"/>
    <x v="6"/>
    <x v="42"/>
    <x v="1"/>
    <x v="3"/>
    <n v="0.47148860706585261"/>
  </r>
  <r>
    <x v="1"/>
    <x v="8"/>
    <x v="2"/>
    <x v="6"/>
    <x v="42"/>
    <x v="1"/>
    <x v="4"/>
    <n v="0.2655069861685822"/>
  </r>
  <r>
    <x v="1"/>
    <x v="8"/>
    <x v="2"/>
    <x v="6"/>
    <x v="42"/>
    <x v="1"/>
    <x v="5"/>
    <n v="0.45057940693802573"/>
  </r>
  <r>
    <x v="1"/>
    <x v="8"/>
    <x v="2"/>
    <x v="6"/>
    <x v="42"/>
    <x v="1"/>
    <x v="6"/>
    <n v="-1.2180975362347712"/>
  </r>
  <r>
    <x v="1"/>
    <x v="8"/>
    <x v="2"/>
    <x v="6"/>
    <x v="43"/>
    <x v="1"/>
    <x v="0"/>
    <n v="1.340414220091205"/>
  </r>
  <r>
    <x v="1"/>
    <x v="8"/>
    <x v="2"/>
    <x v="6"/>
    <x v="43"/>
    <x v="1"/>
    <x v="1"/>
    <n v="1.2429148162608246"/>
  </r>
  <r>
    <x v="1"/>
    <x v="8"/>
    <x v="2"/>
    <x v="6"/>
    <x v="43"/>
    <x v="1"/>
    <x v="2"/>
    <n v="1.0002460132811082"/>
  </r>
  <r>
    <x v="1"/>
    <x v="8"/>
    <x v="2"/>
    <x v="6"/>
    <x v="43"/>
    <x v="1"/>
    <x v="3"/>
    <n v="0.75606040218495207"/>
  </r>
  <r>
    <x v="1"/>
    <x v="8"/>
    <x v="2"/>
    <x v="6"/>
    <x v="43"/>
    <x v="1"/>
    <x v="4"/>
    <n v="0.35849949258964486"/>
  </r>
  <r>
    <x v="1"/>
    <x v="8"/>
    <x v="2"/>
    <x v="6"/>
    <x v="43"/>
    <x v="1"/>
    <x v="5"/>
    <n v="0.51974280178346144"/>
  </r>
  <r>
    <x v="1"/>
    <x v="8"/>
    <x v="2"/>
    <x v="6"/>
    <x v="43"/>
    <x v="1"/>
    <x v="6"/>
    <n v="-1.2700815477424621"/>
  </r>
  <r>
    <x v="1"/>
    <x v="7"/>
    <x v="4"/>
    <x v="7"/>
    <x v="61"/>
    <x v="1"/>
    <x v="0"/>
    <n v="0"/>
  </r>
  <r>
    <x v="1"/>
    <x v="7"/>
    <x v="4"/>
    <x v="7"/>
    <x v="61"/>
    <x v="1"/>
    <x v="1"/>
    <n v="0"/>
  </r>
  <r>
    <x v="1"/>
    <x v="7"/>
    <x v="4"/>
    <x v="7"/>
    <x v="61"/>
    <x v="1"/>
    <x v="2"/>
    <n v="0"/>
  </r>
  <r>
    <x v="1"/>
    <x v="7"/>
    <x v="4"/>
    <x v="7"/>
    <x v="61"/>
    <x v="1"/>
    <x v="3"/>
    <n v="0"/>
  </r>
  <r>
    <x v="1"/>
    <x v="7"/>
    <x v="4"/>
    <x v="7"/>
    <x v="61"/>
    <x v="1"/>
    <x v="4"/>
    <n v="0"/>
  </r>
  <r>
    <x v="1"/>
    <x v="7"/>
    <x v="4"/>
    <x v="7"/>
    <x v="61"/>
    <x v="1"/>
    <x v="5"/>
    <n v="0"/>
  </r>
  <r>
    <x v="1"/>
    <x v="7"/>
    <x v="4"/>
    <x v="7"/>
    <x v="61"/>
    <x v="1"/>
    <x v="6"/>
    <n v="0"/>
  </r>
  <r>
    <x v="1"/>
    <x v="7"/>
    <x v="4"/>
    <x v="7"/>
    <x v="62"/>
    <x v="1"/>
    <x v="0"/>
    <n v="0"/>
  </r>
  <r>
    <x v="1"/>
    <x v="7"/>
    <x v="4"/>
    <x v="7"/>
    <x v="62"/>
    <x v="1"/>
    <x v="1"/>
    <n v="0"/>
  </r>
  <r>
    <x v="1"/>
    <x v="7"/>
    <x v="4"/>
    <x v="7"/>
    <x v="62"/>
    <x v="1"/>
    <x v="2"/>
    <n v="0"/>
  </r>
  <r>
    <x v="1"/>
    <x v="7"/>
    <x v="4"/>
    <x v="7"/>
    <x v="62"/>
    <x v="1"/>
    <x v="3"/>
    <n v="0"/>
  </r>
  <r>
    <x v="1"/>
    <x v="7"/>
    <x v="4"/>
    <x v="7"/>
    <x v="62"/>
    <x v="1"/>
    <x v="4"/>
    <n v="0"/>
  </r>
  <r>
    <x v="1"/>
    <x v="7"/>
    <x v="4"/>
    <x v="7"/>
    <x v="62"/>
    <x v="1"/>
    <x v="5"/>
    <n v="0"/>
  </r>
  <r>
    <x v="1"/>
    <x v="7"/>
    <x v="4"/>
    <x v="7"/>
    <x v="62"/>
    <x v="1"/>
    <x v="6"/>
    <n v="0"/>
  </r>
  <r>
    <x v="1"/>
    <x v="7"/>
    <x v="4"/>
    <x v="7"/>
    <x v="63"/>
    <x v="1"/>
    <x v="0"/>
    <n v="0"/>
  </r>
  <r>
    <x v="1"/>
    <x v="7"/>
    <x v="4"/>
    <x v="7"/>
    <x v="63"/>
    <x v="1"/>
    <x v="1"/>
    <n v="0"/>
  </r>
  <r>
    <x v="1"/>
    <x v="7"/>
    <x v="4"/>
    <x v="7"/>
    <x v="63"/>
    <x v="1"/>
    <x v="2"/>
    <n v="0"/>
  </r>
  <r>
    <x v="1"/>
    <x v="7"/>
    <x v="4"/>
    <x v="7"/>
    <x v="63"/>
    <x v="1"/>
    <x v="3"/>
    <n v="0"/>
  </r>
  <r>
    <x v="1"/>
    <x v="7"/>
    <x v="4"/>
    <x v="7"/>
    <x v="63"/>
    <x v="1"/>
    <x v="4"/>
    <n v="0"/>
  </r>
  <r>
    <x v="1"/>
    <x v="7"/>
    <x v="4"/>
    <x v="7"/>
    <x v="63"/>
    <x v="1"/>
    <x v="5"/>
    <n v="0"/>
  </r>
  <r>
    <x v="1"/>
    <x v="7"/>
    <x v="4"/>
    <x v="7"/>
    <x v="63"/>
    <x v="1"/>
    <x v="6"/>
    <n v="0"/>
  </r>
  <r>
    <x v="1"/>
    <x v="7"/>
    <x v="4"/>
    <x v="7"/>
    <x v="64"/>
    <x v="1"/>
    <x v="0"/>
    <n v="0"/>
  </r>
  <r>
    <x v="1"/>
    <x v="7"/>
    <x v="4"/>
    <x v="7"/>
    <x v="64"/>
    <x v="1"/>
    <x v="1"/>
    <n v="0"/>
  </r>
  <r>
    <x v="1"/>
    <x v="7"/>
    <x v="4"/>
    <x v="7"/>
    <x v="64"/>
    <x v="1"/>
    <x v="2"/>
    <n v="0"/>
  </r>
  <r>
    <x v="1"/>
    <x v="7"/>
    <x v="4"/>
    <x v="7"/>
    <x v="64"/>
    <x v="1"/>
    <x v="3"/>
    <n v="0"/>
  </r>
  <r>
    <x v="1"/>
    <x v="7"/>
    <x v="4"/>
    <x v="7"/>
    <x v="64"/>
    <x v="1"/>
    <x v="4"/>
    <n v="0"/>
  </r>
  <r>
    <x v="1"/>
    <x v="7"/>
    <x v="4"/>
    <x v="7"/>
    <x v="64"/>
    <x v="1"/>
    <x v="5"/>
    <n v="0"/>
  </r>
  <r>
    <x v="1"/>
    <x v="7"/>
    <x v="4"/>
    <x v="7"/>
    <x v="64"/>
    <x v="1"/>
    <x v="6"/>
    <n v="0"/>
  </r>
  <r>
    <x v="1"/>
    <x v="8"/>
    <x v="4"/>
    <x v="7"/>
    <x v="44"/>
    <x v="1"/>
    <x v="0"/>
    <n v="0.88559495500008434"/>
  </r>
  <r>
    <x v="1"/>
    <x v="8"/>
    <x v="4"/>
    <x v="7"/>
    <x v="44"/>
    <x v="1"/>
    <x v="1"/>
    <n v="1.5402238449806527"/>
  </r>
  <r>
    <x v="1"/>
    <x v="8"/>
    <x v="4"/>
    <x v="7"/>
    <x v="44"/>
    <x v="1"/>
    <x v="2"/>
    <n v="2.7449769725204951"/>
  </r>
  <r>
    <x v="1"/>
    <x v="8"/>
    <x v="4"/>
    <x v="7"/>
    <x v="44"/>
    <x v="1"/>
    <x v="3"/>
    <n v="4.9759217151094246"/>
  </r>
  <r>
    <x v="1"/>
    <x v="8"/>
    <x v="4"/>
    <x v="7"/>
    <x v="44"/>
    <x v="1"/>
    <x v="4"/>
    <n v="3.5508515893434178"/>
  </r>
  <r>
    <x v="1"/>
    <x v="8"/>
    <x v="4"/>
    <x v="7"/>
    <x v="44"/>
    <x v="1"/>
    <x v="5"/>
    <n v="5.6208450025790064"/>
  </r>
  <r>
    <x v="1"/>
    <x v="8"/>
    <x v="4"/>
    <x v="7"/>
    <x v="44"/>
    <x v="1"/>
    <x v="6"/>
    <n v="-9.2004473577790922"/>
  </r>
  <r>
    <x v="1"/>
    <x v="8"/>
    <x v="4"/>
    <x v="7"/>
    <x v="45"/>
    <x v="1"/>
    <x v="0"/>
    <n v="0"/>
  </r>
  <r>
    <x v="1"/>
    <x v="8"/>
    <x v="4"/>
    <x v="7"/>
    <x v="45"/>
    <x v="1"/>
    <x v="1"/>
    <n v="0"/>
  </r>
  <r>
    <x v="1"/>
    <x v="8"/>
    <x v="4"/>
    <x v="7"/>
    <x v="45"/>
    <x v="1"/>
    <x v="2"/>
    <n v="0"/>
  </r>
  <r>
    <x v="1"/>
    <x v="8"/>
    <x v="4"/>
    <x v="7"/>
    <x v="45"/>
    <x v="1"/>
    <x v="3"/>
    <n v="0"/>
  </r>
  <r>
    <x v="1"/>
    <x v="8"/>
    <x v="4"/>
    <x v="7"/>
    <x v="45"/>
    <x v="1"/>
    <x v="4"/>
    <n v="0"/>
  </r>
  <r>
    <x v="1"/>
    <x v="8"/>
    <x v="4"/>
    <x v="7"/>
    <x v="45"/>
    <x v="1"/>
    <x v="5"/>
    <n v="0"/>
  </r>
  <r>
    <x v="1"/>
    <x v="8"/>
    <x v="4"/>
    <x v="7"/>
    <x v="45"/>
    <x v="1"/>
    <x v="6"/>
    <n v="0"/>
  </r>
  <r>
    <x v="1"/>
    <x v="8"/>
    <x v="4"/>
    <x v="7"/>
    <x v="46"/>
    <x v="1"/>
    <x v="0"/>
    <n v="0"/>
  </r>
  <r>
    <x v="1"/>
    <x v="8"/>
    <x v="4"/>
    <x v="7"/>
    <x v="46"/>
    <x v="1"/>
    <x v="1"/>
    <n v="0"/>
  </r>
  <r>
    <x v="1"/>
    <x v="8"/>
    <x v="4"/>
    <x v="7"/>
    <x v="46"/>
    <x v="1"/>
    <x v="2"/>
    <n v="0"/>
  </r>
  <r>
    <x v="1"/>
    <x v="8"/>
    <x v="4"/>
    <x v="7"/>
    <x v="46"/>
    <x v="1"/>
    <x v="3"/>
    <n v="0"/>
  </r>
  <r>
    <x v="1"/>
    <x v="8"/>
    <x v="4"/>
    <x v="7"/>
    <x v="46"/>
    <x v="1"/>
    <x v="4"/>
    <n v="0"/>
  </r>
  <r>
    <x v="1"/>
    <x v="8"/>
    <x v="4"/>
    <x v="7"/>
    <x v="46"/>
    <x v="1"/>
    <x v="5"/>
    <n v="0"/>
  </r>
  <r>
    <x v="1"/>
    <x v="8"/>
    <x v="4"/>
    <x v="7"/>
    <x v="46"/>
    <x v="1"/>
    <x v="6"/>
    <n v="0"/>
  </r>
  <r>
    <x v="1"/>
    <x v="8"/>
    <x v="5"/>
    <x v="8"/>
    <x v="51"/>
    <x v="1"/>
    <x v="0"/>
    <n v="0"/>
  </r>
  <r>
    <x v="1"/>
    <x v="8"/>
    <x v="5"/>
    <x v="8"/>
    <x v="51"/>
    <x v="1"/>
    <x v="1"/>
    <n v="0"/>
  </r>
  <r>
    <x v="1"/>
    <x v="8"/>
    <x v="5"/>
    <x v="8"/>
    <x v="51"/>
    <x v="1"/>
    <x v="2"/>
    <n v="0"/>
  </r>
  <r>
    <x v="1"/>
    <x v="8"/>
    <x v="5"/>
    <x v="8"/>
    <x v="51"/>
    <x v="1"/>
    <x v="3"/>
    <n v="0.19702882054531048"/>
  </r>
  <r>
    <x v="1"/>
    <x v="8"/>
    <x v="5"/>
    <x v="8"/>
    <x v="51"/>
    <x v="1"/>
    <x v="4"/>
    <n v="1.4227278079542536"/>
  </r>
  <r>
    <x v="1"/>
    <x v="8"/>
    <x v="5"/>
    <x v="8"/>
    <x v="51"/>
    <x v="1"/>
    <x v="5"/>
    <n v="1.964626183959687"/>
  </r>
  <r>
    <x v="1"/>
    <x v="8"/>
    <x v="5"/>
    <x v="8"/>
    <x v="51"/>
    <x v="1"/>
    <x v="6"/>
    <n v="1.9925371227941113"/>
  </r>
  <r>
    <x v="1"/>
    <x v="8"/>
    <x v="3"/>
    <x v="5"/>
    <x v="52"/>
    <x v="1"/>
    <x v="0"/>
    <n v="1.5607816034164068E-5"/>
  </r>
  <r>
    <x v="1"/>
    <x v="8"/>
    <x v="3"/>
    <x v="5"/>
    <x v="52"/>
    <x v="1"/>
    <x v="1"/>
    <n v="7.0958959653553652E-5"/>
  </r>
  <r>
    <x v="1"/>
    <x v="8"/>
    <x v="3"/>
    <x v="5"/>
    <x v="52"/>
    <x v="1"/>
    <x v="2"/>
    <n v="5.551166180734592E-4"/>
  </r>
  <r>
    <x v="1"/>
    <x v="8"/>
    <x v="3"/>
    <x v="5"/>
    <x v="52"/>
    <x v="1"/>
    <x v="3"/>
    <n v="2.1792847245123135E-3"/>
  </r>
  <r>
    <x v="1"/>
    <x v="8"/>
    <x v="3"/>
    <x v="5"/>
    <x v="52"/>
    <x v="1"/>
    <x v="4"/>
    <n v="7.485797794146723E-3"/>
  </r>
  <r>
    <x v="1"/>
    <x v="8"/>
    <x v="3"/>
    <x v="5"/>
    <x v="52"/>
    <x v="1"/>
    <x v="5"/>
    <n v="1.1097519818065435E-2"/>
  </r>
  <r>
    <x v="1"/>
    <x v="8"/>
    <x v="3"/>
    <x v="5"/>
    <x v="52"/>
    <x v="1"/>
    <x v="6"/>
    <n v="-1.7426562359148832E-2"/>
  </r>
  <r>
    <x v="1"/>
    <x v="8"/>
    <x v="5"/>
    <x v="8"/>
    <x v="53"/>
    <x v="1"/>
    <x v="0"/>
    <n v="53.840526103411669"/>
  </r>
  <r>
    <x v="1"/>
    <x v="8"/>
    <x v="5"/>
    <x v="8"/>
    <x v="53"/>
    <x v="1"/>
    <x v="1"/>
    <n v="363.83741929883774"/>
  </r>
  <r>
    <x v="1"/>
    <x v="8"/>
    <x v="5"/>
    <x v="8"/>
    <x v="53"/>
    <x v="1"/>
    <x v="2"/>
    <n v="763.37563262663195"/>
  </r>
  <r>
    <x v="1"/>
    <x v="8"/>
    <x v="5"/>
    <x v="8"/>
    <x v="53"/>
    <x v="1"/>
    <x v="3"/>
    <n v="1336.9242506303603"/>
  </r>
  <r>
    <x v="1"/>
    <x v="8"/>
    <x v="5"/>
    <x v="8"/>
    <x v="53"/>
    <x v="1"/>
    <x v="4"/>
    <n v="2258.2647705752433"/>
  </r>
  <r>
    <x v="1"/>
    <x v="8"/>
    <x v="5"/>
    <x v="8"/>
    <x v="53"/>
    <x v="1"/>
    <x v="5"/>
    <n v="2974.681666298693"/>
  </r>
  <r>
    <x v="1"/>
    <x v="8"/>
    <x v="5"/>
    <x v="8"/>
    <x v="53"/>
    <x v="1"/>
    <x v="6"/>
    <n v="3896.5993844850259"/>
  </r>
  <r>
    <x v="1"/>
    <x v="8"/>
    <x v="4"/>
    <x v="7"/>
    <x v="47"/>
    <x v="1"/>
    <x v="0"/>
    <n v="0"/>
  </r>
  <r>
    <x v="1"/>
    <x v="8"/>
    <x v="4"/>
    <x v="7"/>
    <x v="47"/>
    <x v="1"/>
    <x v="1"/>
    <n v="0"/>
  </r>
  <r>
    <x v="1"/>
    <x v="8"/>
    <x v="4"/>
    <x v="7"/>
    <x v="47"/>
    <x v="1"/>
    <x v="2"/>
    <n v="0"/>
  </r>
  <r>
    <x v="1"/>
    <x v="8"/>
    <x v="4"/>
    <x v="7"/>
    <x v="47"/>
    <x v="1"/>
    <x v="3"/>
    <n v="0"/>
  </r>
  <r>
    <x v="1"/>
    <x v="8"/>
    <x v="4"/>
    <x v="7"/>
    <x v="47"/>
    <x v="1"/>
    <x v="4"/>
    <n v="0"/>
  </r>
  <r>
    <x v="1"/>
    <x v="8"/>
    <x v="4"/>
    <x v="7"/>
    <x v="47"/>
    <x v="1"/>
    <x v="5"/>
    <n v="0"/>
  </r>
  <r>
    <x v="1"/>
    <x v="8"/>
    <x v="4"/>
    <x v="7"/>
    <x v="47"/>
    <x v="1"/>
    <x v="6"/>
    <n v="0"/>
  </r>
  <r>
    <x v="1"/>
    <x v="8"/>
    <x v="4"/>
    <x v="7"/>
    <x v="48"/>
    <x v="1"/>
    <x v="0"/>
    <n v="0"/>
  </r>
  <r>
    <x v="1"/>
    <x v="8"/>
    <x v="4"/>
    <x v="7"/>
    <x v="48"/>
    <x v="1"/>
    <x v="1"/>
    <n v="0"/>
  </r>
  <r>
    <x v="1"/>
    <x v="8"/>
    <x v="4"/>
    <x v="7"/>
    <x v="48"/>
    <x v="1"/>
    <x v="2"/>
    <n v="0"/>
  </r>
  <r>
    <x v="1"/>
    <x v="8"/>
    <x v="4"/>
    <x v="7"/>
    <x v="48"/>
    <x v="1"/>
    <x v="3"/>
    <n v="0"/>
  </r>
  <r>
    <x v="1"/>
    <x v="8"/>
    <x v="4"/>
    <x v="7"/>
    <x v="48"/>
    <x v="1"/>
    <x v="4"/>
    <n v="0"/>
  </r>
  <r>
    <x v="1"/>
    <x v="8"/>
    <x v="4"/>
    <x v="7"/>
    <x v="48"/>
    <x v="1"/>
    <x v="5"/>
    <n v="0"/>
  </r>
  <r>
    <x v="1"/>
    <x v="8"/>
    <x v="4"/>
    <x v="7"/>
    <x v="48"/>
    <x v="1"/>
    <x v="6"/>
    <n v="0"/>
  </r>
  <r>
    <x v="1"/>
    <x v="8"/>
    <x v="4"/>
    <x v="7"/>
    <x v="49"/>
    <x v="1"/>
    <x v="0"/>
    <n v="0"/>
  </r>
  <r>
    <x v="1"/>
    <x v="8"/>
    <x v="4"/>
    <x v="7"/>
    <x v="49"/>
    <x v="1"/>
    <x v="1"/>
    <n v="0"/>
  </r>
  <r>
    <x v="1"/>
    <x v="8"/>
    <x v="4"/>
    <x v="7"/>
    <x v="49"/>
    <x v="1"/>
    <x v="2"/>
    <n v="0"/>
  </r>
  <r>
    <x v="1"/>
    <x v="8"/>
    <x v="4"/>
    <x v="7"/>
    <x v="49"/>
    <x v="1"/>
    <x v="3"/>
    <n v="0"/>
  </r>
  <r>
    <x v="1"/>
    <x v="8"/>
    <x v="4"/>
    <x v="7"/>
    <x v="49"/>
    <x v="1"/>
    <x v="4"/>
    <n v="0"/>
  </r>
  <r>
    <x v="1"/>
    <x v="8"/>
    <x v="4"/>
    <x v="7"/>
    <x v="49"/>
    <x v="1"/>
    <x v="5"/>
    <n v="0"/>
  </r>
  <r>
    <x v="1"/>
    <x v="8"/>
    <x v="4"/>
    <x v="7"/>
    <x v="49"/>
    <x v="1"/>
    <x v="6"/>
    <n v="0"/>
  </r>
  <r>
    <x v="1"/>
    <x v="8"/>
    <x v="4"/>
    <x v="7"/>
    <x v="50"/>
    <x v="1"/>
    <x v="0"/>
    <n v="0"/>
  </r>
  <r>
    <x v="1"/>
    <x v="8"/>
    <x v="4"/>
    <x v="7"/>
    <x v="50"/>
    <x v="1"/>
    <x v="1"/>
    <n v="0"/>
  </r>
  <r>
    <x v="1"/>
    <x v="8"/>
    <x v="4"/>
    <x v="7"/>
    <x v="50"/>
    <x v="1"/>
    <x v="2"/>
    <n v="0"/>
  </r>
  <r>
    <x v="1"/>
    <x v="8"/>
    <x v="4"/>
    <x v="7"/>
    <x v="50"/>
    <x v="1"/>
    <x v="3"/>
    <n v="0"/>
  </r>
  <r>
    <x v="1"/>
    <x v="8"/>
    <x v="4"/>
    <x v="7"/>
    <x v="50"/>
    <x v="1"/>
    <x v="4"/>
    <n v="0"/>
  </r>
  <r>
    <x v="1"/>
    <x v="8"/>
    <x v="4"/>
    <x v="7"/>
    <x v="50"/>
    <x v="1"/>
    <x v="5"/>
    <n v="0"/>
  </r>
  <r>
    <x v="1"/>
    <x v="8"/>
    <x v="4"/>
    <x v="7"/>
    <x v="50"/>
    <x v="1"/>
    <x v="6"/>
    <n v="0"/>
  </r>
  <r>
    <x v="1"/>
    <x v="8"/>
    <x v="4"/>
    <x v="7"/>
    <x v="54"/>
    <x v="1"/>
    <x v="0"/>
    <n v="0"/>
  </r>
  <r>
    <x v="1"/>
    <x v="8"/>
    <x v="4"/>
    <x v="7"/>
    <x v="54"/>
    <x v="1"/>
    <x v="1"/>
    <n v="0"/>
  </r>
  <r>
    <x v="1"/>
    <x v="8"/>
    <x v="4"/>
    <x v="7"/>
    <x v="54"/>
    <x v="1"/>
    <x v="2"/>
    <n v="0"/>
  </r>
  <r>
    <x v="1"/>
    <x v="8"/>
    <x v="4"/>
    <x v="7"/>
    <x v="54"/>
    <x v="1"/>
    <x v="3"/>
    <n v="0"/>
  </r>
  <r>
    <x v="1"/>
    <x v="8"/>
    <x v="4"/>
    <x v="7"/>
    <x v="54"/>
    <x v="1"/>
    <x v="4"/>
    <n v="0"/>
  </r>
  <r>
    <x v="1"/>
    <x v="8"/>
    <x v="4"/>
    <x v="7"/>
    <x v="54"/>
    <x v="1"/>
    <x v="5"/>
    <n v="0"/>
  </r>
  <r>
    <x v="1"/>
    <x v="8"/>
    <x v="4"/>
    <x v="7"/>
    <x v="54"/>
    <x v="1"/>
    <x v="6"/>
    <n v="0"/>
  </r>
  <r>
    <x v="1"/>
    <x v="8"/>
    <x v="4"/>
    <x v="7"/>
    <x v="55"/>
    <x v="1"/>
    <x v="0"/>
    <n v="0"/>
  </r>
  <r>
    <x v="1"/>
    <x v="8"/>
    <x v="4"/>
    <x v="7"/>
    <x v="55"/>
    <x v="1"/>
    <x v="1"/>
    <n v="0"/>
  </r>
  <r>
    <x v="1"/>
    <x v="8"/>
    <x v="4"/>
    <x v="7"/>
    <x v="55"/>
    <x v="1"/>
    <x v="2"/>
    <n v="0"/>
  </r>
  <r>
    <x v="1"/>
    <x v="8"/>
    <x v="4"/>
    <x v="7"/>
    <x v="55"/>
    <x v="1"/>
    <x v="3"/>
    <n v="0"/>
  </r>
  <r>
    <x v="1"/>
    <x v="8"/>
    <x v="4"/>
    <x v="7"/>
    <x v="55"/>
    <x v="1"/>
    <x v="4"/>
    <n v="0"/>
  </r>
  <r>
    <x v="1"/>
    <x v="8"/>
    <x v="4"/>
    <x v="7"/>
    <x v="55"/>
    <x v="1"/>
    <x v="5"/>
    <n v="0"/>
  </r>
  <r>
    <x v="1"/>
    <x v="8"/>
    <x v="4"/>
    <x v="7"/>
    <x v="55"/>
    <x v="1"/>
    <x v="6"/>
    <n v="0"/>
  </r>
  <r>
    <x v="1"/>
    <x v="8"/>
    <x v="4"/>
    <x v="7"/>
    <x v="56"/>
    <x v="1"/>
    <x v="0"/>
    <n v="0"/>
  </r>
  <r>
    <x v="1"/>
    <x v="8"/>
    <x v="4"/>
    <x v="7"/>
    <x v="56"/>
    <x v="1"/>
    <x v="1"/>
    <n v="0"/>
  </r>
  <r>
    <x v="1"/>
    <x v="8"/>
    <x v="4"/>
    <x v="7"/>
    <x v="56"/>
    <x v="1"/>
    <x v="2"/>
    <n v="0"/>
  </r>
  <r>
    <x v="1"/>
    <x v="8"/>
    <x v="4"/>
    <x v="7"/>
    <x v="56"/>
    <x v="1"/>
    <x v="3"/>
    <n v="0"/>
  </r>
  <r>
    <x v="1"/>
    <x v="8"/>
    <x v="4"/>
    <x v="7"/>
    <x v="56"/>
    <x v="1"/>
    <x v="4"/>
    <n v="0"/>
  </r>
  <r>
    <x v="1"/>
    <x v="8"/>
    <x v="4"/>
    <x v="7"/>
    <x v="56"/>
    <x v="1"/>
    <x v="5"/>
    <n v="0"/>
  </r>
  <r>
    <x v="1"/>
    <x v="8"/>
    <x v="4"/>
    <x v="7"/>
    <x v="56"/>
    <x v="1"/>
    <x v="6"/>
    <n v="0"/>
  </r>
  <r>
    <x v="1"/>
    <x v="8"/>
    <x v="4"/>
    <x v="7"/>
    <x v="57"/>
    <x v="1"/>
    <x v="0"/>
    <n v="64.495202659537341"/>
  </r>
  <r>
    <x v="1"/>
    <x v="8"/>
    <x v="4"/>
    <x v="7"/>
    <x v="57"/>
    <x v="1"/>
    <x v="1"/>
    <n v="114.76482241697886"/>
  </r>
  <r>
    <x v="1"/>
    <x v="8"/>
    <x v="4"/>
    <x v="7"/>
    <x v="57"/>
    <x v="1"/>
    <x v="2"/>
    <n v="191.05413637609522"/>
  </r>
  <r>
    <x v="1"/>
    <x v="8"/>
    <x v="4"/>
    <x v="7"/>
    <x v="57"/>
    <x v="1"/>
    <x v="3"/>
    <n v="549.04151443844876"/>
  </r>
  <r>
    <x v="1"/>
    <x v="8"/>
    <x v="4"/>
    <x v="7"/>
    <x v="57"/>
    <x v="1"/>
    <x v="4"/>
    <n v="783.03247476668389"/>
  </r>
  <r>
    <x v="1"/>
    <x v="8"/>
    <x v="4"/>
    <x v="7"/>
    <x v="57"/>
    <x v="1"/>
    <x v="5"/>
    <n v="832.13875863400324"/>
  </r>
  <r>
    <x v="1"/>
    <x v="8"/>
    <x v="4"/>
    <x v="7"/>
    <x v="57"/>
    <x v="1"/>
    <x v="6"/>
    <n v="1121.8865811449571"/>
  </r>
  <r>
    <x v="1"/>
    <x v="8"/>
    <x v="4"/>
    <x v="7"/>
    <x v="58"/>
    <x v="1"/>
    <x v="0"/>
    <n v="1730.2633296464928"/>
  </r>
  <r>
    <x v="1"/>
    <x v="8"/>
    <x v="4"/>
    <x v="7"/>
    <x v="58"/>
    <x v="1"/>
    <x v="1"/>
    <n v="2896.4254018975657"/>
  </r>
  <r>
    <x v="1"/>
    <x v="8"/>
    <x v="4"/>
    <x v="7"/>
    <x v="58"/>
    <x v="1"/>
    <x v="2"/>
    <n v="4291.1892497261442"/>
  </r>
  <r>
    <x v="1"/>
    <x v="8"/>
    <x v="4"/>
    <x v="7"/>
    <x v="58"/>
    <x v="1"/>
    <x v="3"/>
    <n v="5625.1610083012447"/>
  </r>
  <r>
    <x v="1"/>
    <x v="8"/>
    <x v="4"/>
    <x v="7"/>
    <x v="58"/>
    <x v="1"/>
    <x v="4"/>
    <n v="4968.2259977000003"/>
  </r>
  <r>
    <x v="1"/>
    <x v="8"/>
    <x v="4"/>
    <x v="7"/>
    <x v="58"/>
    <x v="1"/>
    <x v="5"/>
    <n v="5200.9744945179218"/>
  </r>
  <r>
    <x v="1"/>
    <x v="8"/>
    <x v="4"/>
    <x v="7"/>
    <x v="58"/>
    <x v="1"/>
    <x v="6"/>
    <n v="5794.3820322537304"/>
  </r>
  <r>
    <x v="1"/>
    <x v="8"/>
    <x v="4"/>
    <x v="7"/>
    <x v="59"/>
    <x v="1"/>
    <x v="0"/>
    <n v="167.51343636128232"/>
  </r>
  <r>
    <x v="1"/>
    <x v="8"/>
    <x v="4"/>
    <x v="7"/>
    <x v="59"/>
    <x v="1"/>
    <x v="1"/>
    <n v="119.83606367431996"/>
  </r>
  <r>
    <x v="1"/>
    <x v="8"/>
    <x v="4"/>
    <x v="7"/>
    <x v="59"/>
    <x v="1"/>
    <x v="2"/>
    <n v="164.61134500945192"/>
  </r>
  <r>
    <x v="1"/>
    <x v="8"/>
    <x v="4"/>
    <x v="7"/>
    <x v="59"/>
    <x v="1"/>
    <x v="3"/>
    <n v="325.23727538771476"/>
  </r>
  <r>
    <x v="1"/>
    <x v="8"/>
    <x v="4"/>
    <x v="7"/>
    <x v="59"/>
    <x v="1"/>
    <x v="4"/>
    <n v="403.96659968000006"/>
  </r>
  <r>
    <x v="1"/>
    <x v="8"/>
    <x v="4"/>
    <x v="7"/>
    <x v="59"/>
    <x v="1"/>
    <x v="5"/>
    <n v="947.87729343999979"/>
  </r>
  <r>
    <x v="1"/>
    <x v="8"/>
    <x v="4"/>
    <x v="7"/>
    <x v="59"/>
    <x v="1"/>
    <x v="6"/>
    <n v="1771.1742461844394"/>
  </r>
  <r>
    <x v="1"/>
    <x v="8"/>
    <x v="4"/>
    <x v="7"/>
    <x v="60"/>
    <x v="1"/>
    <x v="0"/>
    <n v="0"/>
  </r>
  <r>
    <x v="1"/>
    <x v="8"/>
    <x v="4"/>
    <x v="7"/>
    <x v="60"/>
    <x v="1"/>
    <x v="1"/>
    <n v="0"/>
  </r>
  <r>
    <x v="1"/>
    <x v="8"/>
    <x v="4"/>
    <x v="7"/>
    <x v="60"/>
    <x v="1"/>
    <x v="2"/>
    <n v="0"/>
  </r>
  <r>
    <x v="1"/>
    <x v="8"/>
    <x v="4"/>
    <x v="7"/>
    <x v="60"/>
    <x v="1"/>
    <x v="3"/>
    <n v="0"/>
  </r>
  <r>
    <x v="1"/>
    <x v="8"/>
    <x v="4"/>
    <x v="7"/>
    <x v="60"/>
    <x v="1"/>
    <x v="4"/>
    <n v="0"/>
  </r>
  <r>
    <x v="1"/>
    <x v="8"/>
    <x v="4"/>
    <x v="7"/>
    <x v="60"/>
    <x v="1"/>
    <x v="5"/>
    <n v="0"/>
  </r>
  <r>
    <x v="1"/>
    <x v="8"/>
    <x v="4"/>
    <x v="7"/>
    <x v="60"/>
    <x v="1"/>
    <x v="6"/>
    <n v="0"/>
  </r>
  <r>
    <x v="1"/>
    <x v="8"/>
    <x v="3"/>
    <x v="5"/>
    <x v="65"/>
    <x v="1"/>
    <x v="0"/>
    <n v="0.20733031219958517"/>
  </r>
  <r>
    <x v="1"/>
    <x v="8"/>
    <x v="3"/>
    <x v="5"/>
    <x v="65"/>
    <x v="1"/>
    <x v="1"/>
    <n v="0.27845233669174951"/>
  </r>
  <r>
    <x v="1"/>
    <x v="8"/>
    <x v="3"/>
    <x v="5"/>
    <x v="65"/>
    <x v="1"/>
    <x v="2"/>
    <n v="0.19126821053771353"/>
  </r>
  <r>
    <x v="1"/>
    <x v="8"/>
    <x v="3"/>
    <x v="5"/>
    <x v="65"/>
    <x v="1"/>
    <x v="3"/>
    <n v="0.13470168937679752"/>
  </r>
  <r>
    <x v="1"/>
    <x v="8"/>
    <x v="3"/>
    <x v="5"/>
    <x v="65"/>
    <x v="1"/>
    <x v="4"/>
    <n v="6.8429558819298714E-2"/>
  </r>
  <r>
    <x v="1"/>
    <x v="8"/>
    <x v="3"/>
    <x v="5"/>
    <x v="65"/>
    <x v="1"/>
    <x v="5"/>
    <n v="0.13012074732078302"/>
  </r>
  <r>
    <x v="1"/>
    <x v="8"/>
    <x v="3"/>
    <x v="5"/>
    <x v="65"/>
    <x v="1"/>
    <x v="6"/>
    <n v="-0.12980389499427156"/>
  </r>
  <r>
    <x v="1"/>
    <x v="8"/>
    <x v="3"/>
    <x v="5"/>
    <x v="66"/>
    <x v="1"/>
    <x v="0"/>
    <n v="0"/>
  </r>
  <r>
    <x v="1"/>
    <x v="8"/>
    <x v="3"/>
    <x v="5"/>
    <x v="66"/>
    <x v="1"/>
    <x v="1"/>
    <n v="0"/>
  </r>
  <r>
    <x v="1"/>
    <x v="8"/>
    <x v="3"/>
    <x v="5"/>
    <x v="66"/>
    <x v="1"/>
    <x v="2"/>
    <n v="0"/>
  </r>
  <r>
    <x v="1"/>
    <x v="8"/>
    <x v="3"/>
    <x v="5"/>
    <x v="66"/>
    <x v="1"/>
    <x v="3"/>
    <n v="0"/>
  </r>
  <r>
    <x v="1"/>
    <x v="8"/>
    <x v="3"/>
    <x v="5"/>
    <x v="66"/>
    <x v="1"/>
    <x v="4"/>
    <n v="0"/>
  </r>
  <r>
    <x v="1"/>
    <x v="8"/>
    <x v="3"/>
    <x v="5"/>
    <x v="66"/>
    <x v="1"/>
    <x v="5"/>
    <n v="0"/>
  </r>
  <r>
    <x v="1"/>
    <x v="8"/>
    <x v="3"/>
    <x v="5"/>
    <x v="66"/>
    <x v="1"/>
    <x v="6"/>
    <n v="0"/>
  </r>
  <r>
    <x v="1"/>
    <x v="8"/>
    <x v="3"/>
    <x v="5"/>
    <x v="67"/>
    <x v="1"/>
    <x v="0"/>
    <n v="0"/>
  </r>
  <r>
    <x v="1"/>
    <x v="8"/>
    <x v="3"/>
    <x v="5"/>
    <x v="67"/>
    <x v="1"/>
    <x v="1"/>
    <n v="0"/>
  </r>
  <r>
    <x v="1"/>
    <x v="8"/>
    <x v="3"/>
    <x v="5"/>
    <x v="67"/>
    <x v="1"/>
    <x v="2"/>
    <n v="0"/>
  </r>
  <r>
    <x v="1"/>
    <x v="8"/>
    <x v="3"/>
    <x v="5"/>
    <x v="67"/>
    <x v="1"/>
    <x v="3"/>
    <n v="0"/>
  </r>
  <r>
    <x v="1"/>
    <x v="8"/>
    <x v="3"/>
    <x v="5"/>
    <x v="67"/>
    <x v="1"/>
    <x v="4"/>
    <n v="0"/>
  </r>
  <r>
    <x v="1"/>
    <x v="8"/>
    <x v="3"/>
    <x v="5"/>
    <x v="67"/>
    <x v="1"/>
    <x v="5"/>
    <n v="0"/>
  </r>
  <r>
    <x v="1"/>
    <x v="8"/>
    <x v="3"/>
    <x v="5"/>
    <x v="67"/>
    <x v="1"/>
    <x v="6"/>
    <n v="0"/>
  </r>
  <r>
    <x v="1"/>
    <x v="8"/>
    <x v="3"/>
    <x v="5"/>
    <x v="68"/>
    <x v="1"/>
    <x v="0"/>
    <n v="9.4988464765736524E-2"/>
  </r>
  <r>
    <x v="1"/>
    <x v="8"/>
    <x v="3"/>
    <x v="5"/>
    <x v="68"/>
    <x v="1"/>
    <x v="1"/>
    <n v="0.19538933609315035"/>
  </r>
  <r>
    <x v="1"/>
    <x v="8"/>
    <x v="3"/>
    <x v="5"/>
    <x v="68"/>
    <x v="1"/>
    <x v="2"/>
    <n v="0.31058214237791165"/>
  </r>
  <r>
    <x v="1"/>
    <x v="8"/>
    <x v="3"/>
    <x v="5"/>
    <x v="68"/>
    <x v="1"/>
    <x v="3"/>
    <n v="0.47845725603945788"/>
  </r>
  <r>
    <x v="1"/>
    <x v="8"/>
    <x v="3"/>
    <x v="5"/>
    <x v="68"/>
    <x v="1"/>
    <x v="4"/>
    <n v="0.75480445808334762"/>
  </r>
  <r>
    <x v="1"/>
    <x v="8"/>
    <x v="3"/>
    <x v="5"/>
    <x v="68"/>
    <x v="1"/>
    <x v="5"/>
    <n v="1.0619771737160286"/>
  </r>
  <r>
    <x v="1"/>
    <x v="8"/>
    <x v="3"/>
    <x v="5"/>
    <x v="68"/>
    <x v="1"/>
    <x v="6"/>
    <n v="-1.4243556158040003"/>
  </r>
  <r>
    <x v="1"/>
    <x v="8"/>
    <x v="3"/>
    <x v="5"/>
    <x v="69"/>
    <x v="1"/>
    <x v="0"/>
    <n v="5.1294739192731045E-2"/>
  </r>
  <r>
    <x v="1"/>
    <x v="8"/>
    <x v="3"/>
    <x v="5"/>
    <x v="69"/>
    <x v="1"/>
    <x v="1"/>
    <n v="8.2416478149839476E-2"/>
  </r>
  <r>
    <x v="1"/>
    <x v="8"/>
    <x v="3"/>
    <x v="5"/>
    <x v="69"/>
    <x v="1"/>
    <x v="2"/>
    <n v="0.13491264337741099"/>
  </r>
  <r>
    <x v="1"/>
    <x v="8"/>
    <x v="3"/>
    <x v="5"/>
    <x v="69"/>
    <x v="1"/>
    <x v="3"/>
    <n v="0.83065661976368188"/>
  </r>
  <r>
    <x v="1"/>
    <x v="8"/>
    <x v="3"/>
    <x v="5"/>
    <x v="69"/>
    <x v="1"/>
    <x v="4"/>
    <n v="0.60242129992845417"/>
  </r>
  <r>
    <x v="1"/>
    <x v="8"/>
    <x v="3"/>
    <x v="5"/>
    <x v="69"/>
    <x v="1"/>
    <x v="5"/>
    <n v="0.93689298194218174"/>
  </r>
  <r>
    <x v="1"/>
    <x v="8"/>
    <x v="3"/>
    <x v="5"/>
    <x v="69"/>
    <x v="1"/>
    <x v="6"/>
    <n v="-1.0757850599715642"/>
  </r>
  <r>
    <x v="1"/>
    <x v="8"/>
    <x v="3"/>
    <x v="5"/>
    <x v="70"/>
    <x v="1"/>
    <x v="0"/>
    <n v="3.9045582144696035E-2"/>
  </r>
  <r>
    <x v="1"/>
    <x v="8"/>
    <x v="3"/>
    <x v="5"/>
    <x v="70"/>
    <x v="1"/>
    <x v="1"/>
    <n v="5.1320654783333794E-2"/>
  </r>
  <r>
    <x v="1"/>
    <x v="8"/>
    <x v="3"/>
    <x v="5"/>
    <x v="70"/>
    <x v="1"/>
    <x v="2"/>
    <n v="8.0283337186666998E-2"/>
  </r>
  <r>
    <x v="1"/>
    <x v="8"/>
    <x v="3"/>
    <x v="5"/>
    <x v="70"/>
    <x v="1"/>
    <x v="3"/>
    <n v="0.12484008707432781"/>
  </r>
  <r>
    <x v="1"/>
    <x v="8"/>
    <x v="3"/>
    <x v="5"/>
    <x v="70"/>
    <x v="1"/>
    <x v="4"/>
    <n v="0.1760988429615456"/>
  </r>
  <r>
    <x v="1"/>
    <x v="8"/>
    <x v="3"/>
    <x v="5"/>
    <x v="70"/>
    <x v="1"/>
    <x v="5"/>
    <n v="0.25415611278327205"/>
  </r>
  <r>
    <x v="1"/>
    <x v="8"/>
    <x v="3"/>
    <x v="5"/>
    <x v="70"/>
    <x v="1"/>
    <x v="6"/>
    <n v="-0.30351710858383607"/>
  </r>
  <r>
    <x v="1"/>
    <x v="8"/>
    <x v="3"/>
    <x v="5"/>
    <x v="71"/>
    <x v="1"/>
    <x v="0"/>
    <n v="1.8333693578180738E-3"/>
  </r>
  <r>
    <x v="1"/>
    <x v="8"/>
    <x v="3"/>
    <x v="5"/>
    <x v="71"/>
    <x v="1"/>
    <x v="1"/>
    <n v="2.3826252343204161E-3"/>
  </r>
  <r>
    <x v="1"/>
    <x v="8"/>
    <x v="3"/>
    <x v="5"/>
    <x v="71"/>
    <x v="1"/>
    <x v="2"/>
    <n v="3.1829284654893725E-3"/>
  </r>
  <r>
    <x v="1"/>
    <x v="8"/>
    <x v="3"/>
    <x v="5"/>
    <x v="71"/>
    <x v="1"/>
    <x v="3"/>
    <n v="4.0113945134558132E-3"/>
  </r>
  <r>
    <x v="1"/>
    <x v="8"/>
    <x v="3"/>
    <x v="5"/>
    <x v="71"/>
    <x v="1"/>
    <x v="4"/>
    <n v="4.6048551833580472E-3"/>
  </r>
  <r>
    <x v="1"/>
    <x v="8"/>
    <x v="3"/>
    <x v="5"/>
    <x v="71"/>
    <x v="1"/>
    <x v="5"/>
    <n v="9.1015649366446537E-3"/>
  </r>
  <r>
    <x v="1"/>
    <x v="8"/>
    <x v="3"/>
    <x v="5"/>
    <x v="71"/>
    <x v="1"/>
    <x v="6"/>
    <n v="-1.4373387078512221E-2"/>
  </r>
  <r>
    <x v="1"/>
    <x v="8"/>
    <x v="3"/>
    <x v="5"/>
    <x v="72"/>
    <x v="1"/>
    <x v="0"/>
    <n v="0"/>
  </r>
  <r>
    <x v="1"/>
    <x v="8"/>
    <x v="3"/>
    <x v="5"/>
    <x v="72"/>
    <x v="1"/>
    <x v="1"/>
    <n v="0"/>
  </r>
  <r>
    <x v="1"/>
    <x v="8"/>
    <x v="3"/>
    <x v="5"/>
    <x v="72"/>
    <x v="1"/>
    <x v="2"/>
    <n v="0"/>
  </r>
  <r>
    <x v="1"/>
    <x v="8"/>
    <x v="3"/>
    <x v="5"/>
    <x v="72"/>
    <x v="1"/>
    <x v="3"/>
    <n v="0"/>
  </r>
  <r>
    <x v="1"/>
    <x v="8"/>
    <x v="3"/>
    <x v="5"/>
    <x v="72"/>
    <x v="1"/>
    <x v="4"/>
    <n v="0"/>
  </r>
  <r>
    <x v="1"/>
    <x v="8"/>
    <x v="3"/>
    <x v="5"/>
    <x v="72"/>
    <x v="1"/>
    <x v="5"/>
    <n v="0"/>
  </r>
  <r>
    <x v="1"/>
    <x v="8"/>
    <x v="3"/>
    <x v="5"/>
    <x v="72"/>
    <x v="1"/>
    <x v="6"/>
    <n v="0"/>
  </r>
  <r>
    <x v="1"/>
    <x v="8"/>
    <x v="3"/>
    <x v="5"/>
    <x v="73"/>
    <x v="1"/>
    <x v="0"/>
    <n v="1.2413766967662219E-2"/>
  </r>
  <r>
    <x v="1"/>
    <x v="8"/>
    <x v="3"/>
    <x v="5"/>
    <x v="73"/>
    <x v="1"/>
    <x v="1"/>
    <n v="1.7111245320346621E-2"/>
  </r>
  <r>
    <x v="1"/>
    <x v="8"/>
    <x v="3"/>
    <x v="5"/>
    <x v="73"/>
    <x v="1"/>
    <x v="2"/>
    <n v="0.2430958709716122"/>
  </r>
  <r>
    <x v="1"/>
    <x v="8"/>
    <x v="3"/>
    <x v="5"/>
    <x v="73"/>
    <x v="1"/>
    <x v="3"/>
    <n v="0.20182247411969834"/>
  </r>
  <r>
    <x v="1"/>
    <x v="8"/>
    <x v="3"/>
    <x v="5"/>
    <x v="73"/>
    <x v="1"/>
    <x v="4"/>
    <n v="0.14027535288958606"/>
  </r>
  <r>
    <x v="1"/>
    <x v="8"/>
    <x v="3"/>
    <x v="5"/>
    <x v="73"/>
    <x v="1"/>
    <x v="5"/>
    <n v="0.21425352447769969"/>
  </r>
  <r>
    <x v="1"/>
    <x v="8"/>
    <x v="3"/>
    <x v="5"/>
    <x v="73"/>
    <x v="1"/>
    <x v="6"/>
    <n v="-0.32520460088997311"/>
  </r>
  <r>
    <x v="1"/>
    <x v="8"/>
    <x v="5"/>
    <x v="8"/>
    <x v="74"/>
    <x v="1"/>
    <x v="0"/>
    <n v="7.5838007286605507"/>
  </r>
  <r>
    <x v="1"/>
    <x v="8"/>
    <x v="5"/>
    <x v="8"/>
    <x v="74"/>
    <x v="1"/>
    <x v="1"/>
    <n v="18.093569893399735"/>
  </r>
  <r>
    <x v="1"/>
    <x v="8"/>
    <x v="5"/>
    <x v="8"/>
    <x v="74"/>
    <x v="1"/>
    <x v="2"/>
    <n v="40.598734811808789"/>
  </r>
  <r>
    <x v="1"/>
    <x v="8"/>
    <x v="5"/>
    <x v="8"/>
    <x v="74"/>
    <x v="1"/>
    <x v="3"/>
    <n v="86.682888359116319"/>
  </r>
  <r>
    <x v="1"/>
    <x v="8"/>
    <x v="5"/>
    <x v="8"/>
    <x v="74"/>
    <x v="1"/>
    <x v="4"/>
    <n v="179.4506635035163"/>
  </r>
  <r>
    <x v="1"/>
    <x v="8"/>
    <x v="5"/>
    <x v="8"/>
    <x v="74"/>
    <x v="1"/>
    <x v="5"/>
    <n v="246.77825801924348"/>
  </r>
  <r>
    <x v="1"/>
    <x v="8"/>
    <x v="5"/>
    <x v="8"/>
    <x v="74"/>
    <x v="1"/>
    <x v="6"/>
    <n v="326.42202407572626"/>
  </r>
  <r>
    <x v="1"/>
    <x v="8"/>
    <x v="5"/>
    <x v="8"/>
    <x v="75"/>
    <x v="1"/>
    <x v="0"/>
    <n v="216.71185381822337"/>
  </r>
  <r>
    <x v="1"/>
    <x v="8"/>
    <x v="5"/>
    <x v="8"/>
    <x v="75"/>
    <x v="1"/>
    <x v="1"/>
    <n v="590.12123250315028"/>
  </r>
  <r>
    <x v="1"/>
    <x v="8"/>
    <x v="5"/>
    <x v="8"/>
    <x v="75"/>
    <x v="1"/>
    <x v="2"/>
    <n v="1535.4037800250289"/>
  </r>
  <r>
    <x v="1"/>
    <x v="8"/>
    <x v="5"/>
    <x v="8"/>
    <x v="75"/>
    <x v="1"/>
    <x v="3"/>
    <n v="3953.9312563943354"/>
  </r>
  <r>
    <x v="1"/>
    <x v="8"/>
    <x v="5"/>
    <x v="8"/>
    <x v="75"/>
    <x v="1"/>
    <x v="4"/>
    <n v="6354.4096425907819"/>
  </r>
  <r>
    <x v="1"/>
    <x v="8"/>
    <x v="5"/>
    <x v="8"/>
    <x v="75"/>
    <x v="1"/>
    <x v="5"/>
    <n v="9287.5923941924739"/>
  </r>
  <r>
    <x v="1"/>
    <x v="8"/>
    <x v="5"/>
    <x v="8"/>
    <x v="75"/>
    <x v="1"/>
    <x v="6"/>
    <n v="15424.092957936164"/>
  </r>
  <r>
    <x v="1"/>
    <x v="8"/>
    <x v="5"/>
    <x v="8"/>
    <x v="76"/>
    <x v="1"/>
    <x v="0"/>
    <n v="54.030071590556339"/>
  </r>
  <r>
    <x v="1"/>
    <x v="8"/>
    <x v="5"/>
    <x v="8"/>
    <x v="76"/>
    <x v="1"/>
    <x v="1"/>
    <n v="132.38562075612154"/>
  </r>
  <r>
    <x v="1"/>
    <x v="8"/>
    <x v="5"/>
    <x v="8"/>
    <x v="76"/>
    <x v="1"/>
    <x v="2"/>
    <n v="342.79637189753788"/>
  </r>
  <r>
    <x v="1"/>
    <x v="8"/>
    <x v="5"/>
    <x v="8"/>
    <x v="76"/>
    <x v="1"/>
    <x v="3"/>
    <n v="904.83180111854517"/>
  </r>
  <r>
    <x v="1"/>
    <x v="8"/>
    <x v="5"/>
    <x v="8"/>
    <x v="76"/>
    <x v="1"/>
    <x v="4"/>
    <n v="1394.0486933475479"/>
  </r>
  <r>
    <x v="1"/>
    <x v="8"/>
    <x v="5"/>
    <x v="8"/>
    <x v="76"/>
    <x v="1"/>
    <x v="5"/>
    <n v="1974.5906004792771"/>
  </r>
  <r>
    <x v="1"/>
    <x v="8"/>
    <x v="5"/>
    <x v="8"/>
    <x v="76"/>
    <x v="1"/>
    <x v="6"/>
    <n v="2829.5865477114112"/>
  </r>
  <r>
    <x v="1"/>
    <x v="8"/>
    <x v="5"/>
    <x v="8"/>
    <x v="77"/>
    <x v="1"/>
    <x v="0"/>
    <n v="326.70598313213014"/>
  </r>
  <r>
    <x v="1"/>
    <x v="8"/>
    <x v="5"/>
    <x v="8"/>
    <x v="77"/>
    <x v="1"/>
    <x v="1"/>
    <n v="825.07160116022374"/>
  </r>
  <r>
    <x v="1"/>
    <x v="8"/>
    <x v="5"/>
    <x v="8"/>
    <x v="77"/>
    <x v="1"/>
    <x v="2"/>
    <n v="2091.1874870858578"/>
  </r>
  <r>
    <x v="1"/>
    <x v="8"/>
    <x v="5"/>
    <x v="8"/>
    <x v="77"/>
    <x v="1"/>
    <x v="3"/>
    <n v="5560.4284802341635"/>
  </r>
  <r>
    <x v="1"/>
    <x v="8"/>
    <x v="5"/>
    <x v="8"/>
    <x v="77"/>
    <x v="1"/>
    <x v="4"/>
    <n v="8393.7875938070556"/>
  </r>
  <r>
    <x v="1"/>
    <x v="8"/>
    <x v="5"/>
    <x v="8"/>
    <x v="77"/>
    <x v="1"/>
    <x v="5"/>
    <n v="12232.313002330471"/>
  </r>
  <r>
    <x v="1"/>
    <x v="8"/>
    <x v="5"/>
    <x v="8"/>
    <x v="77"/>
    <x v="1"/>
    <x v="6"/>
    <n v="16014.795286133727"/>
  </r>
  <r>
    <x v="1"/>
    <x v="8"/>
    <x v="5"/>
    <x v="8"/>
    <x v="78"/>
    <x v="1"/>
    <x v="0"/>
    <n v="41.432969410216359"/>
  </r>
  <r>
    <x v="1"/>
    <x v="8"/>
    <x v="5"/>
    <x v="8"/>
    <x v="78"/>
    <x v="1"/>
    <x v="1"/>
    <n v="102.71110729910133"/>
  </r>
  <r>
    <x v="1"/>
    <x v="8"/>
    <x v="5"/>
    <x v="8"/>
    <x v="78"/>
    <x v="1"/>
    <x v="2"/>
    <n v="238.13526485832506"/>
  </r>
  <r>
    <x v="1"/>
    <x v="8"/>
    <x v="5"/>
    <x v="8"/>
    <x v="78"/>
    <x v="1"/>
    <x v="3"/>
    <n v="568.02185003714123"/>
  </r>
  <r>
    <x v="1"/>
    <x v="8"/>
    <x v="5"/>
    <x v="8"/>
    <x v="78"/>
    <x v="1"/>
    <x v="4"/>
    <n v="851.36311835984009"/>
  </r>
  <r>
    <x v="1"/>
    <x v="8"/>
    <x v="5"/>
    <x v="8"/>
    <x v="78"/>
    <x v="1"/>
    <x v="5"/>
    <n v="1167.1216759069684"/>
  </r>
  <r>
    <x v="1"/>
    <x v="8"/>
    <x v="5"/>
    <x v="8"/>
    <x v="78"/>
    <x v="1"/>
    <x v="6"/>
    <n v="1697.3606909122391"/>
  </r>
  <r>
    <x v="1"/>
    <x v="8"/>
    <x v="5"/>
    <x v="8"/>
    <x v="79"/>
    <x v="1"/>
    <x v="0"/>
    <n v="48.21398912065446"/>
  </r>
  <r>
    <x v="1"/>
    <x v="8"/>
    <x v="5"/>
    <x v="8"/>
    <x v="79"/>
    <x v="1"/>
    <x v="1"/>
    <n v="116.91230832331163"/>
  </r>
  <r>
    <x v="1"/>
    <x v="8"/>
    <x v="5"/>
    <x v="8"/>
    <x v="79"/>
    <x v="1"/>
    <x v="2"/>
    <n v="275.1161230759875"/>
  </r>
  <r>
    <x v="1"/>
    <x v="8"/>
    <x v="5"/>
    <x v="8"/>
    <x v="79"/>
    <x v="1"/>
    <x v="3"/>
    <n v="604.8718411324387"/>
  </r>
  <r>
    <x v="1"/>
    <x v="8"/>
    <x v="5"/>
    <x v="8"/>
    <x v="79"/>
    <x v="1"/>
    <x v="4"/>
    <n v="1035.9404494139935"/>
  </r>
  <r>
    <x v="1"/>
    <x v="8"/>
    <x v="5"/>
    <x v="8"/>
    <x v="79"/>
    <x v="1"/>
    <x v="5"/>
    <n v="1607.5187236894217"/>
  </r>
  <r>
    <x v="1"/>
    <x v="8"/>
    <x v="5"/>
    <x v="8"/>
    <x v="79"/>
    <x v="1"/>
    <x v="6"/>
    <n v="2059.9516134098953"/>
  </r>
  <r>
    <x v="1"/>
    <x v="8"/>
    <x v="5"/>
    <x v="8"/>
    <x v="80"/>
    <x v="1"/>
    <x v="0"/>
    <n v="2.749532159767798"/>
  </r>
  <r>
    <x v="1"/>
    <x v="8"/>
    <x v="5"/>
    <x v="8"/>
    <x v="80"/>
    <x v="1"/>
    <x v="1"/>
    <n v="6.1173798257966752"/>
  </r>
  <r>
    <x v="1"/>
    <x v="8"/>
    <x v="5"/>
    <x v="8"/>
    <x v="80"/>
    <x v="1"/>
    <x v="2"/>
    <n v="16.891762465989245"/>
  </r>
  <r>
    <x v="1"/>
    <x v="8"/>
    <x v="5"/>
    <x v="8"/>
    <x v="80"/>
    <x v="1"/>
    <x v="3"/>
    <n v="10.760021985695676"/>
  </r>
  <r>
    <x v="1"/>
    <x v="8"/>
    <x v="5"/>
    <x v="8"/>
    <x v="80"/>
    <x v="1"/>
    <x v="4"/>
    <n v="15.94943015499946"/>
  </r>
  <r>
    <x v="1"/>
    <x v="8"/>
    <x v="5"/>
    <x v="8"/>
    <x v="80"/>
    <x v="1"/>
    <x v="5"/>
    <n v="18.774212576720192"/>
  </r>
  <r>
    <x v="1"/>
    <x v="8"/>
    <x v="5"/>
    <x v="8"/>
    <x v="80"/>
    <x v="1"/>
    <x v="6"/>
    <n v="25.14924854750538"/>
  </r>
  <r>
    <x v="1"/>
    <x v="8"/>
    <x v="5"/>
    <x v="8"/>
    <x v="81"/>
    <x v="1"/>
    <x v="0"/>
    <n v="155.06022262838158"/>
  </r>
  <r>
    <x v="1"/>
    <x v="8"/>
    <x v="5"/>
    <x v="8"/>
    <x v="81"/>
    <x v="1"/>
    <x v="1"/>
    <n v="416.44412123314282"/>
  </r>
  <r>
    <x v="1"/>
    <x v="8"/>
    <x v="5"/>
    <x v="8"/>
    <x v="81"/>
    <x v="1"/>
    <x v="2"/>
    <n v="1074.9083180823445"/>
  </r>
  <r>
    <x v="1"/>
    <x v="8"/>
    <x v="5"/>
    <x v="8"/>
    <x v="81"/>
    <x v="1"/>
    <x v="3"/>
    <n v="2703.786395448064"/>
  </r>
  <r>
    <x v="1"/>
    <x v="8"/>
    <x v="5"/>
    <x v="8"/>
    <x v="81"/>
    <x v="1"/>
    <x v="4"/>
    <n v="4010.3697536118439"/>
  </r>
  <r>
    <x v="1"/>
    <x v="8"/>
    <x v="5"/>
    <x v="8"/>
    <x v="81"/>
    <x v="1"/>
    <x v="5"/>
    <n v="5615.8610535289263"/>
  </r>
  <r>
    <x v="1"/>
    <x v="8"/>
    <x v="5"/>
    <x v="8"/>
    <x v="81"/>
    <x v="1"/>
    <x v="6"/>
    <n v="8070.5992071968585"/>
  </r>
  <r>
    <x v="1"/>
    <x v="8"/>
    <x v="5"/>
    <x v="8"/>
    <x v="82"/>
    <x v="1"/>
    <x v="0"/>
    <n v="46.949746178006599"/>
  </r>
  <r>
    <x v="1"/>
    <x v="8"/>
    <x v="5"/>
    <x v="8"/>
    <x v="82"/>
    <x v="1"/>
    <x v="1"/>
    <n v="117.34703208875032"/>
  </r>
  <r>
    <x v="1"/>
    <x v="8"/>
    <x v="5"/>
    <x v="8"/>
    <x v="82"/>
    <x v="1"/>
    <x v="2"/>
    <n v="289.42190935649825"/>
  </r>
  <r>
    <x v="1"/>
    <x v="8"/>
    <x v="5"/>
    <x v="8"/>
    <x v="82"/>
    <x v="1"/>
    <x v="3"/>
    <n v="686.58832098603318"/>
  </r>
  <r>
    <x v="1"/>
    <x v="8"/>
    <x v="5"/>
    <x v="8"/>
    <x v="82"/>
    <x v="1"/>
    <x v="4"/>
    <n v="1010.1410303692249"/>
  </r>
  <r>
    <x v="1"/>
    <x v="8"/>
    <x v="5"/>
    <x v="8"/>
    <x v="82"/>
    <x v="1"/>
    <x v="5"/>
    <n v="1338.6223827372494"/>
  </r>
  <r>
    <x v="1"/>
    <x v="8"/>
    <x v="5"/>
    <x v="8"/>
    <x v="82"/>
    <x v="1"/>
    <x v="6"/>
    <n v="1815.5529313867512"/>
  </r>
  <r>
    <x v="1"/>
    <x v="8"/>
    <x v="5"/>
    <x v="8"/>
    <x v="83"/>
    <x v="1"/>
    <x v="0"/>
    <n v="10.349942951854175"/>
  </r>
  <r>
    <x v="1"/>
    <x v="8"/>
    <x v="5"/>
    <x v="8"/>
    <x v="83"/>
    <x v="1"/>
    <x v="1"/>
    <n v="23.694336059475503"/>
  </r>
  <r>
    <x v="1"/>
    <x v="8"/>
    <x v="5"/>
    <x v="8"/>
    <x v="83"/>
    <x v="1"/>
    <x v="2"/>
    <n v="56.464278539706207"/>
  </r>
  <r>
    <x v="1"/>
    <x v="8"/>
    <x v="5"/>
    <x v="8"/>
    <x v="83"/>
    <x v="1"/>
    <x v="3"/>
    <n v="119.87485418787044"/>
  </r>
  <r>
    <x v="1"/>
    <x v="8"/>
    <x v="5"/>
    <x v="8"/>
    <x v="83"/>
    <x v="1"/>
    <x v="4"/>
    <n v="161.41391668448244"/>
  </r>
  <r>
    <x v="1"/>
    <x v="8"/>
    <x v="5"/>
    <x v="8"/>
    <x v="83"/>
    <x v="1"/>
    <x v="5"/>
    <n v="205.23587304000691"/>
  </r>
  <r>
    <x v="1"/>
    <x v="8"/>
    <x v="5"/>
    <x v="8"/>
    <x v="83"/>
    <x v="1"/>
    <x v="6"/>
    <n v="268.88420819310926"/>
  </r>
  <r>
    <x v="0"/>
    <x v="0"/>
    <x v="0"/>
    <x v="0"/>
    <x v="84"/>
    <x v="1"/>
    <x v="0"/>
    <n v="91.431459422148109"/>
  </r>
  <r>
    <x v="0"/>
    <x v="0"/>
    <x v="0"/>
    <x v="0"/>
    <x v="84"/>
    <x v="1"/>
    <x v="1"/>
    <n v="199.49531722442882"/>
  </r>
  <r>
    <x v="0"/>
    <x v="0"/>
    <x v="0"/>
    <x v="0"/>
    <x v="84"/>
    <x v="1"/>
    <x v="2"/>
    <n v="296.1645649962029"/>
  </r>
  <r>
    <x v="0"/>
    <x v="0"/>
    <x v="0"/>
    <x v="0"/>
    <x v="84"/>
    <x v="1"/>
    <x v="3"/>
    <n v="492.15187935517469"/>
  </r>
  <r>
    <x v="0"/>
    <x v="0"/>
    <x v="0"/>
    <x v="0"/>
    <x v="84"/>
    <x v="1"/>
    <x v="4"/>
    <n v="644.37170835322445"/>
  </r>
  <r>
    <x v="0"/>
    <x v="0"/>
    <x v="0"/>
    <x v="0"/>
    <x v="84"/>
    <x v="1"/>
    <x v="5"/>
    <n v="930.07418941739411"/>
  </r>
  <r>
    <x v="0"/>
    <x v="0"/>
    <x v="0"/>
    <x v="0"/>
    <x v="84"/>
    <x v="1"/>
    <x v="6"/>
    <n v="1170.380714909471"/>
  </r>
  <r>
    <x v="0"/>
    <x v="1"/>
    <x v="0"/>
    <x v="0"/>
    <x v="84"/>
    <x v="1"/>
    <x v="0"/>
    <n v="0.73693861111963976"/>
  </r>
  <r>
    <x v="0"/>
    <x v="1"/>
    <x v="0"/>
    <x v="0"/>
    <x v="84"/>
    <x v="1"/>
    <x v="1"/>
    <n v="1.9564996580732601"/>
  </r>
  <r>
    <x v="0"/>
    <x v="1"/>
    <x v="0"/>
    <x v="0"/>
    <x v="84"/>
    <x v="1"/>
    <x v="2"/>
    <n v="4.8760688937367984"/>
  </r>
  <r>
    <x v="0"/>
    <x v="1"/>
    <x v="0"/>
    <x v="0"/>
    <x v="84"/>
    <x v="1"/>
    <x v="3"/>
    <n v="11.900713720740614"/>
  </r>
  <r>
    <x v="0"/>
    <x v="1"/>
    <x v="0"/>
    <x v="0"/>
    <x v="84"/>
    <x v="1"/>
    <x v="4"/>
    <n v="29.136237308002006"/>
  </r>
  <r>
    <x v="0"/>
    <x v="1"/>
    <x v="0"/>
    <x v="0"/>
    <x v="84"/>
    <x v="1"/>
    <x v="5"/>
    <n v="65.67055194020017"/>
  </r>
  <r>
    <x v="0"/>
    <x v="1"/>
    <x v="0"/>
    <x v="0"/>
    <x v="84"/>
    <x v="1"/>
    <x v="6"/>
    <n v="83.87379594205072"/>
  </r>
  <r>
    <x v="0"/>
    <x v="3"/>
    <x v="0"/>
    <x v="0"/>
    <x v="84"/>
    <x v="1"/>
    <x v="0"/>
    <n v="21.809056563688479"/>
  </r>
  <r>
    <x v="0"/>
    <x v="3"/>
    <x v="0"/>
    <x v="0"/>
    <x v="84"/>
    <x v="1"/>
    <x v="1"/>
    <n v="34.270745398425447"/>
  </r>
  <r>
    <x v="0"/>
    <x v="3"/>
    <x v="0"/>
    <x v="0"/>
    <x v="84"/>
    <x v="1"/>
    <x v="2"/>
    <n v="58.865421576855901"/>
  </r>
  <r>
    <x v="0"/>
    <x v="3"/>
    <x v="0"/>
    <x v="0"/>
    <x v="84"/>
    <x v="1"/>
    <x v="3"/>
    <n v="64.970743501759486"/>
  </r>
  <r>
    <x v="0"/>
    <x v="3"/>
    <x v="0"/>
    <x v="0"/>
    <x v="84"/>
    <x v="1"/>
    <x v="4"/>
    <n v="63.560143662375005"/>
  </r>
  <r>
    <x v="0"/>
    <x v="3"/>
    <x v="0"/>
    <x v="0"/>
    <x v="84"/>
    <x v="1"/>
    <x v="5"/>
    <n v="76.465408546071515"/>
  </r>
  <r>
    <x v="0"/>
    <x v="3"/>
    <x v="0"/>
    <x v="0"/>
    <x v="84"/>
    <x v="1"/>
    <x v="6"/>
    <n v="78.083729983430686"/>
  </r>
  <r>
    <x v="0"/>
    <x v="6"/>
    <x v="0"/>
    <x v="0"/>
    <x v="84"/>
    <x v="1"/>
    <x v="0"/>
    <n v="0"/>
  </r>
  <r>
    <x v="0"/>
    <x v="6"/>
    <x v="0"/>
    <x v="0"/>
    <x v="84"/>
    <x v="1"/>
    <x v="1"/>
    <n v="0"/>
  </r>
  <r>
    <x v="0"/>
    <x v="6"/>
    <x v="0"/>
    <x v="0"/>
    <x v="84"/>
    <x v="1"/>
    <x v="2"/>
    <n v="0"/>
  </r>
  <r>
    <x v="0"/>
    <x v="6"/>
    <x v="0"/>
    <x v="0"/>
    <x v="84"/>
    <x v="1"/>
    <x v="3"/>
    <n v="0"/>
  </r>
  <r>
    <x v="0"/>
    <x v="6"/>
    <x v="0"/>
    <x v="0"/>
    <x v="84"/>
    <x v="1"/>
    <x v="4"/>
    <n v="0"/>
  </r>
  <r>
    <x v="0"/>
    <x v="6"/>
    <x v="0"/>
    <x v="0"/>
    <x v="84"/>
    <x v="1"/>
    <x v="5"/>
    <n v="0"/>
  </r>
  <r>
    <x v="0"/>
    <x v="6"/>
    <x v="0"/>
    <x v="0"/>
    <x v="84"/>
    <x v="1"/>
    <x v="6"/>
    <n v="0"/>
  </r>
  <r>
    <x v="0"/>
    <x v="7"/>
    <x v="0"/>
    <x v="0"/>
    <x v="84"/>
    <x v="1"/>
    <x v="0"/>
    <n v="377.1328516555007"/>
  </r>
  <r>
    <x v="0"/>
    <x v="7"/>
    <x v="0"/>
    <x v="0"/>
    <x v="84"/>
    <x v="1"/>
    <x v="1"/>
    <n v="735.82376145806688"/>
  </r>
  <r>
    <x v="0"/>
    <x v="7"/>
    <x v="0"/>
    <x v="0"/>
    <x v="84"/>
    <x v="1"/>
    <x v="2"/>
    <n v="1417.694120484759"/>
  </r>
  <r>
    <x v="0"/>
    <x v="7"/>
    <x v="0"/>
    <x v="0"/>
    <x v="84"/>
    <x v="1"/>
    <x v="3"/>
    <n v="2696.7626228751742"/>
  </r>
  <r>
    <x v="0"/>
    <x v="7"/>
    <x v="0"/>
    <x v="0"/>
    <x v="84"/>
    <x v="1"/>
    <x v="4"/>
    <n v="4081.277285228955"/>
  </r>
  <r>
    <x v="0"/>
    <x v="7"/>
    <x v="0"/>
    <x v="0"/>
    <x v="84"/>
    <x v="1"/>
    <x v="5"/>
    <n v="6573.1661418872027"/>
  </r>
  <r>
    <x v="0"/>
    <x v="7"/>
    <x v="0"/>
    <x v="0"/>
    <x v="84"/>
    <x v="1"/>
    <x v="6"/>
    <n v="10206.835859840485"/>
  </r>
  <r>
    <x v="0"/>
    <x v="5"/>
    <x v="0"/>
    <x v="0"/>
    <x v="84"/>
    <x v="1"/>
    <x v="0"/>
    <n v="73.046085162184426"/>
  </r>
  <r>
    <x v="0"/>
    <x v="5"/>
    <x v="0"/>
    <x v="0"/>
    <x v="84"/>
    <x v="1"/>
    <x v="1"/>
    <n v="203.3142275068295"/>
  </r>
  <r>
    <x v="0"/>
    <x v="5"/>
    <x v="0"/>
    <x v="0"/>
    <x v="84"/>
    <x v="1"/>
    <x v="2"/>
    <n v="415.80816380603449"/>
  </r>
  <r>
    <x v="0"/>
    <x v="5"/>
    <x v="0"/>
    <x v="0"/>
    <x v="84"/>
    <x v="1"/>
    <x v="3"/>
    <n v="1007.9385695243841"/>
  </r>
  <r>
    <x v="0"/>
    <x v="5"/>
    <x v="0"/>
    <x v="0"/>
    <x v="84"/>
    <x v="1"/>
    <x v="4"/>
    <n v="1903.3826593741258"/>
  </r>
  <r>
    <x v="0"/>
    <x v="5"/>
    <x v="0"/>
    <x v="0"/>
    <x v="84"/>
    <x v="1"/>
    <x v="5"/>
    <n v="3159.3421915506897"/>
  </r>
  <r>
    <x v="0"/>
    <x v="5"/>
    <x v="0"/>
    <x v="0"/>
    <x v="84"/>
    <x v="1"/>
    <x v="6"/>
    <n v="6140.1694938587061"/>
  </r>
  <r>
    <x v="0"/>
    <x v="8"/>
    <x v="0"/>
    <x v="0"/>
    <x v="84"/>
    <x v="1"/>
    <x v="0"/>
    <n v="2.8258991857544498E-3"/>
  </r>
  <r>
    <x v="0"/>
    <x v="8"/>
    <x v="0"/>
    <x v="0"/>
    <x v="84"/>
    <x v="1"/>
    <x v="1"/>
    <n v="6.4813050391232863E-2"/>
  </r>
  <r>
    <x v="0"/>
    <x v="8"/>
    <x v="0"/>
    <x v="0"/>
    <x v="84"/>
    <x v="1"/>
    <x v="2"/>
    <n v="0.87072752239793372"/>
  </r>
  <r>
    <x v="0"/>
    <x v="8"/>
    <x v="0"/>
    <x v="0"/>
    <x v="84"/>
    <x v="1"/>
    <x v="3"/>
    <n v="9.019093271909334"/>
  </r>
  <r>
    <x v="0"/>
    <x v="8"/>
    <x v="0"/>
    <x v="0"/>
    <x v="84"/>
    <x v="1"/>
    <x v="4"/>
    <n v="14.050684496720002"/>
  </r>
  <r>
    <x v="0"/>
    <x v="8"/>
    <x v="0"/>
    <x v="0"/>
    <x v="84"/>
    <x v="1"/>
    <x v="5"/>
    <n v="13.270036322835379"/>
  </r>
  <r>
    <x v="0"/>
    <x v="8"/>
    <x v="0"/>
    <x v="0"/>
    <x v="84"/>
    <x v="1"/>
    <x v="6"/>
    <n v="26.177287117778217"/>
  </r>
  <r>
    <x v="1"/>
    <x v="0"/>
    <x v="0"/>
    <x v="0"/>
    <x v="84"/>
    <x v="1"/>
    <x v="0"/>
    <n v="0"/>
  </r>
  <r>
    <x v="1"/>
    <x v="0"/>
    <x v="0"/>
    <x v="0"/>
    <x v="84"/>
    <x v="1"/>
    <x v="1"/>
    <n v="0"/>
  </r>
  <r>
    <x v="1"/>
    <x v="0"/>
    <x v="0"/>
    <x v="0"/>
    <x v="84"/>
    <x v="1"/>
    <x v="2"/>
    <n v="0"/>
  </r>
  <r>
    <x v="1"/>
    <x v="0"/>
    <x v="0"/>
    <x v="0"/>
    <x v="84"/>
    <x v="1"/>
    <x v="3"/>
    <n v="0"/>
  </r>
  <r>
    <x v="1"/>
    <x v="0"/>
    <x v="0"/>
    <x v="0"/>
    <x v="84"/>
    <x v="1"/>
    <x v="4"/>
    <n v="0"/>
  </r>
  <r>
    <x v="1"/>
    <x v="0"/>
    <x v="0"/>
    <x v="0"/>
    <x v="84"/>
    <x v="1"/>
    <x v="5"/>
    <n v="0"/>
  </r>
  <r>
    <x v="1"/>
    <x v="0"/>
    <x v="0"/>
    <x v="0"/>
    <x v="84"/>
    <x v="1"/>
    <x v="6"/>
    <n v="0"/>
  </r>
  <r>
    <x v="1"/>
    <x v="1"/>
    <x v="0"/>
    <x v="0"/>
    <x v="84"/>
    <x v="1"/>
    <x v="0"/>
    <n v="0"/>
  </r>
  <r>
    <x v="1"/>
    <x v="1"/>
    <x v="0"/>
    <x v="0"/>
    <x v="84"/>
    <x v="1"/>
    <x v="1"/>
    <n v="0"/>
  </r>
  <r>
    <x v="1"/>
    <x v="1"/>
    <x v="0"/>
    <x v="0"/>
    <x v="84"/>
    <x v="1"/>
    <x v="2"/>
    <n v="0"/>
  </r>
  <r>
    <x v="1"/>
    <x v="1"/>
    <x v="0"/>
    <x v="0"/>
    <x v="84"/>
    <x v="1"/>
    <x v="3"/>
    <n v="0"/>
  </r>
  <r>
    <x v="1"/>
    <x v="1"/>
    <x v="0"/>
    <x v="0"/>
    <x v="84"/>
    <x v="1"/>
    <x v="4"/>
    <n v="0"/>
  </r>
  <r>
    <x v="1"/>
    <x v="1"/>
    <x v="0"/>
    <x v="0"/>
    <x v="84"/>
    <x v="1"/>
    <x v="5"/>
    <n v="0"/>
  </r>
  <r>
    <x v="1"/>
    <x v="1"/>
    <x v="0"/>
    <x v="0"/>
    <x v="84"/>
    <x v="1"/>
    <x v="6"/>
    <n v="0"/>
  </r>
  <r>
    <x v="1"/>
    <x v="2"/>
    <x v="0"/>
    <x v="0"/>
    <x v="84"/>
    <x v="1"/>
    <x v="0"/>
    <n v="9.5706714739221912"/>
  </r>
  <r>
    <x v="1"/>
    <x v="2"/>
    <x v="0"/>
    <x v="0"/>
    <x v="84"/>
    <x v="1"/>
    <x v="1"/>
    <n v="31.3013930044389"/>
  </r>
  <r>
    <x v="1"/>
    <x v="2"/>
    <x v="0"/>
    <x v="0"/>
    <x v="84"/>
    <x v="1"/>
    <x v="2"/>
    <n v="54.00225310480851"/>
  </r>
  <r>
    <x v="1"/>
    <x v="2"/>
    <x v="0"/>
    <x v="0"/>
    <x v="84"/>
    <x v="1"/>
    <x v="3"/>
    <n v="115.10650620961701"/>
  </r>
  <r>
    <x v="1"/>
    <x v="2"/>
    <x v="0"/>
    <x v="0"/>
    <x v="84"/>
    <x v="1"/>
    <x v="4"/>
    <n v="177.00093144254996"/>
  </r>
  <r>
    <x v="1"/>
    <x v="2"/>
    <x v="0"/>
    <x v="0"/>
    <x v="84"/>
    <x v="1"/>
    <x v="5"/>
    <n v="242.608419234"/>
  </r>
  <r>
    <x v="1"/>
    <x v="2"/>
    <x v="0"/>
    <x v="0"/>
    <x v="84"/>
    <x v="1"/>
    <x v="6"/>
    <n v="312.53781634030503"/>
  </r>
  <r>
    <x v="1"/>
    <x v="3"/>
    <x v="0"/>
    <x v="0"/>
    <x v="84"/>
    <x v="1"/>
    <x v="0"/>
    <n v="21.809056563688479"/>
  </r>
  <r>
    <x v="1"/>
    <x v="3"/>
    <x v="0"/>
    <x v="0"/>
    <x v="84"/>
    <x v="1"/>
    <x v="1"/>
    <n v="34.270745398425447"/>
  </r>
  <r>
    <x v="1"/>
    <x v="3"/>
    <x v="0"/>
    <x v="0"/>
    <x v="84"/>
    <x v="1"/>
    <x v="2"/>
    <n v="58.865421576855901"/>
  </r>
  <r>
    <x v="1"/>
    <x v="3"/>
    <x v="0"/>
    <x v="0"/>
    <x v="84"/>
    <x v="1"/>
    <x v="3"/>
    <n v="64.970743501759486"/>
  </r>
  <r>
    <x v="1"/>
    <x v="3"/>
    <x v="0"/>
    <x v="0"/>
    <x v="84"/>
    <x v="1"/>
    <x v="4"/>
    <n v="63.560143662375005"/>
  </r>
  <r>
    <x v="1"/>
    <x v="3"/>
    <x v="0"/>
    <x v="0"/>
    <x v="84"/>
    <x v="1"/>
    <x v="5"/>
    <n v="76.465408546071515"/>
  </r>
  <r>
    <x v="1"/>
    <x v="3"/>
    <x v="0"/>
    <x v="0"/>
    <x v="84"/>
    <x v="1"/>
    <x v="6"/>
    <n v="78.083729983430686"/>
  </r>
  <r>
    <x v="1"/>
    <x v="4"/>
    <x v="0"/>
    <x v="0"/>
    <x v="84"/>
    <x v="1"/>
    <x v="0"/>
    <n v="0.8697008897626427"/>
  </r>
  <r>
    <x v="1"/>
    <x v="4"/>
    <x v="0"/>
    <x v="0"/>
    <x v="84"/>
    <x v="1"/>
    <x v="1"/>
    <n v="2.3344149247689683"/>
  </r>
  <r>
    <x v="1"/>
    <x v="4"/>
    <x v="0"/>
    <x v="0"/>
    <x v="84"/>
    <x v="1"/>
    <x v="2"/>
    <n v="7.0499366365536549"/>
  </r>
  <r>
    <x v="1"/>
    <x v="4"/>
    <x v="0"/>
    <x v="0"/>
    <x v="84"/>
    <x v="1"/>
    <x v="3"/>
    <n v="19.87841424199566"/>
  </r>
  <r>
    <x v="1"/>
    <x v="4"/>
    <x v="0"/>
    <x v="0"/>
    <x v="84"/>
    <x v="1"/>
    <x v="4"/>
    <n v="31.290000000000006"/>
  </r>
  <r>
    <x v="1"/>
    <x v="4"/>
    <x v="0"/>
    <x v="0"/>
    <x v="84"/>
    <x v="1"/>
    <x v="5"/>
    <n v="50.222508012954243"/>
  </r>
  <r>
    <x v="1"/>
    <x v="4"/>
    <x v="0"/>
    <x v="0"/>
    <x v="84"/>
    <x v="1"/>
    <x v="6"/>
    <n v="70.091395979878001"/>
  </r>
  <r>
    <x v="1"/>
    <x v="5"/>
    <x v="0"/>
    <x v="0"/>
    <x v="84"/>
    <x v="1"/>
    <x v="0"/>
    <n v="0"/>
  </r>
  <r>
    <x v="1"/>
    <x v="5"/>
    <x v="0"/>
    <x v="0"/>
    <x v="84"/>
    <x v="1"/>
    <x v="1"/>
    <n v="0"/>
  </r>
  <r>
    <x v="1"/>
    <x v="5"/>
    <x v="0"/>
    <x v="0"/>
    <x v="84"/>
    <x v="1"/>
    <x v="2"/>
    <n v="0"/>
  </r>
  <r>
    <x v="1"/>
    <x v="5"/>
    <x v="0"/>
    <x v="0"/>
    <x v="84"/>
    <x v="1"/>
    <x v="3"/>
    <n v="0"/>
  </r>
  <r>
    <x v="1"/>
    <x v="5"/>
    <x v="0"/>
    <x v="0"/>
    <x v="84"/>
    <x v="1"/>
    <x v="4"/>
    <n v="0"/>
  </r>
  <r>
    <x v="1"/>
    <x v="5"/>
    <x v="0"/>
    <x v="0"/>
    <x v="84"/>
    <x v="1"/>
    <x v="5"/>
    <n v="0"/>
  </r>
  <r>
    <x v="1"/>
    <x v="5"/>
    <x v="0"/>
    <x v="0"/>
    <x v="84"/>
    <x v="1"/>
    <x v="6"/>
    <n v="0"/>
  </r>
  <r>
    <x v="1"/>
    <x v="6"/>
    <x v="0"/>
    <x v="0"/>
    <x v="84"/>
    <x v="1"/>
    <x v="0"/>
    <n v="0"/>
  </r>
  <r>
    <x v="1"/>
    <x v="6"/>
    <x v="0"/>
    <x v="0"/>
    <x v="84"/>
    <x v="1"/>
    <x v="1"/>
    <n v="0"/>
  </r>
  <r>
    <x v="1"/>
    <x v="6"/>
    <x v="0"/>
    <x v="0"/>
    <x v="84"/>
    <x v="1"/>
    <x v="2"/>
    <n v="0"/>
  </r>
  <r>
    <x v="1"/>
    <x v="6"/>
    <x v="0"/>
    <x v="0"/>
    <x v="84"/>
    <x v="1"/>
    <x v="3"/>
    <n v="0"/>
  </r>
  <r>
    <x v="1"/>
    <x v="6"/>
    <x v="0"/>
    <x v="0"/>
    <x v="84"/>
    <x v="1"/>
    <x v="4"/>
    <n v="0"/>
  </r>
  <r>
    <x v="1"/>
    <x v="6"/>
    <x v="0"/>
    <x v="0"/>
    <x v="84"/>
    <x v="1"/>
    <x v="5"/>
    <n v="0"/>
  </r>
  <r>
    <x v="1"/>
    <x v="6"/>
    <x v="0"/>
    <x v="0"/>
    <x v="84"/>
    <x v="1"/>
    <x v="6"/>
    <n v="0"/>
  </r>
  <r>
    <x v="1"/>
    <x v="7"/>
    <x v="0"/>
    <x v="0"/>
    <x v="84"/>
    <x v="1"/>
    <x v="0"/>
    <n v="0"/>
  </r>
  <r>
    <x v="1"/>
    <x v="7"/>
    <x v="0"/>
    <x v="0"/>
    <x v="84"/>
    <x v="1"/>
    <x v="1"/>
    <n v="0"/>
  </r>
  <r>
    <x v="1"/>
    <x v="7"/>
    <x v="0"/>
    <x v="0"/>
    <x v="84"/>
    <x v="1"/>
    <x v="2"/>
    <n v="0"/>
  </r>
  <r>
    <x v="1"/>
    <x v="7"/>
    <x v="0"/>
    <x v="0"/>
    <x v="84"/>
    <x v="1"/>
    <x v="3"/>
    <n v="0"/>
  </r>
  <r>
    <x v="1"/>
    <x v="7"/>
    <x v="0"/>
    <x v="0"/>
    <x v="84"/>
    <x v="1"/>
    <x v="4"/>
    <n v="0"/>
  </r>
  <r>
    <x v="1"/>
    <x v="7"/>
    <x v="0"/>
    <x v="0"/>
    <x v="84"/>
    <x v="1"/>
    <x v="5"/>
    <n v="0"/>
  </r>
  <r>
    <x v="1"/>
    <x v="7"/>
    <x v="0"/>
    <x v="0"/>
    <x v="84"/>
    <x v="1"/>
    <x v="6"/>
    <n v="0"/>
  </r>
  <r>
    <x v="1"/>
    <x v="8"/>
    <x v="0"/>
    <x v="0"/>
    <x v="84"/>
    <x v="1"/>
    <x v="0"/>
    <n v="2.7281937710691979"/>
  </r>
  <r>
    <x v="1"/>
    <x v="8"/>
    <x v="0"/>
    <x v="0"/>
    <x v="84"/>
    <x v="1"/>
    <x v="1"/>
    <n v="19.442942897310029"/>
  </r>
  <r>
    <x v="1"/>
    <x v="8"/>
    <x v="0"/>
    <x v="0"/>
    <x v="84"/>
    <x v="1"/>
    <x v="2"/>
    <n v="81.16388019966324"/>
  </r>
  <r>
    <x v="1"/>
    <x v="8"/>
    <x v="0"/>
    <x v="0"/>
    <x v="84"/>
    <x v="1"/>
    <x v="3"/>
    <n v="261.23081028309372"/>
  </r>
  <r>
    <x v="1"/>
    <x v="8"/>
    <x v="0"/>
    <x v="0"/>
    <x v="84"/>
    <x v="1"/>
    <x v="4"/>
    <n v="337.21642792128006"/>
  </r>
  <r>
    <x v="1"/>
    <x v="8"/>
    <x v="0"/>
    <x v="0"/>
    <x v="84"/>
    <x v="1"/>
    <x v="5"/>
    <n v="252.13069013387215"/>
  </r>
  <r>
    <x v="1"/>
    <x v="8"/>
    <x v="0"/>
    <x v="0"/>
    <x v="84"/>
    <x v="1"/>
    <x v="6"/>
    <n v="278.22762821767282"/>
  </r>
  <r>
    <x v="1"/>
    <x v="8"/>
    <x v="4"/>
    <x v="7"/>
    <x v="61"/>
    <x v="1"/>
    <x v="0"/>
    <n v="2.1274180402110563"/>
  </r>
  <r>
    <x v="1"/>
    <x v="8"/>
    <x v="4"/>
    <x v="7"/>
    <x v="61"/>
    <x v="1"/>
    <x v="1"/>
    <n v="6.9473087045630901"/>
  </r>
  <r>
    <x v="1"/>
    <x v="8"/>
    <x v="4"/>
    <x v="7"/>
    <x v="61"/>
    <x v="1"/>
    <x v="2"/>
    <n v="18.278969058430913"/>
  </r>
  <r>
    <x v="1"/>
    <x v="8"/>
    <x v="4"/>
    <x v="7"/>
    <x v="61"/>
    <x v="1"/>
    <x v="3"/>
    <n v="45.023152558129041"/>
  </r>
  <r>
    <x v="1"/>
    <x v="8"/>
    <x v="4"/>
    <x v="7"/>
    <x v="61"/>
    <x v="1"/>
    <x v="4"/>
    <n v="0"/>
  </r>
  <r>
    <x v="1"/>
    <x v="8"/>
    <x v="4"/>
    <x v="7"/>
    <x v="61"/>
    <x v="1"/>
    <x v="5"/>
    <n v="0"/>
  </r>
  <r>
    <x v="1"/>
    <x v="8"/>
    <x v="4"/>
    <x v="7"/>
    <x v="61"/>
    <x v="1"/>
    <x v="6"/>
    <n v="275.60110939993052"/>
  </r>
  <r>
    <x v="1"/>
    <x v="8"/>
    <x v="4"/>
    <x v="7"/>
    <x v="62"/>
    <x v="1"/>
    <x v="0"/>
    <n v="0.37851877063761263"/>
  </r>
  <r>
    <x v="1"/>
    <x v="8"/>
    <x v="4"/>
    <x v="7"/>
    <x v="62"/>
    <x v="1"/>
    <x v="1"/>
    <n v="0.42521166152296797"/>
  </r>
  <r>
    <x v="1"/>
    <x v="8"/>
    <x v="4"/>
    <x v="7"/>
    <x v="62"/>
    <x v="1"/>
    <x v="2"/>
    <n v="0.52460620647355394"/>
  </r>
  <r>
    <x v="1"/>
    <x v="8"/>
    <x v="4"/>
    <x v="7"/>
    <x v="62"/>
    <x v="1"/>
    <x v="3"/>
    <n v="0.56149834070796689"/>
  </r>
  <r>
    <x v="1"/>
    <x v="8"/>
    <x v="4"/>
    <x v="7"/>
    <x v="62"/>
    <x v="1"/>
    <x v="4"/>
    <n v="0.57242952648649692"/>
  </r>
  <r>
    <x v="1"/>
    <x v="8"/>
    <x v="4"/>
    <x v="7"/>
    <x v="62"/>
    <x v="1"/>
    <x v="5"/>
    <n v="1.1015509216315693"/>
  </r>
  <r>
    <x v="1"/>
    <x v="8"/>
    <x v="4"/>
    <x v="7"/>
    <x v="62"/>
    <x v="1"/>
    <x v="6"/>
    <n v="-1.5926657027019793"/>
  </r>
  <r>
    <x v="1"/>
    <x v="8"/>
    <x v="4"/>
    <x v="7"/>
    <x v="63"/>
    <x v="1"/>
    <x v="0"/>
    <n v="0"/>
  </r>
  <r>
    <x v="1"/>
    <x v="8"/>
    <x v="4"/>
    <x v="7"/>
    <x v="63"/>
    <x v="1"/>
    <x v="1"/>
    <n v="0"/>
  </r>
  <r>
    <x v="1"/>
    <x v="8"/>
    <x v="4"/>
    <x v="7"/>
    <x v="63"/>
    <x v="1"/>
    <x v="2"/>
    <n v="0"/>
  </r>
  <r>
    <x v="1"/>
    <x v="8"/>
    <x v="4"/>
    <x v="7"/>
    <x v="63"/>
    <x v="1"/>
    <x v="3"/>
    <n v="0"/>
  </r>
  <r>
    <x v="1"/>
    <x v="8"/>
    <x v="4"/>
    <x v="7"/>
    <x v="63"/>
    <x v="1"/>
    <x v="4"/>
    <n v="0"/>
  </r>
  <r>
    <x v="1"/>
    <x v="8"/>
    <x v="4"/>
    <x v="7"/>
    <x v="63"/>
    <x v="1"/>
    <x v="5"/>
    <n v="0"/>
  </r>
  <r>
    <x v="1"/>
    <x v="8"/>
    <x v="4"/>
    <x v="7"/>
    <x v="63"/>
    <x v="1"/>
    <x v="6"/>
    <n v="0"/>
  </r>
  <r>
    <x v="1"/>
    <x v="8"/>
    <x v="4"/>
    <x v="7"/>
    <x v="64"/>
    <x v="1"/>
    <x v="0"/>
    <n v="2.9328786114090706"/>
  </r>
  <r>
    <x v="1"/>
    <x v="8"/>
    <x v="4"/>
    <x v="7"/>
    <x v="64"/>
    <x v="1"/>
    <x v="1"/>
    <n v="5.6879998294132612"/>
  </r>
  <r>
    <x v="1"/>
    <x v="8"/>
    <x v="4"/>
    <x v="7"/>
    <x v="64"/>
    <x v="1"/>
    <x v="2"/>
    <n v="9.2067431489692861"/>
  </r>
  <r>
    <x v="1"/>
    <x v="8"/>
    <x v="4"/>
    <x v="7"/>
    <x v="64"/>
    <x v="1"/>
    <x v="3"/>
    <n v="5.955777434244359"/>
  </r>
  <r>
    <x v="1"/>
    <x v="8"/>
    <x v="4"/>
    <x v="7"/>
    <x v="64"/>
    <x v="1"/>
    <x v="4"/>
    <n v="4.1544417265233724"/>
  </r>
  <r>
    <x v="1"/>
    <x v="8"/>
    <x v="4"/>
    <x v="7"/>
    <x v="64"/>
    <x v="1"/>
    <x v="5"/>
    <n v="7.1503245493237966"/>
  </r>
  <r>
    <x v="1"/>
    <x v="8"/>
    <x v="4"/>
    <x v="7"/>
    <x v="64"/>
    <x v="1"/>
    <x v="6"/>
    <n v="-9.8204011020915214"/>
  </r>
  <r>
    <x v="0"/>
    <x v="0"/>
    <x v="4"/>
    <x v="7"/>
    <x v="85"/>
    <x v="1"/>
    <x v="0"/>
    <n v="0"/>
  </r>
  <r>
    <x v="0"/>
    <x v="0"/>
    <x v="4"/>
    <x v="7"/>
    <x v="85"/>
    <x v="1"/>
    <x v="1"/>
    <n v="0"/>
  </r>
  <r>
    <x v="0"/>
    <x v="0"/>
    <x v="4"/>
    <x v="7"/>
    <x v="85"/>
    <x v="1"/>
    <x v="2"/>
    <n v="0"/>
  </r>
  <r>
    <x v="0"/>
    <x v="0"/>
    <x v="4"/>
    <x v="7"/>
    <x v="85"/>
    <x v="1"/>
    <x v="3"/>
    <n v="0"/>
  </r>
  <r>
    <x v="0"/>
    <x v="0"/>
    <x v="4"/>
    <x v="7"/>
    <x v="85"/>
    <x v="1"/>
    <x v="4"/>
    <n v="0"/>
  </r>
  <r>
    <x v="0"/>
    <x v="0"/>
    <x v="4"/>
    <x v="7"/>
    <x v="85"/>
    <x v="1"/>
    <x v="5"/>
    <n v="0"/>
  </r>
  <r>
    <x v="0"/>
    <x v="0"/>
    <x v="4"/>
    <x v="7"/>
    <x v="85"/>
    <x v="1"/>
    <x v="6"/>
    <n v="0"/>
  </r>
  <r>
    <x v="0"/>
    <x v="1"/>
    <x v="4"/>
    <x v="7"/>
    <x v="85"/>
    <x v="1"/>
    <x v="0"/>
    <n v="0"/>
  </r>
  <r>
    <x v="0"/>
    <x v="1"/>
    <x v="4"/>
    <x v="7"/>
    <x v="85"/>
    <x v="1"/>
    <x v="1"/>
    <n v="0"/>
  </r>
  <r>
    <x v="0"/>
    <x v="1"/>
    <x v="4"/>
    <x v="7"/>
    <x v="85"/>
    <x v="1"/>
    <x v="2"/>
    <n v="0"/>
  </r>
  <r>
    <x v="0"/>
    <x v="1"/>
    <x v="4"/>
    <x v="7"/>
    <x v="85"/>
    <x v="1"/>
    <x v="3"/>
    <n v="0"/>
  </r>
  <r>
    <x v="0"/>
    <x v="1"/>
    <x v="4"/>
    <x v="7"/>
    <x v="85"/>
    <x v="1"/>
    <x v="4"/>
    <n v="0"/>
  </r>
  <r>
    <x v="0"/>
    <x v="1"/>
    <x v="4"/>
    <x v="7"/>
    <x v="85"/>
    <x v="1"/>
    <x v="5"/>
    <n v="0"/>
  </r>
  <r>
    <x v="0"/>
    <x v="1"/>
    <x v="4"/>
    <x v="7"/>
    <x v="85"/>
    <x v="1"/>
    <x v="6"/>
    <n v="0"/>
  </r>
  <r>
    <x v="0"/>
    <x v="3"/>
    <x v="4"/>
    <x v="7"/>
    <x v="85"/>
    <x v="1"/>
    <x v="0"/>
    <n v="0"/>
  </r>
  <r>
    <x v="0"/>
    <x v="3"/>
    <x v="4"/>
    <x v="7"/>
    <x v="85"/>
    <x v="1"/>
    <x v="1"/>
    <n v="0"/>
  </r>
  <r>
    <x v="0"/>
    <x v="3"/>
    <x v="4"/>
    <x v="7"/>
    <x v="85"/>
    <x v="1"/>
    <x v="2"/>
    <n v="0"/>
  </r>
  <r>
    <x v="0"/>
    <x v="3"/>
    <x v="4"/>
    <x v="7"/>
    <x v="85"/>
    <x v="1"/>
    <x v="3"/>
    <n v="0"/>
  </r>
  <r>
    <x v="0"/>
    <x v="3"/>
    <x v="4"/>
    <x v="7"/>
    <x v="85"/>
    <x v="1"/>
    <x v="4"/>
    <n v="0"/>
  </r>
  <r>
    <x v="0"/>
    <x v="3"/>
    <x v="4"/>
    <x v="7"/>
    <x v="85"/>
    <x v="1"/>
    <x v="5"/>
    <n v="0"/>
  </r>
  <r>
    <x v="0"/>
    <x v="3"/>
    <x v="4"/>
    <x v="7"/>
    <x v="85"/>
    <x v="1"/>
    <x v="6"/>
    <n v="0"/>
  </r>
  <r>
    <x v="0"/>
    <x v="6"/>
    <x v="4"/>
    <x v="7"/>
    <x v="85"/>
    <x v="1"/>
    <x v="0"/>
    <n v="0"/>
  </r>
  <r>
    <x v="0"/>
    <x v="6"/>
    <x v="4"/>
    <x v="7"/>
    <x v="85"/>
    <x v="1"/>
    <x v="1"/>
    <n v="0"/>
  </r>
  <r>
    <x v="0"/>
    <x v="6"/>
    <x v="4"/>
    <x v="7"/>
    <x v="85"/>
    <x v="1"/>
    <x v="2"/>
    <n v="0"/>
  </r>
  <r>
    <x v="0"/>
    <x v="6"/>
    <x v="4"/>
    <x v="7"/>
    <x v="85"/>
    <x v="1"/>
    <x v="3"/>
    <n v="0"/>
  </r>
  <r>
    <x v="0"/>
    <x v="6"/>
    <x v="4"/>
    <x v="7"/>
    <x v="85"/>
    <x v="1"/>
    <x v="4"/>
    <n v="0"/>
  </r>
  <r>
    <x v="0"/>
    <x v="6"/>
    <x v="4"/>
    <x v="7"/>
    <x v="85"/>
    <x v="1"/>
    <x v="5"/>
    <n v="0"/>
  </r>
  <r>
    <x v="0"/>
    <x v="6"/>
    <x v="4"/>
    <x v="7"/>
    <x v="85"/>
    <x v="1"/>
    <x v="6"/>
    <n v="0"/>
  </r>
  <r>
    <x v="0"/>
    <x v="7"/>
    <x v="4"/>
    <x v="7"/>
    <x v="85"/>
    <x v="1"/>
    <x v="0"/>
    <n v="28.943502548046549"/>
  </r>
  <r>
    <x v="0"/>
    <x v="7"/>
    <x v="4"/>
    <x v="7"/>
    <x v="85"/>
    <x v="1"/>
    <x v="1"/>
    <n v="162.65332315084535"/>
  </r>
  <r>
    <x v="0"/>
    <x v="7"/>
    <x v="4"/>
    <x v="7"/>
    <x v="85"/>
    <x v="1"/>
    <x v="2"/>
    <n v="904.76362428298057"/>
  </r>
  <r>
    <x v="0"/>
    <x v="7"/>
    <x v="4"/>
    <x v="7"/>
    <x v="85"/>
    <x v="1"/>
    <x v="3"/>
    <n v="4751.651412486136"/>
  </r>
  <r>
    <x v="0"/>
    <x v="7"/>
    <x v="4"/>
    <x v="7"/>
    <x v="85"/>
    <x v="1"/>
    <x v="4"/>
    <n v="7992.6680290297609"/>
  </r>
  <r>
    <x v="0"/>
    <x v="7"/>
    <x v="4"/>
    <x v="7"/>
    <x v="85"/>
    <x v="1"/>
    <x v="5"/>
    <n v="11953.766394547532"/>
  </r>
  <r>
    <x v="0"/>
    <x v="7"/>
    <x v="4"/>
    <x v="7"/>
    <x v="85"/>
    <x v="1"/>
    <x v="6"/>
    <n v="14599.315355017501"/>
  </r>
  <r>
    <x v="0"/>
    <x v="5"/>
    <x v="4"/>
    <x v="7"/>
    <x v="85"/>
    <x v="1"/>
    <x v="0"/>
    <n v="0"/>
  </r>
  <r>
    <x v="0"/>
    <x v="5"/>
    <x v="4"/>
    <x v="7"/>
    <x v="85"/>
    <x v="1"/>
    <x v="1"/>
    <n v="0"/>
  </r>
  <r>
    <x v="0"/>
    <x v="5"/>
    <x v="4"/>
    <x v="7"/>
    <x v="85"/>
    <x v="1"/>
    <x v="2"/>
    <n v="0"/>
  </r>
  <r>
    <x v="0"/>
    <x v="5"/>
    <x v="4"/>
    <x v="7"/>
    <x v="85"/>
    <x v="1"/>
    <x v="3"/>
    <n v="0"/>
  </r>
  <r>
    <x v="0"/>
    <x v="5"/>
    <x v="4"/>
    <x v="7"/>
    <x v="85"/>
    <x v="1"/>
    <x v="4"/>
    <n v="0"/>
  </r>
  <r>
    <x v="0"/>
    <x v="5"/>
    <x v="4"/>
    <x v="7"/>
    <x v="85"/>
    <x v="1"/>
    <x v="5"/>
    <n v="0"/>
  </r>
  <r>
    <x v="0"/>
    <x v="5"/>
    <x v="4"/>
    <x v="7"/>
    <x v="85"/>
    <x v="1"/>
    <x v="6"/>
    <n v="0"/>
  </r>
  <r>
    <x v="0"/>
    <x v="8"/>
    <x v="4"/>
    <x v="7"/>
    <x v="85"/>
    <x v="1"/>
    <x v="0"/>
    <n v="181.28159097827177"/>
  </r>
  <r>
    <x v="0"/>
    <x v="8"/>
    <x v="4"/>
    <x v="7"/>
    <x v="85"/>
    <x v="1"/>
    <x v="1"/>
    <n v="658.85620398071353"/>
  </r>
  <r>
    <x v="0"/>
    <x v="8"/>
    <x v="4"/>
    <x v="7"/>
    <x v="85"/>
    <x v="1"/>
    <x v="2"/>
    <n v="1667.8975642186288"/>
  </r>
  <r>
    <x v="0"/>
    <x v="8"/>
    <x v="4"/>
    <x v="7"/>
    <x v="85"/>
    <x v="1"/>
    <x v="3"/>
    <n v="3722.2373414894391"/>
  </r>
  <r>
    <x v="0"/>
    <x v="8"/>
    <x v="4"/>
    <x v="7"/>
    <x v="85"/>
    <x v="1"/>
    <x v="4"/>
    <n v="7772.6061979797905"/>
  </r>
  <r>
    <x v="0"/>
    <x v="8"/>
    <x v="4"/>
    <x v="7"/>
    <x v="85"/>
    <x v="1"/>
    <x v="5"/>
    <n v="13352.401422082115"/>
  </r>
  <r>
    <x v="0"/>
    <x v="8"/>
    <x v="4"/>
    <x v="7"/>
    <x v="85"/>
    <x v="1"/>
    <x v="6"/>
    <n v="18856.923770790185"/>
  </r>
  <r>
    <x v="1"/>
    <x v="0"/>
    <x v="4"/>
    <x v="7"/>
    <x v="85"/>
    <x v="1"/>
    <x v="0"/>
    <n v="0"/>
  </r>
  <r>
    <x v="1"/>
    <x v="0"/>
    <x v="4"/>
    <x v="7"/>
    <x v="85"/>
    <x v="1"/>
    <x v="1"/>
    <n v="0"/>
  </r>
  <r>
    <x v="1"/>
    <x v="0"/>
    <x v="4"/>
    <x v="7"/>
    <x v="85"/>
    <x v="1"/>
    <x v="2"/>
    <n v="0"/>
  </r>
  <r>
    <x v="1"/>
    <x v="0"/>
    <x v="4"/>
    <x v="7"/>
    <x v="85"/>
    <x v="1"/>
    <x v="3"/>
    <n v="0"/>
  </r>
  <r>
    <x v="1"/>
    <x v="0"/>
    <x v="4"/>
    <x v="7"/>
    <x v="85"/>
    <x v="1"/>
    <x v="4"/>
    <n v="0"/>
  </r>
  <r>
    <x v="1"/>
    <x v="0"/>
    <x v="4"/>
    <x v="7"/>
    <x v="85"/>
    <x v="1"/>
    <x v="5"/>
    <n v="0"/>
  </r>
  <r>
    <x v="1"/>
    <x v="0"/>
    <x v="4"/>
    <x v="7"/>
    <x v="85"/>
    <x v="1"/>
    <x v="6"/>
    <n v="0"/>
  </r>
  <r>
    <x v="1"/>
    <x v="1"/>
    <x v="4"/>
    <x v="7"/>
    <x v="85"/>
    <x v="1"/>
    <x v="0"/>
    <n v="0"/>
  </r>
  <r>
    <x v="1"/>
    <x v="1"/>
    <x v="4"/>
    <x v="7"/>
    <x v="85"/>
    <x v="1"/>
    <x v="1"/>
    <n v="0"/>
  </r>
  <r>
    <x v="1"/>
    <x v="1"/>
    <x v="4"/>
    <x v="7"/>
    <x v="85"/>
    <x v="1"/>
    <x v="2"/>
    <n v="0"/>
  </r>
  <r>
    <x v="1"/>
    <x v="1"/>
    <x v="4"/>
    <x v="7"/>
    <x v="85"/>
    <x v="1"/>
    <x v="3"/>
    <n v="0"/>
  </r>
  <r>
    <x v="1"/>
    <x v="1"/>
    <x v="4"/>
    <x v="7"/>
    <x v="85"/>
    <x v="1"/>
    <x v="4"/>
    <n v="0"/>
  </r>
  <r>
    <x v="1"/>
    <x v="1"/>
    <x v="4"/>
    <x v="7"/>
    <x v="85"/>
    <x v="1"/>
    <x v="5"/>
    <n v="0"/>
  </r>
  <r>
    <x v="1"/>
    <x v="1"/>
    <x v="4"/>
    <x v="7"/>
    <x v="85"/>
    <x v="1"/>
    <x v="6"/>
    <n v="0"/>
  </r>
  <r>
    <x v="1"/>
    <x v="2"/>
    <x v="4"/>
    <x v="7"/>
    <x v="85"/>
    <x v="1"/>
    <x v="0"/>
    <n v="0"/>
  </r>
  <r>
    <x v="1"/>
    <x v="2"/>
    <x v="4"/>
    <x v="7"/>
    <x v="85"/>
    <x v="1"/>
    <x v="1"/>
    <n v="0"/>
  </r>
  <r>
    <x v="1"/>
    <x v="2"/>
    <x v="4"/>
    <x v="7"/>
    <x v="85"/>
    <x v="1"/>
    <x v="2"/>
    <n v="0"/>
  </r>
  <r>
    <x v="1"/>
    <x v="2"/>
    <x v="4"/>
    <x v="7"/>
    <x v="85"/>
    <x v="1"/>
    <x v="3"/>
    <n v="0"/>
  </r>
  <r>
    <x v="1"/>
    <x v="2"/>
    <x v="4"/>
    <x v="7"/>
    <x v="85"/>
    <x v="1"/>
    <x v="4"/>
    <n v="0"/>
  </r>
  <r>
    <x v="1"/>
    <x v="2"/>
    <x v="4"/>
    <x v="7"/>
    <x v="85"/>
    <x v="1"/>
    <x v="5"/>
    <n v="0"/>
  </r>
  <r>
    <x v="1"/>
    <x v="2"/>
    <x v="4"/>
    <x v="7"/>
    <x v="85"/>
    <x v="1"/>
    <x v="6"/>
    <n v="0"/>
  </r>
  <r>
    <x v="1"/>
    <x v="3"/>
    <x v="4"/>
    <x v="7"/>
    <x v="85"/>
    <x v="1"/>
    <x v="0"/>
    <n v="0"/>
  </r>
  <r>
    <x v="1"/>
    <x v="3"/>
    <x v="4"/>
    <x v="7"/>
    <x v="85"/>
    <x v="1"/>
    <x v="1"/>
    <n v="0"/>
  </r>
  <r>
    <x v="1"/>
    <x v="3"/>
    <x v="4"/>
    <x v="7"/>
    <x v="85"/>
    <x v="1"/>
    <x v="2"/>
    <n v="0"/>
  </r>
  <r>
    <x v="1"/>
    <x v="3"/>
    <x v="4"/>
    <x v="7"/>
    <x v="85"/>
    <x v="1"/>
    <x v="3"/>
    <n v="0"/>
  </r>
  <r>
    <x v="1"/>
    <x v="3"/>
    <x v="4"/>
    <x v="7"/>
    <x v="85"/>
    <x v="1"/>
    <x v="4"/>
    <n v="0"/>
  </r>
  <r>
    <x v="1"/>
    <x v="3"/>
    <x v="4"/>
    <x v="7"/>
    <x v="85"/>
    <x v="1"/>
    <x v="5"/>
    <n v="0"/>
  </r>
  <r>
    <x v="1"/>
    <x v="3"/>
    <x v="4"/>
    <x v="7"/>
    <x v="85"/>
    <x v="1"/>
    <x v="6"/>
    <n v="0"/>
  </r>
  <r>
    <x v="1"/>
    <x v="4"/>
    <x v="4"/>
    <x v="7"/>
    <x v="85"/>
    <x v="1"/>
    <x v="0"/>
    <n v="0"/>
  </r>
  <r>
    <x v="1"/>
    <x v="4"/>
    <x v="4"/>
    <x v="7"/>
    <x v="85"/>
    <x v="1"/>
    <x v="1"/>
    <n v="0"/>
  </r>
  <r>
    <x v="1"/>
    <x v="4"/>
    <x v="4"/>
    <x v="7"/>
    <x v="85"/>
    <x v="1"/>
    <x v="2"/>
    <n v="0"/>
  </r>
  <r>
    <x v="1"/>
    <x v="4"/>
    <x v="4"/>
    <x v="7"/>
    <x v="85"/>
    <x v="1"/>
    <x v="3"/>
    <n v="0"/>
  </r>
  <r>
    <x v="1"/>
    <x v="4"/>
    <x v="4"/>
    <x v="7"/>
    <x v="85"/>
    <x v="1"/>
    <x v="4"/>
    <n v="0"/>
  </r>
  <r>
    <x v="1"/>
    <x v="4"/>
    <x v="4"/>
    <x v="7"/>
    <x v="85"/>
    <x v="1"/>
    <x v="5"/>
    <n v="0"/>
  </r>
  <r>
    <x v="1"/>
    <x v="4"/>
    <x v="4"/>
    <x v="7"/>
    <x v="85"/>
    <x v="1"/>
    <x v="6"/>
    <n v="0"/>
  </r>
  <r>
    <x v="1"/>
    <x v="5"/>
    <x v="4"/>
    <x v="7"/>
    <x v="85"/>
    <x v="1"/>
    <x v="0"/>
    <n v="0"/>
  </r>
  <r>
    <x v="1"/>
    <x v="5"/>
    <x v="4"/>
    <x v="7"/>
    <x v="85"/>
    <x v="1"/>
    <x v="1"/>
    <n v="0"/>
  </r>
  <r>
    <x v="1"/>
    <x v="5"/>
    <x v="4"/>
    <x v="7"/>
    <x v="85"/>
    <x v="1"/>
    <x v="2"/>
    <n v="0"/>
  </r>
  <r>
    <x v="1"/>
    <x v="5"/>
    <x v="4"/>
    <x v="7"/>
    <x v="85"/>
    <x v="1"/>
    <x v="3"/>
    <n v="0"/>
  </r>
  <r>
    <x v="1"/>
    <x v="5"/>
    <x v="4"/>
    <x v="7"/>
    <x v="85"/>
    <x v="1"/>
    <x v="4"/>
    <n v="0"/>
  </r>
  <r>
    <x v="1"/>
    <x v="5"/>
    <x v="4"/>
    <x v="7"/>
    <x v="85"/>
    <x v="1"/>
    <x v="5"/>
    <n v="0"/>
  </r>
  <r>
    <x v="1"/>
    <x v="5"/>
    <x v="4"/>
    <x v="7"/>
    <x v="85"/>
    <x v="1"/>
    <x v="6"/>
    <n v="0"/>
  </r>
  <r>
    <x v="1"/>
    <x v="6"/>
    <x v="4"/>
    <x v="7"/>
    <x v="85"/>
    <x v="1"/>
    <x v="0"/>
    <n v="0"/>
  </r>
  <r>
    <x v="1"/>
    <x v="6"/>
    <x v="4"/>
    <x v="7"/>
    <x v="85"/>
    <x v="1"/>
    <x v="1"/>
    <n v="0"/>
  </r>
  <r>
    <x v="1"/>
    <x v="6"/>
    <x v="4"/>
    <x v="7"/>
    <x v="85"/>
    <x v="1"/>
    <x v="2"/>
    <n v="0"/>
  </r>
  <r>
    <x v="1"/>
    <x v="6"/>
    <x v="4"/>
    <x v="7"/>
    <x v="85"/>
    <x v="1"/>
    <x v="3"/>
    <n v="0"/>
  </r>
  <r>
    <x v="1"/>
    <x v="6"/>
    <x v="4"/>
    <x v="7"/>
    <x v="85"/>
    <x v="1"/>
    <x v="4"/>
    <n v="0"/>
  </r>
  <r>
    <x v="1"/>
    <x v="6"/>
    <x v="4"/>
    <x v="7"/>
    <x v="85"/>
    <x v="1"/>
    <x v="5"/>
    <n v="0"/>
  </r>
  <r>
    <x v="1"/>
    <x v="6"/>
    <x v="4"/>
    <x v="7"/>
    <x v="85"/>
    <x v="1"/>
    <x v="6"/>
    <n v="0"/>
  </r>
  <r>
    <x v="1"/>
    <x v="7"/>
    <x v="4"/>
    <x v="7"/>
    <x v="85"/>
    <x v="1"/>
    <x v="0"/>
    <n v="0"/>
  </r>
  <r>
    <x v="1"/>
    <x v="7"/>
    <x v="4"/>
    <x v="7"/>
    <x v="85"/>
    <x v="1"/>
    <x v="1"/>
    <n v="0"/>
  </r>
  <r>
    <x v="1"/>
    <x v="7"/>
    <x v="4"/>
    <x v="7"/>
    <x v="85"/>
    <x v="1"/>
    <x v="2"/>
    <n v="0"/>
  </r>
  <r>
    <x v="1"/>
    <x v="7"/>
    <x v="4"/>
    <x v="7"/>
    <x v="85"/>
    <x v="1"/>
    <x v="3"/>
    <n v="0"/>
  </r>
  <r>
    <x v="1"/>
    <x v="7"/>
    <x v="4"/>
    <x v="7"/>
    <x v="85"/>
    <x v="1"/>
    <x v="4"/>
    <n v="0"/>
  </r>
  <r>
    <x v="1"/>
    <x v="7"/>
    <x v="4"/>
    <x v="7"/>
    <x v="85"/>
    <x v="1"/>
    <x v="5"/>
    <n v="0"/>
  </r>
  <r>
    <x v="1"/>
    <x v="7"/>
    <x v="4"/>
    <x v="7"/>
    <x v="85"/>
    <x v="1"/>
    <x v="6"/>
    <n v="0"/>
  </r>
  <r>
    <x v="1"/>
    <x v="8"/>
    <x v="4"/>
    <x v="7"/>
    <x v="85"/>
    <x v="1"/>
    <x v="0"/>
    <n v="0.39319807669055745"/>
  </r>
  <r>
    <x v="1"/>
    <x v="8"/>
    <x v="4"/>
    <x v="7"/>
    <x v="85"/>
    <x v="1"/>
    <x v="1"/>
    <n v="0.66220851107182233"/>
  </r>
  <r>
    <x v="1"/>
    <x v="8"/>
    <x v="4"/>
    <x v="7"/>
    <x v="85"/>
    <x v="1"/>
    <x v="2"/>
    <n v="0.77681916337695323"/>
  </r>
  <r>
    <x v="1"/>
    <x v="8"/>
    <x v="4"/>
    <x v="7"/>
    <x v="85"/>
    <x v="1"/>
    <x v="3"/>
    <n v="0.80334307730937193"/>
  </r>
  <r>
    <x v="1"/>
    <x v="8"/>
    <x v="4"/>
    <x v="7"/>
    <x v="85"/>
    <x v="1"/>
    <x v="4"/>
    <n v="0.77733835363325676"/>
  </r>
  <r>
    <x v="1"/>
    <x v="8"/>
    <x v="4"/>
    <x v="7"/>
    <x v="85"/>
    <x v="1"/>
    <x v="5"/>
    <n v="1.335373679576022"/>
  </r>
  <r>
    <x v="1"/>
    <x v="8"/>
    <x v="4"/>
    <x v="7"/>
    <x v="85"/>
    <x v="1"/>
    <x v="6"/>
    <n v="-1.5256644487618767"/>
  </r>
  <r>
    <x v="0"/>
    <x v="7"/>
    <x v="4"/>
    <x v="7"/>
    <x v="86"/>
    <x v="1"/>
    <x v="0"/>
    <n v="78.432307948805743"/>
  </r>
  <r>
    <x v="0"/>
    <x v="7"/>
    <x v="4"/>
    <x v="7"/>
    <x v="86"/>
    <x v="1"/>
    <x v="1"/>
    <n v="164.39778918031587"/>
  </r>
  <r>
    <x v="0"/>
    <x v="7"/>
    <x v="4"/>
    <x v="7"/>
    <x v="86"/>
    <x v="1"/>
    <x v="2"/>
    <n v="337.42379177989136"/>
  </r>
  <r>
    <x v="0"/>
    <x v="7"/>
    <x v="4"/>
    <x v="7"/>
    <x v="86"/>
    <x v="1"/>
    <x v="3"/>
    <n v="357.35137068215198"/>
  </r>
  <r>
    <x v="0"/>
    <x v="7"/>
    <x v="4"/>
    <x v="7"/>
    <x v="86"/>
    <x v="1"/>
    <x v="4"/>
    <n v="450.64636724938254"/>
  </r>
  <r>
    <x v="0"/>
    <x v="7"/>
    <x v="4"/>
    <x v="7"/>
    <x v="86"/>
    <x v="1"/>
    <x v="5"/>
    <n v="490.96689813235503"/>
  </r>
  <r>
    <x v="0"/>
    <x v="7"/>
    <x v="4"/>
    <x v="7"/>
    <x v="86"/>
    <x v="1"/>
    <x v="6"/>
    <n v="521.98247876335756"/>
  </r>
  <r>
    <x v="1"/>
    <x v="7"/>
    <x v="4"/>
    <x v="7"/>
    <x v="86"/>
    <x v="1"/>
    <x v="0"/>
    <n v="0"/>
  </r>
  <r>
    <x v="1"/>
    <x v="7"/>
    <x v="4"/>
    <x v="7"/>
    <x v="86"/>
    <x v="1"/>
    <x v="0"/>
    <n v="0"/>
  </r>
  <r>
    <x v="1"/>
    <x v="7"/>
    <x v="4"/>
    <x v="7"/>
    <x v="86"/>
    <x v="1"/>
    <x v="1"/>
    <n v="0"/>
  </r>
  <r>
    <x v="1"/>
    <x v="7"/>
    <x v="4"/>
    <x v="7"/>
    <x v="86"/>
    <x v="1"/>
    <x v="2"/>
    <n v="0"/>
  </r>
  <r>
    <x v="1"/>
    <x v="7"/>
    <x v="4"/>
    <x v="7"/>
    <x v="86"/>
    <x v="1"/>
    <x v="3"/>
    <n v="0"/>
  </r>
  <r>
    <x v="1"/>
    <x v="7"/>
    <x v="4"/>
    <x v="7"/>
    <x v="86"/>
    <x v="1"/>
    <x v="4"/>
    <n v="0"/>
  </r>
  <r>
    <x v="1"/>
    <x v="7"/>
    <x v="4"/>
    <x v="7"/>
    <x v="86"/>
    <x v="1"/>
    <x v="5"/>
    <n v="0"/>
  </r>
  <r>
    <x v="0"/>
    <x v="1"/>
    <x v="4"/>
    <x v="7"/>
    <x v="86"/>
    <x v="1"/>
    <x v="0"/>
    <n v="2.5722098689123424E-2"/>
  </r>
  <r>
    <x v="0"/>
    <x v="1"/>
    <x v="4"/>
    <x v="7"/>
    <x v="86"/>
    <x v="1"/>
    <x v="0"/>
    <n v="2.5722098689123424E-2"/>
  </r>
  <r>
    <x v="0"/>
    <x v="1"/>
    <x v="4"/>
    <x v="7"/>
    <x v="86"/>
    <x v="1"/>
    <x v="1"/>
    <n v="0.10882773634370962"/>
  </r>
  <r>
    <x v="0"/>
    <x v="1"/>
    <x v="4"/>
    <x v="7"/>
    <x v="86"/>
    <x v="1"/>
    <x v="2"/>
    <n v="0.47678391914174084"/>
  </r>
  <r>
    <x v="0"/>
    <x v="1"/>
    <x v="4"/>
    <x v="7"/>
    <x v="86"/>
    <x v="1"/>
    <x v="3"/>
    <n v="2.1418183319196804"/>
  </r>
  <r>
    <x v="0"/>
    <x v="1"/>
    <x v="4"/>
    <x v="7"/>
    <x v="86"/>
    <x v="1"/>
    <x v="4"/>
    <n v="9.6133738528475625"/>
  </r>
  <r>
    <x v="0"/>
    <x v="1"/>
    <x v="4"/>
    <x v="7"/>
    <x v="86"/>
    <x v="1"/>
    <x v="5"/>
    <n v="12.791334351258522"/>
  </r>
  <r>
    <x v="1"/>
    <x v="1"/>
    <x v="4"/>
    <x v="7"/>
    <x v="86"/>
    <x v="1"/>
    <x v="0"/>
    <n v="0"/>
  </r>
  <r>
    <x v="1"/>
    <x v="1"/>
    <x v="4"/>
    <x v="7"/>
    <x v="86"/>
    <x v="1"/>
    <x v="0"/>
    <n v="0"/>
  </r>
  <r>
    <x v="1"/>
    <x v="1"/>
    <x v="4"/>
    <x v="7"/>
    <x v="86"/>
    <x v="1"/>
    <x v="1"/>
    <n v="0"/>
  </r>
  <r>
    <x v="1"/>
    <x v="1"/>
    <x v="4"/>
    <x v="7"/>
    <x v="86"/>
    <x v="1"/>
    <x v="2"/>
    <n v="0"/>
  </r>
  <r>
    <x v="1"/>
    <x v="1"/>
    <x v="4"/>
    <x v="7"/>
    <x v="86"/>
    <x v="1"/>
    <x v="3"/>
    <n v="0"/>
  </r>
  <r>
    <x v="1"/>
    <x v="1"/>
    <x v="4"/>
    <x v="7"/>
    <x v="86"/>
    <x v="1"/>
    <x v="4"/>
    <n v="0"/>
  </r>
  <r>
    <x v="1"/>
    <x v="1"/>
    <x v="4"/>
    <x v="7"/>
    <x v="86"/>
    <x v="1"/>
    <x v="5"/>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64">
  <r>
    <s v="Integrated AI"/>
    <x v="0"/>
    <x v="0"/>
    <s v="Compute"/>
    <s v="External Monitor"/>
    <s v="Semiconductor Revenue M$"/>
    <x v="0"/>
    <n v="0"/>
  </r>
  <r>
    <s v="Integrated AI"/>
    <x v="0"/>
    <x v="0"/>
    <s v="Compute"/>
    <s v="External Monitor"/>
    <s v="Semiconductor Revenue M$"/>
    <x v="1"/>
    <n v="0"/>
  </r>
  <r>
    <s v="Integrated AI"/>
    <x v="0"/>
    <x v="0"/>
    <s v="Compute"/>
    <s v="External Monitor"/>
    <s v="Semiconductor Revenue M$"/>
    <x v="2"/>
    <n v="0"/>
  </r>
  <r>
    <s v="Integrated AI"/>
    <x v="0"/>
    <x v="0"/>
    <s v="Compute"/>
    <s v="External Monitor"/>
    <s v="Semiconductor Revenue M$"/>
    <x v="3"/>
    <n v="0"/>
  </r>
  <r>
    <s v="Integrated AI"/>
    <x v="0"/>
    <x v="0"/>
    <s v="Compute"/>
    <s v="External Monitor"/>
    <s v="Semiconductor Revenue M$"/>
    <x v="4"/>
    <n v="0"/>
  </r>
  <r>
    <s v="Integrated AI"/>
    <x v="0"/>
    <x v="0"/>
    <s v="Compute"/>
    <s v="External Monitor"/>
    <s v="Semiconductor Revenue M$"/>
    <x v="5"/>
    <n v="0"/>
  </r>
  <r>
    <s v="Integrated AI"/>
    <x v="0"/>
    <x v="0"/>
    <s v="Compute"/>
    <s v="External Monitor"/>
    <s v="Semiconductor Revenue M$"/>
    <x v="6"/>
    <n v="0"/>
  </r>
  <r>
    <s v="Integrated AI"/>
    <x v="0"/>
    <x v="0"/>
    <s v="PC"/>
    <s v="Graphics Cards"/>
    <s v="Semiconductor Revenue M$"/>
    <x v="0"/>
    <n v="0"/>
  </r>
  <r>
    <s v="Integrated AI"/>
    <x v="0"/>
    <x v="0"/>
    <s v="PC"/>
    <s v="Graphics Cards"/>
    <s v="Semiconductor Revenue M$"/>
    <x v="1"/>
    <n v="0"/>
  </r>
  <r>
    <s v="Integrated AI"/>
    <x v="0"/>
    <x v="0"/>
    <s v="PC"/>
    <s v="Graphics Cards"/>
    <s v="Semiconductor Revenue M$"/>
    <x v="2"/>
    <n v="0"/>
  </r>
  <r>
    <s v="Integrated AI"/>
    <x v="0"/>
    <x v="0"/>
    <s v="PC"/>
    <s v="Graphics Cards"/>
    <s v="Semiconductor Revenue M$"/>
    <x v="3"/>
    <n v="0"/>
  </r>
  <r>
    <s v="Integrated AI"/>
    <x v="0"/>
    <x v="0"/>
    <s v="PC"/>
    <s v="Graphics Cards"/>
    <s v="Semiconductor Revenue M$"/>
    <x v="4"/>
    <n v="0"/>
  </r>
  <r>
    <s v="Integrated AI"/>
    <x v="0"/>
    <x v="0"/>
    <s v="PC"/>
    <s v="Graphics Cards"/>
    <s v="Semiconductor Revenue M$"/>
    <x v="5"/>
    <n v="0"/>
  </r>
  <r>
    <s v="Integrated AI"/>
    <x v="0"/>
    <x v="0"/>
    <s v="PC"/>
    <s v="Graphics Cards"/>
    <s v="Semiconductor Revenue M$"/>
    <x v="6"/>
    <n v="0"/>
  </r>
  <r>
    <s v="Integrated AI"/>
    <x v="0"/>
    <x v="0"/>
    <s v="PC"/>
    <s v="Desk-Based PC"/>
    <s v="Semiconductor Revenue M$"/>
    <x v="0"/>
    <n v="118.1117222535232"/>
  </r>
  <r>
    <s v="Integrated AI"/>
    <x v="0"/>
    <x v="0"/>
    <s v="PC"/>
    <s v="Desk-Based PC"/>
    <s v="Semiconductor Revenue M$"/>
    <x v="1"/>
    <n v="276.09905402573037"/>
  </r>
  <r>
    <s v="Integrated AI"/>
    <x v="0"/>
    <x v="0"/>
    <s v="PC"/>
    <s v="Desk-Based PC"/>
    <s v="Semiconductor Revenue M$"/>
    <x v="2"/>
    <n v="521.7137037146847"/>
  </r>
  <r>
    <s v="Integrated AI"/>
    <x v="0"/>
    <x v="0"/>
    <s v="PC"/>
    <s v="Desk-Based PC"/>
    <s v="Semiconductor Revenue M$"/>
    <x v="3"/>
    <n v="970.03807358601989"/>
  </r>
  <r>
    <s v="Integrated AI"/>
    <x v="0"/>
    <x v="0"/>
    <s v="PC"/>
    <s v="Desk-Based PC"/>
    <s v="Semiconductor Revenue M$"/>
    <x v="4"/>
    <n v="1438.3479441047066"/>
  </r>
  <r>
    <s v="Integrated AI"/>
    <x v="0"/>
    <x v="0"/>
    <s v="PC"/>
    <s v="Desk-Based PC"/>
    <s v="Semiconductor Revenue M$"/>
    <x v="5"/>
    <n v="1736.4517851323574"/>
  </r>
  <r>
    <s v="Integrated AI"/>
    <x v="0"/>
    <x v="0"/>
    <s v="PC"/>
    <s v="Desk-Based PC"/>
    <s v="Semiconductor Revenue M$"/>
    <x v="6"/>
    <n v="2062.1167080749087"/>
  </r>
  <r>
    <s v="Integrated AI"/>
    <x v="0"/>
    <x v="0"/>
    <s v="PC"/>
    <s v="Ultramobile Basic, Tablet"/>
    <s v="Semiconductor Revenue M$"/>
    <x v="0"/>
    <n v="0"/>
  </r>
  <r>
    <s v="Integrated AI"/>
    <x v="0"/>
    <x v="0"/>
    <s v="PC"/>
    <s v="Ultramobile Basic, Tablet"/>
    <s v="Semiconductor Revenue M$"/>
    <x v="1"/>
    <n v="0"/>
  </r>
  <r>
    <s v="Integrated AI"/>
    <x v="0"/>
    <x v="0"/>
    <s v="PC"/>
    <s v="Ultramobile Basic, Tablet"/>
    <s v="Semiconductor Revenue M$"/>
    <x v="2"/>
    <n v="0"/>
  </r>
  <r>
    <s v="Integrated AI"/>
    <x v="0"/>
    <x v="0"/>
    <s v="PC"/>
    <s v="Ultramobile Basic, Tablet"/>
    <s v="Semiconductor Revenue M$"/>
    <x v="3"/>
    <n v="0"/>
  </r>
  <r>
    <s v="Integrated AI"/>
    <x v="0"/>
    <x v="0"/>
    <s v="PC"/>
    <s v="Ultramobile Basic, Tablet"/>
    <s v="Semiconductor Revenue M$"/>
    <x v="4"/>
    <n v="0"/>
  </r>
  <r>
    <s v="Integrated AI"/>
    <x v="0"/>
    <x v="0"/>
    <s v="PC"/>
    <s v="Ultramobile Basic, Tablet"/>
    <s v="Semiconductor Revenue M$"/>
    <x v="5"/>
    <n v="0"/>
  </r>
  <r>
    <s v="Integrated AI"/>
    <x v="0"/>
    <x v="0"/>
    <s v="PC"/>
    <s v="Ultramobile Basic, Tablet"/>
    <s v="Semiconductor Revenue M$"/>
    <x v="6"/>
    <n v="0"/>
  </r>
  <r>
    <s v="Integrated AI"/>
    <x v="0"/>
    <x v="0"/>
    <s v="PC"/>
    <s v="Ultramobile Utility, Tablet"/>
    <s v="Semiconductor Revenue M$"/>
    <x v="0"/>
    <n v="0"/>
  </r>
  <r>
    <s v="Integrated AI"/>
    <x v="0"/>
    <x v="0"/>
    <s v="PC"/>
    <s v="Ultramobile Utility, Tablet"/>
    <s v="Semiconductor Revenue M$"/>
    <x v="1"/>
    <n v="0"/>
  </r>
  <r>
    <s v="Integrated AI"/>
    <x v="0"/>
    <x v="0"/>
    <s v="PC"/>
    <s v="Ultramobile Utility, Tablet"/>
    <s v="Semiconductor Revenue M$"/>
    <x v="2"/>
    <n v="0"/>
  </r>
  <r>
    <s v="Integrated AI"/>
    <x v="0"/>
    <x v="0"/>
    <s v="PC"/>
    <s v="Ultramobile Utility, Tablet"/>
    <s v="Semiconductor Revenue M$"/>
    <x v="3"/>
    <n v="0"/>
  </r>
  <r>
    <s v="Integrated AI"/>
    <x v="0"/>
    <x v="0"/>
    <s v="PC"/>
    <s v="Ultramobile Utility, Tablet"/>
    <s v="Semiconductor Revenue M$"/>
    <x v="4"/>
    <n v="0"/>
  </r>
  <r>
    <s v="Integrated AI"/>
    <x v="0"/>
    <x v="0"/>
    <s v="PC"/>
    <s v="Ultramobile Utility, Tablet"/>
    <s v="Semiconductor Revenue M$"/>
    <x v="5"/>
    <n v="0"/>
  </r>
  <r>
    <s v="Integrated AI"/>
    <x v="0"/>
    <x v="0"/>
    <s v="PC"/>
    <s v="Ultramobile Utility, Tablet"/>
    <s v="Semiconductor Revenue M$"/>
    <x v="6"/>
    <n v="0"/>
  </r>
  <r>
    <s v="Integrated AI"/>
    <x v="0"/>
    <x v="0"/>
    <s v="PC"/>
    <s v="Ultramobile Premium, Tablet"/>
    <s v="Semiconductor Revenue M$"/>
    <x v="0"/>
    <n v="11.609516547225494"/>
  </r>
  <r>
    <s v="Integrated AI"/>
    <x v="0"/>
    <x v="0"/>
    <s v="PC"/>
    <s v="Ultramobile Premium, Tablet"/>
    <s v="Semiconductor Revenue M$"/>
    <x v="1"/>
    <n v="31.199136620927909"/>
  </r>
  <r>
    <s v="Integrated AI"/>
    <x v="0"/>
    <x v="0"/>
    <s v="PC"/>
    <s v="Ultramobile Premium, Tablet"/>
    <s v="Semiconductor Revenue M$"/>
    <x v="2"/>
    <n v="66.049354272347486"/>
  </r>
  <r>
    <s v="Integrated AI"/>
    <x v="0"/>
    <x v="0"/>
    <s v="PC"/>
    <s v="Ultramobile Premium, Tablet"/>
    <s v="Semiconductor Revenue M$"/>
    <x v="3"/>
    <n v="121.06490689810769"/>
  </r>
  <r>
    <s v="Integrated AI"/>
    <x v="0"/>
    <x v="0"/>
    <s v="PC"/>
    <s v="Ultramobile Premium, Tablet"/>
    <s v="Semiconductor Revenue M$"/>
    <x v="4"/>
    <n v="137.13861950880366"/>
  </r>
  <r>
    <s v="Integrated AI"/>
    <x v="0"/>
    <x v="0"/>
    <s v="PC"/>
    <s v="Ultramobile Premium, Tablet"/>
    <s v="Semiconductor Revenue M$"/>
    <x v="5"/>
    <n v="171.4042722789755"/>
  </r>
  <r>
    <s v="Integrated AI"/>
    <x v="0"/>
    <x v="0"/>
    <s v="PC"/>
    <s v="Ultramobile Premium, Tablet"/>
    <s v="Semiconductor Revenue M$"/>
    <x v="6"/>
    <n v="224.29988393402277"/>
  </r>
  <r>
    <s v="Integrated AI"/>
    <x v="0"/>
    <x v="0"/>
    <s v="PC"/>
    <s v="Ultramobile Basic, Clamshell"/>
    <s v="Semiconductor Revenue M$"/>
    <x v="0"/>
    <n v="9.8150282284523538"/>
  </r>
  <r>
    <s v="Integrated AI"/>
    <x v="0"/>
    <x v="0"/>
    <s v="PC"/>
    <s v="Ultramobile Basic, Clamshell"/>
    <s v="Semiconductor Revenue M$"/>
    <x v="1"/>
    <n v="15.754603152368908"/>
  </r>
  <r>
    <s v="Integrated AI"/>
    <x v="0"/>
    <x v="0"/>
    <s v="PC"/>
    <s v="Ultramobile Basic, Clamshell"/>
    <s v="Semiconductor Revenue M$"/>
    <x v="2"/>
    <n v="24.353230539949863"/>
  </r>
  <r>
    <s v="Integrated AI"/>
    <x v="0"/>
    <x v="0"/>
    <s v="PC"/>
    <s v="Ultramobile Basic, Clamshell"/>
    <s v="Semiconductor Revenue M$"/>
    <x v="3"/>
    <n v="40.005058282209561"/>
  </r>
  <r>
    <s v="Integrated AI"/>
    <x v="0"/>
    <x v="0"/>
    <s v="PC"/>
    <s v="Ultramobile Basic, Clamshell"/>
    <s v="Semiconductor Revenue M$"/>
    <x v="4"/>
    <n v="52.649356766391065"/>
  </r>
  <r>
    <s v="Integrated AI"/>
    <x v="0"/>
    <x v="0"/>
    <s v="PC"/>
    <s v="Ultramobile Basic, Clamshell"/>
    <s v="Semiconductor Revenue M$"/>
    <x v="5"/>
    <n v="77.167906566915647"/>
  </r>
  <r>
    <s v="Integrated AI"/>
    <x v="0"/>
    <x v="0"/>
    <s v="PC"/>
    <s v="Ultramobile Basic, Clamshell"/>
    <s v="Semiconductor Revenue M$"/>
    <x v="6"/>
    <n v="111.89750179906254"/>
  </r>
  <r>
    <s v="Integrated AI"/>
    <x v="0"/>
    <x v="0"/>
    <s v="PC"/>
    <s v="Ultramobile Premium, Clamshell"/>
    <s v="Semiconductor Revenue M$"/>
    <x v="0"/>
    <n v="202.90018684919261"/>
  </r>
  <r>
    <s v="Integrated AI"/>
    <x v="0"/>
    <x v="0"/>
    <s v="PC"/>
    <s v="Ultramobile Premium, Clamshell"/>
    <s v="Semiconductor Revenue M$"/>
    <x v="1"/>
    <n v="418.12033940743515"/>
  </r>
  <r>
    <s v="Integrated AI"/>
    <x v="0"/>
    <x v="0"/>
    <s v="PC"/>
    <s v="Ultramobile Premium, Clamshell"/>
    <s v="Semiconductor Revenue M$"/>
    <x v="2"/>
    <n v="783.21632634266814"/>
  </r>
  <r>
    <s v="Integrated AI"/>
    <x v="0"/>
    <x v="0"/>
    <s v="PC"/>
    <s v="Ultramobile Premium, Clamshell"/>
    <s v="Semiconductor Revenue M$"/>
    <x v="3"/>
    <n v="1391.855864194549"/>
  </r>
  <r>
    <s v="Integrated AI"/>
    <x v="0"/>
    <x v="0"/>
    <s v="PC"/>
    <s v="Ultramobile Premium, Clamshell"/>
    <s v="Semiconductor Revenue M$"/>
    <x v="4"/>
    <n v="1864.6674574365627"/>
  </r>
  <r>
    <s v="Integrated AI"/>
    <x v="0"/>
    <x v="0"/>
    <s v="PC"/>
    <s v="Ultramobile Premium, Clamshell"/>
    <s v="Semiconductor Revenue M$"/>
    <x v="5"/>
    <n v="2293.0959902186241"/>
  </r>
  <r>
    <s v="Integrated AI"/>
    <x v="0"/>
    <x v="0"/>
    <s v="PC"/>
    <s v="Ultramobile Premium, Clamshell"/>
    <s v="Semiconductor Revenue M$"/>
    <x v="6"/>
    <n v="2666.8263235736781"/>
  </r>
  <r>
    <s v="Integrated AI"/>
    <x v="0"/>
    <x v="0"/>
    <s v="PC"/>
    <s v="Ultramobile Basic, Hybrid"/>
    <s v="Semiconductor Revenue M$"/>
    <x v="0"/>
    <n v="0"/>
  </r>
  <r>
    <s v="Integrated AI"/>
    <x v="0"/>
    <x v="0"/>
    <s v="PC"/>
    <s v="Ultramobile Basic, Hybrid"/>
    <s v="Semiconductor Revenue M$"/>
    <x v="1"/>
    <n v="0"/>
  </r>
  <r>
    <s v="Integrated AI"/>
    <x v="0"/>
    <x v="0"/>
    <s v="PC"/>
    <s v="Ultramobile Basic, Hybrid"/>
    <s v="Semiconductor Revenue M$"/>
    <x v="2"/>
    <n v="0"/>
  </r>
  <r>
    <s v="Integrated AI"/>
    <x v="0"/>
    <x v="0"/>
    <s v="PC"/>
    <s v="Ultramobile Basic, Hybrid"/>
    <s v="Semiconductor Revenue M$"/>
    <x v="3"/>
    <n v="0"/>
  </r>
  <r>
    <s v="Integrated AI"/>
    <x v="0"/>
    <x v="0"/>
    <s v="PC"/>
    <s v="Ultramobile Basic, Hybrid"/>
    <s v="Semiconductor Revenue M$"/>
    <x v="4"/>
    <n v="0"/>
  </r>
  <r>
    <s v="Integrated AI"/>
    <x v="0"/>
    <x v="0"/>
    <s v="PC"/>
    <s v="Ultramobile Basic, Hybrid"/>
    <s v="Semiconductor Revenue M$"/>
    <x v="5"/>
    <n v="0"/>
  </r>
  <r>
    <s v="Integrated AI"/>
    <x v="0"/>
    <x v="0"/>
    <s v="PC"/>
    <s v="Ultramobile Basic, Hybrid"/>
    <s v="Semiconductor Revenue M$"/>
    <x v="6"/>
    <n v="0"/>
  </r>
  <r>
    <s v="Integrated AI"/>
    <x v="0"/>
    <x v="0"/>
    <s v="PC"/>
    <s v="Ultramobile Premium, Hybrid"/>
    <s v="Semiconductor Revenue M$"/>
    <x v="0"/>
    <n v="70.178206801587407"/>
  </r>
  <r>
    <s v="Integrated AI"/>
    <x v="0"/>
    <x v="0"/>
    <s v="PC"/>
    <s v="Ultramobile Premium, Hybrid"/>
    <s v="Semiconductor Revenue M$"/>
    <x v="1"/>
    <n v="137.94929249676676"/>
  </r>
  <r>
    <s v="Integrated AI"/>
    <x v="0"/>
    <x v="0"/>
    <s v="PC"/>
    <s v="Ultramobile Premium, Hybrid"/>
    <s v="Semiconductor Revenue M$"/>
    <x v="2"/>
    <n v="240.97917487322368"/>
  </r>
  <r>
    <s v="Integrated AI"/>
    <x v="0"/>
    <x v="0"/>
    <s v="PC"/>
    <s v="Ultramobile Premium, Hybrid"/>
    <s v="Semiconductor Revenue M$"/>
    <x v="3"/>
    <n v="368.2948672757056"/>
  </r>
  <r>
    <s v="Integrated AI"/>
    <x v="0"/>
    <x v="0"/>
    <s v="PC"/>
    <s v="Ultramobile Premium, Hybrid"/>
    <s v="Semiconductor Revenue M$"/>
    <x v="4"/>
    <n v="401.26795687664304"/>
  </r>
  <r>
    <s v="Integrated AI"/>
    <x v="0"/>
    <x v="0"/>
    <s v="PC"/>
    <s v="Ultramobile Premium, Hybrid"/>
    <s v="Semiconductor Revenue M$"/>
    <x v="5"/>
    <n v="484.74615836048628"/>
  </r>
  <r>
    <s v="Integrated AI"/>
    <x v="0"/>
    <x v="0"/>
    <s v="PC"/>
    <s v="Ultramobile Premium, Hybrid"/>
    <s v="Semiconductor Revenue M$"/>
    <x v="6"/>
    <n v="522.89033836802071"/>
  </r>
  <r>
    <s v="Integrated AI"/>
    <x v="0"/>
    <x v="0"/>
    <s v="PC"/>
    <s v="Notebook"/>
    <s v="Semiconductor Revenue M$"/>
    <x v="0"/>
    <n v="98.668292594897963"/>
  </r>
  <r>
    <s v="Integrated AI"/>
    <x v="0"/>
    <x v="0"/>
    <s v="PC"/>
    <s v="Notebook"/>
    <s v="Semiconductor Revenue M$"/>
    <x v="1"/>
    <n v="243.9049326685392"/>
  </r>
  <r>
    <s v="Integrated AI"/>
    <x v="0"/>
    <x v="0"/>
    <s v="PC"/>
    <s v="Notebook"/>
    <s v="Semiconductor Revenue M$"/>
    <x v="2"/>
    <n v="449.39329275439627"/>
  </r>
  <r>
    <s v="Integrated AI"/>
    <x v="0"/>
    <x v="0"/>
    <s v="PC"/>
    <s v="Notebook"/>
    <s v="Semiconductor Revenue M$"/>
    <x v="3"/>
    <n v="833.32110352265863"/>
  </r>
  <r>
    <s v="Integrated AI"/>
    <x v="0"/>
    <x v="0"/>
    <s v="PC"/>
    <s v="Notebook"/>
    <s v="Semiconductor Revenue M$"/>
    <x v="4"/>
    <n v="1256.0583347328791"/>
  </r>
  <r>
    <s v="Integrated AI"/>
    <x v="0"/>
    <x v="0"/>
    <s v="PC"/>
    <s v="Notebook"/>
    <s v="Semiconductor Revenue M$"/>
    <x v="5"/>
    <n v="1536.3835102022936"/>
  </r>
  <r>
    <s v="Integrated AI"/>
    <x v="0"/>
    <x v="0"/>
    <s v="PC"/>
    <s v="Notebook"/>
    <s v="Semiconductor Revenue M$"/>
    <x v="6"/>
    <n v="1811.0726661396734"/>
  </r>
  <r>
    <s v="Integrated AI"/>
    <x v="0"/>
    <x v="0"/>
    <s v="Compute"/>
    <s v="Printer/Copier"/>
    <s v="Semiconductor Revenue M$"/>
    <x v="0"/>
    <n v="0"/>
  </r>
  <r>
    <s v="Integrated AI"/>
    <x v="0"/>
    <x v="0"/>
    <s v="Compute"/>
    <s v="Printer/Copier"/>
    <s v="Semiconductor Revenue M$"/>
    <x v="1"/>
    <n v="0"/>
  </r>
  <r>
    <s v="Integrated AI"/>
    <x v="0"/>
    <x v="0"/>
    <s v="Compute"/>
    <s v="Printer/Copier"/>
    <s v="Semiconductor Revenue M$"/>
    <x v="2"/>
    <n v="0"/>
  </r>
  <r>
    <s v="Integrated AI"/>
    <x v="0"/>
    <x v="0"/>
    <s v="Compute"/>
    <s v="Printer/Copier"/>
    <s v="Semiconductor Revenue M$"/>
    <x v="3"/>
    <n v="0"/>
  </r>
  <r>
    <s v="Integrated AI"/>
    <x v="0"/>
    <x v="0"/>
    <s v="Compute"/>
    <s v="Printer/Copier"/>
    <s v="Semiconductor Revenue M$"/>
    <x v="4"/>
    <n v="0"/>
  </r>
  <r>
    <s v="Integrated AI"/>
    <x v="0"/>
    <x v="0"/>
    <s v="Compute"/>
    <s v="Printer/Copier"/>
    <s v="Semiconductor Revenue M$"/>
    <x v="5"/>
    <n v="0"/>
  </r>
  <r>
    <s v="Integrated AI"/>
    <x v="0"/>
    <x v="0"/>
    <s v="Compute"/>
    <s v="Printer/Copier"/>
    <s v="Semiconductor Revenue M$"/>
    <x v="6"/>
    <n v="0"/>
  </r>
  <r>
    <s v="Integrated AI"/>
    <x v="0"/>
    <x v="0"/>
    <s v="Compute"/>
    <s v="Flash Cards"/>
    <s v="Semiconductor Revenue M$"/>
    <x v="0"/>
    <n v="0"/>
  </r>
  <r>
    <s v="Integrated AI"/>
    <x v="0"/>
    <x v="0"/>
    <s v="Compute"/>
    <s v="Flash Cards"/>
    <s v="Semiconductor Revenue M$"/>
    <x v="1"/>
    <n v="0"/>
  </r>
  <r>
    <s v="Integrated AI"/>
    <x v="0"/>
    <x v="0"/>
    <s v="Compute"/>
    <s v="Flash Cards"/>
    <s v="Semiconductor Revenue M$"/>
    <x v="2"/>
    <n v="0"/>
  </r>
  <r>
    <s v="Integrated AI"/>
    <x v="0"/>
    <x v="0"/>
    <s v="Compute"/>
    <s v="Flash Cards"/>
    <s v="Semiconductor Revenue M$"/>
    <x v="3"/>
    <n v="0"/>
  </r>
  <r>
    <s v="Integrated AI"/>
    <x v="0"/>
    <x v="0"/>
    <s v="Compute"/>
    <s v="Flash Cards"/>
    <s v="Semiconductor Revenue M$"/>
    <x v="4"/>
    <n v="0"/>
  </r>
  <r>
    <s v="Integrated AI"/>
    <x v="0"/>
    <x v="0"/>
    <s v="Compute"/>
    <s v="Flash Cards"/>
    <s v="Semiconductor Revenue M$"/>
    <x v="5"/>
    <n v="0"/>
  </r>
  <r>
    <s v="Integrated AI"/>
    <x v="0"/>
    <x v="0"/>
    <s v="Compute"/>
    <s v="Flash Cards"/>
    <s v="Semiconductor Revenue M$"/>
    <x v="6"/>
    <n v="0"/>
  </r>
  <r>
    <s v="Integrated AI"/>
    <x v="0"/>
    <x v="0"/>
    <s v="Compute"/>
    <s v="USB Flash Drives"/>
    <s v="Semiconductor Revenue M$"/>
    <x v="0"/>
    <n v="0"/>
  </r>
  <r>
    <s v="Integrated AI"/>
    <x v="0"/>
    <x v="0"/>
    <s v="Compute"/>
    <s v="USB Flash Drives"/>
    <s v="Semiconductor Revenue M$"/>
    <x v="1"/>
    <n v="0"/>
  </r>
  <r>
    <s v="Integrated AI"/>
    <x v="0"/>
    <x v="0"/>
    <s v="Compute"/>
    <s v="USB Flash Drives"/>
    <s v="Semiconductor Revenue M$"/>
    <x v="2"/>
    <n v="0"/>
  </r>
  <r>
    <s v="Integrated AI"/>
    <x v="0"/>
    <x v="0"/>
    <s v="Compute"/>
    <s v="USB Flash Drives"/>
    <s v="Semiconductor Revenue M$"/>
    <x v="3"/>
    <n v="0"/>
  </r>
  <r>
    <s v="Integrated AI"/>
    <x v="0"/>
    <x v="0"/>
    <s v="Compute"/>
    <s v="USB Flash Drives"/>
    <s v="Semiconductor Revenue M$"/>
    <x v="4"/>
    <n v="0"/>
  </r>
  <r>
    <s v="Integrated AI"/>
    <x v="0"/>
    <x v="0"/>
    <s v="Compute"/>
    <s v="USB Flash Drives"/>
    <s v="Semiconductor Revenue M$"/>
    <x v="5"/>
    <n v="0"/>
  </r>
  <r>
    <s v="Integrated AI"/>
    <x v="0"/>
    <x v="0"/>
    <s v="Compute"/>
    <s v="USB Flash Drives"/>
    <s v="Semiconductor Revenue M$"/>
    <x v="6"/>
    <n v="0"/>
  </r>
  <r>
    <s v="Integrated AI"/>
    <x v="0"/>
    <x v="0"/>
    <s v="Servers"/>
    <s v="Server, 4 CPU sockets and over"/>
    <s v="Semiconductor Revenue M$"/>
    <x v="0"/>
    <n v="39.115240306834842"/>
  </r>
  <r>
    <s v="Integrated AI"/>
    <x v="0"/>
    <x v="0"/>
    <s v="Servers"/>
    <s v="Server, 4 CPU sockets and over"/>
    <s v="Semiconductor Revenue M$"/>
    <x v="1"/>
    <n v="66.491569074410535"/>
  </r>
  <r>
    <s v="Integrated AI"/>
    <x v="0"/>
    <x v="0"/>
    <s v="Servers"/>
    <s v="Server, 4 CPU sockets and over"/>
    <s v="Semiconductor Revenue M$"/>
    <x v="2"/>
    <n v="109.51843315299777"/>
  </r>
  <r>
    <s v="Integrated AI"/>
    <x v="0"/>
    <x v="0"/>
    <s v="Servers"/>
    <s v="Server, 4 CPU sockets and over"/>
    <s v="Semiconductor Revenue M$"/>
    <x v="3"/>
    <n v="177.11801561498143"/>
  </r>
  <r>
    <s v="Integrated AI"/>
    <x v="0"/>
    <x v="0"/>
    <s v="Servers"/>
    <s v="Server, 4 CPU sockets and over"/>
    <s v="Semiconductor Revenue M$"/>
    <x v="4"/>
    <n v="192.28228810952993"/>
  </r>
  <r>
    <s v="Integrated AI"/>
    <x v="0"/>
    <x v="0"/>
    <s v="Servers"/>
    <s v="Server, 4 CPU sockets and over"/>
    <s v="Semiconductor Revenue M$"/>
    <x v="5"/>
    <n v="253.85024225942072"/>
  </r>
  <r>
    <s v="Integrated AI"/>
    <x v="0"/>
    <x v="0"/>
    <s v="Servers"/>
    <s v="Server, 4 CPU sockets and over"/>
    <s v="Semiconductor Revenue M$"/>
    <x v="6"/>
    <n v="283.42710900780378"/>
  </r>
  <r>
    <s v="Integrated AI"/>
    <x v="0"/>
    <x v="0"/>
    <s v="Servers"/>
    <s v="Server, 2 CPU socket"/>
    <s v="Semiconductor Revenue M$"/>
    <x v="0"/>
    <n v="523.31284911669161"/>
  </r>
  <r>
    <s v="Integrated AI"/>
    <x v="0"/>
    <x v="0"/>
    <s v="Servers"/>
    <s v="Server, 2 CPU socket"/>
    <s v="Semiconductor Revenue M$"/>
    <x v="1"/>
    <n v="785.86866859834117"/>
  </r>
  <r>
    <s v="Integrated AI"/>
    <x v="0"/>
    <x v="0"/>
    <s v="Servers"/>
    <s v="Server, 2 CPU socket"/>
    <s v="Semiconductor Revenue M$"/>
    <x v="2"/>
    <n v="1119.6497610567092"/>
  </r>
  <r>
    <s v="Integrated AI"/>
    <x v="0"/>
    <x v="0"/>
    <s v="Servers"/>
    <s v="Server, 2 CPU socket"/>
    <s v="Semiconductor Revenue M$"/>
    <x v="3"/>
    <n v="1600.0003885583328"/>
  </r>
  <r>
    <s v="Integrated AI"/>
    <x v="0"/>
    <x v="0"/>
    <s v="Servers"/>
    <s v="Server, 2 CPU socket"/>
    <s v="Semiconductor Revenue M$"/>
    <x v="4"/>
    <n v="1867.8234867060412"/>
  </r>
  <r>
    <s v="Integrated AI"/>
    <x v="0"/>
    <x v="0"/>
    <s v="Servers"/>
    <s v="Server, 2 CPU socket"/>
    <s v="Semiconductor Revenue M$"/>
    <x v="5"/>
    <n v="2253.5839759613918"/>
  </r>
  <r>
    <s v="Integrated AI"/>
    <x v="0"/>
    <x v="0"/>
    <s v="Servers"/>
    <s v="Server, 2 CPU socket"/>
    <s v="Semiconductor Revenue M$"/>
    <x v="6"/>
    <n v="2758.611532853583"/>
  </r>
  <r>
    <s v="Integrated AI"/>
    <x v="0"/>
    <x v="0"/>
    <s v="Servers"/>
    <s v="Server, 1 CPU socket"/>
    <s v="Semiconductor Revenue M$"/>
    <x v="0"/>
    <n v="14.894309423880799"/>
  </r>
  <r>
    <s v="Integrated AI"/>
    <x v="0"/>
    <x v="0"/>
    <s v="Servers"/>
    <s v="Server, 1 CPU socket"/>
    <s v="Semiconductor Revenue M$"/>
    <x v="1"/>
    <n v="36.925087057211478"/>
  </r>
  <r>
    <s v="Integrated AI"/>
    <x v="0"/>
    <x v="0"/>
    <s v="Servers"/>
    <s v="Server, 1 CPU socket"/>
    <s v="Semiconductor Revenue M$"/>
    <x v="2"/>
    <n v="54.082187917390065"/>
  </r>
  <r>
    <s v="Integrated AI"/>
    <x v="0"/>
    <x v="0"/>
    <s v="Servers"/>
    <s v="Server, 1 CPU socket"/>
    <s v="Semiconductor Revenue M$"/>
    <x v="3"/>
    <n v="99.118688842160694"/>
  </r>
  <r>
    <s v="Integrated AI"/>
    <x v="0"/>
    <x v="0"/>
    <s v="Servers"/>
    <s v="Server, 1 CPU socket"/>
    <s v="Semiconductor Revenue M$"/>
    <x v="4"/>
    <n v="154.02789820685061"/>
  </r>
  <r>
    <s v="Integrated AI"/>
    <x v="0"/>
    <x v="0"/>
    <s v="Servers"/>
    <s v="Server, 1 CPU socket"/>
    <s v="Semiconductor Revenue M$"/>
    <x v="5"/>
    <n v="221.93176601010771"/>
  </r>
  <r>
    <s v="Integrated AI"/>
    <x v="0"/>
    <x v="0"/>
    <s v="Servers"/>
    <s v="Server, 1 CPU socket"/>
    <s v="Semiconductor Revenue M$"/>
    <x v="6"/>
    <n v="361.91786305498886"/>
  </r>
  <r>
    <s v="Integrated AI"/>
    <x v="0"/>
    <x v="0"/>
    <s v="Compute"/>
    <s v="Smart Cards"/>
    <s v="Semiconductor Revenue M$"/>
    <x v="0"/>
    <n v="0"/>
  </r>
  <r>
    <s v="Integrated AI"/>
    <x v="0"/>
    <x v="0"/>
    <s v="Compute"/>
    <s v="Smart Cards"/>
    <s v="Semiconductor Revenue M$"/>
    <x v="1"/>
    <n v="0"/>
  </r>
  <r>
    <s v="Integrated AI"/>
    <x v="0"/>
    <x v="0"/>
    <s v="Compute"/>
    <s v="Smart Cards"/>
    <s v="Semiconductor Revenue M$"/>
    <x v="2"/>
    <n v="0"/>
  </r>
  <r>
    <s v="Integrated AI"/>
    <x v="0"/>
    <x v="0"/>
    <s v="Compute"/>
    <s v="Smart Cards"/>
    <s v="Semiconductor Revenue M$"/>
    <x v="3"/>
    <n v="0"/>
  </r>
  <r>
    <s v="Integrated AI"/>
    <x v="0"/>
    <x v="0"/>
    <s v="Compute"/>
    <s v="Smart Cards"/>
    <s v="Semiconductor Revenue M$"/>
    <x v="4"/>
    <n v="0"/>
  </r>
  <r>
    <s v="Integrated AI"/>
    <x v="0"/>
    <x v="0"/>
    <s v="Compute"/>
    <s v="Smart Cards"/>
    <s v="Semiconductor Revenue M$"/>
    <x v="5"/>
    <n v="0"/>
  </r>
  <r>
    <s v="Integrated AI"/>
    <x v="0"/>
    <x v="0"/>
    <s v="Compute"/>
    <s v="Smart Cards"/>
    <s v="Semiconductor Revenue M$"/>
    <x v="6"/>
    <n v="0"/>
  </r>
  <r>
    <s v="Integrated AI"/>
    <x v="0"/>
    <x v="0"/>
    <s v="Servers"/>
    <s v="Accelerator Cards"/>
    <s v="Semiconductor Revenue M$"/>
    <x v="0"/>
    <n v="0"/>
  </r>
  <r>
    <s v="Integrated AI"/>
    <x v="0"/>
    <x v="0"/>
    <s v="Servers"/>
    <s v="Accelerator Cards"/>
    <s v="Semiconductor Revenue M$"/>
    <x v="1"/>
    <n v="0"/>
  </r>
  <r>
    <s v="Integrated AI"/>
    <x v="0"/>
    <x v="0"/>
    <s v="Servers"/>
    <s v="Accelerator Cards"/>
    <s v="Semiconductor Revenue M$"/>
    <x v="2"/>
    <n v="0"/>
  </r>
  <r>
    <s v="Integrated AI"/>
    <x v="0"/>
    <x v="0"/>
    <s v="Servers"/>
    <s v="Accelerator Cards"/>
    <s v="Semiconductor Revenue M$"/>
    <x v="3"/>
    <n v="0"/>
  </r>
  <r>
    <s v="Integrated AI"/>
    <x v="0"/>
    <x v="0"/>
    <s v="Servers"/>
    <s v="Accelerator Cards"/>
    <s v="Semiconductor Revenue M$"/>
    <x v="4"/>
    <n v="0"/>
  </r>
  <r>
    <s v="Integrated AI"/>
    <x v="0"/>
    <x v="0"/>
    <s v="Servers"/>
    <s v="Accelerator Cards"/>
    <s v="Semiconductor Revenue M$"/>
    <x v="5"/>
    <n v="0"/>
  </r>
  <r>
    <s v="Integrated AI"/>
    <x v="0"/>
    <x v="0"/>
    <s v="Servers"/>
    <s v="Accelerator Cards"/>
    <s v="Semiconductor Revenue M$"/>
    <x v="6"/>
    <n v="0"/>
  </r>
  <r>
    <s v="Integrated AI"/>
    <x v="0"/>
    <x v="1"/>
    <s v="Storage"/>
    <s v="Solid-State ECB"/>
    <s v="Semiconductor Revenue M$"/>
    <x v="0"/>
    <n v="4.42888355823384E-3"/>
  </r>
  <r>
    <s v="Integrated AI"/>
    <x v="0"/>
    <x v="1"/>
    <s v="Storage"/>
    <s v="Solid-State ECB"/>
    <s v="Semiconductor Revenue M$"/>
    <x v="1"/>
    <n v="2.3317148033742734E-2"/>
  </r>
  <r>
    <s v="Integrated AI"/>
    <x v="0"/>
    <x v="1"/>
    <s v="Storage"/>
    <s v="Solid-State ECB"/>
    <s v="Semiconductor Revenue M$"/>
    <x v="2"/>
    <n v="0.13739512852287461"/>
  </r>
  <r>
    <s v="Integrated AI"/>
    <x v="0"/>
    <x v="1"/>
    <s v="Storage"/>
    <s v="Solid-State ECB"/>
    <s v="Semiconductor Revenue M$"/>
    <x v="3"/>
    <n v="0.78585317501050755"/>
  </r>
  <r>
    <s v="Integrated AI"/>
    <x v="0"/>
    <x v="1"/>
    <s v="Storage"/>
    <s v="Solid-State ECB"/>
    <s v="Semiconductor Revenue M$"/>
    <x v="4"/>
    <n v="2.1352515609277116"/>
  </r>
  <r>
    <s v="Integrated AI"/>
    <x v="0"/>
    <x v="1"/>
    <s v="Storage"/>
    <s v="Solid-State ECB"/>
    <s v="Semiconductor Revenue M$"/>
    <x v="5"/>
    <n v="3.3083338394428252"/>
  </r>
  <r>
    <s v="Integrated AI"/>
    <x v="0"/>
    <x v="1"/>
    <s v="Storage"/>
    <s v="Solid-State ECB"/>
    <s v="Semiconductor Revenue M$"/>
    <x v="6"/>
    <n v="8.8980364331530062"/>
  </r>
  <r>
    <s v="Integrated AI"/>
    <x v="0"/>
    <x v="1"/>
    <s v="Storage"/>
    <s v="Other ECB (HDD/Hybrid)"/>
    <s v="Semiconductor Revenue M$"/>
    <x v="0"/>
    <n v="2.7980772124311735E-2"/>
  </r>
  <r>
    <s v="Integrated AI"/>
    <x v="0"/>
    <x v="1"/>
    <s v="Storage"/>
    <s v="Other ECB (HDD/Hybrid)"/>
    <s v="Semiconductor Revenue M$"/>
    <x v="1"/>
    <n v="0.14351624489828929"/>
  </r>
  <r>
    <s v="Integrated AI"/>
    <x v="0"/>
    <x v="1"/>
    <s v="Storage"/>
    <s v="Other ECB (HDD/Hybrid)"/>
    <s v="Semiconductor Revenue M$"/>
    <x v="2"/>
    <n v="0.78916427665411204"/>
  </r>
  <r>
    <s v="Integrated AI"/>
    <x v="0"/>
    <x v="1"/>
    <s v="Storage"/>
    <s v="Other ECB (HDD/Hybrid)"/>
    <s v="Semiconductor Revenue M$"/>
    <x v="3"/>
    <n v="3.9585727458362072"/>
  </r>
  <r>
    <s v="Integrated AI"/>
    <x v="0"/>
    <x v="1"/>
    <s v="Storage"/>
    <s v="Other ECB (HDD/Hybrid)"/>
    <s v="Semiconductor Revenue M$"/>
    <x v="4"/>
    <n v="10.210646188709621"/>
  </r>
  <r>
    <s v="Integrated AI"/>
    <x v="0"/>
    <x v="1"/>
    <s v="Storage"/>
    <s v="Other ECB (HDD/Hybrid)"/>
    <s v="Semiconductor Revenue M$"/>
    <x v="5"/>
    <n v="15.522526117820034"/>
  </r>
  <r>
    <s v="Integrated AI"/>
    <x v="0"/>
    <x v="1"/>
    <s v="Storage"/>
    <s v="Other ECB (HDD/Hybrid)"/>
    <s v="Semiconductor Revenue M$"/>
    <x v="6"/>
    <n v="40.593725247295652"/>
  </r>
  <r>
    <s v="Integrated AI"/>
    <x v="0"/>
    <x v="1"/>
    <s v="Storage"/>
    <s v="Storage Network Infrastructure"/>
    <s v="Semiconductor Revenue M$"/>
    <x v="0"/>
    <n v="0"/>
  </r>
  <r>
    <s v="Integrated AI"/>
    <x v="0"/>
    <x v="1"/>
    <s v="Storage"/>
    <s v="Storage Network Infrastructure"/>
    <s v="Semiconductor Revenue M$"/>
    <x v="1"/>
    <n v="0"/>
  </r>
  <r>
    <s v="Integrated AI"/>
    <x v="0"/>
    <x v="1"/>
    <s v="Storage"/>
    <s v="Storage Network Infrastructure"/>
    <s v="Semiconductor Revenue M$"/>
    <x v="2"/>
    <n v="0"/>
  </r>
  <r>
    <s v="Integrated AI"/>
    <x v="0"/>
    <x v="1"/>
    <s v="Storage"/>
    <s v="Storage Network Infrastructure"/>
    <s v="Semiconductor Revenue M$"/>
    <x v="3"/>
    <n v="0"/>
  </r>
  <r>
    <s v="Integrated AI"/>
    <x v="0"/>
    <x v="1"/>
    <s v="Storage"/>
    <s v="Storage Network Infrastructure"/>
    <s v="Semiconductor Revenue M$"/>
    <x v="4"/>
    <n v="0"/>
  </r>
  <r>
    <s v="Integrated AI"/>
    <x v="0"/>
    <x v="1"/>
    <s v="Storage"/>
    <s v="Storage Network Infrastructure"/>
    <s v="Semiconductor Revenue M$"/>
    <x v="5"/>
    <n v="0"/>
  </r>
  <r>
    <s v="Integrated AI"/>
    <x v="0"/>
    <x v="1"/>
    <s v="Storage"/>
    <s v="Storage Network Infrastructure"/>
    <s v="Semiconductor Revenue M$"/>
    <x v="6"/>
    <n v="0"/>
  </r>
  <r>
    <s v="Integrated AI"/>
    <x v="0"/>
    <x v="1"/>
    <s v="Storage"/>
    <s v="Hard Disk Drive"/>
    <s v="Semiconductor Revenue M$"/>
    <x v="0"/>
    <n v="0"/>
  </r>
  <r>
    <s v="Integrated AI"/>
    <x v="0"/>
    <x v="1"/>
    <s v="Storage"/>
    <s v="Hard Disk Drive"/>
    <s v="Semiconductor Revenue M$"/>
    <x v="1"/>
    <n v="0"/>
  </r>
  <r>
    <s v="Integrated AI"/>
    <x v="0"/>
    <x v="1"/>
    <s v="Storage"/>
    <s v="Hard Disk Drive"/>
    <s v="Semiconductor Revenue M$"/>
    <x v="2"/>
    <n v="0"/>
  </r>
  <r>
    <s v="Integrated AI"/>
    <x v="0"/>
    <x v="1"/>
    <s v="Storage"/>
    <s v="Hard Disk Drive"/>
    <s v="Semiconductor Revenue M$"/>
    <x v="3"/>
    <n v="0"/>
  </r>
  <r>
    <s v="Integrated AI"/>
    <x v="0"/>
    <x v="1"/>
    <s v="Storage"/>
    <s v="Hard Disk Drive"/>
    <s v="Semiconductor Revenue M$"/>
    <x v="4"/>
    <n v="0"/>
  </r>
  <r>
    <s v="Integrated AI"/>
    <x v="0"/>
    <x v="1"/>
    <s v="Storage"/>
    <s v="Hard Disk Drive"/>
    <s v="Semiconductor Revenue M$"/>
    <x v="5"/>
    <n v="0"/>
  </r>
  <r>
    <s v="Integrated AI"/>
    <x v="0"/>
    <x v="1"/>
    <s v="Storage"/>
    <s v="Hard Disk Drive"/>
    <s v="Semiconductor Revenue M$"/>
    <x v="6"/>
    <n v="0"/>
  </r>
  <r>
    <s v="Integrated AI"/>
    <x v="0"/>
    <x v="1"/>
    <s v="Storage"/>
    <s v="Solid-State Drives"/>
    <s v="Semiconductor Revenue M$"/>
    <x v="0"/>
    <n v="0"/>
  </r>
  <r>
    <s v="Integrated AI"/>
    <x v="0"/>
    <x v="1"/>
    <s v="Storage"/>
    <s v="Solid-State Drives"/>
    <s v="Semiconductor Revenue M$"/>
    <x v="1"/>
    <n v="0"/>
  </r>
  <r>
    <s v="Integrated AI"/>
    <x v="0"/>
    <x v="1"/>
    <s v="Storage"/>
    <s v="Solid-State Drives"/>
    <s v="Semiconductor Revenue M$"/>
    <x v="2"/>
    <n v="0"/>
  </r>
  <r>
    <s v="Integrated AI"/>
    <x v="0"/>
    <x v="1"/>
    <s v="Storage"/>
    <s v="Solid-State Drives"/>
    <s v="Semiconductor Revenue M$"/>
    <x v="3"/>
    <n v="0"/>
  </r>
  <r>
    <s v="Integrated AI"/>
    <x v="0"/>
    <x v="1"/>
    <s v="Storage"/>
    <s v="Solid-State Drives"/>
    <s v="Semiconductor Revenue M$"/>
    <x v="4"/>
    <n v="0"/>
  </r>
  <r>
    <s v="Integrated AI"/>
    <x v="0"/>
    <x v="1"/>
    <s v="Storage"/>
    <s v="Solid-State Drives"/>
    <s v="Semiconductor Revenue M$"/>
    <x v="5"/>
    <n v="0"/>
  </r>
  <r>
    <s v="Integrated AI"/>
    <x v="0"/>
    <x v="1"/>
    <s v="Storage"/>
    <s v="Solid-State Drives"/>
    <s v="Semiconductor Revenue M$"/>
    <x v="6"/>
    <n v="0"/>
  </r>
  <r>
    <s v="Integrated AI"/>
    <x v="0"/>
    <x v="1"/>
    <s v="Storage"/>
    <s v="Other Storage Media"/>
    <s v="Semiconductor Revenue M$"/>
    <x v="0"/>
    <n v="0"/>
  </r>
  <r>
    <s v="Integrated AI"/>
    <x v="0"/>
    <x v="1"/>
    <s v="Storage"/>
    <s v="Other Storage Media"/>
    <s v="Semiconductor Revenue M$"/>
    <x v="1"/>
    <n v="0"/>
  </r>
  <r>
    <s v="Integrated AI"/>
    <x v="0"/>
    <x v="1"/>
    <s v="Storage"/>
    <s v="Other Storage Media"/>
    <s v="Semiconductor Revenue M$"/>
    <x v="2"/>
    <n v="0"/>
  </r>
  <r>
    <s v="Integrated AI"/>
    <x v="0"/>
    <x v="1"/>
    <s v="Storage"/>
    <s v="Other Storage Media"/>
    <s v="Semiconductor Revenue M$"/>
    <x v="3"/>
    <n v="0"/>
  </r>
  <r>
    <s v="Integrated AI"/>
    <x v="0"/>
    <x v="1"/>
    <s v="Storage"/>
    <s v="Other Storage Media"/>
    <s v="Semiconductor Revenue M$"/>
    <x v="4"/>
    <n v="0"/>
  </r>
  <r>
    <s v="Integrated AI"/>
    <x v="0"/>
    <x v="1"/>
    <s v="Storage"/>
    <s v="Other Storage Media"/>
    <s v="Semiconductor Revenue M$"/>
    <x v="5"/>
    <n v="0"/>
  </r>
  <r>
    <s v="Integrated AI"/>
    <x v="0"/>
    <x v="1"/>
    <s v="Storage"/>
    <s v="Other Storage Media"/>
    <s v="Semiconductor Revenue M$"/>
    <x v="6"/>
    <n v="0"/>
  </r>
  <r>
    <s v="Integrated AI"/>
    <x v="0"/>
    <x v="1"/>
    <s v="Storage"/>
    <s v="Other Storage Electronics"/>
    <s v="Semiconductor Revenue M$"/>
    <x v="0"/>
    <n v="0"/>
  </r>
  <r>
    <s v="Integrated AI"/>
    <x v="0"/>
    <x v="1"/>
    <s v="Storage"/>
    <s v="Other Storage Electronics"/>
    <s v="Semiconductor Revenue M$"/>
    <x v="1"/>
    <n v="0"/>
  </r>
  <r>
    <s v="Integrated AI"/>
    <x v="0"/>
    <x v="1"/>
    <s v="Storage"/>
    <s v="Other Storage Electronics"/>
    <s v="Semiconductor Revenue M$"/>
    <x v="2"/>
    <n v="0"/>
  </r>
  <r>
    <s v="Integrated AI"/>
    <x v="0"/>
    <x v="1"/>
    <s v="Storage"/>
    <s v="Other Storage Electronics"/>
    <s v="Semiconductor Revenue M$"/>
    <x v="3"/>
    <n v="0"/>
  </r>
  <r>
    <s v="Integrated AI"/>
    <x v="0"/>
    <x v="1"/>
    <s v="Storage"/>
    <s v="Other Storage Electronics"/>
    <s v="Semiconductor Revenue M$"/>
    <x v="4"/>
    <n v="0"/>
  </r>
  <r>
    <s v="Integrated AI"/>
    <x v="0"/>
    <x v="1"/>
    <s v="Storage"/>
    <s v="Other Storage Electronics"/>
    <s v="Semiconductor Revenue M$"/>
    <x v="5"/>
    <n v="0"/>
  </r>
  <r>
    <s v="Integrated AI"/>
    <x v="0"/>
    <x v="1"/>
    <s v="Storage"/>
    <s v="Other Storage Electronics"/>
    <s v="Semiconductor Revenue M$"/>
    <x v="6"/>
    <n v="0"/>
  </r>
  <r>
    <s v="Integrated AI"/>
    <x v="0"/>
    <x v="2"/>
    <s v="Wireless Communications Electronics"/>
    <s v="Utility Traditional Phone"/>
    <s v="Semiconductor Revenue M$"/>
    <x v="0"/>
    <n v="0"/>
  </r>
  <r>
    <s v="Integrated AI"/>
    <x v="0"/>
    <x v="2"/>
    <s v="Wireless Communications Electronics"/>
    <s v="Utility Traditional Phone"/>
    <s v="Semiconductor Revenue M$"/>
    <x v="1"/>
    <n v="0"/>
  </r>
  <r>
    <s v="Integrated AI"/>
    <x v="0"/>
    <x v="2"/>
    <s v="Wireless Communications Electronics"/>
    <s v="Utility Traditional Phone"/>
    <s v="Semiconductor Revenue M$"/>
    <x v="2"/>
    <n v="0"/>
  </r>
  <r>
    <s v="Integrated AI"/>
    <x v="0"/>
    <x v="2"/>
    <s v="Wireless Communications Electronics"/>
    <s v="Utility Traditional Phone"/>
    <s v="Semiconductor Revenue M$"/>
    <x v="3"/>
    <n v="0"/>
  </r>
  <r>
    <s v="Integrated AI"/>
    <x v="0"/>
    <x v="2"/>
    <s v="Wireless Communications Electronics"/>
    <s v="Utility Traditional Phone"/>
    <s v="Semiconductor Revenue M$"/>
    <x v="4"/>
    <n v="0"/>
  </r>
  <r>
    <s v="Integrated AI"/>
    <x v="0"/>
    <x v="2"/>
    <s v="Wireless Communications Electronics"/>
    <s v="Utility Traditional Phone"/>
    <s v="Semiconductor Revenue M$"/>
    <x v="5"/>
    <n v="0"/>
  </r>
  <r>
    <s v="Integrated AI"/>
    <x v="0"/>
    <x v="2"/>
    <s v="Wireless Communications Electronics"/>
    <s v="Utility Traditional Phone"/>
    <s v="Semiconductor Revenue M$"/>
    <x v="6"/>
    <n v="0"/>
  </r>
  <r>
    <s v="Integrated AI"/>
    <x v="0"/>
    <x v="2"/>
    <s v="Wireless Communications Electronics"/>
    <s v="Basic Smartphone"/>
    <s v="Semiconductor Revenue M$"/>
    <x v="0"/>
    <n v="0"/>
  </r>
  <r>
    <s v="Integrated AI"/>
    <x v="0"/>
    <x v="2"/>
    <s v="Wireless Communications Electronics"/>
    <s v="Basic Smartphone"/>
    <s v="Semiconductor Revenue M$"/>
    <x v="1"/>
    <n v="0"/>
  </r>
  <r>
    <s v="Integrated AI"/>
    <x v="0"/>
    <x v="2"/>
    <s v="Wireless Communications Electronics"/>
    <s v="Basic Smartphone"/>
    <s v="Semiconductor Revenue M$"/>
    <x v="2"/>
    <n v="0"/>
  </r>
  <r>
    <s v="Integrated AI"/>
    <x v="0"/>
    <x v="2"/>
    <s v="Wireless Communications Electronics"/>
    <s v="Basic Smartphone"/>
    <s v="Semiconductor Revenue M$"/>
    <x v="3"/>
    <n v="0"/>
  </r>
  <r>
    <s v="Integrated AI"/>
    <x v="0"/>
    <x v="2"/>
    <s v="Wireless Communications Electronics"/>
    <s v="Basic Smartphone"/>
    <s v="Semiconductor Revenue M$"/>
    <x v="4"/>
    <n v="0"/>
  </r>
  <r>
    <s v="Integrated AI"/>
    <x v="0"/>
    <x v="2"/>
    <s v="Wireless Communications Electronics"/>
    <s v="Basic Smartphone"/>
    <s v="Semiconductor Revenue M$"/>
    <x v="5"/>
    <n v="0"/>
  </r>
  <r>
    <s v="Integrated AI"/>
    <x v="0"/>
    <x v="2"/>
    <s v="Wireless Communications Electronics"/>
    <s v="Basic Smartphone"/>
    <s v="Semiconductor Revenue M$"/>
    <x v="6"/>
    <n v="0"/>
  </r>
  <r>
    <s v="Integrated AI"/>
    <x v="0"/>
    <x v="2"/>
    <s v="Wireless Communications Electronics"/>
    <s v="Utility Smartphone"/>
    <s v="Semiconductor Revenue M$"/>
    <x v="0"/>
    <n v="0"/>
  </r>
  <r>
    <s v="Integrated AI"/>
    <x v="0"/>
    <x v="2"/>
    <s v="Wireless Communications Electronics"/>
    <s v="Utility Smartphone"/>
    <s v="Semiconductor Revenue M$"/>
    <x v="1"/>
    <n v="0"/>
  </r>
  <r>
    <s v="Integrated AI"/>
    <x v="0"/>
    <x v="2"/>
    <s v="Wireless Communications Electronics"/>
    <s v="Utility Smartphone"/>
    <s v="Semiconductor Revenue M$"/>
    <x v="2"/>
    <n v="0"/>
  </r>
  <r>
    <s v="Integrated AI"/>
    <x v="0"/>
    <x v="2"/>
    <s v="Wireless Communications Electronics"/>
    <s v="Utility Smartphone"/>
    <s v="Semiconductor Revenue M$"/>
    <x v="3"/>
    <n v="0"/>
  </r>
  <r>
    <s v="Integrated AI"/>
    <x v="0"/>
    <x v="2"/>
    <s v="Wireless Communications Electronics"/>
    <s v="Utility Smartphone"/>
    <s v="Semiconductor Revenue M$"/>
    <x v="4"/>
    <n v="0"/>
  </r>
  <r>
    <s v="Integrated AI"/>
    <x v="0"/>
    <x v="2"/>
    <s v="Wireless Communications Electronics"/>
    <s v="Utility Smartphone"/>
    <s v="Semiconductor Revenue M$"/>
    <x v="5"/>
    <n v="0"/>
  </r>
  <r>
    <s v="Integrated AI"/>
    <x v="0"/>
    <x v="2"/>
    <s v="Wireless Communications Electronics"/>
    <s v="Utility Smartphone"/>
    <s v="Semiconductor Revenue M$"/>
    <x v="6"/>
    <n v="0"/>
  </r>
  <r>
    <s v="Integrated AI"/>
    <x v="0"/>
    <x v="2"/>
    <s v="Wireless Communications Electronics"/>
    <s v="Premium Smartphone"/>
    <s v="Semiconductor Revenue M$"/>
    <x v="0"/>
    <n v="0"/>
  </r>
  <r>
    <s v="Integrated AI"/>
    <x v="0"/>
    <x v="2"/>
    <s v="Wireless Communications Electronics"/>
    <s v="Premium Smartphone"/>
    <s v="Semiconductor Revenue M$"/>
    <x v="1"/>
    <n v="0"/>
  </r>
  <r>
    <s v="Integrated AI"/>
    <x v="0"/>
    <x v="2"/>
    <s v="Wireless Communications Electronics"/>
    <s v="Premium Smartphone"/>
    <s v="Semiconductor Revenue M$"/>
    <x v="2"/>
    <n v="0"/>
  </r>
  <r>
    <s v="Integrated AI"/>
    <x v="0"/>
    <x v="2"/>
    <s v="Wireless Communications Electronics"/>
    <s v="Premium Smartphone"/>
    <s v="Semiconductor Revenue M$"/>
    <x v="3"/>
    <n v="0"/>
  </r>
  <r>
    <s v="Integrated AI"/>
    <x v="0"/>
    <x v="2"/>
    <s v="Wireless Communications Electronics"/>
    <s v="Premium Smartphone"/>
    <s v="Semiconductor Revenue M$"/>
    <x v="4"/>
    <n v="0"/>
  </r>
  <r>
    <s v="Integrated AI"/>
    <x v="0"/>
    <x v="2"/>
    <s v="Wireless Communications Electronics"/>
    <s v="Premium Smartphone"/>
    <s v="Semiconductor Revenue M$"/>
    <x v="5"/>
    <n v="0"/>
  </r>
  <r>
    <s v="Integrated AI"/>
    <x v="0"/>
    <x v="2"/>
    <s v="Wireless Communications Electronics"/>
    <s v="Premium Smartphone"/>
    <s v="Semiconductor Revenue M$"/>
    <x v="6"/>
    <n v="0"/>
  </r>
  <r>
    <s v="Integrated AI"/>
    <x v="0"/>
    <x v="3"/>
    <s v="Automotive Electronics"/>
    <s v="ADAS-ECU (Level-2+/3/4)"/>
    <s v="Semiconductor Revenue M$"/>
    <x v="0"/>
    <n v="0"/>
  </r>
  <r>
    <s v="Integrated AI"/>
    <x v="0"/>
    <x v="3"/>
    <s v="Automotive Electronics"/>
    <s v="ADAS-ECU (Level-2+/3/4)"/>
    <s v="Semiconductor Revenue M$"/>
    <x v="1"/>
    <n v="0"/>
  </r>
  <r>
    <s v="Integrated AI"/>
    <x v="0"/>
    <x v="3"/>
    <s v="Automotive Electronics"/>
    <s v="ADAS-ECU (Level-2+/3/4)"/>
    <s v="Semiconductor Revenue M$"/>
    <x v="2"/>
    <n v="0"/>
  </r>
  <r>
    <s v="Integrated AI"/>
    <x v="0"/>
    <x v="3"/>
    <s v="Automotive Electronics"/>
    <s v="ADAS-ECU (Level-2+/3/4)"/>
    <s v="Semiconductor Revenue M$"/>
    <x v="3"/>
    <n v="0"/>
  </r>
  <r>
    <s v="Integrated AI"/>
    <x v="0"/>
    <x v="3"/>
    <s v="Automotive Electronics"/>
    <s v="ADAS-ECU (Level-2+/3/4)"/>
    <s v="Semiconductor Revenue M$"/>
    <x v="4"/>
    <n v="0"/>
  </r>
  <r>
    <s v="Integrated AI"/>
    <x v="0"/>
    <x v="3"/>
    <s v="Automotive Electronics"/>
    <s v="ADAS-ECU (Level-2+/3/4)"/>
    <s v="Semiconductor Revenue M$"/>
    <x v="5"/>
    <n v="0"/>
  </r>
  <r>
    <s v="Integrated AI"/>
    <x v="0"/>
    <x v="3"/>
    <s v="Automotive Electronics"/>
    <s v="ADAS-ECU (Level-2+/3/4)"/>
    <s v="Semiconductor Revenue M$"/>
    <x v="6"/>
    <n v="0"/>
  </r>
  <r>
    <s v="Integrated AI"/>
    <x v="0"/>
    <x v="2"/>
    <s v="Wireless Communications Electronics"/>
    <s v="Mobile Infrastructure - Base Station Equipment"/>
    <s v="Semiconductor Revenue M$"/>
    <x v="0"/>
    <n v="0"/>
  </r>
  <r>
    <s v="Integrated AI"/>
    <x v="0"/>
    <x v="2"/>
    <s v="Wireless Communications Electronics"/>
    <s v="Mobile Infrastructure - Base Station Equipment"/>
    <s v="Semiconductor Revenue M$"/>
    <x v="1"/>
    <n v="0"/>
  </r>
  <r>
    <s v="Integrated AI"/>
    <x v="0"/>
    <x v="2"/>
    <s v="Wireless Communications Electronics"/>
    <s v="Mobile Infrastructure - Base Station Equipment"/>
    <s v="Semiconductor Revenue M$"/>
    <x v="2"/>
    <n v="0"/>
  </r>
  <r>
    <s v="Integrated AI"/>
    <x v="0"/>
    <x v="2"/>
    <s v="Wireless Communications Electronics"/>
    <s v="Mobile Infrastructure - Base Station Equipment"/>
    <s v="Semiconductor Revenue M$"/>
    <x v="3"/>
    <n v="0"/>
  </r>
  <r>
    <s v="Integrated AI"/>
    <x v="0"/>
    <x v="2"/>
    <s v="Wireless Communications Electronics"/>
    <s v="Mobile Infrastructure - Base Station Equipment"/>
    <s v="Semiconductor Revenue M$"/>
    <x v="4"/>
    <n v="0"/>
  </r>
  <r>
    <s v="Integrated AI"/>
    <x v="0"/>
    <x v="2"/>
    <s v="Wireless Communications Electronics"/>
    <s v="Mobile Infrastructure - Base Station Equipment"/>
    <s v="Semiconductor Revenue M$"/>
    <x v="5"/>
    <n v="0"/>
  </r>
  <r>
    <s v="Integrated AI"/>
    <x v="0"/>
    <x v="2"/>
    <s v="Wireless Communications Electronics"/>
    <s v="Mobile Infrastructure - Base Station Equipment"/>
    <s v="Semiconductor Revenue M$"/>
    <x v="6"/>
    <n v="0"/>
  </r>
  <r>
    <s v="Integrated AI"/>
    <x v="0"/>
    <x v="2"/>
    <s v="Wireless Communications Electronics"/>
    <s v="Wireless LAN Infrastructure"/>
    <s v="Semiconductor Revenue M$"/>
    <x v="0"/>
    <n v="0"/>
  </r>
  <r>
    <s v="Integrated AI"/>
    <x v="0"/>
    <x v="2"/>
    <s v="Wireless Communications Electronics"/>
    <s v="Wireless LAN Infrastructure"/>
    <s v="Semiconductor Revenue M$"/>
    <x v="1"/>
    <n v="0"/>
  </r>
  <r>
    <s v="Integrated AI"/>
    <x v="0"/>
    <x v="2"/>
    <s v="Wireless Communications Electronics"/>
    <s v="Wireless LAN Infrastructure"/>
    <s v="Semiconductor Revenue M$"/>
    <x v="2"/>
    <n v="0"/>
  </r>
  <r>
    <s v="Integrated AI"/>
    <x v="0"/>
    <x v="2"/>
    <s v="Wireless Communications Electronics"/>
    <s v="Wireless LAN Infrastructure"/>
    <s v="Semiconductor Revenue M$"/>
    <x v="3"/>
    <n v="0"/>
  </r>
  <r>
    <s v="Integrated AI"/>
    <x v="0"/>
    <x v="2"/>
    <s v="Wireless Communications Electronics"/>
    <s v="Wireless LAN Infrastructure"/>
    <s v="Semiconductor Revenue M$"/>
    <x v="4"/>
    <n v="0"/>
  </r>
  <r>
    <s v="Integrated AI"/>
    <x v="0"/>
    <x v="2"/>
    <s v="Wireless Communications Electronics"/>
    <s v="Wireless LAN Infrastructure"/>
    <s v="Semiconductor Revenue M$"/>
    <x v="5"/>
    <n v="0"/>
  </r>
  <r>
    <s v="Integrated AI"/>
    <x v="0"/>
    <x v="2"/>
    <s v="Wireless Communications Electronics"/>
    <s v="Wireless LAN Infrastructure"/>
    <s v="Semiconductor Revenue M$"/>
    <x v="6"/>
    <n v="0"/>
  </r>
  <r>
    <s v="Integrated AI"/>
    <x v="0"/>
    <x v="2"/>
    <s v="Wireless Communications Electronics"/>
    <s v="Cellular Modems"/>
    <s v="Semiconductor Revenue M$"/>
    <x v="0"/>
    <n v="0"/>
  </r>
  <r>
    <s v="Integrated AI"/>
    <x v="0"/>
    <x v="2"/>
    <s v="Wireless Communications Electronics"/>
    <s v="Cellular Modems"/>
    <s v="Semiconductor Revenue M$"/>
    <x v="1"/>
    <n v="0"/>
  </r>
  <r>
    <s v="Integrated AI"/>
    <x v="0"/>
    <x v="2"/>
    <s v="Wireless Communications Electronics"/>
    <s v="Cellular Modems"/>
    <s v="Semiconductor Revenue M$"/>
    <x v="2"/>
    <n v="0"/>
  </r>
  <r>
    <s v="Integrated AI"/>
    <x v="0"/>
    <x v="2"/>
    <s v="Wireless Communications Electronics"/>
    <s v="Cellular Modems"/>
    <s v="Semiconductor Revenue M$"/>
    <x v="3"/>
    <n v="0"/>
  </r>
  <r>
    <s v="Integrated AI"/>
    <x v="0"/>
    <x v="2"/>
    <s v="Wireless Communications Electronics"/>
    <s v="Cellular Modems"/>
    <s v="Semiconductor Revenue M$"/>
    <x v="4"/>
    <n v="0"/>
  </r>
  <r>
    <s v="Integrated AI"/>
    <x v="0"/>
    <x v="2"/>
    <s v="Wireless Communications Electronics"/>
    <s v="Cellular Modems"/>
    <s v="Semiconductor Revenue M$"/>
    <x v="5"/>
    <n v="0"/>
  </r>
  <r>
    <s v="Integrated AI"/>
    <x v="0"/>
    <x v="2"/>
    <s v="Wireless Communications Electronics"/>
    <s v="Cellular Modems"/>
    <s v="Semiconductor Revenue M$"/>
    <x v="6"/>
    <n v="0"/>
  </r>
  <r>
    <s v="Integrated AI"/>
    <x v="0"/>
    <x v="2"/>
    <s v="Wireless Communications Electronics"/>
    <s v="Other Wireless Communications Electronics"/>
    <s v="Semiconductor Revenue M$"/>
    <x v="0"/>
    <n v="0"/>
  </r>
  <r>
    <s v="Integrated AI"/>
    <x v="0"/>
    <x v="2"/>
    <s v="Wireless Communications Electronics"/>
    <s v="Other Wireless Communications Electronics"/>
    <s v="Semiconductor Revenue M$"/>
    <x v="1"/>
    <n v="0"/>
  </r>
  <r>
    <s v="Integrated AI"/>
    <x v="0"/>
    <x v="2"/>
    <s v="Wireless Communications Electronics"/>
    <s v="Other Wireless Communications Electronics"/>
    <s v="Semiconductor Revenue M$"/>
    <x v="2"/>
    <n v="0"/>
  </r>
  <r>
    <s v="Integrated AI"/>
    <x v="0"/>
    <x v="2"/>
    <s v="Wireless Communications Electronics"/>
    <s v="Other Wireless Communications Electronics"/>
    <s v="Semiconductor Revenue M$"/>
    <x v="3"/>
    <n v="0"/>
  </r>
  <r>
    <s v="Integrated AI"/>
    <x v="0"/>
    <x v="2"/>
    <s v="Wireless Communications Electronics"/>
    <s v="Other Wireless Communications Electronics"/>
    <s v="Semiconductor Revenue M$"/>
    <x v="4"/>
    <n v="0"/>
  </r>
  <r>
    <s v="Integrated AI"/>
    <x v="0"/>
    <x v="2"/>
    <s v="Wireless Communications Electronics"/>
    <s v="Other Wireless Communications Electronics"/>
    <s v="Semiconductor Revenue M$"/>
    <x v="5"/>
    <n v="0"/>
  </r>
  <r>
    <s v="Integrated AI"/>
    <x v="0"/>
    <x v="2"/>
    <s v="Wireless Communications Electronics"/>
    <s v="Other Wireless Communications Electronics"/>
    <s v="Semiconductor Revenue M$"/>
    <x v="6"/>
    <n v="0"/>
  </r>
  <r>
    <s v="Integrated AI"/>
    <x v="0"/>
    <x v="2"/>
    <s v="Wired Communications Electronics"/>
    <s v="DSL Broadband Access"/>
    <s v="Semiconductor Revenue M$"/>
    <x v="0"/>
    <n v="0"/>
  </r>
  <r>
    <s v="Integrated AI"/>
    <x v="0"/>
    <x v="2"/>
    <s v="Wired Communications Electronics"/>
    <s v="DSL Broadband Access"/>
    <s v="Semiconductor Revenue M$"/>
    <x v="1"/>
    <n v="0"/>
  </r>
  <r>
    <s v="Integrated AI"/>
    <x v="0"/>
    <x v="2"/>
    <s v="Wired Communications Electronics"/>
    <s v="DSL Broadband Access"/>
    <s v="Semiconductor Revenue M$"/>
    <x v="2"/>
    <n v="0"/>
  </r>
  <r>
    <s v="Integrated AI"/>
    <x v="0"/>
    <x v="2"/>
    <s v="Wired Communications Electronics"/>
    <s v="DSL Broadband Access"/>
    <s v="Semiconductor Revenue M$"/>
    <x v="3"/>
    <n v="0"/>
  </r>
  <r>
    <s v="Integrated AI"/>
    <x v="0"/>
    <x v="2"/>
    <s v="Wired Communications Electronics"/>
    <s v="DSL Broadband Access"/>
    <s v="Semiconductor Revenue M$"/>
    <x v="4"/>
    <n v="0"/>
  </r>
  <r>
    <s v="Integrated AI"/>
    <x v="0"/>
    <x v="2"/>
    <s v="Wired Communications Electronics"/>
    <s v="DSL Broadband Access"/>
    <s v="Semiconductor Revenue M$"/>
    <x v="5"/>
    <n v="0"/>
  </r>
  <r>
    <s v="Integrated AI"/>
    <x v="0"/>
    <x v="2"/>
    <s v="Wired Communications Electronics"/>
    <s v="DSL Broadband Access"/>
    <s v="Semiconductor Revenue M$"/>
    <x v="6"/>
    <n v="0"/>
  </r>
  <r>
    <s v="Integrated AI"/>
    <x v="0"/>
    <x v="2"/>
    <s v="Wired Communications Electronics"/>
    <s v="Fiber Broadband Access"/>
    <s v="Semiconductor Revenue M$"/>
    <x v="0"/>
    <n v="0"/>
  </r>
  <r>
    <s v="Integrated AI"/>
    <x v="0"/>
    <x v="2"/>
    <s v="Wired Communications Electronics"/>
    <s v="Fiber Broadband Access"/>
    <s v="Semiconductor Revenue M$"/>
    <x v="1"/>
    <n v="0"/>
  </r>
  <r>
    <s v="Integrated AI"/>
    <x v="0"/>
    <x v="2"/>
    <s v="Wired Communications Electronics"/>
    <s v="Fiber Broadband Access"/>
    <s v="Semiconductor Revenue M$"/>
    <x v="2"/>
    <n v="0"/>
  </r>
  <r>
    <s v="Integrated AI"/>
    <x v="0"/>
    <x v="2"/>
    <s v="Wired Communications Electronics"/>
    <s v="Fiber Broadband Access"/>
    <s v="Semiconductor Revenue M$"/>
    <x v="3"/>
    <n v="0"/>
  </r>
  <r>
    <s v="Integrated AI"/>
    <x v="0"/>
    <x v="2"/>
    <s v="Wired Communications Electronics"/>
    <s v="Fiber Broadband Access"/>
    <s v="Semiconductor Revenue M$"/>
    <x v="4"/>
    <n v="0"/>
  </r>
  <r>
    <s v="Integrated AI"/>
    <x v="0"/>
    <x v="2"/>
    <s v="Wired Communications Electronics"/>
    <s v="Fiber Broadband Access"/>
    <s v="Semiconductor Revenue M$"/>
    <x v="5"/>
    <n v="0"/>
  </r>
  <r>
    <s v="Integrated AI"/>
    <x v="0"/>
    <x v="2"/>
    <s v="Wired Communications Electronics"/>
    <s v="Fiber Broadband Access"/>
    <s v="Semiconductor Revenue M$"/>
    <x v="6"/>
    <n v="0"/>
  </r>
  <r>
    <s v="Integrated AI"/>
    <x v="0"/>
    <x v="2"/>
    <s v="Wired Communications Electronics"/>
    <s v="Other Broadband Access"/>
    <s v="Semiconductor Revenue M$"/>
    <x v="0"/>
    <n v="0"/>
  </r>
  <r>
    <s v="Integrated AI"/>
    <x v="0"/>
    <x v="2"/>
    <s v="Wired Communications Electronics"/>
    <s v="Other Broadband Access"/>
    <s v="Semiconductor Revenue M$"/>
    <x v="1"/>
    <n v="0"/>
  </r>
  <r>
    <s v="Integrated AI"/>
    <x v="0"/>
    <x v="2"/>
    <s v="Wired Communications Electronics"/>
    <s v="Other Broadband Access"/>
    <s v="Semiconductor Revenue M$"/>
    <x v="2"/>
    <n v="0"/>
  </r>
  <r>
    <s v="Integrated AI"/>
    <x v="0"/>
    <x v="2"/>
    <s v="Wired Communications Electronics"/>
    <s v="Other Broadband Access"/>
    <s v="Semiconductor Revenue M$"/>
    <x v="3"/>
    <n v="0"/>
  </r>
  <r>
    <s v="Integrated AI"/>
    <x v="0"/>
    <x v="2"/>
    <s v="Wired Communications Electronics"/>
    <s v="Other Broadband Access"/>
    <s v="Semiconductor Revenue M$"/>
    <x v="4"/>
    <n v="0"/>
  </r>
  <r>
    <s v="Integrated AI"/>
    <x v="0"/>
    <x v="2"/>
    <s v="Wired Communications Electronics"/>
    <s v="Other Broadband Access"/>
    <s v="Semiconductor Revenue M$"/>
    <x v="5"/>
    <n v="0"/>
  </r>
  <r>
    <s v="Integrated AI"/>
    <x v="0"/>
    <x v="2"/>
    <s v="Wired Communications Electronics"/>
    <s v="Other Broadband Access"/>
    <s v="Semiconductor Revenue M$"/>
    <x v="6"/>
    <n v="0"/>
  </r>
  <r>
    <s v="Integrated AI"/>
    <x v="0"/>
    <x v="2"/>
    <s v="Wired Communications Electronics"/>
    <s v="Enterprise LAN"/>
    <s v="Semiconductor Revenue M$"/>
    <x v="0"/>
    <n v="0"/>
  </r>
  <r>
    <s v="Integrated AI"/>
    <x v="0"/>
    <x v="2"/>
    <s v="Wired Communications Electronics"/>
    <s v="Enterprise LAN"/>
    <s v="Semiconductor Revenue M$"/>
    <x v="1"/>
    <n v="0"/>
  </r>
  <r>
    <s v="Integrated AI"/>
    <x v="0"/>
    <x v="2"/>
    <s v="Wired Communications Electronics"/>
    <s v="Enterprise LAN"/>
    <s v="Semiconductor Revenue M$"/>
    <x v="2"/>
    <n v="0"/>
  </r>
  <r>
    <s v="Integrated AI"/>
    <x v="0"/>
    <x v="2"/>
    <s v="Wired Communications Electronics"/>
    <s v="Enterprise LAN"/>
    <s v="Semiconductor Revenue M$"/>
    <x v="3"/>
    <n v="0"/>
  </r>
  <r>
    <s v="Integrated AI"/>
    <x v="0"/>
    <x v="2"/>
    <s v="Wired Communications Electronics"/>
    <s v="Enterprise LAN"/>
    <s v="Semiconductor Revenue M$"/>
    <x v="4"/>
    <n v="0"/>
  </r>
  <r>
    <s v="Integrated AI"/>
    <x v="0"/>
    <x v="2"/>
    <s v="Wired Communications Electronics"/>
    <s v="Enterprise LAN"/>
    <s v="Semiconductor Revenue M$"/>
    <x v="5"/>
    <n v="0"/>
  </r>
  <r>
    <s v="Integrated AI"/>
    <x v="0"/>
    <x v="2"/>
    <s v="Wired Communications Electronics"/>
    <s v="Enterprise LAN"/>
    <s v="Semiconductor Revenue M$"/>
    <x v="6"/>
    <n v="0"/>
  </r>
  <r>
    <s v="Integrated AI"/>
    <x v="0"/>
    <x v="3"/>
    <s v="Automotive Electronics"/>
    <s v="ADAS-ECU (Level-0/1/2)"/>
    <s v="Semiconductor Revenue M$"/>
    <x v="0"/>
    <n v="0"/>
  </r>
  <r>
    <s v="Integrated AI"/>
    <x v="0"/>
    <x v="3"/>
    <s v="Automotive Electronics"/>
    <s v="ADAS-ECU (Level-0/1/2)"/>
    <s v="Semiconductor Revenue M$"/>
    <x v="1"/>
    <n v="0"/>
  </r>
  <r>
    <s v="Integrated AI"/>
    <x v="0"/>
    <x v="3"/>
    <s v="Automotive Electronics"/>
    <s v="ADAS-ECU (Level-0/1/2)"/>
    <s v="Semiconductor Revenue M$"/>
    <x v="2"/>
    <n v="0"/>
  </r>
  <r>
    <s v="Integrated AI"/>
    <x v="0"/>
    <x v="3"/>
    <s v="Automotive Electronics"/>
    <s v="ADAS-ECU (Level-0/1/2)"/>
    <s v="Semiconductor Revenue M$"/>
    <x v="3"/>
    <n v="0"/>
  </r>
  <r>
    <s v="Integrated AI"/>
    <x v="0"/>
    <x v="3"/>
    <s v="Automotive Electronics"/>
    <s v="ADAS-ECU (Level-0/1/2)"/>
    <s v="Semiconductor Revenue M$"/>
    <x v="4"/>
    <n v="0"/>
  </r>
  <r>
    <s v="Integrated AI"/>
    <x v="0"/>
    <x v="3"/>
    <s v="Automotive Electronics"/>
    <s v="ADAS-ECU (Level-0/1/2)"/>
    <s v="Semiconductor Revenue M$"/>
    <x v="5"/>
    <n v="0"/>
  </r>
  <r>
    <s v="Integrated AI"/>
    <x v="0"/>
    <x v="3"/>
    <s v="Automotive Electronics"/>
    <s v="ADAS-ECU (Level-0/1/2)"/>
    <s v="Semiconductor Revenue M$"/>
    <x v="6"/>
    <n v="0"/>
  </r>
  <r>
    <s v="Integrated AI"/>
    <x v="0"/>
    <x v="2"/>
    <s v="Wired Communications Electronics"/>
    <s v="Enterprise WAN"/>
    <s v="Semiconductor Revenue M$"/>
    <x v="0"/>
    <n v="0"/>
  </r>
  <r>
    <s v="Integrated AI"/>
    <x v="0"/>
    <x v="2"/>
    <s v="Wired Communications Electronics"/>
    <s v="Enterprise WAN"/>
    <s v="Semiconductor Revenue M$"/>
    <x v="1"/>
    <n v="0"/>
  </r>
  <r>
    <s v="Integrated AI"/>
    <x v="0"/>
    <x v="2"/>
    <s v="Wired Communications Electronics"/>
    <s v="Enterprise WAN"/>
    <s v="Semiconductor Revenue M$"/>
    <x v="2"/>
    <n v="0"/>
  </r>
  <r>
    <s v="Integrated AI"/>
    <x v="0"/>
    <x v="2"/>
    <s v="Wired Communications Electronics"/>
    <s v="Enterprise WAN"/>
    <s v="Semiconductor Revenue M$"/>
    <x v="3"/>
    <n v="0"/>
  </r>
  <r>
    <s v="Integrated AI"/>
    <x v="0"/>
    <x v="2"/>
    <s v="Wired Communications Electronics"/>
    <s v="Enterprise WAN"/>
    <s v="Semiconductor Revenue M$"/>
    <x v="4"/>
    <n v="0"/>
  </r>
  <r>
    <s v="Integrated AI"/>
    <x v="0"/>
    <x v="2"/>
    <s v="Wired Communications Electronics"/>
    <s v="Enterprise WAN"/>
    <s v="Semiconductor Revenue M$"/>
    <x v="5"/>
    <n v="0"/>
  </r>
  <r>
    <s v="Integrated AI"/>
    <x v="0"/>
    <x v="2"/>
    <s v="Wired Communications Electronics"/>
    <s v="Enterprise WAN"/>
    <s v="Semiconductor Revenue M$"/>
    <x v="6"/>
    <n v="0"/>
  </r>
  <r>
    <s v="Integrated AI"/>
    <x v="0"/>
    <x v="2"/>
    <s v="Wired Communications Electronics"/>
    <s v="Optical Transport"/>
    <s v="Semiconductor Revenue M$"/>
    <x v="0"/>
    <n v="0"/>
  </r>
  <r>
    <s v="Integrated AI"/>
    <x v="0"/>
    <x v="2"/>
    <s v="Wired Communications Electronics"/>
    <s v="Optical Transport"/>
    <s v="Semiconductor Revenue M$"/>
    <x v="1"/>
    <n v="0"/>
  </r>
  <r>
    <s v="Integrated AI"/>
    <x v="0"/>
    <x v="2"/>
    <s v="Wired Communications Electronics"/>
    <s v="Optical Transport"/>
    <s v="Semiconductor Revenue M$"/>
    <x v="2"/>
    <n v="0"/>
  </r>
  <r>
    <s v="Integrated AI"/>
    <x v="0"/>
    <x v="2"/>
    <s v="Wired Communications Electronics"/>
    <s v="Optical Transport"/>
    <s v="Semiconductor Revenue M$"/>
    <x v="3"/>
    <n v="0"/>
  </r>
  <r>
    <s v="Integrated AI"/>
    <x v="0"/>
    <x v="2"/>
    <s v="Wired Communications Electronics"/>
    <s v="Optical Transport"/>
    <s v="Semiconductor Revenue M$"/>
    <x v="4"/>
    <n v="0"/>
  </r>
  <r>
    <s v="Integrated AI"/>
    <x v="0"/>
    <x v="2"/>
    <s v="Wired Communications Electronics"/>
    <s v="Optical Transport"/>
    <s v="Semiconductor Revenue M$"/>
    <x v="5"/>
    <n v="0"/>
  </r>
  <r>
    <s v="Integrated AI"/>
    <x v="0"/>
    <x v="2"/>
    <s v="Wired Communications Electronics"/>
    <s v="Optical Transport"/>
    <s v="Semiconductor Revenue M$"/>
    <x v="6"/>
    <n v="0"/>
  </r>
  <r>
    <s v="Integrated AI"/>
    <x v="0"/>
    <x v="2"/>
    <s v="Wired Communications Electronics"/>
    <s v="Service Provider Routers and Switches"/>
    <s v="Semiconductor Revenue M$"/>
    <x v="0"/>
    <n v="0"/>
  </r>
  <r>
    <s v="Integrated AI"/>
    <x v="0"/>
    <x v="2"/>
    <s v="Wired Communications Electronics"/>
    <s v="Service Provider Routers and Switches"/>
    <s v="Semiconductor Revenue M$"/>
    <x v="1"/>
    <n v="0"/>
  </r>
  <r>
    <s v="Integrated AI"/>
    <x v="0"/>
    <x v="2"/>
    <s v="Wired Communications Electronics"/>
    <s v="Service Provider Routers and Switches"/>
    <s v="Semiconductor Revenue M$"/>
    <x v="2"/>
    <n v="0"/>
  </r>
  <r>
    <s v="Integrated AI"/>
    <x v="0"/>
    <x v="2"/>
    <s v="Wired Communications Electronics"/>
    <s v="Service Provider Routers and Switches"/>
    <s v="Semiconductor Revenue M$"/>
    <x v="3"/>
    <n v="0"/>
  </r>
  <r>
    <s v="Integrated AI"/>
    <x v="0"/>
    <x v="2"/>
    <s v="Wired Communications Electronics"/>
    <s v="Service Provider Routers and Switches"/>
    <s v="Semiconductor Revenue M$"/>
    <x v="4"/>
    <n v="0"/>
  </r>
  <r>
    <s v="Integrated AI"/>
    <x v="0"/>
    <x v="2"/>
    <s v="Wired Communications Electronics"/>
    <s v="Service Provider Routers and Switches"/>
    <s v="Semiconductor Revenue M$"/>
    <x v="5"/>
    <n v="0"/>
  </r>
  <r>
    <s v="Integrated AI"/>
    <x v="0"/>
    <x v="2"/>
    <s v="Wired Communications Electronics"/>
    <s v="Service Provider Routers and Switches"/>
    <s v="Semiconductor Revenue M$"/>
    <x v="6"/>
    <n v="0"/>
  </r>
  <r>
    <s v="Integrated AI"/>
    <x v="0"/>
    <x v="2"/>
    <s v="Wired Communications Electronics"/>
    <s v="Other Wired Communications Electronics"/>
    <s v="Semiconductor Revenue M$"/>
    <x v="0"/>
    <n v="0"/>
  </r>
  <r>
    <s v="Integrated AI"/>
    <x v="0"/>
    <x v="2"/>
    <s v="Wired Communications Electronics"/>
    <s v="Other Wired Communications Electronics"/>
    <s v="Semiconductor Revenue M$"/>
    <x v="1"/>
    <n v="0"/>
  </r>
  <r>
    <s v="Integrated AI"/>
    <x v="0"/>
    <x v="2"/>
    <s v="Wired Communications Electronics"/>
    <s v="Other Wired Communications Electronics"/>
    <s v="Semiconductor Revenue M$"/>
    <x v="2"/>
    <n v="0"/>
  </r>
  <r>
    <s v="Integrated AI"/>
    <x v="0"/>
    <x v="2"/>
    <s v="Wired Communications Electronics"/>
    <s v="Other Wired Communications Electronics"/>
    <s v="Semiconductor Revenue M$"/>
    <x v="3"/>
    <n v="0"/>
  </r>
  <r>
    <s v="Integrated AI"/>
    <x v="0"/>
    <x v="2"/>
    <s v="Wired Communications Electronics"/>
    <s v="Other Wired Communications Electronics"/>
    <s v="Semiconductor Revenue M$"/>
    <x v="4"/>
    <n v="0"/>
  </r>
  <r>
    <s v="Integrated AI"/>
    <x v="0"/>
    <x v="2"/>
    <s v="Wired Communications Electronics"/>
    <s v="Other Wired Communications Electronics"/>
    <s v="Semiconductor Revenue M$"/>
    <x v="5"/>
    <n v="0"/>
  </r>
  <r>
    <s v="Integrated AI"/>
    <x v="0"/>
    <x v="2"/>
    <s v="Wired Communications Electronics"/>
    <s v="Other Wired Communications Electronics"/>
    <s v="Semiconductor Revenue M$"/>
    <x v="6"/>
    <n v="0"/>
  </r>
  <r>
    <s v="Integrated AI"/>
    <x v="0"/>
    <x v="4"/>
    <s v="Consumer Electronics"/>
    <s v="Appliances"/>
    <s v="Semiconductor Revenue M$"/>
    <x v="0"/>
    <n v="0"/>
  </r>
  <r>
    <s v="Integrated AI"/>
    <x v="0"/>
    <x v="4"/>
    <s v="Consumer Electronics"/>
    <s v="Appliances"/>
    <s v="Semiconductor Revenue M$"/>
    <x v="1"/>
    <n v="0"/>
  </r>
  <r>
    <s v="Integrated AI"/>
    <x v="0"/>
    <x v="4"/>
    <s v="Consumer Electronics"/>
    <s v="Appliances"/>
    <s v="Semiconductor Revenue M$"/>
    <x v="2"/>
    <n v="0"/>
  </r>
  <r>
    <s v="Integrated AI"/>
    <x v="0"/>
    <x v="4"/>
    <s v="Consumer Electronics"/>
    <s v="Appliances"/>
    <s v="Semiconductor Revenue M$"/>
    <x v="3"/>
    <n v="0"/>
  </r>
  <r>
    <s v="Integrated AI"/>
    <x v="0"/>
    <x v="4"/>
    <s v="Consumer Electronics"/>
    <s v="Appliances"/>
    <s v="Semiconductor Revenue M$"/>
    <x v="4"/>
    <n v="0"/>
  </r>
  <r>
    <s v="Integrated AI"/>
    <x v="0"/>
    <x v="4"/>
    <s v="Consumer Electronics"/>
    <s v="Appliances"/>
    <s v="Semiconductor Revenue M$"/>
    <x v="5"/>
    <n v="0"/>
  </r>
  <r>
    <s v="Integrated AI"/>
    <x v="0"/>
    <x v="4"/>
    <s v="Consumer Electronics"/>
    <s v="Appliances"/>
    <s v="Semiconductor Revenue M$"/>
    <x v="6"/>
    <n v="0"/>
  </r>
  <r>
    <s v="Integrated AI"/>
    <x v="0"/>
    <x v="4"/>
    <s v="Consumer Electronics"/>
    <s v="Digital Camcorder"/>
    <s v="Semiconductor Revenue M$"/>
    <x v="0"/>
    <n v="0"/>
  </r>
  <r>
    <s v="Integrated AI"/>
    <x v="0"/>
    <x v="4"/>
    <s v="Consumer Electronics"/>
    <s v="Digital Camcorder"/>
    <s v="Semiconductor Revenue M$"/>
    <x v="1"/>
    <n v="0"/>
  </r>
  <r>
    <s v="Integrated AI"/>
    <x v="0"/>
    <x v="4"/>
    <s v="Consumer Electronics"/>
    <s v="Digital Camcorder"/>
    <s v="Semiconductor Revenue M$"/>
    <x v="2"/>
    <n v="0"/>
  </r>
  <r>
    <s v="Integrated AI"/>
    <x v="0"/>
    <x v="4"/>
    <s v="Consumer Electronics"/>
    <s v="Digital Camcorder"/>
    <s v="Semiconductor Revenue M$"/>
    <x v="3"/>
    <n v="0"/>
  </r>
  <r>
    <s v="Integrated AI"/>
    <x v="0"/>
    <x v="4"/>
    <s v="Consumer Electronics"/>
    <s v="Digital Camcorder"/>
    <s v="Semiconductor Revenue M$"/>
    <x v="4"/>
    <n v="0"/>
  </r>
  <r>
    <s v="Integrated AI"/>
    <x v="0"/>
    <x v="4"/>
    <s v="Consumer Electronics"/>
    <s v="Digital Camcorder"/>
    <s v="Semiconductor Revenue M$"/>
    <x v="5"/>
    <n v="0"/>
  </r>
  <r>
    <s v="Integrated AI"/>
    <x v="0"/>
    <x v="4"/>
    <s v="Consumer Electronics"/>
    <s v="Digital Camcorder"/>
    <s v="Semiconductor Revenue M$"/>
    <x v="6"/>
    <n v="0"/>
  </r>
  <r>
    <s v="Integrated AI"/>
    <x v="0"/>
    <x v="4"/>
    <s v="Consumer Electronics"/>
    <s v="Digital Set-Top Box, Cable"/>
    <s v="Semiconductor Revenue M$"/>
    <x v="0"/>
    <n v="0"/>
  </r>
  <r>
    <s v="Integrated AI"/>
    <x v="0"/>
    <x v="4"/>
    <s v="Consumer Electronics"/>
    <s v="Digital Set-Top Box, Cable"/>
    <s v="Semiconductor Revenue M$"/>
    <x v="1"/>
    <n v="0"/>
  </r>
  <r>
    <s v="Integrated AI"/>
    <x v="0"/>
    <x v="4"/>
    <s v="Consumer Electronics"/>
    <s v="Digital Set-Top Box, Cable"/>
    <s v="Semiconductor Revenue M$"/>
    <x v="2"/>
    <n v="0"/>
  </r>
  <r>
    <s v="Integrated AI"/>
    <x v="0"/>
    <x v="4"/>
    <s v="Consumer Electronics"/>
    <s v="Digital Set-Top Box, Cable"/>
    <s v="Semiconductor Revenue M$"/>
    <x v="3"/>
    <n v="0"/>
  </r>
  <r>
    <s v="Integrated AI"/>
    <x v="0"/>
    <x v="4"/>
    <s v="Consumer Electronics"/>
    <s v="Digital Set-Top Box, Cable"/>
    <s v="Semiconductor Revenue M$"/>
    <x v="4"/>
    <n v="0"/>
  </r>
  <r>
    <s v="Integrated AI"/>
    <x v="0"/>
    <x v="4"/>
    <s v="Consumer Electronics"/>
    <s v="Digital Set-Top Box, Cable"/>
    <s v="Semiconductor Revenue M$"/>
    <x v="5"/>
    <n v="0"/>
  </r>
  <r>
    <s v="Integrated AI"/>
    <x v="0"/>
    <x v="4"/>
    <s v="Consumer Electronics"/>
    <s v="Digital Set-Top Box, Cable"/>
    <s v="Semiconductor Revenue M$"/>
    <x v="6"/>
    <n v="0"/>
  </r>
  <r>
    <s v="Integrated AI"/>
    <x v="0"/>
    <x v="4"/>
    <s v="Consumer Electronics"/>
    <s v="Digital Set-Top Box, Satellite"/>
    <s v="Semiconductor Revenue M$"/>
    <x v="0"/>
    <n v="0"/>
  </r>
  <r>
    <s v="Integrated AI"/>
    <x v="0"/>
    <x v="4"/>
    <s v="Consumer Electronics"/>
    <s v="Digital Set-Top Box, Satellite"/>
    <s v="Semiconductor Revenue M$"/>
    <x v="1"/>
    <n v="0"/>
  </r>
  <r>
    <s v="Integrated AI"/>
    <x v="0"/>
    <x v="4"/>
    <s v="Consumer Electronics"/>
    <s v="Digital Set-Top Box, Satellite"/>
    <s v="Semiconductor Revenue M$"/>
    <x v="2"/>
    <n v="0"/>
  </r>
  <r>
    <s v="Integrated AI"/>
    <x v="0"/>
    <x v="4"/>
    <s v="Consumer Electronics"/>
    <s v="Digital Set-Top Box, Satellite"/>
    <s v="Semiconductor Revenue M$"/>
    <x v="3"/>
    <n v="0"/>
  </r>
  <r>
    <s v="Integrated AI"/>
    <x v="0"/>
    <x v="4"/>
    <s v="Consumer Electronics"/>
    <s v="Digital Set-Top Box, Satellite"/>
    <s v="Semiconductor Revenue M$"/>
    <x v="4"/>
    <n v="0"/>
  </r>
  <r>
    <s v="Integrated AI"/>
    <x v="0"/>
    <x v="4"/>
    <s v="Consumer Electronics"/>
    <s v="Digital Set-Top Box, Satellite"/>
    <s v="Semiconductor Revenue M$"/>
    <x v="5"/>
    <n v="0"/>
  </r>
  <r>
    <s v="Integrated AI"/>
    <x v="0"/>
    <x v="4"/>
    <s v="Consumer Electronics"/>
    <s v="Digital Set-Top Box, Satellite"/>
    <s v="Semiconductor Revenue M$"/>
    <x v="6"/>
    <n v="0"/>
  </r>
  <r>
    <s v="Integrated AI"/>
    <x v="0"/>
    <x v="4"/>
    <s v="Consumer Electronics"/>
    <s v="Digital Set-Top Box, Terrestrial"/>
    <s v="Semiconductor Revenue M$"/>
    <x v="0"/>
    <n v="0"/>
  </r>
  <r>
    <s v="Integrated AI"/>
    <x v="0"/>
    <x v="4"/>
    <s v="Consumer Electronics"/>
    <s v="Digital Set-Top Box, Terrestrial"/>
    <s v="Semiconductor Revenue M$"/>
    <x v="1"/>
    <n v="0"/>
  </r>
  <r>
    <s v="Integrated AI"/>
    <x v="0"/>
    <x v="4"/>
    <s v="Consumer Electronics"/>
    <s v="Digital Set-Top Box, Terrestrial"/>
    <s v="Semiconductor Revenue M$"/>
    <x v="2"/>
    <n v="0"/>
  </r>
  <r>
    <s v="Integrated AI"/>
    <x v="0"/>
    <x v="4"/>
    <s v="Consumer Electronics"/>
    <s v="Digital Set-Top Box, Terrestrial"/>
    <s v="Semiconductor Revenue M$"/>
    <x v="3"/>
    <n v="0"/>
  </r>
  <r>
    <s v="Integrated AI"/>
    <x v="0"/>
    <x v="4"/>
    <s v="Consumer Electronics"/>
    <s v="Digital Set-Top Box, Terrestrial"/>
    <s v="Semiconductor Revenue M$"/>
    <x v="4"/>
    <n v="0"/>
  </r>
  <r>
    <s v="Integrated AI"/>
    <x v="0"/>
    <x v="4"/>
    <s v="Consumer Electronics"/>
    <s v="Digital Set-Top Box, Terrestrial"/>
    <s v="Semiconductor Revenue M$"/>
    <x v="5"/>
    <n v="0"/>
  </r>
  <r>
    <s v="Integrated AI"/>
    <x v="0"/>
    <x v="4"/>
    <s v="Consumer Electronics"/>
    <s v="Digital Set-Top Box, Terrestrial"/>
    <s v="Semiconductor Revenue M$"/>
    <x v="6"/>
    <n v="0"/>
  </r>
  <r>
    <s v="Integrated AI"/>
    <x v="0"/>
    <x v="4"/>
    <s v="Consumer Electronics"/>
    <s v="Digital Set-Top Box, IP/Other"/>
    <s v="Semiconductor Revenue M$"/>
    <x v="0"/>
    <n v="0"/>
  </r>
  <r>
    <s v="Integrated AI"/>
    <x v="0"/>
    <x v="4"/>
    <s v="Consumer Electronics"/>
    <s v="Digital Set-Top Box, IP/Other"/>
    <s v="Semiconductor Revenue M$"/>
    <x v="1"/>
    <n v="0"/>
  </r>
  <r>
    <s v="Integrated AI"/>
    <x v="0"/>
    <x v="4"/>
    <s v="Consumer Electronics"/>
    <s v="Digital Set-Top Box, IP/Other"/>
    <s v="Semiconductor Revenue M$"/>
    <x v="2"/>
    <n v="0"/>
  </r>
  <r>
    <s v="Integrated AI"/>
    <x v="0"/>
    <x v="4"/>
    <s v="Consumer Electronics"/>
    <s v="Digital Set-Top Box, IP/Other"/>
    <s v="Semiconductor Revenue M$"/>
    <x v="3"/>
    <n v="0"/>
  </r>
  <r>
    <s v="Integrated AI"/>
    <x v="0"/>
    <x v="4"/>
    <s v="Consumer Electronics"/>
    <s v="Digital Set-Top Box, IP/Other"/>
    <s v="Semiconductor Revenue M$"/>
    <x v="4"/>
    <n v="0"/>
  </r>
  <r>
    <s v="Integrated AI"/>
    <x v="0"/>
    <x v="4"/>
    <s v="Consumer Electronics"/>
    <s v="Digital Set-Top Box, IP/Other"/>
    <s v="Semiconductor Revenue M$"/>
    <x v="5"/>
    <n v="0"/>
  </r>
  <r>
    <s v="Integrated AI"/>
    <x v="0"/>
    <x v="4"/>
    <s v="Consumer Electronics"/>
    <s v="Digital Set-Top Box, IP/Other"/>
    <s v="Semiconductor Revenue M$"/>
    <x v="6"/>
    <n v="0"/>
  </r>
  <r>
    <s v="Integrated AI"/>
    <x v="0"/>
    <x v="4"/>
    <s v="Consumer Electronics"/>
    <s v="Digital Still Camera"/>
    <s v="Semiconductor Revenue M$"/>
    <x v="0"/>
    <n v="0"/>
  </r>
  <r>
    <s v="Integrated AI"/>
    <x v="0"/>
    <x v="4"/>
    <s v="Consumer Electronics"/>
    <s v="Digital Still Camera"/>
    <s v="Semiconductor Revenue M$"/>
    <x v="1"/>
    <n v="0"/>
  </r>
  <r>
    <s v="Integrated AI"/>
    <x v="0"/>
    <x v="4"/>
    <s v="Consumer Electronics"/>
    <s v="Digital Still Camera"/>
    <s v="Semiconductor Revenue M$"/>
    <x v="2"/>
    <n v="0"/>
  </r>
  <r>
    <s v="Integrated AI"/>
    <x v="0"/>
    <x v="4"/>
    <s v="Consumer Electronics"/>
    <s v="Digital Still Camera"/>
    <s v="Semiconductor Revenue M$"/>
    <x v="3"/>
    <n v="0"/>
  </r>
  <r>
    <s v="Integrated AI"/>
    <x v="0"/>
    <x v="4"/>
    <s v="Consumer Electronics"/>
    <s v="Digital Still Camera"/>
    <s v="Semiconductor Revenue M$"/>
    <x v="4"/>
    <n v="0"/>
  </r>
  <r>
    <s v="Integrated AI"/>
    <x v="0"/>
    <x v="4"/>
    <s v="Consumer Electronics"/>
    <s v="Digital Still Camera"/>
    <s v="Semiconductor Revenue M$"/>
    <x v="5"/>
    <n v="0"/>
  </r>
  <r>
    <s v="Integrated AI"/>
    <x v="0"/>
    <x v="4"/>
    <s v="Consumer Electronics"/>
    <s v="Digital Still Camera"/>
    <s v="Semiconductor Revenue M$"/>
    <x v="6"/>
    <n v="0"/>
  </r>
  <r>
    <s v="Integrated AI"/>
    <x v="0"/>
    <x v="5"/>
    <s v="Industrial Electronics"/>
    <s v="Agriculture"/>
    <s v="Semiconductor Revenue M$"/>
    <x v="0"/>
    <n v="0"/>
  </r>
  <r>
    <s v="Integrated AI"/>
    <x v="0"/>
    <x v="5"/>
    <s v="Industrial Electronics"/>
    <s v="Agriculture"/>
    <s v="Semiconductor Revenue M$"/>
    <x v="1"/>
    <n v="0"/>
  </r>
  <r>
    <s v="Integrated AI"/>
    <x v="0"/>
    <x v="5"/>
    <s v="Industrial Electronics"/>
    <s v="Agriculture"/>
    <s v="Semiconductor Revenue M$"/>
    <x v="2"/>
    <n v="0"/>
  </r>
  <r>
    <s v="Integrated AI"/>
    <x v="0"/>
    <x v="5"/>
    <s v="Industrial Electronics"/>
    <s v="Agriculture"/>
    <s v="Semiconductor Revenue M$"/>
    <x v="3"/>
    <n v="0"/>
  </r>
  <r>
    <s v="Integrated AI"/>
    <x v="0"/>
    <x v="5"/>
    <s v="Industrial Electronics"/>
    <s v="Agriculture"/>
    <s v="Semiconductor Revenue M$"/>
    <x v="4"/>
    <n v="0"/>
  </r>
  <r>
    <s v="Integrated AI"/>
    <x v="0"/>
    <x v="5"/>
    <s v="Industrial Electronics"/>
    <s v="Agriculture"/>
    <s v="Semiconductor Revenue M$"/>
    <x v="5"/>
    <n v="0"/>
  </r>
  <r>
    <s v="Integrated AI"/>
    <x v="0"/>
    <x v="5"/>
    <s v="Industrial Electronics"/>
    <s v="Agriculture"/>
    <s v="Semiconductor Revenue M$"/>
    <x v="6"/>
    <n v="0"/>
  </r>
  <r>
    <s v="Integrated AI"/>
    <x v="0"/>
    <x v="3"/>
    <s v="Automotive Electronics"/>
    <s v="Automotive HPC"/>
    <s v="Semiconductor Revenue M$"/>
    <x v="0"/>
    <n v="0"/>
  </r>
  <r>
    <s v="Integrated AI"/>
    <x v="0"/>
    <x v="3"/>
    <s v="Automotive Electronics"/>
    <s v="Automotive HPC"/>
    <s v="Semiconductor Revenue M$"/>
    <x v="1"/>
    <n v="0"/>
  </r>
  <r>
    <s v="Integrated AI"/>
    <x v="0"/>
    <x v="3"/>
    <s v="Automotive Electronics"/>
    <s v="Automotive HPC"/>
    <s v="Semiconductor Revenue M$"/>
    <x v="2"/>
    <n v="0"/>
  </r>
  <r>
    <s v="Integrated AI"/>
    <x v="0"/>
    <x v="3"/>
    <s v="Automotive Electronics"/>
    <s v="Automotive HPC"/>
    <s v="Semiconductor Revenue M$"/>
    <x v="3"/>
    <n v="0"/>
  </r>
  <r>
    <s v="Integrated AI"/>
    <x v="0"/>
    <x v="3"/>
    <s v="Automotive Electronics"/>
    <s v="Automotive HPC"/>
    <s v="Semiconductor Revenue M$"/>
    <x v="4"/>
    <n v="0"/>
  </r>
  <r>
    <s v="Integrated AI"/>
    <x v="0"/>
    <x v="3"/>
    <s v="Automotive Electronics"/>
    <s v="Automotive HPC"/>
    <s v="Semiconductor Revenue M$"/>
    <x v="5"/>
    <n v="0"/>
  </r>
  <r>
    <s v="Integrated AI"/>
    <x v="0"/>
    <x v="3"/>
    <s v="Automotive Electronics"/>
    <s v="Automotive HPC"/>
    <s v="Semiconductor Revenue M$"/>
    <x v="6"/>
    <n v="0"/>
  </r>
  <r>
    <s v="Integrated AI"/>
    <x v="0"/>
    <x v="5"/>
    <s v="Industrial Electronics"/>
    <s v="Surveillance"/>
    <s v="Semiconductor Revenue M$"/>
    <x v="0"/>
    <n v="0"/>
  </r>
  <r>
    <s v="Integrated AI"/>
    <x v="0"/>
    <x v="5"/>
    <s v="Industrial Electronics"/>
    <s v="Surveillance"/>
    <s v="Semiconductor Revenue M$"/>
    <x v="1"/>
    <n v="0"/>
  </r>
  <r>
    <s v="Integrated AI"/>
    <x v="0"/>
    <x v="5"/>
    <s v="Industrial Electronics"/>
    <s v="Surveillance"/>
    <s v="Semiconductor Revenue M$"/>
    <x v="2"/>
    <n v="0"/>
  </r>
  <r>
    <s v="Integrated AI"/>
    <x v="0"/>
    <x v="5"/>
    <s v="Industrial Electronics"/>
    <s v="Surveillance"/>
    <s v="Semiconductor Revenue M$"/>
    <x v="3"/>
    <n v="0"/>
  </r>
  <r>
    <s v="Integrated AI"/>
    <x v="0"/>
    <x v="5"/>
    <s v="Industrial Electronics"/>
    <s v="Surveillance"/>
    <s v="Semiconductor Revenue M$"/>
    <x v="4"/>
    <n v="0"/>
  </r>
  <r>
    <s v="Integrated AI"/>
    <x v="0"/>
    <x v="5"/>
    <s v="Industrial Electronics"/>
    <s v="Surveillance"/>
    <s v="Semiconductor Revenue M$"/>
    <x v="5"/>
    <n v="0"/>
  </r>
  <r>
    <s v="Integrated AI"/>
    <x v="0"/>
    <x v="5"/>
    <s v="Industrial Electronics"/>
    <s v="Surveillance"/>
    <s v="Semiconductor Revenue M$"/>
    <x v="6"/>
    <n v="0"/>
  </r>
  <r>
    <s v="Integrated AI"/>
    <x v="0"/>
    <x v="4"/>
    <s v="Consumer Electronics"/>
    <s v="Portable Media Players"/>
    <s v="Semiconductor Revenue M$"/>
    <x v="0"/>
    <n v="0"/>
  </r>
  <r>
    <s v="Integrated AI"/>
    <x v="0"/>
    <x v="4"/>
    <s v="Consumer Electronics"/>
    <s v="Portable Media Players"/>
    <s v="Semiconductor Revenue M$"/>
    <x v="1"/>
    <n v="0"/>
  </r>
  <r>
    <s v="Integrated AI"/>
    <x v="0"/>
    <x v="4"/>
    <s v="Consumer Electronics"/>
    <s v="Portable Media Players"/>
    <s v="Semiconductor Revenue M$"/>
    <x v="2"/>
    <n v="0"/>
  </r>
  <r>
    <s v="Integrated AI"/>
    <x v="0"/>
    <x v="4"/>
    <s v="Consumer Electronics"/>
    <s v="Portable Media Players"/>
    <s v="Semiconductor Revenue M$"/>
    <x v="3"/>
    <n v="0"/>
  </r>
  <r>
    <s v="Integrated AI"/>
    <x v="0"/>
    <x v="4"/>
    <s v="Consumer Electronics"/>
    <s v="Portable Media Players"/>
    <s v="Semiconductor Revenue M$"/>
    <x v="4"/>
    <n v="0"/>
  </r>
  <r>
    <s v="Integrated AI"/>
    <x v="0"/>
    <x v="4"/>
    <s v="Consumer Electronics"/>
    <s v="Portable Media Players"/>
    <s v="Semiconductor Revenue M$"/>
    <x v="5"/>
    <n v="0"/>
  </r>
  <r>
    <s v="Integrated AI"/>
    <x v="0"/>
    <x v="4"/>
    <s v="Consumer Electronics"/>
    <s v="Portable Media Players"/>
    <s v="Semiconductor Revenue M$"/>
    <x v="6"/>
    <n v="0"/>
  </r>
  <r>
    <s v="Integrated AI"/>
    <x v="0"/>
    <x v="4"/>
    <s v="Consumer Electronics"/>
    <s v="Smart Speakers"/>
    <s v="Semiconductor Revenue M$"/>
    <x v="0"/>
    <n v="0"/>
  </r>
  <r>
    <s v="Integrated AI"/>
    <x v="0"/>
    <x v="4"/>
    <s v="Consumer Electronics"/>
    <s v="Smart Speakers"/>
    <s v="Semiconductor Revenue M$"/>
    <x v="1"/>
    <n v="0"/>
  </r>
  <r>
    <s v="Integrated AI"/>
    <x v="0"/>
    <x v="4"/>
    <s v="Consumer Electronics"/>
    <s v="Smart Speakers"/>
    <s v="Semiconductor Revenue M$"/>
    <x v="2"/>
    <n v="0"/>
  </r>
  <r>
    <s v="Integrated AI"/>
    <x v="0"/>
    <x v="4"/>
    <s v="Consumer Electronics"/>
    <s v="Smart Speakers"/>
    <s v="Semiconductor Revenue M$"/>
    <x v="3"/>
    <n v="0"/>
  </r>
  <r>
    <s v="Integrated AI"/>
    <x v="0"/>
    <x v="4"/>
    <s v="Consumer Electronics"/>
    <s v="Smart Speakers"/>
    <s v="Semiconductor Revenue M$"/>
    <x v="4"/>
    <n v="0"/>
  </r>
  <r>
    <s v="Integrated AI"/>
    <x v="0"/>
    <x v="4"/>
    <s v="Consumer Electronics"/>
    <s v="Smart Speakers"/>
    <s v="Semiconductor Revenue M$"/>
    <x v="5"/>
    <n v="0"/>
  </r>
  <r>
    <s v="Integrated AI"/>
    <x v="0"/>
    <x v="4"/>
    <s v="Consumer Electronics"/>
    <s v="Smart Speakers"/>
    <s v="Semiconductor Revenue M$"/>
    <x v="6"/>
    <n v="0"/>
  </r>
  <r>
    <s v="Integrated AI"/>
    <x v="0"/>
    <x v="4"/>
    <s v="Consumer Electronics"/>
    <s v="TV, Standard"/>
    <s v="Semiconductor Revenue M$"/>
    <x v="0"/>
    <n v="0"/>
  </r>
  <r>
    <s v="Integrated AI"/>
    <x v="0"/>
    <x v="4"/>
    <s v="Consumer Electronics"/>
    <s v="TV, Standard"/>
    <s v="Semiconductor Revenue M$"/>
    <x v="1"/>
    <n v="0"/>
  </r>
  <r>
    <s v="Integrated AI"/>
    <x v="0"/>
    <x v="4"/>
    <s v="Consumer Electronics"/>
    <s v="TV, Standard"/>
    <s v="Semiconductor Revenue M$"/>
    <x v="2"/>
    <n v="0"/>
  </r>
  <r>
    <s v="Integrated AI"/>
    <x v="0"/>
    <x v="4"/>
    <s v="Consumer Electronics"/>
    <s v="TV, Standard"/>
    <s v="Semiconductor Revenue M$"/>
    <x v="3"/>
    <n v="0"/>
  </r>
  <r>
    <s v="Integrated AI"/>
    <x v="0"/>
    <x v="4"/>
    <s v="Consumer Electronics"/>
    <s v="TV, Standard"/>
    <s v="Semiconductor Revenue M$"/>
    <x v="4"/>
    <n v="0"/>
  </r>
  <r>
    <s v="Integrated AI"/>
    <x v="0"/>
    <x v="4"/>
    <s v="Consumer Electronics"/>
    <s v="TV, Standard"/>
    <s v="Semiconductor Revenue M$"/>
    <x v="5"/>
    <n v="0"/>
  </r>
  <r>
    <s v="Integrated AI"/>
    <x v="0"/>
    <x v="4"/>
    <s v="Consumer Electronics"/>
    <s v="TV, Standard"/>
    <s v="Semiconductor Revenue M$"/>
    <x v="6"/>
    <n v="0"/>
  </r>
  <r>
    <s v="Integrated AI"/>
    <x v="0"/>
    <x v="4"/>
    <s v="Consumer Electronics"/>
    <s v="TV, Smart"/>
    <s v="Semiconductor Revenue M$"/>
    <x v="0"/>
    <n v="0"/>
  </r>
  <r>
    <s v="Integrated AI"/>
    <x v="0"/>
    <x v="4"/>
    <s v="Consumer Electronics"/>
    <s v="TV, Smart"/>
    <s v="Semiconductor Revenue M$"/>
    <x v="1"/>
    <n v="0"/>
  </r>
  <r>
    <s v="Integrated AI"/>
    <x v="0"/>
    <x v="4"/>
    <s v="Consumer Electronics"/>
    <s v="TV, Smart"/>
    <s v="Semiconductor Revenue M$"/>
    <x v="2"/>
    <n v="0"/>
  </r>
  <r>
    <s v="Integrated AI"/>
    <x v="0"/>
    <x v="4"/>
    <s v="Consumer Electronics"/>
    <s v="TV, Smart"/>
    <s v="Semiconductor Revenue M$"/>
    <x v="3"/>
    <n v="0"/>
  </r>
  <r>
    <s v="Integrated AI"/>
    <x v="0"/>
    <x v="4"/>
    <s v="Consumer Electronics"/>
    <s v="TV, Smart"/>
    <s v="Semiconductor Revenue M$"/>
    <x v="4"/>
    <n v="0"/>
  </r>
  <r>
    <s v="Integrated AI"/>
    <x v="0"/>
    <x v="4"/>
    <s v="Consumer Electronics"/>
    <s v="TV, Smart"/>
    <s v="Semiconductor Revenue M$"/>
    <x v="5"/>
    <n v="0"/>
  </r>
  <r>
    <s v="Integrated AI"/>
    <x v="0"/>
    <x v="4"/>
    <s v="Consumer Electronics"/>
    <s v="TV, Smart"/>
    <s v="Semiconductor Revenue M$"/>
    <x v="6"/>
    <n v="0"/>
  </r>
  <r>
    <s v="Integrated AI"/>
    <x v="0"/>
    <x v="4"/>
    <s v="Consumer Electronics"/>
    <s v="Video Game Consoles"/>
    <s v="Semiconductor Revenue M$"/>
    <x v="0"/>
    <n v="0"/>
  </r>
  <r>
    <s v="Integrated AI"/>
    <x v="0"/>
    <x v="4"/>
    <s v="Consumer Electronics"/>
    <s v="Video Game Consoles"/>
    <s v="Semiconductor Revenue M$"/>
    <x v="1"/>
    <n v="0"/>
  </r>
  <r>
    <s v="Integrated AI"/>
    <x v="0"/>
    <x v="4"/>
    <s v="Consumer Electronics"/>
    <s v="Video Game Consoles"/>
    <s v="Semiconductor Revenue M$"/>
    <x v="2"/>
    <n v="0"/>
  </r>
  <r>
    <s v="Integrated AI"/>
    <x v="0"/>
    <x v="4"/>
    <s v="Consumer Electronics"/>
    <s v="Video Game Consoles"/>
    <s v="Semiconductor Revenue M$"/>
    <x v="3"/>
    <n v="0"/>
  </r>
  <r>
    <s v="Integrated AI"/>
    <x v="0"/>
    <x v="4"/>
    <s v="Consumer Electronics"/>
    <s v="Video Game Consoles"/>
    <s v="Semiconductor Revenue M$"/>
    <x v="4"/>
    <n v="0"/>
  </r>
  <r>
    <s v="Integrated AI"/>
    <x v="0"/>
    <x v="4"/>
    <s v="Consumer Electronics"/>
    <s v="Video Game Consoles"/>
    <s v="Semiconductor Revenue M$"/>
    <x v="5"/>
    <n v="0"/>
  </r>
  <r>
    <s v="Integrated AI"/>
    <x v="0"/>
    <x v="4"/>
    <s v="Consumer Electronics"/>
    <s v="Video Game Consoles"/>
    <s v="Semiconductor Revenue M$"/>
    <x v="6"/>
    <n v="0"/>
  </r>
  <r>
    <s v="Integrated AI"/>
    <x v="0"/>
    <x v="4"/>
    <s v="Consumer Electronics"/>
    <s v="Video Game Handhelds"/>
    <s v="Semiconductor Revenue M$"/>
    <x v="0"/>
    <n v="0"/>
  </r>
  <r>
    <s v="Integrated AI"/>
    <x v="0"/>
    <x v="4"/>
    <s v="Consumer Electronics"/>
    <s v="Video Game Handhelds"/>
    <s v="Semiconductor Revenue M$"/>
    <x v="1"/>
    <n v="0"/>
  </r>
  <r>
    <s v="Integrated AI"/>
    <x v="0"/>
    <x v="4"/>
    <s v="Consumer Electronics"/>
    <s v="Video Game Handhelds"/>
    <s v="Semiconductor Revenue M$"/>
    <x v="2"/>
    <n v="0"/>
  </r>
  <r>
    <s v="Integrated AI"/>
    <x v="0"/>
    <x v="4"/>
    <s v="Consumer Electronics"/>
    <s v="Video Game Handhelds"/>
    <s v="Semiconductor Revenue M$"/>
    <x v="3"/>
    <n v="0"/>
  </r>
  <r>
    <s v="Integrated AI"/>
    <x v="0"/>
    <x v="4"/>
    <s v="Consumer Electronics"/>
    <s v="Video Game Handhelds"/>
    <s v="Semiconductor Revenue M$"/>
    <x v="4"/>
    <n v="0"/>
  </r>
  <r>
    <s v="Integrated AI"/>
    <x v="0"/>
    <x v="4"/>
    <s v="Consumer Electronics"/>
    <s v="Video Game Handhelds"/>
    <s v="Semiconductor Revenue M$"/>
    <x v="5"/>
    <n v="0"/>
  </r>
  <r>
    <s v="Integrated AI"/>
    <x v="0"/>
    <x v="4"/>
    <s v="Consumer Electronics"/>
    <s v="Video Game Handhelds"/>
    <s v="Semiconductor Revenue M$"/>
    <x v="6"/>
    <n v="0"/>
  </r>
  <r>
    <s v="Integrated AI"/>
    <x v="0"/>
    <x v="4"/>
    <s v="Consumer Electronics"/>
    <s v="Wristbands"/>
    <s v="Semiconductor Revenue M$"/>
    <x v="0"/>
    <n v="0"/>
  </r>
  <r>
    <s v="Integrated AI"/>
    <x v="0"/>
    <x v="4"/>
    <s v="Consumer Electronics"/>
    <s v="Wristbands"/>
    <s v="Semiconductor Revenue M$"/>
    <x v="1"/>
    <n v="0"/>
  </r>
  <r>
    <s v="Integrated AI"/>
    <x v="0"/>
    <x v="4"/>
    <s v="Consumer Electronics"/>
    <s v="Wristbands"/>
    <s v="Semiconductor Revenue M$"/>
    <x v="2"/>
    <n v="0"/>
  </r>
  <r>
    <s v="Integrated AI"/>
    <x v="0"/>
    <x v="4"/>
    <s v="Consumer Electronics"/>
    <s v="Wristbands"/>
    <s v="Semiconductor Revenue M$"/>
    <x v="3"/>
    <n v="0"/>
  </r>
  <r>
    <s v="Integrated AI"/>
    <x v="0"/>
    <x v="4"/>
    <s v="Consumer Electronics"/>
    <s v="Wristbands"/>
    <s v="Semiconductor Revenue M$"/>
    <x v="4"/>
    <n v="0"/>
  </r>
  <r>
    <s v="Integrated AI"/>
    <x v="0"/>
    <x v="4"/>
    <s v="Consumer Electronics"/>
    <s v="Wristbands"/>
    <s v="Semiconductor Revenue M$"/>
    <x v="5"/>
    <n v="0"/>
  </r>
  <r>
    <s v="Integrated AI"/>
    <x v="0"/>
    <x v="4"/>
    <s v="Consumer Electronics"/>
    <s v="Wristbands"/>
    <s v="Semiconductor Revenue M$"/>
    <x v="6"/>
    <n v="0"/>
  </r>
  <r>
    <s v="Integrated AI"/>
    <x v="0"/>
    <x v="4"/>
    <s v="Consumer Electronics"/>
    <s v="Head Mounted Display"/>
    <s v="Semiconductor Revenue M$"/>
    <x v="0"/>
    <n v="0"/>
  </r>
  <r>
    <s v="Integrated AI"/>
    <x v="0"/>
    <x v="4"/>
    <s v="Consumer Electronics"/>
    <s v="Head Mounted Display"/>
    <s v="Semiconductor Revenue M$"/>
    <x v="1"/>
    <n v="0"/>
  </r>
  <r>
    <s v="Integrated AI"/>
    <x v="0"/>
    <x v="4"/>
    <s v="Consumer Electronics"/>
    <s v="Head Mounted Display"/>
    <s v="Semiconductor Revenue M$"/>
    <x v="2"/>
    <n v="0"/>
  </r>
  <r>
    <s v="Integrated AI"/>
    <x v="0"/>
    <x v="4"/>
    <s v="Consumer Electronics"/>
    <s v="Head Mounted Display"/>
    <s v="Semiconductor Revenue M$"/>
    <x v="3"/>
    <n v="0"/>
  </r>
  <r>
    <s v="Integrated AI"/>
    <x v="0"/>
    <x v="4"/>
    <s v="Consumer Electronics"/>
    <s v="Head Mounted Display"/>
    <s v="Semiconductor Revenue M$"/>
    <x v="4"/>
    <n v="0"/>
  </r>
  <r>
    <s v="Integrated AI"/>
    <x v="0"/>
    <x v="4"/>
    <s v="Consumer Electronics"/>
    <s v="Head Mounted Display"/>
    <s v="Semiconductor Revenue M$"/>
    <x v="5"/>
    <n v="0"/>
  </r>
  <r>
    <s v="Integrated AI"/>
    <x v="0"/>
    <x v="4"/>
    <s v="Consumer Electronics"/>
    <s v="Head Mounted Display"/>
    <s v="Semiconductor Revenue M$"/>
    <x v="6"/>
    <n v="0"/>
  </r>
  <r>
    <s v="Integrated AI"/>
    <x v="0"/>
    <x v="4"/>
    <s v="Consumer Electronics"/>
    <s v="Smart Watches"/>
    <s v="Semiconductor Revenue M$"/>
    <x v="0"/>
    <n v="0"/>
  </r>
  <r>
    <s v="Integrated AI"/>
    <x v="0"/>
    <x v="4"/>
    <s v="Consumer Electronics"/>
    <s v="Smart Watches"/>
    <s v="Semiconductor Revenue M$"/>
    <x v="1"/>
    <n v="0"/>
  </r>
  <r>
    <s v="Integrated AI"/>
    <x v="0"/>
    <x v="4"/>
    <s v="Consumer Electronics"/>
    <s v="Smart Watches"/>
    <s v="Semiconductor Revenue M$"/>
    <x v="2"/>
    <n v="0"/>
  </r>
  <r>
    <s v="Integrated AI"/>
    <x v="0"/>
    <x v="4"/>
    <s v="Consumer Electronics"/>
    <s v="Smart Watches"/>
    <s v="Semiconductor Revenue M$"/>
    <x v="3"/>
    <n v="0"/>
  </r>
  <r>
    <s v="Integrated AI"/>
    <x v="0"/>
    <x v="4"/>
    <s v="Consumer Electronics"/>
    <s v="Smart Watches"/>
    <s v="Semiconductor Revenue M$"/>
    <x v="4"/>
    <n v="0"/>
  </r>
  <r>
    <s v="Integrated AI"/>
    <x v="0"/>
    <x v="4"/>
    <s v="Consumer Electronics"/>
    <s v="Smart Watches"/>
    <s v="Semiconductor Revenue M$"/>
    <x v="5"/>
    <n v="0"/>
  </r>
  <r>
    <s v="Integrated AI"/>
    <x v="0"/>
    <x v="4"/>
    <s v="Consumer Electronics"/>
    <s v="Smart Watches"/>
    <s v="Semiconductor Revenue M$"/>
    <x v="6"/>
    <n v="0"/>
  </r>
  <r>
    <s v="Integrated AI"/>
    <x v="0"/>
    <x v="4"/>
    <s v="Consumer Electronics"/>
    <s v="Sports Watches"/>
    <s v="Semiconductor Revenue M$"/>
    <x v="0"/>
    <n v="0"/>
  </r>
  <r>
    <s v="Integrated AI"/>
    <x v="0"/>
    <x v="4"/>
    <s v="Consumer Electronics"/>
    <s v="Sports Watches"/>
    <s v="Semiconductor Revenue M$"/>
    <x v="1"/>
    <n v="0"/>
  </r>
  <r>
    <s v="Integrated AI"/>
    <x v="0"/>
    <x v="4"/>
    <s v="Consumer Electronics"/>
    <s v="Sports Watches"/>
    <s v="Semiconductor Revenue M$"/>
    <x v="2"/>
    <n v="0"/>
  </r>
  <r>
    <s v="Integrated AI"/>
    <x v="0"/>
    <x v="4"/>
    <s v="Consumer Electronics"/>
    <s v="Sports Watches"/>
    <s v="Semiconductor Revenue M$"/>
    <x v="3"/>
    <n v="0"/>
  </r>
  <r>
    <s v="Integrated AI"/>
    <x v="0"/>
    <x v="4"/>
    <s v="Consumer Electronics"/>
    <s v="Sports Watches"/>
    <s v="Semiconductor Revenue M$"/>
    <x v="4"/>
    <n v="0"/>
  </r>
  <r>
    <s v="Integrated AI"/>
    <x v="0"/>
    <x v="4"/>
    <s v="Consumer Electronics"/>
    <s v="Sports Watches"/>
    <s v="Semiconductor Revenue M$"/>
    <x v="5"/>
    <n v="0"/>
  </r>
  <r>
    <s v="Integrated AI"/>
    <x v="0"/>
    <x v="4"/>
    <s v="Consumer Electronics"/>
    <s v="Sports Watches"/>
    <s v="Semiconductor Revenue M$"/>
    <x v="6"/>
    <n v="0"/>
  </r>
  <r>
    <s v="Integrated AI"/>
    <x v="0"/>
    <x v="4"/>
    <s v="Consumer Electronics"/>
    <s v="Other Consumer Electronics"/>
    <s v="Semiconductor Revenue M$"/>
    <x v="0"/>
    <n v="0"/>
  </r>
  <r>
    <s v="Integrated AI"/>
    <x v="0"/>
    <x v="4"/>
    <s v="Consumer Electronics"/>
    <s v="Other Consumer Electronics"/>
    <s v="Semiconductor Revenue M$"/>
    <x v="1"/>
    <n v="0"/>
  </r>
  <r>
    <s v="Integrated AI"/>
    <x v="0"/>
    <x v="4"/>
    <s v="Consumer Electronics"/>
    <s v="Other Consumer Electronics"/>
    <s v="Semiconductor Revenue M$"/>
    <x v="2"/>
    <n v="0"/>
  </r>
  <r>
    <s v="Integrated AI"/>
    <x v="0"/>
    <x v="4"/>
    <s v="Consumer Electronics"/>
    <s v="Other Consumer Electronics"/>
    <s v="Semiconductor Revenue M$"/>
    <x v="3"/>
    <n v="0"/>
  </r>
  <r>
    <s v="Integrated AI"/>
    <x v="0"/>
    <x v="4"/>
    <s v="Consumer Electronics"/>
    <s v="Other Consumer Electronics"/>
    <s v="Semiconductor Revenue M$"/>
    <x v="4"/>
    <n v="0"/>
  </r>
  <r>
    <s v="Integrated AI"/>
    <x v="0"/>
    <x v="4"/>
    <s v="Consumer Electronics"/>
    <s v="Other Consumer Electronics"/>
    <s v="Semiconductor Revenue M$"/>
    <x v="5"/>
    <n v="0"/>
  </r>
  <r>
    <s v="Integrated AI"/>
    <x v="0"/>
    <x v="4"/>
    <s v="Consumer Electronics"/>
    <s v="Other Consumer Electronics"/>
    <s v="Semiconductor Revenue M$"/>
    <x v="6"/>
    <n v="0"/>
  </r>
  <r>
    <s v="Integrated AI"/>
    <x v="0"/>
    <x v="3"/>
    <s v="Automotive Electronics"/>
    <s v="ADAS-Sensors and Connectivity"/>
    <s v="Semiconductor Revenue M$"/>
    <x v="0"/>
    <n v="0"/>
  </r>
  <r>
    <s v="Integrated AI"/>
    <x v="0"/>
    <x v="3"/>
    <s v="Automotive Electronics"/>
    <s v="ADAS-Sensors and Connectivity"/>
    <s v="Semiconductor Revenue M$"/>
    <x v="1"/>
    <n v="0"/>
  </r>
  <r>
    <s v="Integrated AI"/>
    <x v="0"/>
    <x v="3"/>
    <s v="Automotive Electronics"/>
    <s v="ADAS-Sensors and Connectivity"/>
    <s v="Semiconductor Revenue M$"/>
    <x v="2"/>
    <n v="0"/>
  </r>
  <r>
    <s v="Integrated AI"/>
    <x v="0"/>
    <x v="3"/>
    <s v="Automotive Electronics"/>
    <s v="ADAS-Sensors and Connectivity"/>
    <s v="Semiconductor Revenue M$"/>
    <x v="3"/>
    <n v="0"/>
  </r>
  <r>
    <s v="Integrated AI"/>
    <x v="0"/>
    <x v="3"/>
    <s v="Automotive Electronics"/>
    <s v="ADAS-Sensors and Connectivity"/>
    <s v="Semiconductor Revenue M$"/>
    <x v="4"/>
    <n v="0"/>
  </r>
  <r>
    <s v="Integrated AI"/>
    <x v="0"/>
    <x v="3"/>
    <s v="Automotive Electronics"/>
    <s v="ADAS-Sensors and Connectivity"/>
    <s v="Semiconductor Revenue M$"/>
    <x v="5"/>
    <n v="0"/>
  </r>
  <r>
    <s v="Integrated AI"/>
    <x v="0"/>
    <x v="3"/>
    <s v="Automotive Electronics"/>
    <s v="ADAS-Sensors and Connectivity"/>
    <s v="Semiconductor Revenue M$"/>
    <x v="6"/>
    <n v="0"/>
  </r>
  <r>
    <s v="Integrated AI"/>
    <x v="0"/>
    <x v="3"/>
    <s v="Automotive Electronics"/>
    <s v="Body"/>
    <s v="Semiconductor Revenue M$"/>
    <x v="0"/>
    <n v="0"/>
  </r>
  <r>
    <s v="Integrated AI"/>
    <x v="0"/>
    <x v="3"/>
    <s v="Automotive Electronics"/>
    <s v="Body"/>
    <s v="Semiconductor Revenue M$"/>
    <x v="1"/>
    <n v="0"/>
  </r>
  <r>
    <s v="Integrated AI"/>
    <x v="0"/>
    <x v="3"/>
    <s v="Automotive Electronics"/>
    <s v="Body"/>
    <s v="Semiconductor Revenue M$"/>
    <x v="2"/>
    <n v="0"/>
  </r>
  <r>
    <s v="Integrated AI"/>
    <x v="0"/>
    <x v="3"/>
    <s v="Automotive Electronics"/>
    <s v="Body"/>
    <s v="Semiconductor Revenue M$"/>
    <x v="3"/>
    <n v="0"/>
  </r>
  <r>
    <s v="Integrated AI"/>
    <x v="0"/>
    <x v="3"/>
    <s v="Automotive Electronics"/>
    <s v="Body"/>
    <s v="Semiconductor Revenue M$"/>
    <x v="4"/>
    <n v="0"/>
  </r>
  <r>
    <s v="Integrated AI"/>
    <x v="0"/>
    <x v="3"/>
    <s v="Automotive Electronics"/>
    <s v="Body"/>
    <s v="Semiconductor Revenue M$"/>
    <x v="5"/>
    <n v="0"/>
  </r>
  <r>
    <s v="Integrated AI"/>
    <x v="0"/>
    <x v="3"/>
    <s v="Automotive Electronics"/>
    <s v="Body"/>
    <s v="Semiconductor Revenue M$"/>
    <x v="6"/>
    <n v="0"/>
  </r>
  <r>
    <s v="Integrated AI"/>
    <x v="0"/>
    <x v="3"/>
    <s v="Automotive Electronics"/>
    <s v="Chassis"/>
    <s v="Semiconductor Revenue M$"/>
    <x v="0"/>
    <n v="0"/>
  </r>
  <r>
    <s v="Integrated AI"/>
    <x v="0"/>
    <x v="3"/>
    <s v="Automotive Electronics"/>
    <s v="Chassis"/>
    <s v="Semiconductor Revenue M$"/>
    <x v="1"/>
    <n v="0"/>
  </r>
  <r>
    <s v="Integrated AI"/>
    <x v="0"/>
    <x v="3"/>
    <s v="Automotive Electronics"/>
    <s v="Chassis"/>
    <s v="Semiconductor Revenue M$"/>
    <x v="2"/>
    <n v="0"/>
  </r>
  <r>
    <s v="Integrated AI"/>
    <x v="0"/>
    <x v="3"/>
    <s v="Automotive Electronics"/>
    <s v="Chassis"/>
    <s v="Semiconductor Revenue M$"/>
    <x v="3"/>
    <n v="0"/>
  </r>
  <r>
    <s v="Integrated AI"/>
    <x v="0"/>
    <x v="3"/>
    <s v="Automotive Electronics"/>
    <s v="Chassis"/>
    <s v="Semiconductor Revenue M$"/>
    <x v="4"/>
    <n v="0"/>
  </r>
  <r>
    <s v="Integrated AI"/>
    <x v="0"/>
    <x v="3"/>
    <s v="Automotive Electronics"/>
    <s v="Chassis"/>
    <s v="Semiconductor Revenue M$"/>
    <x v="5"/>
    <n v="0"/>
  </r>
  <r>
    <s v="Integrated AI"/>
    <x v="0"/>
    <x v="3"/>
    <s v="Automotive Electronics"/>
    <s v="Chassis"/>
    <s v="Semiconductor Revenue M$"/>
    <x v="6"/>
    <n v="0"/>
  </r>
  <r>
    <s v="Integrated AI"/>
    <x v="0"/>
    <x v="3"/>
    <s v="Automotive Electronics"/>
    <s v="EV/HEV"/>
    <s v="Semiconductor Revenue M$"/>
    <x v="0"/>
    <n v="0"/>
  </r>
  <r>
    <s v="Integrated AI"/>
    <x v="0"/>
    <x v="3"/>
    <s v="Automotive Electronics"/>
    <s v="EV/HEV"/>
    <s v="Semiconductor Revenue M$"/>
    <x v="1"/>
    <n v="0"/>
  </r>
  <r>
    <s v="Integrated AI"/>
    <x v="0"/>
    <x v="3"/>
    <s v="Automotive Electronics"/>
    <s v="EV/HEV"/>
    <s v="Semiconductor Revenue M$"/>
    <x v="2"/>
    <n v="0"/>
  </r>
  <r>
    <s v="Integrated AI"/>
    <x v="0"/>
    <x v="3"/>
    <s v="Automotive Electronics"/>
    <s v="EV/HEV"/>
    <s v="Semiconductor Revenue M$"/>
    <x v="3"/>
    <n v="0"/>
  </r>
  <r>
    <s v="Integrated AI"/>
    <x v="0"/>
    <x v="3"/>
    <s v="Automotive Electronics"/>
    <s v="EV/HEV"/>
    <s v="Semiconductor Revenue M$"/>
    <x v="4"/>
    <n v="0"/>
  </r>
  <r>
    <s v="Integrated AI"/>
    <x v="0"/>
    <x v="3"/>
    <s v="Automotive Electronics"/>
    <s v="EV/HEV"/>
    <s v="Semiconductor Revenue M$"/>
    <x v="5"/>
    <n v="0"/>
  </r>
  <r>
    <s v="Integrated AI"/>
    <x v="0"/>
    <x v="3"/>
    <s v="Automotive Electronics"/>
    <s v="EV/HEV"/>
    <s v="Semiconductor Revenue M$"/>
    <x v="6"/>
    <n v="0"/>
  </r>
  <r>
    <s v="Integrated AI"/>
    <x v="0"/>
    <x v="3"/>
    <s v="Automotive Electronics"/>
    <s v="Infotainment"/>
    <s v="Semiconductor Revenue M$"/>
    <x v="0"/>
    <n v="0"/>
  </r>
  <r>
    <s v="Integrated AI"/>
    <x v="0"/>
    <x v="3"/>
    <s v="Automotive Electronics"/>
    <s v="Infotainment"/>
    <s v="Semiconductor Revenue M$"/>
    <x v="1"/>
    <n v="0"/>
  </r>
  <r>
    <s v="Integrated AI"/>
    <x v="0"/>
    <x v="3"/>
    <s v="Automotive Electronics"/>
    <s v="Infotainment"/>
    <s v="Semiconductor Revenue M$"/>
    <x v="2"/>
    <n v="0"/>
  </r>
  <r>
    <s v="Integrated AI"/>
    <x v="0"/>
    <x v="3"/>
    <s v="Automotive Electronics"/>
    <s v="Infotainment"/>
    <s v="Semiconductor Revenue M$"/>
    <x v="3"/>
    <n v="0"/>
  </r>
  <r>
    <s v="Integrated AI"/>
    <x v="0"/>
    <x v="3"/>
    <s v="Automotive Electronics"/>
    <s v="Infotainment"/>
    <s v="Semiconductor Revenue M$"/>
    <x v="4"/>
    <n v="0"/>
  </r>
  <r>
    <s v="Integrated AI"/>
    <x v="0"/>
    <x v="3"/>
    <s v="Automotive Electronics"/>
    <s v="Infotainment"/>
    <s v="Semiconductor Revenue M$"/>
    <x v="5"/>
    <n v="0"/>
  </r>
  <r>
    <s v="Integrated AI"/>
    <x v="0"/>
    <x v="3"/>
    <s v="Automotive Electronics"/>
    <s v="Infotainment"/>
    <s v="Semiconductor Revenue M$"/>
    <x v="6"/>
    <n v="0"/>
  </r>
  <r>
    <s v="Integrated AI"/>
    <x v="0"/>
    <x v="3"/>
    <s v="Automotive Electronics"/>
    <s v="Instrument Cluster"/>
    <s v="Semiconductor Revenue M$"/>
    <x v="0"/>
    <n v="0"/>
  </r>
  <r>
    <s v="Integrated AI"/>
    <x v="0"/>
    <x v="3"/>
    <s v="Automotive Electronics"/>
    <s v="Instrument Cluster"/>
    <s v="Semiconductor Revenue M$"/>
    <x v="1"/>
    <n v="0"/>
  </r>
  <r>
    <s v="Integrated AI"/>
    <x v="0"/>
    <x v="3"/>
    <s v="Automotive Electronics"/>
    <s v="Instrument Cluster"/>
    <s v="Semiconductor Revenue M$"/>
    <x v="2"/>
    <n v="0"/>
  </r>
  <r>
    <s v="Integrated AI"/>
    <x v="0"/>
    <x v="3"/>
    <s v="Automotive Electronics"/>
    <s v="Instrument Cluster"/>
    <s v="Semiconductor Revenue M$"/>
    <x v="3"/>
    <n v="0"/>
  </r>
  <r>
    <s v="Integrated AI"/>
    <x v="0"/>
    <x v="3"/>
    <s v="Automotive Electronics"/>
    <s v="Instrument Cluster"/>
    <s v="Semiconductor Revenue M$"/>
    <x v="4"/>
    <n v="0"/>
  </r>
  <r>
    <s v="Integrated AI"/>
    <x v="0"/>
    <x v="3"/>
    <s v="Automotive Electronics"/>
    <s v="Instrument Cluster"/>
    <s v="Semiconductor Revenue M$"/>
    <x v="5"/>
    <n v="0"/>
  </r>
  <r>
    <s v="Integrated AI"/>
    <x v="0"/>
    <x v="3"/>
    <s v="Automotive Electronics"/>
    <s v="Instrument Cluster"/>
    <s v="Semiconductor Revenue M$"/>
    <x v="6"/>
    <n v="0"/>
  </r>
  <r>
    <s v="Integrated AI"/>
    <x v="0"/>
    <x v="3"/>
    <s v="Automotive Electronics"/>
    <s v="Powertrain"/>
    <s v="Semiconductor Revenue M$"/>
    <x v="0"/>
    <n v="0"/>
  </r>
  <r>
    <s v="Integrated AI"/>
    <x v="0"/>
    <x v="3"/>
    <s v="Automotive Electronics"/>
    <s v="Powertrain"/>
    <s v="Semiconductor Revenue M$"/>
    <x v="1"/>
    <n v="0"/>
  </r>
  <r>
    <s v="Integrated AI"/>
    <x v="0"/>
    <x v="3"/>
    <s v="Automotive Electronics"/>
    <s v="Powertrain"/>
    <s v="Semiconductor Revenue M$"/>
    <x v="2"/>
    <n v="0"/>
  </r>
  <r>
    <s v="Integrated AI"/>
    <x v="0"/>
    <x v="3"/>
    <s v="Automotive Electronics"/>
    <s v="Powertrain"/>
    <s v="Semiconductor Revenue M$"/>
    <x v="3"/>
    <n v="0"/>
  </r>
  <r>
    <s v="Integrated AI"/>
    <x v="0"/>
    <x v="3"/>
    <s v="Automotive Electronics"/>
    <s v="Powertrain"/>
    <s v="Semiconductor Revenue M$"/>
    <x v="4"/>
    <n v="0"/>
  </r>
  <r>
    <s v="Integrated AI"/>
    <x v="0"/>
    <x v="3"/>
    <s v="Automotive Electronics"/>
    <s v="Powertrain"/>
    <s v="Semiconductor Revenue M$"/>
    <x v="5"/>
    <n v="0"/>
  </r>
  <r>
    <s v="Integrated AI"/>
    <x v="0"/>
    <x v="3"/>
    <s v="Automotive Electronics"/>
    <s v="Powertrain"/>
    <s v="Semiconductor Revenue M$"/>
    <x v="6"/>
    <n v="0"/>
  </r>
  <r>
    <s v="Integrated AI"/>
    <x v="0"/>
    <x v="3"/>
    <s v="Automotive Electronics"/>
    <s v="Safety"/>
    <s v="Semiconductor Revenue M$"/>
    <x v="0"/>
    <n v="0"/>
  </r>
  <r>
    <s v="Integrated AI"/>
    <x v="0"/>
    <x v="3"/>
    <s v="Automotive Electronics"/>
    <s v="Safety"/>
    <s v="Semiconductor Revenue M$"/>
    <x v="1"/>
    <n v="0"/>
  </r>
  <r>
    <s v="Integrated AI"/>
    <x v="0"/>
    <x v="3"/>
    <s v="Automotive Electronics"/>
    <s v="Safety"/>
    <s v="Semiconductor Revenue M$"/>
    <x v="2"/>
    <n v="0"/>
  </r>
  <r>
    <s v="Integrated AI"/>
    <x v="0"/>
    <x v="3"/>
    <s v="Automotive Electronics"/>
    <s v="Safety"/>
    <s v="Semiconductor Revenue M$"/>
    <x v="3"/>
    <n v="0"/>
  </r>
  <r>
    <s v="Integrated AI"/>
    <x v="0"/>
    <x v="3"/>
    <s v="Automotive Electronics"/>
    <s v="Safety"/>
    <s v="Semiconductor Revenue M$"/>
    <x v="4"/>
    <n v="0"/>
  </r>
  <r>
    <s v="Integrated AI"/>
    <x v="0"/>
    <x v="3"/>
    <s v="Automotive Electronics"/>
    <s v="Safety"/>
    <s v="Semiconductor Revenue M$"/>
    <x v="5"/>
    <n v="0"/>
  </r>
  <r>
    <s v="Integrated AI"/>
    <x v="0"/>
    <x v="3"/>
    <s v="Automotive Electronics"/>
    <s v="Safety"/>
    <s v="Semiconductor Revenue M$"/>
    <x v="6"/>
    <n v="0"/>
  </r>
  <r>
    <s v="Integrated AI"/>
    <x v="0"/>
    <x v="3"/>
    <s v="Automotive Electronics"/>
    <s v="Aftermarket"/>
    <s v="Semiconductor Revenue M$"/>
    <x v="0"/>
    <n v="0"/>
  </r>
  <r>
    <s v="Integrated AI"/>
    <x v="0"/>
    <x v="3"/>
    <s v="Automotive Electronics"/>
    <s v="Aftermarket"/>
    <s v="Semiconductor Revenue M$"/>
    <x v="1"/>
    <n v="0"/>
  </r>
  <r>
    <s v="Integrated AI"/>
    <x v="0"/>
    <x v="3"/>
    <s v="Automotive Electronics"/>
    <s v="Aftermarket"/>
    <s v="Semiconductor Revenue M$"/>
    <x v="2"/>
    <n v="0"/>
  </r>
  <r>
    <s v="Integrated AI"/>
    <x v="0"/>
    <x v="3"/>
    <s v="Automotive Electronics"/>
    <s v="Aftermarket"/>
    <s v="Semiconductor Revenue M$"/>
    <x v="3"/>
    <n v="0"/>
  </r>
  <r>
    <s v="Integrated AI"/>
    <x v="0"/>
    <x v="3"/>
    <s v="Automotive Electronics"/>
    <s v="Aftermarket"/>
    <s v="Semiconductor Revenue M$"/>
    <x v="4"/>
    <n v="0"/>
  </r>
  <r>
    <s v="Integrated AI"/>
    <x v="0"/>
    <x v="3"/>
    <s v="Automotive Electronics"/>
    <s v="Aftermarket"/>
    <s v="Semiconductor Revenue M$"/>
    <x v="5"/>
    <n v="0"/>
  </r>
  <r>
    <s v="Integrated AI"/>
    <x v="0"/>
    <x v="3"/>
    <s v="Automotive Electronics"/>
    <s v="Aftermarket"/>
    <s v="Semiconductor Revenue M$"/>
    <x v="6"/>
    <n v="0"/>
  </r>
  <r>
    <s v="Integrated AI"/>
    <x v="0"/>
    <x v="5"/>
    <s v="Industrial Electronics"/>
    <s v="Commercial Amusement"/>
    <s v="Semiconductor Revenue M$"/>
    <x v="0"/>
    <n v="0"/>
  </r>
  <r>
    <s v="Integrated AI"/>
    <x v="0"/>
    <x v="5"/>
    <s v="Industrial Electronics"/>
    <s v="Commercial Amusement"/>
    <s v="Semiconductor Revenue M$"/>
    <x v="1"/>
    <n v="0"/>
  </r>
  <r>
    <s v="Integrated AI"/>
    <x v="0"/>
    <x v="5"/>
    <s v="Industrial Electronics"/>
    <s v="Commercial Amusement"/>
    <s v="Semiconductor Revenue M$"/>
    <x v="2"/>
    <n v="0"/>
  </r>
  <r>
    <s v="Integrated AI"/>
    <x v="0"/>
    <x v="5"/>
    <s v="Industrial Electronics"/>
    <s v="Commercial Amusement"/>
    <s v="Semiconductor Revenue M$"/>
    <x v="3"/>
    <n v="0"/>
  </r>
  <r>
    <s v="Integrated AI"/>
    <x v="0"/>
    <x v="5"/>
    <s v="Industrial Electronics"/>
    <s v="Commercial Amusement"/>
    <s v="Semiconductor Revenue M$"/>
    <x v="4"/>
    <n v="0"/>
  </r>
  <r>
    <s v="Integrated AI"/>
    <x v="0"/>
    <x v="5"/>
    <s v="Industrial Electronics"/>
    <s v="Commercial Amusement"/>
    <s v="Semiconductor Revenue M$"/>
    <x v="5"/>
    <n v="0"/>
  </r>
  <r>
    <s v="Integrated AI"/>
    <x v="0"/>
    <x v="5"/>
    <s v="Industrial Electronics"/>
    <s v="Commercial Amusement"/>
    <s v="Semiconductor Revenue M$"/>
    <x v="6"/>
    <n v="0"/>
  </r>
  <r>
    <s v="Integrated AI"/>
    <x v="0"/>
    <x v="5"/>
    <s v="Industrial Electronics"/>
    <s v="Automation"/>
    <s v="Semiconductor Revenue M$"/>
    <x v="0"/>
    <n v="0"/>
  </r>
  <r>
    <s v="Integrated AI"/>
    <x v="0"/>
    <x v="5"/>
    <s v="Industrial Electronics"/>
    <s v="Automation"/>
    <s v="Semiconductor Revenue M$"/>
    <x v="1"/>
    <n v="0"/>
  </r>
  <r>
    <s v="Integrated AI"/>
    <x v="0"/>
    <x v="5"/>
    <s v="Industrial Electronics"/>
    <s v="Automation"/>
    <s v="Semiconductor Revenue M$"/>
    <x v="2"/>
    <n v="0"/>
  </r>
  <r>
    <s v="Integrated AI"/>
    <x v="0"/>
    <x v="5"/>
    <s v="Industrial Electronics"/>
    <s v="Automation"/>
    <s v="Semiconductor Revenue M$"/>
    <x v="3"/>
    <n v="0"/>
  </r>
  <r>
    <s v="Integrated AI"/>
    <x v="0"/>
    <x v="5"/>
    <s v="Industrial Electronics"/>
    <s v="Automation"/>
    <s v="Semiconductor Revenue M$"/>
    <x v="4"/>
    <n v="0"/>
  </r>
  <r>
    <s v="Integrated AI"/>
    <x v="0"/>
    <x v="5"/>
    <s v="Industrial Electronics"/>
    <s v="Automation"/>
    <s v="Semiconductor Revenue M$"/>
    <x v="5"/>
    <n v="0"/>
  </r>
  <r>
    <s v="Integrated AI"/>
    <x v="0"/>
    <x v="5"/>
    <s v="Industrial Electronics"/>
    <s v="Automation"/>
    <s v="Semiconductor Revenue M$"/>
    <x v="6"/>
    <n v="0"/>
  </r>
  <r>
    <s v="Integrated AI"/>
    <x v="0"/>
    <x v="5"/>
    <s v="Industrial Electronics"/>
    <s v="Energy Management"/>
    <s v="Semiconductor Revenue M$"/>
    <x v="0"/>
    <n v="0"/>
  </r>
  <r>
    <s v="Integrated AI"/>
    <x v="0"/>
    <x v="5"/>
    <s v="Industrial Electronics"/>
    <s v="Energy Management"/>
    <s v="Semiconductor Revenue M$"/>
    <x v="1"/>
    <n v="0"/>
  </r>
  <r>
    <s v="Integrated AI"/>
    <x v="0"/>
    <x v="5"/>
    <s v="Industrial Electronics"/>
    <s v="Energy Management"/>
    <s v="Semiconductor Revenue M$"/>
    <x v="2"/>
    <n v="0"/>
  </r>
  <r>
    <s v="Integrated AI"/>
    <x v="0"/>
    <x v="5"/>
    <s v="Industrial Electronics"/>
    <s v="Energy Management"/>
    <s v="Semiconductor Revenue M$"/>
    <x v="3"/>
    <n v="0"/>
  </r>
  <r>
    <s v="Integrated AI"/>
    <x v="0"/>
    <x v="5"/>
    <s v="Industrial Electronics"/>
    <s v="Energy Management"/>
    <s v="Semiconductor Revenue M$"/>
    <x v="4"/>
    <n v="0"/>
  </r>
  <r>
    <s v="Integrated AI"/>
    <x v="0"/>
    <x v="5"/>
    <s v="Industrial Electronics"/>
    <s v="Energy Management"/>
    <s v="Semiconductor Revenue M$"/>
    <x v="5"/>
    <n v="0"/>
  </r>
  <r>
    <s v="Integrated AI"/>
    <x v="0"/>
    <x v="5"/>
    <s v="Industrial Electronics"/>
    <s v="Energy Management"/>
    <s v="Semiconductor Revenue M$"/>
    <x v="6"/>
    <n v="0"/>
  </r>
  <r>
    <s v="Integrated AI"/>
    <x v="0"/>
    <x v="5"/>
    <s v="Industrial Electronics"/>
    <s v="Solid-State Lighting"/>
    <s v="Semiconductor Revenue M$"/>
    <x v="0"/>
    <n v="0"/>
  </r>
  <r>
    <s v="Integrated AI"/>
    <x v="0"/>
    <x v="5"/>
    <s v="Industrial Electronics"/>
    <s v="Solid-State Lighting"/>
    <s v="Semiconductor Revenue M$"/>
    <x v="1"/>
    <n v="0"/>
  </r>
  <r>
    <s v="Integrated AI"/>
    <x v="0"/>
    <x v="5"/>
    <s v="Industrial Electronics"/>
    <s v="Solid-State Lighting"/>
    <s v="Semiconductor Revenue M$"/>
    <x v="2"/>
    <n v="0"/>
  </r>
  <r>
    <s v="Integrated AI"/>
    <x v="0"/>
    <x v="5"/>
    <s v="Industrial Electronics"/>
    <s v="Solid-State Lighting"/>
    <s v="Semiconductor Revenue M$"/>
    <x v="3"/>
    <n v="0"/>
  </r>
  <r>
    <s v="Integrated AI"/>
    <x v="0"/>
    <x v="5"/>
    <s v="Industrial Electronics"/>
    <s v="Solid-State Lighting"/>
    <s v="Semiconductor Revenue M$"/>
    <x v="4"/>
    <n v="0"/>
  </r>
  <r>
    <s v="Integrated AI"/>
    <x v="0"/>
    <x v="5"/>
    <s v="Industrial Electronics"/>
    <s v="Solid-State Lighting"/>
    <s v="Semiconductor Revenue M$"/>
    <x v="5"/>
    <n v="0"/>
  </r>
  <r>
    <s v="Integrated AI"/>
    <x v="0"/>
    <x v="5"/>
    <s v="Industrial Electronics"/>
    <s v="Solid-State Lighting"/>
    <s v="Semiconductor Revenue M$"/>
    <x v="6"/>
    <n v="0"/>
  </r>
  <r>
    <s v="Integrated AI"/>
    <x v="0"/>
    <x v="5"/>
    <s v="Industrial Electronics"/>
    <s v="Medical/Healthcare"/>
    <s v="Semiconductor Revenue M$"/>
    <x v="0"/>
    <n v="0"/>
  </r>
  <r>
    <s v="Integrated AI"/>
    <x v="0"/>
    <x v="5"/>
    <s v="Industrial Electronics"/>
    <s v="Medical/Healthcare"/>
    <s v="Semiconductor Revenue M$"/>
    <x v="1"/>
    <n v="0"/>
  </r>
  <r>
    <s v="Integrated AI"/>
    <x v="0"/>
    <x v="5"/>
    <s v="Industrial Electronics"/>
    <s v="Medical/Healthcare"/>
    <s v="Semiconductor Revenue M$"/>
    <x v="2"/>
    <n v="0"/>
  </r>
  <r>
    <s v="Integrated AI"/>
    <x v="0"/>
    <x v="5"/>
    <s v="Industrial Electronics"/>
    <s v="Medical/Healthcare"/>
    <s v="Semiconductor Revenue M$"/>
    <x v="3"/>
    <n v="0"/>
  </r>
  <r>
    <s v="Integrated AI"/>
    <x v="0"/>
    <x v="5"/>
    <s v="Industrial Electronics"/>
    <s v="Medical/Healthcare"/>
    <s v="Semiconductor Revenue M$"/>
    <x v="4"/>
    <n v="0"/>
  </r>
  <r>
    <s v="Integrated AI"/>
    <x v="0"/>
    <x v="5"/>
    <s v="Industrial Electronics"/>
    <s v="Medical/Healthcare"/>
    <s v="Semiconductor Revenue M$"/>
    <x v="5"/>
    <n v="0"/>
  </r>
  <r>
    <s v="Integrated AI"/>
    <x v="0"/>
    <x v="5"/>
    <s v="Industrial Electronics"/>
    <s v="Medical/Healthcare"/>
    <s v="Semiconductor Revenue M$"/>
    <x v="6"/>
    <n v="0"/>
  </r>
  <r>
    <s v="Integrated AI"/>
    <x v="0"/>
    <x v="5"/>
    <s v="Industrial Electronics"/>
    <s v="Test/Measurement"/>
    <s v="Semiconductor Revenue M$"/>
    <x v="0"/>
    <n v="0"/>
  </r>
  <r>
    <s v="Integrated AI"/>
    <x v="0"/>
    <x v="5"/>
    <s v="Industrial Electronics"/>
    <s v="Test/Measurement"/>
    <s v="Semiconductor Revenue M$"/>
    <x v="1"/>
    <n v="0"/>
  </r>
  <r>
    <s v="Integrated AI"/>
    <x v="0"/>
    <x v="5"/>
    <s v="Industrial Electronics"/>
    <s v="Test/Measurement"/>
    <s v="Semiconductor Revenue M$"/>
    <x v="2"/>
    <n v="0"/>
  </r>
  <r>
    <s v="Integrated AI"/>
    <x v="0"/>
    <x v="5"/>
    <s v="Industrial Electronics"/>
    <s v="Test/Measurement"/>
    <s v="Semiconductor Revenue M$"/>
    <x v="3"/>
    <n v="0"/>
  </r>
  <r>
    <s v="Integrated AI"/>
    <x v="0"/>
    <x v="5"/>
    <s v="Industrial Electronics"/>
    <s v="Test/Measurement"/>
    <s v="Semiconductor Revenue M$"/>
    <x v="4"/>
    <n v="0"/>
  </r>
  <r>
    <s v="Integrated AI"/>
    <x v="0"/>
    <x v="5"/>
    <s v="Industrial Electronics"/>
    <s v="Test/Measurement"/>
    <s v="Semiconductor Revenue M$"/>
    <x v="5"/>
    <n v="0"/>
  </r>
  <r>
    <s v="Integrated AI"/>
    <x v="0"/>
    <x v="5"/>
    <s v="Industrial Electronics"/>
    <s v="Test/Measurement"/>
    <s v="Semiconductor Revenue M$"/>
    <x v="6"/>
    <n v="0"/>
  </r>
  <r>
    <s v="Integrated AI"/>
    <x v="0"/>
    <x v="5"/>
    <s v="Industrial Electronics"/>
    <s v="Other Security"/>
    <s v="Semiconductor Revenue M$"/>
    <x v="0"/>
    <n v="0"/>
  </r>
  <r>
    <s v="Integrated AI"/>
    <x v="0"/>
    <x v="5"/>
    <s v="Industrial Electronics"/>
    <s v="Other Security"/>
    <s v="Semiconductor Revenue M$"/>
    <x v="1"/>
    <n v="0"/>
  </r>
  <r>
    <s v="Integrated AI"/>
    <x v="0"/>
    <x v="5"/>
    <s v="Industrial Electronics"/>
    <s v="Other Security"/>
    <s v="Semiconductor Revenue M$"/>
    <x v="2"/>
    <n v="0"/>
  </r>
  <r>
    <s v="Integrated AI"/>
    <x v="0"/>
    <x v="5"/>
    <s v="Industrial Electronics"/>
    <s v="Other Security"/>
    <s v="Semiconductor Revenue M$"/>
    <x v="3"/>
    <n v="0"/>
  </r>
  <r>
    <s v="Integrated AI"/>
    <x v="0"/>
    <x v="5"/>
    <s v="Industrial Electronics"/>
    <s v="Other Security"/>
    <s v="Semiconductor Revenue M$"/>
    <x v="4"/>
    <n v="0"/>
  </r>
  <r>
    <s v="Integrated AI"/>
    <x v="0"/>
    <x v="5"/>
    <s v="Industrial Electronics"/>
    <s v="Other Security"/>
    <s v="Semiconductor Revenue M$"/>
    <x v="5"/>
    <n v="0"/>
  </r>
  <r>
    <s v="Integrated AI"/>
    <x v="0"/>
    <x v="5"/>
    <s v="Industrial Electronics"/>
    <s v="Other Security"/>
    <s v="Semiconductor Revenue M$"/>
    <x v="6"/>
    <n v="0"/>
  </r>
  <r>
    <s v="Integrated AI"/>
    <x v="0"/>
    <x v="5"/>
    <s v="Industrial Electronics"/>
    <s v="Transportation"/>
    <s v="Semiconductor Revenue M$"/>
    <x v="0"/>
    <n v="0"/>
  </r>
  <r>
    <s v="Integrated AI"/>
    <x v="0"/>
    <x v="5"/>
    <s v="Industrial Electronics"/>
    <s v="Transportation"/>
    <s v="Semiconductor Revenue M$"/>
    <x v="1"/>
    <n v="0"/>
  </r>
  <r>
    <s v="Integrated AI"/>
    <x v="0"/>
    <x v="5"/>
    <s v="Industrial Electronics"/>
    <s v="Transportation"/>
    <s v="Semiconductor Revenue M$"/>
    <x v="2"/>
    <n v="0"/>
  </r>
  <r>
    <s v="Integrated AI"/>
    <x v="0"/>
    <x v="5"/>
    <s v="Industrial Electronics"/>
    <s v="Transportation"/>
    <s v="Semiconductor Revenue M$"/>
    <x v="3"/>
    <n v="0"/>
  </r>
  <r>
    <s v="Integrated AI"/>
    <x v="0"/>
    <x v="5"/>
    <s v="Industrial Electronics"/>
    <s v="Transportation"/>
    <s v="Semiconductor Revenue M$"/>
    <x v="4"/>
    <n v="0"/>
  </r>
  <r>
    <s v="Integrated AI"/>
    <x v="0"/>
    <x v="5"/>
    <s v="Industrial Electronics"/>
    <s v="Transportation"/>
    <s v="Semiconductor Revenue M$"/>
    <x v="5"/>
    <n v="0"/>
  </r>
  <r>
    <s v="Integrated AI"/>
    <x v="0"/>
    <x v="5"/>
    <s v="Industrial Electronics"/>
    <s v="Transportation"/>
    <s v="Semiconductor Revenue M$"/>
    <x v="6"/>
    <n v="0"/>
  </r>
  <r>
    <s v="Integrated AI"/>
    <x v="0"/>
    <x v="5"/>
    <s v="Industrial Electronics"/>
    <s v="Other Industrial Electronics"/>
    <s v="Semiconductor Revenue M$"/>
    <x v="0"/>
    <n v="0"/>
  </r>
  <r>
    <s v="Integrated AI"/>
    <x v="0"/>
    <x v="5"/>
    <s v="Industrial Electronics"/>
    <s v="Other Industrial Electronics"/>
    <s v="Semiconductor Revenue M$"/>
    <x v="1"/>
    <n v="0"/>
  </r>
  <r>
    <s v="Integrated AI"/>
    <x v="0"/>
    <x v="5"/>
    <s v="Industrial Electronics"/>
    <s v="Other Industrial Electronics"/>
    <s v="Semiconductor Revenue M$"/>
    <x v="2"/>
    <n v="0"/>
  </r>
  <r>
    <s v="Integrated AI"/>
    <x v="0"/>
    <x v="5"/>
    <s v="Industrial Electronics"/>
    <s v="Other Industrial Electronics"/>
    <s v="Semiconductor Revenue M$"/>
    <x v="3"/>
    <n v="0"/>
  </r>
  <r>
    <s v="Integrated AI"/>
    <x v="0"/>
    <x v="5"/>
    <s v="Industrial Electronics"/>
    <s v="Other Industrial Electronics"/>
    <s v="Semiconductor Revenue M$"/>
    <x v="4"/>
    <n v="0"/>
  </r>
  <r>
    <s v="Integrated AI"/>
    <x v="0"/>
    <x v="5"/>
    <s v="Industrial Electronics"/>
    <s v="Other Industrial Electronics"/>
    <s v="Semiconductor Revenue M$"/>
    <x v="5"/>
    <n v="0"/>
  </r>
  <r>
    <s v="Integrated AI"/>
    <x v="0"/>
    <x v="5"/>
    <s v="Industrial Electronics"/>
    <s v="Other Industrial Electronics"/>
    <s v="Semiconductor Revenue M$"/>
    <x v="6"/>
    <n v="0"/>
  </r>
  <r>
    <s v="Integrated AI"/>
    <x v="0"/>
    <x v="5"/>
    <s v="Industrial Electronics"/>
    <s v="Military/Civil Aerospace Electronics"/>
    <s v="Semiconductor Revenue M$"/>
    <x v="0"/>
    <n v="0"/>
  </r>
  <r>
    <s v="Integrated AI"/>
    <x v="0"/>
    <x v="5"/>
    <s v="Industrial Electronics"/>
    <s v="Military/Civil Aerospace Electronics"/>
    <s v="Semiconductor Revenue M$"/>
    <x v="1"/>
    <n v="0"/>
  </r>
  <r>
    <s v="Integrated AI"/>
    <x v="0"/>
    <x v="5"/>
    <s v="Industrial Electronics"/>
    <s v="Military/Civil Aerospace Electronics"/>
    <s v="Semiconductor Revenue M$"/>
    <x v="2"/>
    <n v="0"/>
  </r>
  <r>
    <s v="Integrated AI"/>
    <x v="0"/>
    <x v="5"/>
    <s v="Industrial Electronics"/>
    <s v="Military/Civil Aerospace Electronics"/>
    <s v="Semiconductor Revenue M$"/>
    <x v="3"/>
    <n v="0"/>
  </r>
  <r>
    <s v="Integrated AI"/>
    <x v="0"/>
    <x v="5"/>
    <s v="Industrial Electronics"/>
    <s v="Military/Civil Aerospace Electronics"/>
    <s v="Semiconductor Revenue M$"/>
    <x v="4"/>
    <n v="0"/>
  </r>
  <r>
    <s v="Integrated AI"/>
    <x v="0"/>
    <x v="5"/>
    <s v="Industrial Electronics"/>
    <s v="Military/Civil Aerospace Electronics"/>
    <s v="Semiconductor Revenue M$"/>
    <x v="5"/>
    <n v="0"/>
  </r>
  <r>
    <s v="Integrated AI"/>
    <x v="0"/>
    <x v="5"/>
    <s v="Industrial Electronics"/>
    <s v="Military/Civil Aerospace Electronics"/>
    <s v="Semiconductor Revenue M$"/>
    <x v="6"/>
    <n v="0"/>
  </r>
  <r>
    <s v="Integrated AI"/>
    <x v="1"/>
    <x v="0"/>
    <s v="Compute"/>
    <s v="External Monitor"/>
    <s v="Semiconductor Revenue M$"/>
    <x v="0"/>
    <n v="0"/>
  </r>
  <r>
    <s v="Integrated AI"/>
    <x v="1"/>
    <x v="0"/>
    <s v="Compute"/>
    <s v="External Monitor"/>
    <s v="Semiconductor Revenue M$"/>
    <x v="1"/>
    <n v="0"/>
  </r>
  <r>
    <s v="Integrated AI"/>
    <x v="1"/>
    <x v="0"/>
    <s v="Compute"/>
    <s v="External Monitor"/>
    <s v="Semiconductor Revenue M$"/>
    <x v="2"/>
    <n v="0"/>
  </r>
  <r>
    <s v="Integrated AI"/>
    <x v="1"/>
    <x v="0"/>
    <s v="Compute"/>
    <s v="External Monitor"/>
    <s v="Semiconductor Revenue M$"/>
    <x v="3"/>
    <n v="0"/>
  </r>
  <r>
    <s v="Integrated AI"/>
    <x v="1"/>
    <x v="0"/>
    <s v="Compute"/>
    <s v="External Monitor"/>
    <s v="Semiconductor Revenue M$"/>
    <x v="4"/>
    <n v="0"/>
  </r>
  <r>
    <s v="Integrated AI"/>
    <x v="1"/>
    <x v="0"/>
    <s v="Compute"/>
    <s v="External Monitor"/>
    <s v="Semiconductor Revenue M$"/>
    <x v="5"/>
    <n v="0"/>
  </r>
  <r>
    <s v="Integrated AI"/>
    <x v="1"/>
    <x v="0"/>
    <s v="Compute"/>
    <s v="External Monitor"/>
    <s v="Semiconductor Revenue M$"/>
    <x v="6"/>
    <n v="0"/>
  </r>
  <r>
    <s v="Integrated AI"/>
    <x v="1"/>
    <x v="0"/>
    <s v="PC"/>
    <s v="Graphics Cards"/>
    <s v="Semiconductor Revenue M$"/>
    <x v="0"/>
    <n v="0"/>
  </r>
  <r>
    <s v="Integrated AI"/>
    <x v="1"/>
    <x v="0"/>
    <s v="PC"/>
    <s v="Graphics Cards"/>
    <s v="Semiconductor Revenue M$"/>
    <x v="1"/>
    <n v="0"/>
  </r>
  <r>
    <s v="Integrated AI"/>
    <x v="1"/>
    <x v="0"/>
    <s v="PC"/>
    <s v="Graphics Cards"/>
    <s v="Semiconductor Revenue M$"/>
    <x v="2"/>
    <n v="0"/>
  </r>
  <r>
    <s v="Integrated AI"/>
    <x v="1"/>
    <x v="0"/>
    <s v="PC"/>
    <s v="Graphics Cards"/>
    <s v="Semiconductor Revenue M$"/>
    <x v="3"/>
    <n v="0"/>
  </r>
  <r>
    <s v="Integrated AI"/>
    <x v="1"/>
    <x v="0"/>
    <s v="PC"/>
    <s v="Graphics Cards"/>
    <s v="Semiconductor Revenue M$"/>
    <x v="4"/>
    <n v="0"/>
  </r>
  <r>
    <s v="Integrated AI"/>
    <x v="1"/>
    <x v="0"/>
    <s v="PC"/>
    <s v="Graphics Cards"/>
    <s v="Semiconductor Revenue M$"/>
    <x v="5"/>
    <n v="0"/>
  </r>
  <r>
    <s v="Integrated AI"/>
    <x v="1"/>
    <x v="0"/>
    <s v="PC"/>
    <s v="Graphics Cards"/>
    <s v="Semiconductor Revenue M$"/>
    <x v="6"/>
    <n v="0"/>
  </r>
  <r>
    <s v="Integrated AI"/>
    <x v="1"/>
    <x v="0"/>
    <s v="PC"/>
    <s v="Desk-Based PC"/>
    <s v="Semiconductor Revenue M$"/>
    <x v="0"/>
    <n v="0"/>
  </r>
  <r>
    <s v="Integrated AI"/>
    <x v="1"/>
    <x v="0"/>
    <s v="PC"/>
    <s v="Desk-Based PC"/>
    <s v="Semiconductor Revenue M$"/>
    <x v="1"/>
    <n v="0"/>
  </r>
  <r>
    <s v="Integrated AI"/>
    <x v="1"/>
    <x v="0"/>
    <s v="PC"/>
    <s v="Desk-Based PC"/>
    <s v="Semiconductor Revenue M$"/>
    <x v="2"/>
    <n v="0"/>
  </r>
  <r>
    <s v="Integrated AI"/>
    <x v="1"/>
    <x v="0"/>
    <s v="PC"/>
    <s v="Desk-Based PC"/>
    <s v="Semiconductor Revenue M$"/>
    <x v="3"/>
    <n v="0"/>
  </r>
  <r>
    <s v="Integrated AI"/>
    <x v="1"/>
    <x v="0"/>
    <s v="PC"/>
    <s v="Desk-Based PC"/>
    <s v="Semiconductor Revenue M$"/>
    <x v="4"/>
    <n v="0"/>
  </r>
  <r>
    <s v="Integrated AI"/>
    <x v="1"/>
    <x v="0"/>
    <s v="PC"/>
    <s v="Desk-Based PC"/>
    <s v="Semiconductor Revenue M$"/>
    <x v="5"/>
    <n v="0"/>
  </r>
  <r>
    <s v="Integrated AI"/>
    <x v="1"/>
    <x v="0"/>
    <s v="PC"/>
    <s v="Desk-Based PC"/>
    <s v="Semiconductor Revenue M$"/>
    <x v="6"/>
    <n v="0"/>
  </r>
  <r>
    <s v="Integrated AI"/>
    <x v="1"/>
    <x v="0"/>
    <s v="PC"/>
    <s v="Ultramobile Basic, Tablet"/>
    <s v="Semiconductor Revenue M$"/>
    <x v="0"/>
    <n v="0"/>
  </r>
  <r>
    <s v="Integrated AI"/>
    <x v="1"/>
    <x v="0"/>
    <s v="PC"/>
    <s v="Ultramobile Basic, Tablet"/>
    <s v="Semiconductor Revenue M$"/>
    <x v="1"/>
    <n v="0"/>
  </r>
  <r>
    <s v="Integrated AI"/>
    <x v="1"/>
    <x v="0"/>
    <s v="PC"/>
    <s v="Ultramobile Basic, Tablet"/>
    <s v="Semiconductor Revenue M$"/>
    <x v="2"/>
    <n v="0"/>
  </r>
  <r>
    <s v="Integrated AI"/>
    <x v="1"/>
    <x v="0"/>
    <s v="PC"/>
    <s v="Ultramobile Basic, Tablet"/>
    <s v="Semiconductor Revenue M$"/>
    <x v="3"/>
    <n v="0"/>
  </r>
  <r>
    <s v="Integrated AI"/>
    <x v="1"/>
    <x v="0"/>
    <s v="PC"/>
    <s v="Ultramobile Basic, Tablet"/>
    <s v="Semiconductor Revenue M$"/>
    <x v="4"/>
    <n v="0"/>
  </r>
  <r>
    <s v="Integrated AI"/>
    <x v="1"/>
    <x v="0"/>
    <s v="PC"/>
    <s v="Ultramobile Basic, Tablet"/>
    <s v="Semiconductor Revenue M$"/>
    <x v="5"/>
    <n v="0"/>
  </r>
  <r>
    <s v="Integrated AI"/>
    <x v="1"/>
    <x v="0"/>
    <s v="PC"/>
    <s v="Ultramobile Basic, Tablet"/>
    <s v="Semiconductor Revenue M$"/>
    <x v="6"/>
    <n v="0"/>
  </r>
  <r>
    <s v="Integrated AI"/>
    <x v="1"/>
    <x v="0"/>
    <s v="PC"/>
    <s v="Ultramobile Utility, Tablet"/>
    <s v="Semiconductor Revenue M$"/>
    <x v="0"/>
    <n v="0"/>
  </r>
  <r>
    <s v="Integrated AI"/>
    <x v="1"/>
    <x v="0"/>
    <s v="PC"/>
    <s v="Ultramobile Utility, Tablet"/>
    <s v="Semiconductor Revenue M$"/>
    <x v="1"/>
    <n v="0"/>
  </r>
  <r>
    <s v="Integrated AI"/>
    <x v="1"/>
    <x v="0"/>
    <s v="PC"/>
    <s v="Ultramobile Utility, Tablet"/>
    <s v="Semiconductor Revenue M$"/>
    <x v="2"/>
    <n v="0"/>
  </r>
  <r>
    <s v="Integrated AI"/>
    <x v="1"/>
    <x v="0"/>
    <s v="PC"/>
    <s v="Ultramobile Utility, Tablet"/>
    <s v="Semiconductor Revenue M$"/>
    <x v="3"/>
    <n v="0"/>
  </r>
  <r>
    <s v="Integrated AI"/>
    <x v="1"/>
    <x v="0"/>
    <s v="PC"/>
    <s v="Ultramobile Utility, Tablet"/>
    <s v="Semiconductor Revenue M$"/>
    <x v="4"/>
    <n v="0"/>
  </r>
  <r>
    <s v="Integrated AI"/>
    <x v="1"/>
    <x v="0"/>
    <s v="PC"/>
    <s v="Ultramobile Utility, Tablet"/>
    <s v="Semiconductor Revenue M$"/>
    <x v="5"/>
    <n v="0"/>
  </r>
  <r>
    <s v="Integrated AI"/>
    <x v="1"/>
    <x v="0"/>
    <s v="PC"/>
    <s v="Ultramobile Utility, Tablet"/>
    <s v="Semiconductor Revenue M$"/>
    <x v="6"/>
    <n v="0"/>
  </r>
  <r>
    <s v="Integrated AI"/>
    <x v="1"/>
    <x v="0"/>
    <s v="PC"/>
    <s v="Ultramobile Premium, Tablet"/>
    <s v="Semiconductor Revenue M$"/>
    <x v="0"/>
    <n v="0"/>
  </r>
  <r>
    <s v="Integrated AI"/>
    <x v="1"/>
    <x v="0"/>
    <s v="PC"/>
    <s v="Ultramobile Premium, Tablet"/>
    <s v="Semiconductor Revenue M$"/>
    <x v="1"/>
    <n v="0"/>
  </r>
  <r>
    <s v="Integrated AI"/>
    <x v="1"/>
    <x v="0"/>
    <s v="PC"/>
    <s v="Ultramobile Premium, Tablet"/>
    <s v="Semiconductor Revenue M$"/>
    <x v="2"/>
    <n v="0"/>
  </r>
  <r>
    <s v="Integrated AI"/>
    <x v="1"/>
    <x v="0"/>
    <s v="PC"/>
    <s v="Ultramobile Premium, Tablet"/>
    <s v="Semiconductor Revenue M$"/>
    <x v="3"/>
    <n v="0"/>
  </r>
  <r>
    <s v="Integrated AI"/>
    <x v="1"/>
    <x v="0"/>
    <s v="PC"/>
    <s v="Ultramobile Premium, Tablet"/>
    <s v="Semiconductor Revenue M$"/>
    <x v="4"/>
    <n v="0"/>
  </r>
  <r>
    <s v="Integrated AI"/>
    <x v="1"/>
    <x v="0"/>
    <s v="PC"/>
    <s v="Ultramobile Premium, Tablet"/>
    <s v="Semiconductor Revenue M$"/>
    <x v="5"/>
    <n v="0"/>
  </r>
  <r>
    <s v="Integrated AI"/>
    <x v="1"/>
    <x v="0"/>
    <s v="PC"/>
    <s v="Ultramobile Premium, Tablet"/>
    <s v="Semiconductor Revenue M$"/>
    <x v="6"/>
    <n v="0"/>
  </r>
  <r>
    <s v="Integrated AI"/>
    <x v="1"/>
    <x v="0"/>
    <s v="PC"/>
    <s v="Ultramobile Basic, Clamshell"/>
    <s v="Semiconductor Revenue M$"/>
    <x v="0"/>
    <n v="0"/>
  </r>
  <r>
    <s v="Integrated AI"/>
    <x v="1"/>
    <x v="0"/>
    <s v="PC"/>
    <s v="Ultramobile Basic, Clamshell"/>
    <s v="Semiconductor Revenue M$"/>
    <x v="1"/>
    <n v="0"/>
  </r>
  <r>
    <s v="Integrated AI"/>
    <x v="1"/>
    <x v="0"/>
    <s v="PC"/>
    <s v="Ultramobile Basic, Clamshell"/>
    <s v="Semiconductor Revenue M$"/>
    <x v="2"/>
    <n v="0"/>
  </r>
  <r>
    <s v="Integrated AI"/>
    <x v="1"/>
    <x v="0"/>
    <s v="PC"/>
    <s v="Ultramobile Basic, Clamshell"/>
    <s v="Semiconductor Revenue M$"/>
    <x v="3"/>
    <n v="0"/>
  </r>
  <r>
    <s v="Integrated AI"/>
    <x v="1"/>
    <x v="0"/>
    <s v="PC"/>
    <s v="Ultramobile Basic, Clamshell"/>
    <s v="Semiconductor Revenue M$"/>
    <x v="4"/>
    <n v="0"/>
  </r>
  <r>
    <s v="Integrated AI"/>
    <x v="1"/>
    <x v="0"/>
    <s v="PC"/>
    <s v="Ultramobile Basic, Clamshell"/>
    <s v="Semiconductor Revenue M$"/>
    <x v="5"/>
    <n v="0"/>
  </r>
  <r>
    <s v="Integrated AI"/>
    <x v="1"/>
    <x v="0"/>
    <s v="PC"/>
    <s v="Ultramobile Basic, Clamshell"/>
    <s v="Semiconductor Revenue M$"/>
    <x v="6"/>
    <n v="0"/>
  </r>
  <r>
    <s v="Integrated AI"/>
    <x v="1"/>
    <x v="0"/>
    <s v="PC"/>
    <s v="Ultramobile Premium, Clamshell"/>
    <s v="Semiconductor Revenue M$"/>
    <x v="0"/>
    <n v="0"/>
  </r>
  <r>
    <s v="Integrated AI"/>
    <x v="1"/>
    <x v="0"/>
    <s v="PC"/>
    <s v="Ultramobile Premium, Clamshell"/>
    <s v="Semiconductor Revenue M$"/>
    <x v="1"/>
    <n v="0"/>
  </r>
  <r>
    <s v="Integrated AI"/>
    <x v="1"/>
    <x v="0"/>
    <s v="PC"/>
    <s v="Ultramobile Premium, Clamshell"/>
    <s v="Semiconductor Revenue M$"/>
    <x v="2"/>
    <n v="0"/>
  </r>
  <r>
    <s v="Integrated AI"/>
    <x v="1"/>
    <x v="0"/>
    <s v="PC"/>
    <s v="Ultramobile Premium, Clamshell"/>
    <s v="Semiconductor Revenue M$"/>
    <x v="3"/>
    <n v="0"/>
  </r>
  <r>
    <s v="Integrated AI"/>
    <x v="1"/>
    <x v="0"/>
    <s v="PC"/>
    <s v="Ultramobile Premium, Clamshell"/>
    <s v="Semiconductor Revenue M$"/>
    <x v="4"/>
    <n v="0"/>
  </r>
  <r>
    <s v="Integrated AI"/>
    <x v="1"/>
    <x v="0"/>
    <s v="PC"/>
    <s v="Ultramobile Premium, Clamshell"/>
    <s v="Semiconductor Revenue M$"/>
    <x v="5"/>
    <n v="0"/>
  </r>
  <r>
    <s v="Integrated AI"/>
    <x v="1"/>
    <x v="0"/>
    <s v="PC"/>
    <s v="Ultramobile Premium, Clamshell"/>
    <s v="Semiconductor Revenue M$"/>
    <x v="6"/>
    <n v="0"/>
  </r>
  <r>
    <s v="Integrated AI"/>
    <x v="1"/>
    <x v="0"/>
    <s v="PC"/>
    <s v="Ultramobile Basic, Hybrid"/>
    <s v="Semiconductor Revenue M$"/>
    <x v="0"/>
    <n v="0"/>
  </r>
  <r>
    <s v="Integrated AI"/>
    <x v="1"/>
    <x v="0"/>
    <s v="PC"/>
    <s v="Ultramobile Basic, Hybrid"/>
    <s v="Semiconductor Revenue M$"/>
    <x v="1"/>
    <n v="0"/>
  </r>
  <r>
    <s v="Integrated AI"/>
    <x v="1"/>
    <x v="0"/>
    <s v="PC"/>
    <s v="Ultramobile Basic, Hybrid"/>
    <s v="Semiconductor Revenue M$"/>
    <x v="2"/>
    <n v="0"/>
  </r>
  <r>
    <s v="Integrated AI"/>
    <x v="1"/>
    <x v="0"/>
    <s v="PC"/>
    <s v="Ultramobile Basic, Hybrid"/>
    <s v="Semiconductor Revenue M$"/>
    <x v="3"/>
    <n v="0"/>
  </r>
  <r>
    <s v="Integrated AI"/>
    <x v="1"/>
    <x v="0"/>
    <s v="PC"/>
    <s v="Ultramobile Basic, Hybrid"/>
    <s v="Semiconductor Revenue M$"/>
    <x v="4"/>
    <n v="0"/>
  </r>
  <r>
    <s v="Integrated AI"/>
    <x v="1"/>
    <x v="0"/>
    <s v="PC"/>
    <s v="Ultramobile Basic, Hybrid"/>
    <s v="Semiconductor Revenue M$"/>
    <x v="5"/>
    <n v="0"/>
  </r>
  <r>
    <s v="Integrated AI"/>
    <x v="1"/>
    <x v="0"/>
    <s v="PC"/>
    <s v="Ultramobile Basic, Hybrid"/>
    <s v="Semiconductor Revenue M$"/>
    <x v="6"/>
    <n v="0"/>
  </r>
  <r>
    <s v="Integrated AI"/>
    <x v="1"/>
    <x v="0"/>
    <s v="PC"/>
    <s v="Ultramobile Premium, Hybrid"/>
    <s v="Semiconductor Revenue M$"/>
    <x v="0"/>
    <n v="0"/>
  </r>
  <r>
    <s v="Integrated AI"/>
    <x v="1"/>
    <x v="0"/>
    <s v="PC"/>
    <s v="Ultramobile Premium, Hybrid"/>
    <s v="Semiconductor Revenue M$"/>
    <x v="1"/>
    <n v="0"/>
  </r>
  <r>
    <s v="Integrated AI"/>
    <x v="1"/>
    <x v="0"/>
    <s v="PC"/>
    <s v="Ultramobile Premium, Hybrid"/>
    <s v="Semiconductor Revenue M$"/>
    <x v="2"/>
    <n v="0"/>
  </r>
  <r>
    <s v="Integrated AI"/>
    <x v="1"/>
    <x v="0"/>
    <s v="PC"/>
    <s v="Ultramobile Premium, Hybrid"/>
    <s v="Semiconductor Revenue M$"/>
    <x v="3"/>
    <n v="0"/>
  </r>
  <r>
    <s v="Integrated AI"/>
    <x v="1"/>
    <x v="0"/>
    <s v="PC"/>
    <s v="Ultramobile Premium, Hybrid"/>
    <s v="Semiconductor Revenue M$"/>
    <x v="4"/>
    <n v="0"/>
  </r>
  <r>
    <s v="Integrated AI"/>
    <x v="1"/>
    <x v="0"/>
    <s v="PC"/>
    <s v="Ultramobile Premium, Hybrid"/>
    <s v="Semiconductor Revenue M$"/>
    <x v="5"/>
    <n v="0"/>
  </r>
  <r>
    <s v="Integrated AI"/>
    <x v="1"/>
    <x v="0"/>
    <s v="PC"/>
    <s v="Ultramobile Premium, Hybrid"/>
    <s v="Semiconductor Revenue M$"/>
    <x v="6"/>
    <n v="0"/>
  </r>
  <r>
    <s v="Integrated AI"/>
    <x v="1"/>
    <x v="0"/>
    <s v="PC"/>
    <s v="Notebook"/>
    <s v="Semiconductor Revenue M$"/>
    <x v="0"/>
    <n v="0"/>
  </r>
  <r>
    <s v="Integrated AI"/>
    <x v="1"/>
    <x v="0"/>
    <s v="PC"/>
    <s v="Notebook"/>
    <s v="Semiconductor Revenue M$"/>
    <x v="1"/>
    <n v="0"/>
  </r>
  <r>
    <s v="Integrated AI"/>
    <x v="1"/>
    <x v="0"/>
    <s v="PC"/>
    <s v="Notebook"/>
    <s v="Semiconductor Revenue M$"/>
    <x v="2"/>
    <n v="0"/>
  </r>
  <r>
    <s v="Integrated AI"/>
    <x v="1"/>
    <x v="0"/>
    <s v="PC"/>
    <s v="Notebook"/>
    <s v="Semiconductor Revenue M$"/>
    <x v="3"/>
    <n v="0"/>
  </r>
  <r>
    <s v="Integrated AI"/>
    <x v="1"/>
    <x v="0"/>
    <s v="PC"/>
    <s v="Notebook"/>
    <s v="Semiconductor Revenue M$"/>
    <x v="4"/>
    <n v="0"/>
  </r>
  <r>
    <s v="Integrated AI"/>
    <x v="1"/>
    <x v="0"/>
    <s v="PC"/>
    <s v="Notebook"/>
    <s v="Semiconductor Revenue M$"/>
    <x v="5"/>
    <n v="0"/>
  </r>
  <r>
    <s v="Integrated AI"/>
    <x v="1"/>
    <x v="0"/>
    <s v="PC"/>
    <s v="Notebook"/>
    <s v="Semiconductor Revenue M$"/>
    <x v="6"/>
    <n v="0"/>
  </r>
  <r>
    <s v="Integrated AI"/>
    <x v="1"/>
    <x v="0"/>
    <s v="Compute"/>
    <s v="Printer/Copier"/>
    <s v="Semiconductor Revenue M$"/>
    <x v="0"/>
    <n v="3.0124243172105197E-2"/>
  </r>
  <r>
    <s v="Integrated AI"/>
    <x v="1"/>
    <x v="0"/>
    <s v="Compute"/>
    <s v="Printer/Copier"/>
    <s v="Semiconductor Revenue M$"/>
    <x v="1"/>
    <n v="0.10609040268799455"/>
  </r>
  <r>
    <s v="Integrated AI"/>
    <x v="1"/>
    <x v="0"/>
    <s v="Compute"/>
    <s v="Printer/Copier"/>
    <s v="Semiconductor Revenue M$"/>
    <x v="2"/>
    <n v="0.3039950236033736"/>
  </r>
  <r>
    <s v="Integrated AI"/>
    <x v="1"/>
    <x v="0"/>
    <s v="Compute"/>
    <s v="Printer/Copier"/>
    <s v="Semiconductor Revenue M$"/>
    <x v="3"/>
    <n v="0.88501873248442553"/>
  </r>
  <r>
    <s v="Integrated AI"/>
    <x v="1"/>
    <x v="0"/>
    <s v="Compute"/>
    <s v="Printer/Copier"/>
    <s v="Semiconductor Revenue M$"/>
    <x v="4"/>
    <n v="2.4208276039294812"/>
  </r>
  <r>
    <s v="Integrated AI"/>
    <x v="1"/>
    <x v="0"/>
    <s v="Compute"/>
    <s v="Printer/Copier"/>
    <s v="Semiconductor Revenue M$"/>
    <x v="5"/>
    <n v="5.2952447431831109"/>
  </r>
  <r>
    <s v="Integrated AI"/>
    <x v="1"/>
    <x v="0"/>
    <s v="Compute"/>
    <s v="Printer/Copier"/>
    <s v="Semiconductor Revenue M$"/>
    <x v="6"/>
    <n v="7.8873530620094954"/>
  </r>
  <r>
    <s v="Integrated AI"/>
    <x v="1"/>
    <x v="0"/>
    <s v="Compute"/>
    <s v="Flash Cards"/>
    <s v="Semiconductor Revenue M$"/>
    <x v="0"/>
    <n v="0"/>
  </r>
  <r>
    <s v="Integrated AI"/>
    <x v="1"/>
    <x v="0"/>
    <s v="Compute"/>
    <s v="Flash Cards"/>
    <s v="Semiconductor Revenue M$"/>
    <x v="1"/>
    <n v="0"/>
  </r>
  <r>
    <s v="Integrated AI"/>
    <x v="1"/>
    <x v="0"/>
    <s v="Compute"/>
    <s v="Flash Cards"/>
    <s v="Semiconductor Revenue M$"/>
    <x v="2"/>
    <n v="0"/>
  </r>
  <r>
    <s v="Integrated AI"/>
    <x v="1"/>
    <x v="0"/>
    <s v="Compute"/>
    <s v="Flash Cards"/>
    <s v="Semiconductor Revenue M$"/>
    <x v="3"/>
    <n v="0"/>
  </r>
  <r>
    <s v="Integrated AI"/>
    <x v="1"/>
    <x v="0"/>
    <s v="Compute"/>
    <s v="Flash Cards"/>
    <s v="Semiconductor Revenue M$"/>
    <x v="4"/>
    <n v="0"/>
  </r>
  <r>
    <s v="Integrated AI"/>
    <x v="1"/>
    <x v="0"/>
    <s v="Compute"/>
    <s v="Flash Cards"/>
    <s v="Semiconductor Revenue M$"/>
    <x v="5"/>
    <n v="0"/>
  </r>
  <r>
    <s v="Integrated AI"/>
    <x v="1"/>
    <x v="0"/>
    <s v="Compute"/>
    <s v="Flash Cards"/>
    <s v="Semiconductor Revenue M$"/>
    <x v="6"/>
    <n v="0"/>
  </r>
  <r>
    <s v="Integrated AI"/>
    <x v="1"/>
    <x v="0"/>
    <s v="Compute"/>
    <s v="USB Flash Drives"/>
    <s v="Semiconductor Revenue M$"/>
    <x v="0"/>
    <n v="0"/>
  </r>
  <r>
    <s v="Integrated AI"/>
    <x v="1"/>
    <x v="0"/>
    <s v="Compute"/>
    <s v="USB Flash Drives"/>
    <s v="Semiconductor Revenue M$"/>
    <x v="1"/>
    <n v="0"/>
  </r>
  <r>
    <s v="Integrated AI"/>
    <x v="1"/>
    <x v="0"/>
    <s v="Compute"/>
    <s v="USB Flash Drives"/>
    <s v="Semiconductor Revenue M$"/>
    <x v="2"/>
    <n v="0"/>
  </r>
  <r>
    <s v="Integrated AI"/>
    <x v="1"/>
    <x v="0"/>
    <s v="Compute"/>
    <s v="USB Flash Drives"/>
    <s v="Semiconductor Revenue M$"/>
    <x v="3"/>
    <n v="0"/>
  </r>
  <r>
    <s v="Integrated AI"/>
    <x v="1"/>
    <x v="0"/>
    <s v="Compute"/>
    <s v="USB Flash Drives"/>
    <s v="Semiconductor Revenue M$"/>
    <x v="4"/>
    <n v="0"/>
  </r>
  <r>
    <s v="Integrated AI"/>
    <x v="1"/>
    <x v="0"/>
    <s v="Compute"/>
    <s v="USB Flash Drives"/>
    <s v="Semiconductor Revenue M$"/>
    <x v="5"/>
    <n v="0"/>
  </r>
  <r>
    <s v="Integrated AI"/>
    <x v="1"/>
    <x v="0"/>
    <s v="Compute"/>
    <s v="USB Flash Drives"/>
    <s v="Semiconductor Revenue M$"/>
    <x v="6"/>
    <n v="0"/>
  </r>
  <r>
    <s v="Integrated AI"/>
    <x v="1"/>
    <x v="0"/>
    <s v="Servers"/>
    <s v="Server, 4 CPU sockets and over"/>
    <s v="Semiconductor Revenue M$"/>
    <x v="0"/>
    <n v="0"/>
  </r>
  <r>
    <s v="Integrated AI"/>
    <x v="1"/>
    <x v="0"/>
    <s v="Servers"/>
    <s v="Server, 4 CPU sockets and over"/>
    <s v="Semiconductor Revenue M$"/>
    <x v="1"/>
    <n v="0"/>
  </r>
  <r>
    <s v="Integrated AI"/>
    <x v="1"/>
    <x v="0"/>
    <s v="Servers"/>
    <s v="Server, 4 CPU sockets and over"/>
    <s v="Semiconductor Revenue M$"/>
    <x v="2"/>
    <n v="0"/>
  </r>
  <r>
    <s v="Integrated AI"/>
    <x v="1"/>
    <x v="0"/>
    <s v="Servers"/>
    <s v="Server, 4 CPU sockets and over"/>
    <s v="Semiconductor Revenue M$"/>
    <x v="3"/>
    <n v="0"/>
  </r>
  <r>
    <s v="Integrated AI"/>
    <x v="1"/>
    <x v="0"/>
    <s v="Servers"/>
    <s v="Server, 4 CPU sockets and over"/>
    <s v="Semiconductor Revenue M$"/>
    <x v="4"/>
    <n v="0"/>
  </r>
  <r>
    <s v="Integrated AI"/>
    <x v="1"/>
    <x v="0"/>
    <s v="Servers"/>
    <s v="Server, 4 CPU sockets and over"/>
    <s v="Semiconductor Revenue M$"/>
    <x v="5"/>
    <n v="0"/>
  </r>
  <r>
    <s v="Integrated AI"/>
    <x v="1"/>
    <x v="0"/>
    <s v="Servers"/>
    <s v="Server, 4 CPU sockets and over"/>
    <s v="Semiconductor Revenue M$"/>
    <x v="6"/>
    <n v="0"/>
  </r>
  <r>
    <s v="Integrated AI"/>
    <x v="1"/>
    <x v="0"/>
    <s v="Servers"/>
    <s v="Server, 2 CPU socket"/>
    <s v="Semiconductor Revenue M$"/>
    <x v="0"/>
    <n v="0"/>
  </r>
  <r>
    <s v="Integrated AI"/>
    <x v="1"/>
    <x v="0"/>
    <s v="Servers"/>
    <s v="Server, 2 CPU socket"/>
    <s v="Semiconductor Revenue M$"/>
    <x v="1"/>
    <n v="0"/>
  </r>
  <r>
    <s v="Integrated AI"/>
    <x v="1"/>
    <x v="0"/>
    <s v="Servers"/>
    <s v="Server, 2 CPU socket"/>
    <s v="Semiconductor Revenue M$"/>
    <x v="2"/>
    <n v="0"/>
  </r>
  <r>
    <s v="Integrated AI"/>
    <x v="1"/>
    <x v="0"/>
    <s v="Servers"/>
    <s v="Server, 2 CPU socket"/>
    <s v="Semiconductor Revenue M$"/>
    <x v="3"/>
    <n v="0"/>
  </r>
  <r>
    <s v="Integrated AI"/>
    <x v="1"/>
    <x v="0"/>
    <s v="Servers"/>
    <s v="Server, 2 CPU socket"/>
    <s v="Semiconductor Revenue M$"/>
    <x v="4"/>
    <n v="0"/>
  </r>
  <r>
    <s v="Integrated AI"/>
    <x v="1"/>
    <x v="0"/>
    <s v="Servers"/>
    <s v="Server, 2 CPU socket"/>
    <s v="Semiconductor Revenue M$"/>
    <x v="5"/>
    <n v="0"/>
  </r>
  <r>
    <s v="Integrated AI"/>
    <x v="1"/>
    <x v="0"/>
    <s v="Servers"/>
    <s v="Server, 2 CPU socket"/>
    <s v="Semiconductor Revenue M$"/>
    <x v="6"/>
    <n v="0"/>
  </r>
  <r>
    <s v="Integrated AI"/>
    <x v="1"/>
    <x v="0"/>
    <s v="Servers"/>
    <s v="Server, 1 CPU socket"/>
    <s v="Semiconductor Revenue M$"/>
    <x v="0"/>
    <n v="0"/>
  </r>
  <r>
    <s v="Integrated AI"/>
    <x v="1"/>
    <x v="0"/>
    <s v="Servers"/>
    <s v="Server, 1 CPU socket"/>
    <s v="Semiconductor Revenue M$"/>
    <x v="1"/>
    <n v="0"/>
  </r>
  <r>
    <s v="Integrated AI"/>
    <x v="1"/>
    <x v="0"/>
    <s v="Servers"/>
    <s v="Server, 1 CPU socket"/>
    <s v="Semiconductor Revenue M$"/>
    <x v="2"/>
    <n v="0"/>
  </r>
  <r>
    <s v="Integrated AI"/>
    <x v="1"/>
    <x v="0"/>
    <s v="Servers"/>
    <s v="Server, 1 CPU socket"/>
    <s v="Semiconductor Revenue M$"/>
    <x v="3"/>
    <n v="0"/>
  </r>
  <r>
    <s v="Integrated AI"/>
    <x v="1"/>
    <x v="0"/>
    <s v="Servers"/>
    <s v="Server, 1 CPU socket"/>
    <s v="Semiconductor Revenue M$"/>
    <x v="4"/>
    <n v="0"/>
  </r>
  <r>
    <s v="Integrated AI"/>
    <x v="1"/>
    <x v="0"/>
    <s v="Servers"/>
    <s v="Server, 1 CPU socket"/>
    <s v="Semiconductor Revenue M$"/>
    <x v="5"/>
    <n v="0"/>
  </r>
  <r>
    <s v="Integrated AI"/>
    <x v="1"/>
    <x v="0"/>
    <s v="Servers"/>
    <s v="Server, 1 CPU socket"/>
    <s v="Semiconductor Revenue M$"/>
    <x v="6"/>
    <n v="0"/>
  </r>
  <r>
    <s v="Integrated AI"/>
    <x v="1"/>
    <x v="0"/>
    <s v="Compute"/>
    <s v="Smart Cards"/>
    <s v="Semiconductor Revenue M$"/>
    <x v="0"/>
    <n v="0"/>
  </r>
  <r>
    <s v="Integrated AI"/>
    <x v="1"/>
    <x v="0"/>
    <s v="Compute"/>
    <s v="Smart Cards"/>
    <s v="Semiconductor Revenue M$"/>
    <x v="1"/>
    <n v="0"/>
  </r>
  <r>
    <s v="Integrated AI"/>
    <x v="1"/>
    <x v="0"/>
    <s v="Compute"/>
    <s v="Smart Cards"/>
    <s v="Semiconductor Revenue M$"/>
    <x v="2"/>
    <n v="0"/>
  </r>
  <r>
    <s v="Integrated AI"/>
    <x v="1"/>
    <x v="0"/>
    <s v="Compute"/>
    <s v="Smart Cards"/>
    <s v="Semiconductor Revenue M$"/>
    <x v="3"/>
    <n v="0"/>
  </r>
  <r>
    <s v="Integrated AI"/>
    <x v="1"/>
    <x v="0"/>
    <s v="Compute"/>
    <s v="Smart Cards"/>
    <s v="Semiconductor Revenue M$"/>
    <x v="4"/>
    <n v="0"/>
  </r>
  <r>
    <s v="Integrated AI"/>
    <x v="1"/>
    <x v="0"/>
    <s v="Compute"/>
    <s v="Smart Cards"/>
    <s v="Semiconductor Revenue M$"/>
    <x v="5"/>
    <n v="0"/>
  </r>
  <r>
    <s v="Integrated AI"/>
    <x v="1"/>
    <x v="0"/>
    <s v="Compute"/>
    <s v="Smart Cards"/>
    <s v="Semiconductor Revenue M$"/>
    <x v="6"/>
    <n v="0"/>
  </r>
  <r>
    <s v="Integrated AI"/>
    <x v="1"/>
    <x v="0"/>
    <s v="Servers"/>
    <s v="Accelerator Cards"/>
    <s v="Semiconductor Revenue M$"/>
    <x v="0"/>
    <n v="0"/>
  </r>
  <r>
    <s v="Integrated AI"/>
    <x v="1"/>
    <x v="0"/>
    <s v="Servers"/>
    <s v="Accelerator Cards"/>
    <s v="Semiconductor Revenue M$"/>
    <x v="1"/>
    <n v="0"/>
  </r>
  <r>
    <s v="Integrated AI"/>
    <x v="1"/>
    <x v="0"/>
    <s v="Servers"/>
    <s v="Accelerator Cards"/>
    <s v="Semiconductor Revenue M$"/>
    <x v="2"/>
    <n v="0"/>
  </r>
  <r>
    <s v="Integrated AI"/>
    <x v="1"/>
    <x v="0"/>
    <s v="Servers"/>
    <s v="Accelerator Cards"/>
    <s v="Semiconductor Revenue M$"/>
    <x v="3"/>
    <n v="0"/>
  </r>
  <r>
    <s v="Integrated AI"/>
    <x v="1"/>
    <x v="0"/>
    <s v="Servers"/>
    <s v="Accelerator Cards"/>
    <s v="Semiconductor Revenue M$"/>
    <x v="4"/>
    <n v="0"/>
  </r>
  <r>
    <s v="Integrated AI"/>
    <x v="1"/>
    <x v="0"/>
    <s v="Servers"/>
    <s v="Accelerator Cards"/>
    <s v="Semiconductor Revenue M$"/>
    <x v="5"/>
    <n v="0"/>
  </r>
  <r>
    <s v="Integrated AI"/>
    <x v="1"/>
    <x v="0"/>
    <s v="Servers"/>
    <s v="Accelerator Cards"/>
    <s v="Semiconductor Revenue M$"/>
    <x v="6"/>
    <n v="0"/>
  </r>
  <r>
    <s v="Integrated AI"/>
    <x v="1"/>
    <x v="1"/>
    <s v="Storage"/>
    <s v="Solid-State ECB"/>
    <s v="Semiconductor Revenue M$"/>
    <x v="0"/>
    <n v="2.1092912048288934E-2"/>
  </r>
  <r>
    <s v="Integrated AI"/>
    <x v="1"/>
    <x v="1"/>
    <s v="Storage"/>
    <s v="Solid-State ECB"/>
    <s v="Semiconductor Revenue M$"/>
    <x v="1"/>
    <n v="3.7327523396836815E-2"/>
  </r>
  <r>
    <s v="Integrated AI"/>
    <x v="1"/>
    <x v="1"/>
    <s v="Storage"/>
    <s v="Solid-State ECB"/>
    <s v="Semiconductor Revenue M$"/>
    <x v="2"/>
    <n v="6.7558555947551474E-2"/>
  </r>
  <r>
    <s v="Integrated AI"/>
    <x v="1"/>
    <x v="1"/>
    <s v="Storage"/>
    <s v="Solid-State ECB"/>
    <s v="Semiconductor Revenue M$"/>
    <x v="3"/>
    <n v="0.13560883076579169"/>
  </r>
  <r>
    <s v="Integrated AI"/>
    <x v="1"/>
    <x v="1"/>
    <s v="Storage"/>
    <s v="Solid-State ECB"/>
    <s v="Semiconductor Revenue M$"/>
    <x v="4"/>
    <n v="0.2621515950205261"/>
  </r>
  <r>
    <s v="Integrated AI"/>
    <x v="1"/>
    <x v="1"/>
    <s v="Storage"/>
    <s v="Solid-State ECB"/>
    <s v="Semiconductor Revenue M$"/>
    <x v="5"/>
    <n v="0.43745395870857312"/>
  </r>
  <r>
    <s v="Integrated AI"/>
    <x v="1"/>
    <x v="1"/>
    <s v="Storage"/>
    <s v="Solid-State ECB"/>
    <s v="Semiconductor Revenue M$"/>
    <x v="6"/>
    <n v="0.52314763199759806"/>
  </r>
  <r>
    <s v="Integrated AI"/>
    <x v="1"/>
    <x v="1"/>
    <s v="Storage"/>
    <s v="Other ECB (HDD/Hybrid)"/>
    <s v="Semiconductor Revenue M$"/>
    <x v="0"/>
    <n v="0.13374403310672123"/>
  </r>
  <r>
    <s v="Integrated AI"/>
    <x v="1"/>
    <x v="1"/>
    <s v="Storage"/>
    <s v="Other ECB (HDD/Hybrid)"/>
    <s v="Semiconductor Revenue M$"/>
    <x v="1"/>
    <n v="0.26643929476101469"/>
  </r>
  <r>
    <s v="Integrated AI"/>
    <x v="1"/>
    <x v="1"/>
    <s v="Storage"/>
    <s v="Other ECB (HDD/Hybrid)"/>
    <s v="Semiconductor Revenue M$"/>
    <x v="2"/>
    <n v="0.47861413366877842"/>
  </r>
  <r>
    <s v="Integrated AI"/>
    <x v="1"/>
    <x v="1"/>
    <s v="Storage"/>
    <s v="Other ECB (HDD/Hybrid)"/>
    <s v="Semiconductor Revenue M$"/>
    <x v="3"/>
    <n v="0.87956974626560769"/>
  </r>
  <r>
    <s v="Integrated AI"/>
    <x v="1"/>
    <x v="1"/>
    <s v="Storage"/>
    <s v="Other ECB (HDD/Hybrid)"/>
    <s v="Semiconductor Revenue M$"/>
    <x v="4"/>
    <n v="1.5994635614191826"/>
  </r>
  <r>
    <s v="Integrated AI"/>
    <x v="1"/>
    <x v="1"/>
    <s v="Storage"/>
    <s v="Other ECB (HDD/Hybrid)"/>
    <s v="Semiconductor Revenue M$"/>
    <x v="5"/>
    <n v="2.7475913139765882"/>
  </r>
  <r>
    <s v="Integrated AI"/>
    <x v="1"/>
    <x v="1"/>
    <s v="Storage"/>
    <s v="Other ECB (HDD/Hybrid)"/>
    <s v="Semiconductor Revenue M$"/>
    <x v="6"/>
    <n v="3.2879132686833765"/>
  </r>
  <r>
    <s v="Integrated AI"/>
    <x v="1"/>
    <x v="1"/>
    <s v="Storage"/>
    <s v="Storage Network Infrastructure"/>
    <s v="Semiconductor Revenue M$"/>
    <x v="0"/>
    <n v="0"/>
  </r>
  <r>
    <s v="Integrated AI"/>
    <x v="1"/>
    <x v="1"/>
    <s v="Storage"/>
    <s v="Storage Network Infrastructure"/>
    <s v="Semiconductor Revenue M$"/>
    <x v="1"/>
    <n v="0"/>
  </r>
  <r>
    <s v="Integrated AI"/>
    <x v="1"/>
    <x v="1"/>
    <s v="Storage"/>
    <s v="Storage Network Infrastructure"/>
    <s v="Semiconductor Revenue M$"/>
    <x v="2"/>
    <n v="0"/>
  </r>
  <r>
    <s v="Integrated AI"/>
    <x v="1"/>
    <x v="1"/>
    <s v="Storage"/>
    <s v="Storage Network Infrastructure"/>
    <s v="Semiconductor Revenue M$"/>
    <x v="3"/>
    <n v="0"/>
  </r>
  <r>
    <s v="Integrated AI"/>
    <x v="1"/>
    <x v="1"/>
    <s v="Storage"/>
    <s v="Storage Network Infrastructure"/>
    <s v="Semiconductor Revenue M$"/>
    <x v="4"/>
    <n v="0"/>
  </r>
  <r>
    <s v="Integrated AI"/>
    <x v="1"/>
    <x v="1"/>
    <s v="Storage"/>
    <s v="Storage Network Infrastructure"/>
    <s v="Semiconductor Revenue M$"/>
    <x v="5"/>
    <n v="0"/>
  </r>
  <r>
    <s v="Integrated AI"/>
    <x v="1"/>
    <x v="1"/>
    <s v="Storage"/>
    <s v="Storage Network Infrastructure"/>
    <s v="Semiconductor Revenue M$"/>
    <x v="6"/>
    <n v="0"/>
  </r>
  <r>
    <s v="Integrated AI"/>
    <x v="1"/>
    <x v="1"/>
    <s v="Storage"/>
    <s v="Hard Disk Drive"/>
    <s v="Semiconductor Revenue M$"/>
    <x v="0"/>
    <n v="0"/>
  </r>
  <r>
    <s v="Integrated AI"/>
    <x v="1"/>
    <x v="1"/>
    <s v="Storage"/>
    <s v="Hard Disk Drive"/>
    <s v="Semiconductor Revenue M$"/>
    <x v="1"/>
    <n v="0"/>
  </r>
  <r>
    <s v="Integrated AI"/>
    <x v="1"/>
    <x v="1"/>
    <s v="Storage"/>
    <s v="Hard Disk Drive"/>
    <s v="Semiconductor Revenue M$"/>
    <x v="2"/>
    <n v="0"/>
  </r>
  <r>
    <s v="Integrated AI"/>
    <x v="1"/>
    <x v="1"/>
    <s v="Storage"/>
    <s v="Hard Disk Drive"/>
    <s v="Semiconductor Revenue M$"/>
    <x v="3"/>
    <n v="0"/>
  </r>
  <r>
    <s v="Integrated AI"/>
    <x v="1"/>
    <x v="1"/>
    <s v="Storage"/>
    <s v="Hard Disk Drive"/>
    <s v="Semiconductor Revenue M$"/>
    <x v="4"/>
    <n v="0"/>
  </r>
  <r>
    <s v="Integrated AI"/>
    <x v="1"/>
    <x v="1"/>
    <s v="Storage"/>
    <s v="Hard Disk Drive"/>
    <s v="Semiconductor Revenue M$"/>
    <x v="5"/>
    <n v="0"/>
  </r>
  <r>
    <s v="Integrated AI"/>
    <x v="1"/>
    <x v="1"/>
    <s v="Storage"/>
    <s v="Hard Disk Drive"/>
    <s v="Semiconductor Revenue M$"/>
    <x v="6"/>
    <n v="0"/>
  </r>
  <r>
    <s v="Integrated AI"/>
    <x v="1"/>
    <x v="1"/>
    <s v="Storage"/>
    <s v="Solid-State Drives"/>
    <s v="Semiconductor Revenue M$"/>
    <x v="0"/>
    <n v="0"/>
  </r>
  <r>
    <s v="Integrated AI"/>
    <x v="1"/>
    <x v="1"/>
    <s v="Storage"/>
    <s v="Solid-State Drives"/>
    <s v="Semiconductor Revenue M$"/>
    <x v="1"/>
    <n v="0"/>
  </r>
  <r>
    <s v="Integrated AI"/>
    <x v="1"/>
    <x v="1"/>
    <s v="Storage"/>
    <s v="Solid-State Drives"/>
    <s v="Semiconductor Revenue M$"/>
    <x v="2"/>
    <n v="0"/>
  </r>
  <r>
    <s v="Integrated AI"/>
    <x v="1"/>
    <x v="1"/>
    <s v="Storage"/>
    <s v="Solid-State Drives"/>
    <s v="Semiconductor Revenue M$"/>
    <x v="3"/>
    <n v="0"/>
  </r>
  <r>
    <s v="Integrated AI"/>
    <x v="1"/>
    <x v="1"/>
    <s v="Storage"/>
    <s v="Solid-State Drives"/>
    <s v="Semiconductor Revenue M$"/>
    <x v="4"/>
    <n v="0"/>
  </r>
  <r>
    <s v="Integrated AI"/>
    <x v="1"/>
    <x v="1"/>
    <s v="Storage"/>
    <s v="Solid-State Drives"/>
    <s v="Semiconductor Revenue M$"/>
    <x v="5"/>
    <n v="0"/>
  </r>
  <r>
    <s v="Integrated AI"/>
    <x v="1"/>
    <x v="1"/>
    <s v="Storage"/>
    <s v="Solid-State Drives"/>
    <s v="Semiconductor Revenue M$"/>
    <x v="6"/>
    <n v="0"/>
  </r>
  <r>
    <s v="Integrated AI"/>
    <x v="1"/>
    <x v="1"/>
    <s v="Storage"/>
    <s v="Other Storage Media"/>
    <s v="Semiconductor Revenue M$"/>
    <x v="0"/>
    <n v="0"/>
  </r>
  <r>
    <s v="Integrated AI"/>
    <x v="1"/>
    <x v="1"/>
    <s v="Storage"/>
    <s v="Other Storage Media"/>
    <s v="Semiconductor Revenue M$"/>
    <x v="1"/>
    <n v="0"/>
  </r>
  <r>
    <s v="Integrated AI"/>
    <x v="1"/>
    <x v="1"/>
    <s v="Storage"/>
    <s v="Other Storage Media"/>
    <s v="Semiconductor Revenue M$"/>
    <x v="2"/>
    <n v="0"/>
  </r>
  <r>
    <s v="Integrated AI"/>
    <x v="1"/>
    <x v="1"/>
    <s v="Storage"/>
    <s v="Other Storage Media"/>
    <s v="Semiconductor Revenue M$"/>
    <x v="3"/>
    <n v="0"/>
  </r>
  <r>
    <s v="Integrated AI"/>
    <x v="1"/>
    <x v="1"/>
    <s v="Storage"/>
    <s v="Other Storage Media"/>
    <s v="Semiconductor Revenue M$"/>
    <x v="4"/>
    <n v="0"/>
  </r>
  <r>
    <s v="Integrated AI"/>
    <x v="1"/>
    <x v="1"/>
    <s v="Storage"/>
    <s v="Other Storage Media"/>
    <s v="Semiconductor Revenue M$"/>
    <x v="5"/>
    <n v="0"/>
  </r>
  <r>
    <s v="Integrated AI"/>
    <x v="1"/>
    <x v="1"/>
    <s v="Storage"/>
    <s v="Other Storage Media"/>
    <s v="Semiconductor Revenue M$"/>
    <x v="6"/>
    <n v="0"/>
  </r>
  <r>
    <s v="Integrated AI"/>
    <x v="1"/>
    <x v="1"/>
    <s v="Storage"/>
    <s v="Other Storage Electronics"/>
    <s v="Semiconductor Revenue M$"/>
    <x v="0"/>
    <n v="1.3246395674302567"/>
  </r>
  <r>
    <s v="Integrated AI"/>
    <x v="1"/>
    <x v="1"/>
    <s v="Storage"/>
    <s v="Other Storage Electronics"/>
    <s v="Semiconductor Revenue M$"/>
    <x v="1"/>
    <n v="2.6795536094459314"/>
  </r>
  <r>
    <s v="Integrated AI"/>
    <x v="1"/>
    <x v="1"/>
    <s v="Storage"/>
    <s v="Other Storage Electronics"/>
    <s v="Semiconductor Revenue M$"/>
    <x v="2"/>
    <n v="4.872357270408143"/>
  </r>
  <r>
    <s v="Integrated AI"/>
    <x v="1"/>
    <x v="1"/>
    <s v="Storage"/>
    <s v="Other Storage Electronics"/>
    <s v="Semiconductor Revenue M$"/>
    <x v="3"/>
    <n v="8.8487329538376063"/>
  </r>
  <r>
    <s v="Integrated AI"/>
    <x v="1"/>
    <x v="1"/>
    <s v="Storage"/>
    <s v="Other Storage Electronics"/>
    <s v="Semiconductor Revenue M$"/>
    <x v="4"/>
    <n v="15.814367416186464"/>
  </r>
  <r>
    <s v="Integrated AI"/>
    <x v="1"/>
    <x v="1"/>
    <s v="Storage"/>
    <s v="Other Storage Electronics"/>
    <s v="Semiconductor Revenue M$"/>
    <x v="5"/>
    <n v="26.108018087471464"/>
  </r>
  <r>
    <s v="Integrated AI"/>
    <x v="1"/>
    <x v="1"/>
    <s v="Storage"/>
    <s v="Other Storage Electronics"/>
    <s v="Semiconductor Revenue M$"/>
    <x v="6"/>
    <n v="30.26801913659439"/>
  </r>
  <r>
    <s v="Integrated AI"/>
    <x v="1"/>
    <x v="2"/>
    <s v="Wireless Communications Electronics"/>
    <s v="Utility Traditional Phone"/>
    <s v="Semiconductor Revenue M$"/>
    <x v="0"/>
    <n v="0"/>
  </r>
  <r>
    <s v="Integrated AI"/>
    <x v="1"/>
    <x v="2"/>
    <s v="Wireless Communications Electronics"/>
    <s v="Utility Traditional Phone"/>
    <s v="Semiconductor Revenue M$"/>
    <x v="1"/>
    <n v="0"/>
  </r>
  <r>
    <s v="Integrated AI"/>
    <x v="1"/>
    <x v="2"/>
    <s v="Wireless Communications Electronics"/>
    <s v="Utility Traditional Phone"/>
    <s v="Semiconductor Revenue M$"/>
    <x v="2"/>
    <n v="0"/>
  </r>
  <r>
    <s v="Integrated AI"/>
    <x v="1"/>
    <x v="2"/>
    <s v="Wireless Communications Electronics"/>
    <s v="Utility Traditional Phone"/>
    <s v="Semiconductor Revenue M$"/>
    <x v="3"/>
    <n v="0"/>
  </r>
  <r>
    <s v="Integrated AI"/>
    <x v="1"/>
    <x v="2"/>
    <s v="Wireless Communications Electronics"/>
    <s v="Utility Traditional Phone"/>
    <s v="Semiconductor Revenue M$"/>
    <x v="4"/>
    <n v="0"/>
  </r>
  <r>
    <s v="Integrated AI"/>
    <x v="1"/>
    <x v="2"/>
    <s v="Wireless Communications Electronics"/>
    <s v="Utility Traditional Phone"/>
    <s v="Semiconductor Revenue M$"/>
    <x v="5"/>
    <n v="0"/>
  </r>
  <r>
    <s v="Integrated AI"/>
    <x v="1"/>
    <x v="2"/>
    <s v="Wireless Communications Electronics"/>
    <s v="Utility Traditional Phone"/>
    <s v="Semiconductor Revenue M$"/>
    <x v="6"/>
    <n v="0"/>
  </r>
  <r>
    <s v="Integrated AI"/>
    <x v="1"/>
    <x v="2"/>
    <s v="Wireless Communications Electronics"/>
    <s v="Basic Smartphone"/>
    <s v="Semiconductor Revenue M$"/>
    <x v="0"/>
    <n v="0"/>
  </r>
  <r>
    <s v="Integrated AI"/>
    <x v="1"/>
    <x v="2"/>
    <s v="Wireless Communications Electronics"/>
    <s v="Basic Smartphone"/>
    <s v="Semiconductor Revenue M$"/>
    <x v="1"/>
    <n v="0"/>
  </r>
  <r>
    <s v="Integrated AI"/>
    <x v="1"/>
    <x v="2"/>
    <s v="Wireless Communications Electronics"/>
    <s v="Basic Smartphone"/>
    <s v="Semiconductor Revenue M$"/>
    <x v="2"/>
    <n v="0"/>
  </r>
  <r>
    <s v="Integrated AI"/>
    <x v="1"/>
    <x v="2"/>
    <s v="Wireless Communications Electronics"/>
    <s v="Basic Smartphone"/>
    <s v="Semiconductor Revenue M$"/>
    <x v="3"/>
    <n v="0"/>
  </r>
  <r>
    <s v="Integrated AI"/>
    <x v="1"/>
    <x v="2"/>
    <s v="Wireless Communications Electronics"/>
    <s v="Basic Smartphone"/>
    <s v="Semiconductor Revenue M$"/>
    <x v="4"/>
    <n v="0"/>
  </r>
  <r>
    <s v="Integrated AI"/>
    <x v="1"/>
    <x v="2"/>
    <s v="Wireless Communications Electronics"/>
    <s v="Basic Smartphone"/>
    <s v="Semiconductor Revenue M$"/>
    <x v="5"/>
    <n v="0"/>
  </r>
  <r>
    <s v="Integrated AI"/>
    <x v="1"/>
    <x v="2"/>
    <s v="Wireless Communications Electronics"/>
    <s v="Basic Smartphone"/>
    <s v="Semiconductor Revenue M$"/>
    <x v="6"/>
    <n v="0"/>
  </r>
  <r>
    <s v="Integrated AI"/>
    <x v="1"/>
    <x v="2"/>
    <s v="Wireless Communications Electronics"/>
    <s v="Utility Smartphone"/>
    <s v="Semiconductor Revenue M$"/>
    <x v="0"/>
    <n v="0"/>
  </r>
  <r>
    <s v="Integrated AI"/>
    <x v="1"/>
    <x v="2"/>
    <s v="Wireless Communications Electronics"/>
    <s v="Utility Smartphone"/>
    <s v="Semiconductor Revenue M$"/>
    <x v="1"/>
    <n v="0"/>
  </r>
  <r>
    <s v="Integrated AI"/>
    <x v="1"/>
    <x v="2"/>
    <s v="Wireless Communications Electronics"/>
    <s v="Utility Smartphone"/>
    <s v="Semiconductor Revenue M$"/>
    <x v="2"/>
    <n v="0"/>
  </r>
  <r>
    <s v="Integrated AI"/>
    <x v="1"/>
    <x v="2"/>
    <s v="Wireless Communications Electronics"/>
    <s v="Utility Smartphone"/>
    <s v="Semiconductor Revenue M$"/>
    <x v="3"/>
    <n v="0"/>
  </r>
  <r>
    <s v="Integrated AI"/>
    <x v="1"/>
    <x v="2"/>
    <s v="Wireless Communications Electronics"/>
    <s v="Utility Smartphone"/>
    <s v="Semiconductor Revenue M$"/>
    <x v="4"/>
    <n v="0"/>
  </r>
  <r>
    <s v="Integrated AI"/>
    <x v="1"/>
    <x v="2"/>
    <s v="Wireless Communications Electronics"/>
    <s v="Utility Smartphone"/>
    <s v="Semiconductor Revenue M$"/>
    <x v="5"/>
    <n v="0"/>
  </r>
  <r>
    <s v="Integrated AI"/>
    <x v="1"/>
    <x v="2"/>
    <s v="Wireless Communications Electronics"/>
    <s v="Utility Smartphone"/>
    <s v="Semiconductor Revenue M$"/>
    <x v="6"/>
    <n v="0"/>
  </r>
  <r>
    <s v="Integrated AI"/>
    <x v="1"/>
    <x v="2"/>
    <s v="Wireless Communications Electronics"/>
    <s v="Premium Smartphone"/>
    <s v="Semiconductor Revenue M$"/>
    <x v="0"/>
    <n v="0"/>
  </r>
  <r>
    <s v="Integrated AI"/>
    <x v="1"/>
    <x v="2"/>
    <s v="Wireless Communications Electronics"/>
    <s v="Premium Smartphone"/>
    <s v="Semiconductor Revenue M$"/>
    <x v="1"/>
    <n v="0"/>
  </r>
  <r>
    <s v="Integrated AI"/>
    <x v="1"/>
    <x v="2"/>
    <s v="Wireless Communications Electronics"/>
    <s v="Premium Smartphone"/>
    <s v="Semiconductor Revenue M$"/>
    <x v="2"/>
    <n v="0"/>
  </r>
  <r>
    <s v="Integrated AI"/>
    <x v="1"/>
    <x v="2"/>
    <s v="Wireless Communications Electronics"/>
    <s v="Premium Smartphone"/>
    <s v="Semiconductor Revenue M$"/>
    <x v="3"/>
    <n v="0"/>
  </r>
  <r>
    <s v="Integrated AI"/>
    <x v="1"/>
    <x v="2"/>
    <s v="Wireless Communications Electronics"/>
    <s v="Premium Smartphone"/>
    <s v="Semiconductor Revenue M$"/>
    <x v="4"/>
    <n v="0"/>
  </r>
  <r>
    <s v="Integrated AI"/>
    <x v="1"/>
    <x v="2"/>
    <s v="Wireless Communications Electronics"/>
    <s v="Premium Smartphone"/>
    <s v="Semiconductor Revenue M$"/>
    <x v="5"/>
    <n v="0"/>
  </r>
  <r>
    <s v="Integrated AI"/>
    <x v="1"/>
    <x v="2"/>
    <s v="Wireless Communications Electronics"/>
    <s v="Premium Smartphone"/>
    <s v="Semiconductor Revenue M$"/>
    <x v="6"/>
    <n v="0"/>
  </r>
  <r>
    <s v="Integrated AI"/>
    <x v="1"/>
    <x v="3"/>
    <s v="Automotive Electronics"/>
    <s v="ADAS-ECU (Level-2+/3/4)"/>
    <s v="Semiconductor Revenue M$"/>
    <x v="0"/>
    <n v="0.10865003229093448"/>
  </r>
  <r>
    <s v="Integrated AI"/>
    <x v="1"/>
    <x v="3"/>
    <s v="Automotive Electronics"/>
    <s v="ADAS-ECU (Level-2+/3/4)"/>
    <s v="Semiconductor Revenue M$"/>
    <x v="1"/>
    <n v="0.36706881568224348"/>
  </r>
  <r>
    <s v="Integrated AI"/>
    <x v="1"/>
    <x v="3"/>
    <s v="Automotive Electronics"/>
    <s v="ADAS-ECU (Level-2+/3/4)"/>
    <s v="Semiconductor Revenue M$"/>
    <x v="2"/>
    <n v="1.2335386529161689"/>
  </r>
  <r>
    <s v="Integrated AI"/>
    <x v="1"/>
    <x v="3"/>
    <s v="Automotive Electronics"/>
    <s v="ADAS-ECU (Level-2+/3/4)"/>
    <s v="Semiconductor Revenue M$"/>
    <x v="3"/>
    <n v="3.1139702159192097"/>
  </r>
  <r>
    <s v="Integrated AI"/>
    <x v="1"/>
    <x v="3"/>
    <s v="Automotive Electronics"/>
    <s v="ADAS-ECU (Level-2+/3/4)"/>
    <s v="Semiconductor Revenue M$"/>
    <x v="4"/>
    <n v="4.0343576317978123"/>
  </r>
  <r>
    <s v="Integrated AI"/>
    <x v="1"/>
    <x v="3"/>
    <s v="Automotive Electronics"/>
    <s v="ADAS-ECU (Level-2+/3/4)"/>
    <s v="Semiconductor Revenue M$"/>
    <x v="5"/>
    <n v="6.0224196560189096"/>
  </r>
  <r>
    <s v="Integrated AI"/>
    <x v="1"/>
    <x v="3"/>
    <s v="Automotive Electronics"/>
    <s v="ADAS-ECU (Level-2+/3/4)"/>
    <s v="Semiconductor Revenue M$"/>
    <x v="6"/>
    <n v="10.067724948588941"/>
  </r>
  <r>
    <s v="Integrated AI"/>
    <x v="1"/>
    <x v="2"/>
    <s v="Wireless Communications Electronics"/>
    <s v="Mobile Infrastructure - Base Station Equipment"/>
    <s v="Semiconductor Revenue M$"/>
    <x v="0"/>
    <n v="21.999774674875109"/>
  </r>
  <r>
    <s v="Integrated AI"/>
    <x v="1"/>
    <x v="2"/>
    <s v="Wireless Communications Electronics"/>
    <s v="Mobile Infrastructure - Base Station Equipment"/>
    <s v="Semiconductor Revenue M$"/>
    <x v="1"/>
    <n v="46.335663591617482"/>
  </r>
  <r>
    <s v="Integrated AI"/>
    <x v="1"/>
    <x v="2"/>
    <s v="Wireless Communications Electronics"/>
    <s v="Mobile Infrastructure - Base Station Equipment"/>
    <s v="Semiconductor Revenue M$"/>
    <x v="2"/>
    <n v="79.522255280002241"/>
  </r>
  <r>
    <s v="Integrated AI"/>
    <x v="1"/>
    <x v="2"/>
    <s v="Wireless Communications Electronics"/>
    <s v="Mobile Infrastructure - Base Station Equipment"/>
    <s v="Semiconductor Revenue M$"/>
    <x v="3"/>
    <n v="145.95456026868476"/>
  </r>
  <r>
    <s v="Integrated AI"/>
    <x v="1"/>
    <x v="2"/>
    <s v="Wireless Communications Electronics"/>
    <s v="Mobile Infrastructure - Base Station Equipment"/>
    <s v="Semiconductor Revenue M$"/>
    <x v="4"/>
    <n v="204.13708306181448"/>
  </r>
  <r>
    <s v="Integrated AI"/>
    <x v="1"/>
    <x v="2"/>
    <s v="Wireless Communications Electronics"/>
    <s v="Mobile Infrastructure - Base Station Equipment"/>
    <s v="Semiconductor Revenue M$"/>
    <x v="5"/>
    <n v="254.39161922007816"/>
  </r>
  <r>
    <s v="Integrated AI"/>
    <x v="1"/>
    <x v="2"/>
    <s v="Wireless Communications Electronics"/>
    <s v="Mobile Infrastructure - Base Station Equipment"/>
    <s v="Semiconductor Revenue M$"/>
    <x v="6"/>
    <n v="308.32658443703434"/>
  </r>
  <r>
    <s v="Integrated AI"/>
    <x v="1"/>
    <x v="2"/>
    <s v="Wireless Communications Electronics"/>
    <s v="Wireless LAN Infrastructure"/>
    <s v="Semiconductor Revenue M$"/>
    <x v="0"/>
    <n v="0"/>
  </r>
  <r>
    <s v="Integrated AI"/>
    <x v="1"/>
    <x v="2"/>
    <s v="Wireless Communications Electronics"/>
    <s v="Wireless LAN Infrastructure"/>
    <s v="Semiconductor Revenue M$"/>
    <x v="1"/>
    <n v="0"/>
  </r>
  <r>
    <s v="Integrated AI"/>
    <x v="1"/>
    <x v="2"/>
    <s v="Wireless Communications Electronics"/>
    <s v="Wireless LAN Infrastructure"/>
    <s v="Semiconductor Revenue M$"/>
    <x v="2"/>
    <n v="0"/>
  </r>
  <r>
    <s v="Integrated AI"/>
    <x v="1"/>
    <x v="2"/>
    <s v="Wireless Communications Electronics"/>
    <s v="Wireless LAN Infrastructure"/>
    <s v="Semiconductor Revenue M$"/>
    <x v="3"/>
    <n v="0"/>
  </r>
  <r>
    <s v="Integrated AI"/>
    <x v="1"/>
    <x v="2"/>
    <s v="Wireless Communications Electronics"/>
    <s v="Wireless LAN Infrastructure"/>
    <s v="Semiconductor Revenue M$"/>
    <x v="4"/>
    <n v="0"/>
  </r>
  <r>
    <s v="Integrated AI"/>
    <x v="1"/>
    <x v="2"/>
    <s v="Wireless Communications Electronics"/>
    <s v="Wireless LAN Infrastructure"/>
    <s v="Semiconductor Revenue M$"/>
    <x v="5"/>
    <n v="0"/>
  </r>
  <r>
    <s v="Integrated AI"/>
    <x v="1"/>
    <x v="2"/>
    <s v="Wireless Communications Electronics"/>
    <s v="Wireless LAN Infrastructure"/>
    <s v="Semiconductor Revenue M$"/>
    <x v="6"/>
    <n v="0"/>
  </r>
  <r>
    <s v="Integrated AI"/>
    <x v="1"/>
    <x v="2"/>
    <s v="Wireless Communications Electronics"/>
    <s v="Cellular Modems"/>
    <s v="Semiconductor Revenue M$"/>
    <x v="0"/>
    <n v="0"/>
  </r>
  <r>
    <s v="Integrated AI"/>
    <x v="1"/>
    <x v="2"/>
    <s v="Wireless Communications Electronics"/>
    <s v="Cellular Modems"/>
    <s v="Semiconductor Revenue M$"/>
    <x v="1"/>
    <n v="0"/>
  </r>
  <r>
    <s v="Integrated AI"/>
    <x v="1"/>
    <x v="2"/>
    <s v="Wireless Communications Electronics"/>
    <s v="Cellular Modems"/>
    <s v="Semiconductor Revenue M$"/>
    <x v="2"/>
    <n v="0"/>
  </r>
  <r>
    <s v="Integrated AI"/>
    <x v="1"/>
    <x v="2"/>
    <s v="Wireless Communications Electronics"/>
    <s v="Cellular Modems"/>
    <s v="Semiconductor Revenue M$"/>
    <x v="3"/>
    <n v="0"/>
  </r>
  <r>
    <s v="Integrated AI"/>
    <x v="1"/>
    <x v="2"/>
    <s v="Wireless Communications Electronics"/>
    <s v="Cellular Modems"/>
    <s v="Semiconductor Revenue M$"/>
    <x v="4"/>
    <n v="0"/>
  </r>
  <r>
    <s v="Integrated AI"/>
    <x v="1"/>
    <x v="2"/>
    <s v="Wireless Communications Electronics"/>
    <s v="Cellular Modems"/>
    <s v="Semiconductor Revenue M$"/>
    <x v="5"/>
    <n v="0"/>
  </r>
  <r>
    <s v="Integrated AI"/>
    <x v="1"/>
    <x v="2"/>
    <s v="Wireless Communications Electronics"/>
    <s v="Cellular Modems"/>
    <s v="Semiconductor Revenue M$"/>
    <x v="6"/>
    <n v="0"/>
  </r>
  <r>
    <s v="Integrated AI"/>
    <x v="1"/>
    <x v="2"/>
    <s v="Wireless Communications Electronics"/>
    <s v="Other Wireless Communications Electronics"/>
    <s v="Semiconductor Revenue M$"/>
    <x v="0"/>
    <n v="0.52293928858897187"/>
  </r>
  <r>
    <s v="Integrated AI"/>
    <x v="1"/>
    <x v="2"/>
    <s v="Wireless Communications Electronics"/>
    <s v="Other Wireless Communications Electronics"/>
    <s v="Semiconductor Revenue M$"/>
    <x v="1"/>
    <n v="1.4705819487561615"/>
  </r>
  <r>
    <s v="Integrated AI"/>
    <x v="1"/>
    <x v="2"/>
    <s v="Wireless Communications Electronics"/>
    <s v="Other Wireless Communications Electronics"/>
    <s v="Semiconductor Revenue M$"/>
    <x v="2"/>
    <n v="3.0012868014227596"/>
  </r>
  <r>
    <s v="Integrated AI"/>
    <x v="1"/>
    <x v="2"/>
    <s v="Wireless Communications Electronics"/>
    <s v="Other Wireless Communications Electronics"/>
    <s v="Semiconductor Revenue M$"/>
    <x v="3"/>
    <n v="5.6994534574568307"/>
  </r>
  <r>
    <s v="Integrated AI"/>
    <x v="1"/>
    <x v="2"/>
    <s v="Wireless Communications Electronics"/>
    <s v="Other Wireless Communications Electronics"/>
    <s v="Semiconductor Revenue M$"/>
    <x v="4"/>
    <n v="7.6528282076508702"/>
  </r>
  <r>
    <s v="Integrated AI"/>
    <x v="1"/>
    <x v="2"/>
    <s v="Wireless Communications Electronics"/>
    <s v="Other Wireless Communications Electronics"/>
    <s v="Semiconductor Revenue M$"/>
    <x v="5"/>
    <n v="10.680559229564981"/>
  </r>
  <r>
    <s v="Integrated AI"/>
    <x v="1"/>
    <x v="2"/>
    <s v="Wireless Communications Electronics"/>
    <s v="Other Wireless Communications Electronics"/>
    <s v="Semiconductor Revenue M$"/>
    <x v="6"/>
    <n v="14.034816070850596"/>
  </r>
  <r>
    <s v="Integrated AI"/>
    <x v="1"/>
    <x v="2"/>
    <s v="Wired Communications Electronics"/>
    <s v="DSL Broadband Access"/>
    <s v="Semiconductor Revenue M$"/>
    <x v="0"/>
    <n v="0"/>
  </r>
  <r>
    <s v="Integrated AI"/>
    <x v="1"/>
    <x v="2"/>
    <s v="Wired Communications Electronics"/>
    <s v="DSL Broadband Access"/>
    <s v="Semiconductor Revenue M$"/>
    <x v="1"/>
    <n v="0"/>
  </r>
  <r>
    <s v="Integrated AI"/>
    <x v="1"/>
    <x v="2"/>
    <s v="Wired Communications Electronics"/>
    <s v="DSL Broadband Access"/>
    <s v="Semiconductor Revenue M$"/>
    <x v="2"/>
    <n v="0"/>
  </r>
  <r>
    <s v="Integrated AI"/>
    <x v="1"/>
    <x v="2"/>
    <s v="Wired Communications Electronics"/>
    <s v="DSL Broadband Access"/>
    <s v="Semiconductor Revenue M$"/>
    <x v="3"/>
    <n v="0"/>
  </r>
  <r>
    <s v="Integrated AI"/>
    <x v="1"/>
    <x v="2"/>
    <s v="Wired Communications Electronics"/>
    <s v="DSL Broadband Access"/>
    <s v="Semiconductor Revenue M$"/>
    <x v="4"/>
    <n v="0"/>
  </r>
  <r>
    <s v="Integrated AI"/>
    <x v="1"/>
    <x v="2"/>
    <s v="Wired Communications Electronics"/>
    <s v="DSL Broadband Access"/>
    <s v="Semiconductor Revenue M$"/>
    <x v="5"/>
    <n v="0"/>
  </r>
  <r>
    <s v="Integrated AI"/>
    <x v="1"/>
    <x v="2"/>
    <s v="Wired Communications Electronics"/>
    <s v="DSL Broadband Access"/>
    <s v="Semiconductor Revenue M$"/>
    <x v="6"/>
    <n v="0"/>
  </r>
  <r>
    <s v="Integrated AI"/>
    <x v="1"/>
    <x v="2"/>
    <s v="Wired Communications Electronics"/>
    <s v="Fiber Broadband Access"/>
    <s v="Semiconductor Revenue M$"/>
    <x v="0"/>
    <n v="0"/>
  </r>
  <r>
    <s v="Integrated AI"/>
    <x v="1"/>
    <x v="2"/>
    <s v="Wired Communications Electronics"/>
    <s v="Fiber Broadband Access"/>
    <s v="Semiconductor Revenue M$"/>
    <x v="1"/>
    <n v="0"/>
  </r>
  <r>
    <s v="Integrated AI"/>
    <x v="1"/>
    <x v="2"/>
    <s v="Wired Communications Electronics"/>
    <s v="Fiber Broadband Access"/>
    <s v="Semiconductor Revenue M$"/>
    <x v="2"/>
    <n v="0"/>
  </r>
  <r>
    <s v="Integrated AI"/>
    <x v="1"/>
    <x v="2"/>
    <s v="Wired Communications Electronics"/>
    <s v="Fiber Broadband Access"/>
    <s v="Semiconductor Revenue M$"/>
    <x v="3"/>
    <n v="0"/>
  </r>
  <r>
    <s v="Integrated AI"/>
    <x v="1"/>
    <x v="2"/>
    <s v="Wired Communications Electronics"/>
    <s v="Fiber Broadband Access"/>
    <s v="Semiconductor Revenue M$"/>
    <x v="4"/>
    <n v="0"/>
  </r>
  <r>
    <s v="Integrated AI"/>
    <x v="1"/>
    <x v="2"/>
    <s v="Wired Communications Electronics"/>
    <s v="Fiber Broadband Access"/>
    <s v="Semiconductor Revenue M$"/>
    <x v="5"/>
    <n v="0"/>
  </r>
  <r>
    <s v="Integrated AI"/>
    <x v="1"/>
    <x v="2"/>
    <s v="Wired Communications Electronics"/>
    <s v="Fiber Broadband Access"/>
    <s v="Semiconductor Revenue M$"/>
    <x v="6"/>
    <n v="0"/>
  </r>
  <r>
    <s v="Integrated AI"/>
    <x v="1"/>
    <x v="2"/>
    <s v="Wired Communications Electronics"/>
    <s v="Other Broadband Access"/>
    <s v="Semiconductor Revenue M$"/>
    <x v="0"/>
    <n v="0"/>
  </r>
  <r>
    <s v="Integrated AI"/>
    <x v="1"/>
    <x v="2"/>
    <s v="Wired Communications Electronics"/>
    <s v="Other Broadband Access"/>
    <s v="Semiconductor Revenue M$"/>
    <x v="1"/>
    <n v="0"/>
  </r>
  <r>
    <s v="Integrated AI"/>
    <x v="1"/>
    <x v="2"/>
    <s v="Wired Communications Electronics"/>
    <s v="Other Broadband Access"/>
    <s v="Semiconductor Revenue M$"/>
    <x v="2"/>
    <n v="0"/>
  </r>
  <r>
    <s v="Integrated AI"/>
    <x v="1"/>
    <x v="2"/>
    <s v="Wired Communications Electronics"/>
    <s v="Other Broadband Access"/>
    <s v="Semiconductor Revenue M$"/>
    <x v="3"/>
    <n v="0"/>
  </r>
  <r>
    <s v="Integrated AI"/>
    <x v="1"/>
    <x v="2"/>
    <s v="Wired Communications Electronics"/>
    <s v="Other Broadband Access"/>
    <s v="Semiconductor Revenue M$"/>
    <x v="4"/>
    <n v="0"/>
  </r>
  <r>
    <s v="Integrated AI"/>
    <x v="1"/>
    <x v="2"/>
    <s v="Wired Communications Electronics"/>
    <s v="Other Broadband Access"/>
    <s v="Semiconductor Revenue M$"/>
    <x v="5"/>
    <n v="0"/>
  </r>
  <r>
    <s v="Integrated AI"/>
    <x v="1"/>
    <x v="2"/>
    <s v="Wired Communications Electronics"/>
    <s v="Other Broadband Access"/>
    <s v="Semiconductor Revenue M$"/>
    <x v="6"/>
    <n v="0"/>
  </r>
  <r>
    <s v="Integrated AI"/>
    <x v="1"/>
    <x v="2"/>
    <s v="Wired Communications Electronics"/>
    <s v="Enterprise LAN"/>
    <s v="Semiconductor Revenue M$"/>
    <x v="0"/>
    <n v="1.8648604245100602E-3"/>
  </r>
  <r>
    <s v="Integrated AI"/>
    <x v="1"/>
    <x v="2"/>
    <s v="Wired Communications Electronics"/>
    <s v="Enterprise LAN"/>
    <s v="Semiconductor Revenue M$"/>
    <x v="1"/>
    <n v="1.0056140259368358E-2"/>
  </r>
  <r>
    <s v="Integrated AI"/>
    <x v="1"/>
    <x v="2"/>
    <s v="Wired Communications Electronics"/>
    <s v="Enterprise LAN"/>
    <s v="Semiconductor Revenue M$"/>
    <x v="2"/>
    <n v="4.440909812552412E-2"/>
  </r>
  <r>
    <s v="Integrated AI"/>
    <x v="1"/>
    <x v="2"/>
    <s v="Wired Communications Electronics"/>
    <s v="Enterprise LAN"/>
    <s v="Semiconductor Revenue M$"/>
    <x v="3"/>
    <n v="0.21233301559530285"/>
  </r>
  <r>
    <s v="Integrated AI"/>
    <x v="1"/>
    <x v="2"/>
    <s v="Wired Communications Electronics"/>
    <s v="Enterprise LAN"/>
    <s v="Semiconductor Revenue M$"/>
    <x v="4"/>
    <n v="0.98914752640232961"/>
  </r>
  <r>
    <s v="Integrated AI"/>
    <x v="1"/>
    <x v="2"/>
    <s v="Wired Communications Electronics"/>
    <s v="Enterprise LAN"/>
    <s v="Semiconductor Revenue M$"/>
    <x v="5"/>
    <n v="3.4403882228757152"/>
  </r>
  <r>
    <s v="Integrated AI"/>
    <x v="1"/>
    <x v="2"/>
    <s v="Wired Communications Electronics"/>
    <s v="Enterprise LAN"/>
    <s v="Semiconductor Revenue M$"/>
    <x v="6"/>
    <n v="3.9410729468015626"/>
  </r>
  <r>
    <s v="Integrated AI"/>
    <x v="1"/>
    <x v="3"/>
    <s v="Automotive Electronics"/>
    <s v="ADAS-ECU (Level-0/1/2)"/>
    <s v="Semiconductor Revenue M$"/>
    <x v="0"/>
    <n v="0"/>
  </r>
  <r>
    <s v="Integrated AI"/>
    <x v="1"/>
    <x v="3"/>
    <s v="Automotive Electronics"/>
    <s v="ADAS-ECU (Level-0/1/2)"/>
    <s v="Semiconductor Revenue M$"/>
    <x v="1"/>
    <n v="0"/>
  </r>
  <r>
    <s v="Integrated AI"/>
    <x v="1"/>
    <x v="3"/>
    <s v="Automotive Electronics"/>
    <s v="ADAS-ECU (Level-0/1/2)"/>
    <s v="Semiconductor Revenue M$"/>
    <x v="2"/>
    <n v="0"/>
  </r>
  <r>
    <s v="Integrated AI"/>
    <x v="1"/>
    <x v="3"/>
    <s v="Automotive Electronics"/>
    <s v="ADAS-ECU (Level-0/1/2)"/>
    <s v="Semiconductor Revenue M$"/>
    <x v="3"/>
    <n v="0"/>
  </r>
  <r>
    <s v="Integrated AI"/>
    <x v="1"/>
    <x v="3"/>
    <s v="Automotive Electronics"/>
    <s v="ADAS-ECU (Level-0/1/2)"/>
    <s v="Semiconductor Revenue M$"/>
    <x v="4"/>
    <n v="0"/>
  </r>
  <r>
    <s v="Integrated AI"/>
    <x v="1"/>
    <x v="3"/>
    <s v="Automotive Electronics"/>
    <s v="ADAS-ECU (Level-0/1/2)"/>
    <s v="Semiconductor Revenue M$"/>
    <x v="5"/>
    <n v="0"/>
  </r>
  <r>
    <s v="Integrated AI"/>
    <x v="1"/>
    <x v="3"/>
    <s v="Automotive Electronics"/>
    <s v="ADAS-ECU (Level-0/1/2)"/>
    <s v="Semiconductor Revenue M$"/>
    <x v="6"/>
    <n v="0"/>
  </r>
  <r>
    <s v="Integrated AI"/>
    <x v="1"/>
    <x v="2"/>
    <s v="Wired Communications Electronics"/>
    <s v="Enterprise WAN"/>
    <s v="Semiconductor Revenue M$"/>
    <x v="0"/>
    <n v="0"/>
  </r>
  <r>
    <s v="Integrated AI"/>
    <x v="1"/>
    <x v="2"/>
    <s v="Wired Communications Electronics"/>
    <s v="Enterprise WAN"/>
    <s v="Semiconductor Revenue M$"/>
    <x v="1"/>
    <n v="0"/>
  </r>
  <r>
    <s v="Integrated AI"/>
    <x v="1"/>
    <x v="2"/>
    <s v="Wired Communications Electronics"/>
    <s v="Enterprise WAN"/>
    <s v="Semiconductor Revenue M$"/>
    <x v="2"/>
    <n v="0"/>
  </r>
  <r>
    <s v="Integrated AI"/>
    <x v="1"/>
    <x v="2"/>
    <s v="Wired Communications Electronics"/>
    <s v="Enterprise WAN"/>
    <s v="Semiconductor Revenue M$"/>
    <x v="3"/>
    <n v="0"/>
  </r>
  <r>
    <s v="Integrated AI"/>
    <x v="1"/>
    <x v="2"/>
    <s v="Wired Communications Electronics"/>
    <s v="Enterprise WAN"/>
    <s v="Semiconductor Revenue M$"/>
    <x v="4"/>
    <n v="0"/>
  </r>
  <r>
    <s v="Integrated AI"/>
    <x v="1"/>
    <x v="2"/>
    <s v="Wired Communications Electronics"/>
    <s v="Enterprise WAN"/>
    <s v="Semiconductor Revenue M$"/>
    <x v="5"/>
    <n v="0"/>
  </r>
  <r>
    <s v="Integrated AI"/>
    <x v="1"/>
    <x v="2"/>
    <s v="Wired Communications Electronics"/>
    <s v="Enterprise WAN"/>
    <s v="Semiconductor Revenue M$"/>
    <x v="6"/>
    <n v="0"/>
  </r>
  <r>
    <s v="Integrated AI"/>
    <x v="1"/>
    <x v="2"/>
    <s v="Wired Communications Electronics"/>
    <s v="Optical Transport"/>
    <s v="Semiconductor Revenue M$"/>
    <x v="0"/>
    <n v="3.240513149660681E-3"/>
  </r>
  <r>
    <s v="Integrated AI"/>
    <x v="1"/>
    <x v="2"/>
    <s v="Wired Communications Electronics"/>
    <s v="Optical Transport"/>
    <s v="Semiconductor Revenue M$"/>
    <x v="1"/>
    <n v="1.1542535944015745E-2"/>
  </r>
  <r>
    <s v="Integrated AI"/>
    <x v="1"/>
    <x v="2"/>
    <s v="Wired Communications Electronics"/>
    <s v="Optical Transport"/>
    <s v="Semiconductor Revenue M$"/>
    <x v="2"/>
    <n v="4.0160704365826687E-2"/>
  </r>
  <r>
    <s v="Integrated AI"/>
    <x v="1"/>
    <x v="2"/>
    <s v="Wired Communications Electronics"/>
    <s v="Optical Transport"/>
    <s v="Semiconductor Revenue M$"/>
    <x v="3"/>
    <n v="0.13999265130969379"/>
  </r>
  <r>
    <s v="Integrated AI"/>
    <x v="1"/>
    <x v="2"/>
    <s v="Wired Communications Electronics"/>
    <s v="Optical Transport"/>
    <s v="Semiconductor Revenue M$"/>
    <x v="4"/>
    <n v="0.46582558039787719"/>
  </r>
  <r>
    <s v="Integrated AI"/>
    <x v="1"/>
    <x v="2"/>
    <s v="Wired Communications Electronics"/>
    <s v="Optical Transport"/>
    <s v="Semiconductor Revenue M$"/>
    <x v="5"/>
    <n v="1.2536868174166014"/>
  </r>
  <r>
    <s v="Integrated AI"/>
    <x v="1"/>
    <x v="2"/>
    <s v="Wired Communications Electronics"/>
    <s v="Optical Transport"/>
    <s v="Semiconductor Revenue M$"/>
    <x v="6"/>
    <n v="2.6071249844566133"/>
  </r>
  <r>
    <s v="Integrated AI"/>
    <x v="1"/>
    <x v="2"/>
    <s v="Wired Communications Electronics"/>
    <s v="Service Provider Routers and Switches"/>
    <s v="Semiconductor Revenue M$"/>
    <x v="0"/>
    <n v="0"/>
  </r>
  <r>
    <s v="Integrated AI"/>
    <x v="1"/>
    <x v="2"/>
    <s v="Wired Communications Electronics"/>
    <s v="Service Provider Routers and Switches"/>
    <s v="Semiconductor Revenue M$"/>
    <x v="1"/>
    <n v="0"/>
  </r>
  <r>
    <s v="Integrated AI"/>
    <x v="1"/>
    <x v="2"/>
    <s v="Wired Communications Electronics"/>
    <s v="Service Provider Routers and Switches"/>
    <s v="Semiconductor Revenue M$"/>
    <x v="2"/>
    <n v="0"/>
  </r>
  <r>
    <s v="Integrated AI"/>
    <x v="1"/>
    <x v="2"/>
    <s v="Wired Communications Electronics"/>
    <s v="Service Provider Routers and Switches"/>
    <s v="Semiconductor Revenue M$"/>
    <x v="3"/>
    <n v="0"/>
  </r>
  <r>
    <s v="Integrated AI"/>
    <x v="1"/>
    <x v="2"/>
    <s v="Wired Communications Electronics"/>
    <s v="Service Provider Routers and Switches"/>
    <s v="Semiconductor Revenue M$"/>
    <x v="4"/>
    <n v="0"/>
  </r>
  <r>
    <s v="Integrated AI"/>
    <x v="1"/>
    <x v="2"/>
    <s v="Wired Communications Electronics"/>
    <s v="Service Provider Routers and Switches"/>
    <s v="Semiconductor Revenue M$"/>
    <x v="5"/>
    <n v="0"/>
  </r>
  <r>
    <s v="Integrated AI"/>
    <x v="1"/>
    <x v="2"/>
    <s v="Wired Communications Electronics"/>
    <s v="Service Provider Routers and Switches"/>
    <s v="Semiconductor Revenue M$"/>
    <x v="6"/>
    <n v="0"/>
  </r>
  <r>
    <s v="Integrated AI"/>
    <x v="1"/>
    <x v="2"/>
    <s v="Wired Communications Electronics"/>
    <s v="Other Wired Communications Electronics"/>
    <s v="Semiconductor Revenue M$"/>
    <x v="0"/>
    <n v="9.203476051060892E-3"/>
  </r>
  <r>
    <s v="Integrated AI"/>
    <x v="1"/>
    <x v="2"/>
    <s v="Wired Communications Electronics"/>
    <s v="Other Wired Communications Electronics"/>
    <s v="Semiconductor Revenue M$"/>
    <x v="1"/>
    <n v="6.0136325246962531E-2"/>
  </r>
  <r>
    <s v="Integrated AI"/>
    <x v="1"/>
    <x v="2"/>
    <s v="Wired Communications Electronics"/>
    <s v="Other Wired Communications Electronics"/>
    <s v="Semiconductor Revenue M$"/>
    <x v="2"/>
    <n v="0.25499176463989548"/>
  </r>
  <r>
    <s v="Integrated AI"/>
    <x v="1"/>
    <x v="2"/>
    <s v="Wired Communications Electronics"/>
    <s v="Other Wired Communications Electronics"/>
    <s v="Semiconductor Revenue M$"/>
    <x v="3"/>
    <n v="1.1967854411315713"/>
  </r>
  <r>
    <s v="Integrated AI"/>
    <x v="1"/>
    <x v="2"/>
    <s v="Wired Communications Electronics"/>
    <s v="Other Wired Communications Electronics"/>
    <s v="Semiconductor Revenue M$"/>
    <x v="4"/>
    <n v="5.4561884898474835"/>
  </r>
  <r>
    <s v="Integrated AI"/>
    <x v="1"/>
    <x v="2"/>
    <s v="Wired Communications Electronics"/>
    <s v="Other Wired Communications Electronics"/>
    <s v="Semiconductor Revenue M$"/>
    <x v="5"/>
    <n v="18.511005097914239"/>
  </r>
  <r>
    <s v="Integrated AI"/>
    <x v="1"/>
    <x v="2"/>
    <s v="Wired Communications Electronics"/>
    <s v="Other Wired Communications Electronics"/>
    <s v="Semiconductor Revenue M$"/>
    <x v="6"/>
    <n v="21.477761477394228"/>
  </r>
  <r>
    <s v="Integrated AI"/>
    <x v="1"/>
    <x v="4"/>
    <s v="Consumer Electronics"/>
    <s v="Appliances"/>
    <s v="Semiconductor Revenue M$"/>
    <x v="0"/>
    <n v="0"/>
  </r>
  <r>
    <s v="Integrated AI"/>
    <x v="1"/>
    <x v="4"/>
    <s v="Consumer Electronics"/>
    <s v="Appliances"/>
    <s v="Semiconductor Revenue M$"/>
    <x v="1"/>
    <n v="0"/>
  </r>
  <r>
    <s v="Integrated AI"/>
    <x v="1"/>
    <x v="4"/>
    <s v="Consumer Electronics"/>
    <s v="Appliances"/>
    <s v="Semiconductor Revenue M$"/>
    <x v="2"/>
    <n v="0"/>
  </r>
  <r>
    <s v="Integrated AI"/>
    <x v="1"/>
    <x v="4"/>
    <s v="Consumer Electronics"/>
    <s v="Appliances"/>
    <s v="Semiconductor Revenue M$"/>
    <x v="3"/>
    <n v="0"/>
  </r>
  <r>
    <s v="Integrated AI"/>
    <x v="1"/>
    <x v="4"/>
    <s v="Consumer Electronics"/>
    <s v="Appliances"/>
    <s v="Semiconductor Revenue M$"/>
    <x v="4"/>
    <n v="0"/>
  </r>
  <r>
    <s v="Integrated AI"/>
    <x v="1"/>
    <x v="4"/>
    <s v="Consumer Electronics"/>
    <s v="Appliances"/>
    <s v="Semiconductor Revenue M$"/>
    <x v="5"/>
    <n v="0"/>
  </r>
  <r>
    <s v="Integrated AI"/>
    <x v="1"/>
    <x v="4"/>
    <s v="Consumer Electronics"/>
    <s v="Appliances"/>
    <s v="Semiconductor Revenue M$"/>
    <x v="6"/>
    <n v="0"/>
  </r>
  <r>
    <s v="Integrated AI"/>
    <x v="1"/>
    <x v="4"/>
    <s v="Consumer Electronics"/>
    <s v="Digital Camcorder"/>
    <s v="Semiconductor Revenue M$"/>
    <x v="0"/>
    <n v="0"/>
  </r>
  <r>
    <s v="Integrated AI"/>
    <x v="1"/>
    <x v="4"/>
    <s v="Consumer Electronics"/>
    <s v="Digital Camcorder"/>
    <s v="Semiconductor Revenue M$"/>
    <x v="1"/>
    <n v="0"/>
  </r>
  <r>
    <s v="Integrated AI"/>
    <x v="1"/>
    <x v="4"/>
    <s v="Consumer Electronics"/>
    <s v="Digital Camcorder"/>
    <s v="Semiconductor Revenue M$"/>
    <x v="2"/>
    <n v="0"/>
  </r>
  <r>
    <s v="Integrated AI"/>
    <x v="1"/>
    <x v="4"/>
    <s v="Consumer Electronics"/>
    <s v="Digital Camcorder"/>
    <s v="Semiconductor Revenue M$"/>
    <x v="3"/>
    <n v="0"/>
  </r>
  <r>
    <s v="Integrated AI"/>
    <x v="1"/>
    <x v="4"/>
    <s v="Consumer Electronics"/>
    <s v="Digital Camcorder"/>
    <s v="Semiconductor Revenue M$"/>
    <x v="4"/>
    <n v="0"/>
  </r>
  <r>
    <s v="Integrated AI"/>
    <x v="1"/>
    <x v="4"/>
    <s v="Consumer Electronics"/>
    <s v="Digital Camcorder"/>
    <s v="Semiconductor Revenue M$"/>
    <x v="5"/>
    <n v="0"/>
  </r>
  <r>
    <s v="Integrated AI"/>
    <x v="1"/>
    <x v="4"/>
    <s v="Consumer Electronics"/>
    <s v="Digital Camcorder"/>
    <s v="Semiconductor Revenue M$"/>
    <x v="6"/>
    <n v="0"/>
  </r>
  <r>
    <s v="Integrated AI"/>
    <x v="1"/>
    <x v="4"/>
    <s v="Consumer Electronics"/>
    <s v="Digital Set-Top Box, Cable"/>
    <s v="Semiconductor Revenue M$"/>
    <x v="0"/>
    <n v="0"/>
  </r>
  <r>
    <s v="Integrated AI"/>
    <x v="1"/>
    <x v="4"/>
    <s v="Consumer Electronics"/>
    <s v="Digital Set-Top Box, Cable"/>
    <s v="Semiconductor Revenue M$"/>
    <x v="1"/>
    <n v="0"/>
  </r>
  <r>
    <s v="Integrated AI"/>
    <x v="1"/>
    <x v="4"/>
    <s v="Consumer Electronics"/>
    <s v="Digital Set-Top Box, Cable"/>
    <s v="Semiconductor Revenue M$"/>
    <x v="2"/>
    <n v="0"/>
  </r>
  <r>
    <s v="Integrated AI"/>
    <x v="1"/>
    <x v="4"/>
    <s v="Consumer Electronics"/>
    <s v="Digital Set-Top Box, Cable"/>
    <s v="Semiconductor Revenue M$"/>
    <x v="3"/>
    <n v="0"/>
  </r>
  <r>
    <s v="Integrated AI"/>
    <x v="1"/>
    <x v="4"/>
    <s v="Consumer Electronics"/>
    <s v="Digital Set-Top Box, Cable"/>
    <s v="Semiconductor Revenue M$"/>
    <x v="4"/>
    <n v="0"/>
  </r>
  <r>
    <s v="Integrated AI"/>
    <x v="1"/>
    <x v="4"/>
    <s v="Consumer Electronics"/>
    <s v="Digital Set-Top Box, Cable"/>
    <s v="Semiconductor Revenue M$"/>
    <x v="5"/>
    <n v="0"/>
  </r>
  <r>
    <s v="Integrated AI"/>
    <x v="1"/>
    <x v="4"/>
    <s v="Consumer Electronics"/>
    <s v="Digital Set-Top Box, Cable"/>
    <s v="Semiconductor Revenue M$"/>
    <x v="6"/>
    <n v="0"/>
  </r>
  <r>
    <s v="Integrated AI"/>
    <x v="1"/>
    <x v="4"/>
    <s v="Consumer Electronics"/>
    <s v="Digital Set-Top Box, Satellite"/>
    <s v="Semiconductor Revenue M$"/>
    <x v="0"/>
    <n v="0"/>
  </r>
  <r>
    <s v="Integrated AI"/>
    <x v="1"/>
    <x v="4"/>
    <s v="Consumer Electronics"/>
    <s v="Digital Set-Top Box, Satellite"/>
    <s v="Semiconductor Revenue M$"/>
    <x v="1"/>
    <n v="0"/>
  </r>
  <r>
    <s v="Integrated AI"/>
    <x v="1"/>
    <x v="4"/>
    <s v="Consumer Electronics"/>
    <s v="Digital Set-Top Box, Satellite"/>
    <s v="Semiconductor Revenue M$"/>
    <x v="2"/>
    <n v="0"/>
  </r>
  <r>
    <s v="Integrated AI"/>
    <x v="1"/>
    <x v="4"/>
    <s v="Consumer Electronics"/>
    <s v="Digital Set-Top Box, Satellite"/>
    <s v="Semiconductor Revenue M$"/>
    <x v="3"/>
    <n v="0"/>
  </r>
  <r>
    <s v="Integrated AI"/>
    <x v="1"/>
    <x v="4"/>
    <s v="Consumer Electronics"/>
    <s v="Digital Set-Top Box, Satellite"/>
    <s v="Semiconductor Revenue M$"/>
    <x v="4"/>
    <n v="0"/>
  </r>
  <r>
    <s v="Integrated AI"/>
    <x v="1"/>
    <x v="4"/>
    <s v="Consumer Electronics"/>
    <s v="Digital Set-Top Box, Satellite"/>
    <s v="Semiconductor Revenue M$"/>
    <x v="5"/>
    <n v="0"/>
  </r>
  <r>
    <s v="Integrated AI"/>
    <x v="1"/>
    <x v="4"/>
    <s v="Consumer Electronics"/>
    <s v="Digital Set-Top Box, Satellite"/>
    <s v="Semiconductor Revenue M$"/>
    <x v="6"/>
    <n v="0"/>
  </r>
  <r>
    <s v="Integrated AI"/>
    <x v="1"/>
    <x v="4"/>
    <s v="Consumer Electronics"/>
    <s v="Digital Set-Top Box, Terrestrial"/>
    <s v="Semiconductor Revenue M$"/>
    <x v="0"/>
    <n v="0"/>
  </r>
  <r>
    <s v="Integrated AI"/>
    <x v="1"/>
    <x v="4"/>
    <s v="Consumer Electronics"/>
    <s v="Digital Set-Top Box, Terrestrial"/>
    <s v="Semiconductor Revenue M$"/>
    <x v="1"/>
    <n v="0"/>
  </r>
  <r>
    <s v="Integrated AI"/>
    <x v="1"/>
    <x v="4"/>
    <s v="Consumer Electronics"/>
    <s v="Digital Set-Top Box, Terrestrial"/>
    <s v="Semiconductor Revenue M$"/>
    <x v="2"/>
    <n v="0"/>
  </r>
  <r>
    <s v="Integrated AI"/>
    <x v="1"/>
    <x v="4"/>
    <s v="Consumer Electronics"/>
    <s v="Digital Set-Top Box, Terrestrial"/>
    <s v="Semiconductor Revenue M$"/>
    <x v="3"/>
    <n v="0"/>
  </r>
  <r>
    <s v="Integrated AI"/>
    <x v="1"/>
    <x v="4"/>
    <s v="Consumer Electronics"/>
    <s v="Digital Set-Top Box, Terrestrial"/>
    <s v="Semiconductor Revenue M$"/>
    <x v="4"/>
    <n v="0"/>
  </r>
  <r>
    <s v="Integrated AI"/>
    <x v="1"/>
    <x v="4"/>
    <s v="Consumer Electronics"/>
    <s v="Digital Set-Top Box, Terrestrial"/>
    <s v="Semiconductor Revenue M$"/>
    <x v="5"/>
    <n v="0"/>
  </r>
  <r>
    <s v="Integrated AI"/>
    <x v="1"/>
    <x v="4"/>
    <s v="Consumer Electronics"/>
    <s v="Digital Set-Top Box, Terrestrial"/>
    <s v="Semiconductor Revenue M$"/>
    <x v="6"/>
    <n v="0"/>
  </r>
  <r>
    <s v="Integrated AI"/>
    <x v="1"/>
    <x v="4"/>
    <s v="Consumer Electronics"/>
    <s v="Digital Set-Top Box, IP/Other"/>
    <s v="Semiconductor Revenue M$"/>
    <x v="0"/>
    <n v="3.5877947757519064E-4"/>
  </r>
  <r>
    <s v="Integrated AI"/>
    <x v="1"/>
    <x v="4"/>
    <s v="Consumer Electronics"/>
    <s v="Digital Set-Top Box, IP/Other"/>
    <s v="Semiconductor Revenue M$"/>
    <x v="1"/>
    <n v="1.7644769955033176E-3"/>
  </r>
  <r>
    <s v="Integrated AI"/>
    <x v="1"/>
    <x v="4"/>
    <s v="Consumer Electronics"/>
    <s v="Digital Set-Top Box, IP/Other"/>
    <s v="Semiconductor Revenue M$"/>
    <x v="2"/>
    <n v="7.391350463561059E-3"/>
  </r>
  <r>
    <s v="Integrated AI"/>
    <x v="1"/>
    <x v="4"/>
    <s v="Consumer Electronics"/>
    <s v="Digital Set-Top Box, IP/Other"/>
    <s v="Semiconductor Revenue M$"/>
    <x v="3"/>
    <n v="3.4587486373065315E-2"/>
  </r>
  <r>
    <s v="Integrated AI"/>
    <x v="1"/>
    <x v="4"/>
    <s v="Consumer Electronics"/>
    <s v="Digital Set-Top Box, IP/Other"/>
    <s v="Semiconductor Revenue M$"/>
    <x v="4"/>
    <n v="0.15395908599263144"/>
  </r>
  <r>
    <s v="Integrated AI"/>
    <x v="1"/>
    <x v="4"/>
    <s v="Consumer Electronics"/>
    <s v="Digital Set-Top Box, IP/Other"/>
    <s v="Semiconductor Revenue M$"/>
    <x v="5"/>
    <n v="0.30744101188804207"/>
  </r>
  <r>
    <s v="Integrated AI"/>
    <x v="1"/>
    <x v="4"/>
    <s v="Consumer Electronics"/>
    <s v="Digital Set-Top Box, IP/Other"/>
    <s v="Semiconductor Revenue M$"/>
    <x v="6"/>
    <n v="0.45107006444306796"/>
  </r>
  <r>
    <s v="Integrated AI"/>
    <x v="1"/>
    <x v="4"/>
    <s v="Consumer Electronics"/>
    <s v="Digital Still Camera"/>
    <s v="Semiconductor Revenue M$"/>
    <x v="0"/>
    <n v="0"/>
  </r>
  <r>
    <s v="Integrated AI"/>
    <x v="1"/>
    <x v="4"/>
    <s v="Consumer Electronics"/>
    <s v="Digital Still Camera"/>
    <s v="Semiconductor Revenue M$"/>
    <x v="1"/>
    <n v="0"/>
  </r>
  <r>
    <s v="Integrated AI"/>
    <x v="1"/>
    <x v="4"/>
    <s v="Consumer Electronics"/>
    <s v="Digital Still Camera"/>
    <s v="Semiconductor Revenue M$"/>
    <x v="2"/>
    <n v="0"/>
  </r>
  <r>
    <s v="Integrated AI"/>
    <x v="1"/>
    <x v="4"/>
    <s v="Consumer Electronics"/>
    <s v="Digital Still Camera"/>
    <s v="Semiconductor Revenue M$"/>
    <x v="3"/>
    <n v="0"/>
  </r>
  <r>
    <s v="Integrated AI"/>
    <x v="1"/>
    <x v="4"/>
    <s v="Consumer Electronics"/>
    <s v="Digital Still Camera"/>
    <s v="Semiconductor Revenue M$"/>
    <x v="4"/>
    <n v="0"/>
  </r>
  <r>
    <s v="Integrated AI"/>
    <x v="1"/>
    <x v="4"/>
    <s v="Consumer Electronics"/>
    <s v="Digital Still Camera"/>
    <s v="Semiconductor Revenue M$"/>
    <x v="5"/>
    <n v="0"/>
  </r>
  <r>
    <s v="Integrated AI"/>
    <x v="1"/>
    <x v="4"/>
    <s v="Consumer Electronics"/>
    <s v="Digital Still Camera"/>
    <s v="Semiconductor Revenue M$"/>
    <x v="6"/>
    <n v="0"/>
  </r>
  <r>
    <s v="Integrated AI"/>
    <x v="1"/>
    <x v="5"/>
    <s v="Industrial Electronics"/>
    <s v="Agriculture"/>
    <s v="Semiconductor Revenue M$"/>
    <x v="0"/>
    <n v="0"/>
  </r>
  <r>
    <s v="Integrated AI"/>
    <x v="1"/>
    <x v="5"/>
    <s v="Industrial Electronics"/>
    <s v="Agriculture"/>
    <s v="Semiconductor Revenue M$"/>
    <x v="1"/>
    <n v="0"/>
  </r>
  <r>
    <s v="Integrated AI"/>
    <x v="1"/>
    <x v="5"/>
    <s v="Industrial Electronics"/>
    <s v="Agriculture"/>
    <s v="Semiconductor Revenue M$"/>
    <x v="2"/>
    <n v="0"/>
  </r>
  <r>
    <s v="Integrated AI"/>
    <x v="1"/>
    <x v="5"/>
    <s v="Industrial Electronics"/>
    <s v="Agriculture"/>
    <s v="Semiconductor Revenue M$"/>
    <x v="3"/>
    <n v="0"/>
  </r>
  <r>
    <s v="Integrated AI"/>
    <x v="1"/>
    <x v="5"/>
    <s v="Industrial Electronics"/>
    <s v="Agriculture"/>
    <s v="Semiconductor Revenue M$"/>
    <x v="4"/>
    <n v="0"/>
  </r>
  <r>
    <s v="Integrated AI"/>
    <x v="1"/>
    <x v="5"/>
    <s v="Industrial Electronics"/>
    <s v="Agriculture"/>
    <s v="Semiconductor Revenue M$"/>
    <x v="5"/>
    <n v="0"/>
  </r>
  <r>
    <s v="Integrated AI"/>
    <x v="1"/>
    <x v="5"/>
    <s v="Industrial Electronics"/>
    <s v="Agriculture"/>
    <s v="Semiconductor Revenue M$"/>
    <x v="6"/>
    <n v="0"/>
  </r>
  <r>
    <s v="Integrated AI"/>
    <x v="1"/>
    <x v="3"/>
    <s v="Automotive Electronics"/>
    <s v="Automotive HPC"/>
    <s v="Semiconductor Revenue M$"/>
    <x v="0"/>
    <n v="0"/>
  </r>
  <r>
    <s v="Integrated AI"/>
    <x v="1"/>
    <x v="3"/>
    <s v="Automotive Electronics"/>
    <s v="Automotive HPC"/>
    <s v="Semiconductor Revenue M$"/>
    <x v="1"/>
    <n v="0"/>
  </r>
  <r>
    <s v="Integrated AI"/>
    <x v="1"/>
    <x v="3"/>
    <s v="Automotive Electronics"/>
    <s v="Automotive HPC"/>
    <s v="Semiconductor Revenue M$"/>
    <x v="2"/>
    <n v="0"/>
  </r>
  <r>
    <s v="Integrated AI"/>
    <x v="1"/>
    <x v="3"/>
    <s v="Automotive Electronics"/>
    <s v="Automotive HPC"/>
    <s v="Semiconductor Revenue M$"/>
    <x v="3"/>
    <n v="0"/>
  </r>
  <r>
    <s v="Integrated AI"/>
    <x v="1"/>
    <x v="3"/>
    <s v="Automotive Electronics"/>
    <s v="Automotive HPC"/>
    <s v="Semiconductor Revenue M$"/>
    <x v="4"/>
    <n v="0"/>
  </r>
  <r>
    <s v="Integrated AI"/>
    <x v="1"/>
    <x v="3"/>
    <s v="Automotive Electronics"/>
    <s v="Automotive HPC"/>
    <s v="Semiconductor Revenue M$"/>
    <x v="5"/>
    <n v="0"/>
  </r>
  <r>
    <s v="Integrated AI"/>
    <x v="1"/>
    <x v="3"/>
    <s v="Automotive Electronics"/>
    <s v="Automotive HPC"/>
    <s v="Semiconductor Revenue M$"/>
    <x v="6"/>
    <n v="0"/>
  </r>
  <r>
    <s v="Integrated AI"/>
    <x v="1"/>
    <x v="5"/>
    <s v="Industrial Electronics"/>
    <s v="Surveillance"/>
    <s v="Semiconductor Revenue M$"/>
    <x v="0"/>
    <n v="0.35040875946805383"/>
  </r>
  <r>
    <s v="Integrated AI"/>
    <x v="1"/>
    <x v="5"/>
    <s v="Industrial Electronics"/>
    <s v="Surveillance"/>
    <s v="Semiconductor Revenue M$"/>
    <x v="1"/>
    <n v="1.124198837147997"/>
  </r>
  <r>
    <s v="Integrated AI"/>
    <x v="1"/>
    <x v="5"/>
    <s v="Industrial Electronics"/>
    <s v="Surveillance"/>
    <s v="Semiconductor Revenue M$"/>
    <x v="2"/>
    <n v="3.0843456687379662"/>
  </r>
  <r>
    <s v="Integrated AI"/>
    <x v="1"/>
    <x v="5"/>
    <s v="Industrial Electronics"/>
    <s v="Surveillance"/>
    <s v="Semiconductor Revenue M$"/>
    <x v="3"/>
    <n v="8.7894692817910869"/>
  </r>
  <r>
    <s v="Integrated AI"/>
    <x v="1"/>
    <x v="5"/>
    <s v="Industrial Electronics"/>
    <s v="Surveillance"/>
    <s v="Semiconductor Revenue M$"/>
    <x v="4"/>
    <n v="19.390772971164914"/>
  </r>
  <r>
    <s v="Integrated AI"/>
    <x v="1"/>
    <x v="5"/>
    <s v="Industrial Electronics"/>
    <s v="Surveillance"/>
    <s v="Semiconductor Revenue M$"/>
    <x v="5"/>
    <n v="32.231425844873982"/>
  </r>
  <r>
    <s v="Integrated AI"/>
    <x v="1"/>
    <x v="5"/>
    <s v="Industrial Electronics"/>
    <s v="Surveillance"/>
    <s v="Semiconductor Revenue M$"/>
    <x v="6"/>
    <n v="43.24492994050734"/>
  </r>
  <r>
    <s v="Integrated AI"/>
    <x v="1"/>
    <x v="4"/>
    <s v="Consumer Electronics"/>
    <s v="Portable Media Players"/>
    <s v="Semiconductor Revenue M$"/>
    <x v="0"/>
    <n v="0"/>
  </r>
  <r>
    <s v="Integrated AI"/>
    <x v="1"/>
    <x v="4"/>
    <s v="Consumer Electronics"/>
    <s v="Portable Media Players"/>
    <s v="Semiconductor Revenue M$"/>
    <x v="1"/>
    <n v="0"/>
  </r>
  <r>
    <s v="Integrated AI"/>
    <x v="1"/>
    <x v="4"/>
    <s v="Consumer Electronics"/>
    <s v="Portable Media Players"/>
    <s v="Semiconductor Revenue M$"/>
    <x v="2"/>
    <n v="0"/>
  </r>
  <r>
    <s v="Integrated AI"/>
    <x v="1"/>
    <x v="4"/>
    <s v="Consumer Electronics"/>
    <s v="Portable Media Players"/>
    <s v="Semiconductor Revenue M$"/>
    <x v="3"/>
    <n v="0"/>
  </r>
  <r>
    <s v="Integrated AI"/>
    <x v="1"/>
    <x v="4"/>
    <s v="Consumer Electronics"/>
    <s v="Portable Media Players"/>
    <s v="Semiconductor Revenue M$"/>
    <x v="4"/>
    <n v="0"/>
  </r>
  <r>
    <s v="Integrated AI"/>
    <x v="1"/>
    <x v="4"/>
    <s v="Consumer Electronics"/>
    <s v="Portable Media Players"/>
    <s v="Semiconductor Revenue M$"/>
    <x v="5"/>
    <n v="0"/>
  </r>
  <r>
    <s v="Integrated AI"/>
    <x v="1"/>
    <x v="4"/>
    <s v="Consumer Electronics"/>
    <s v="Portable Media Players"/>
    <s v="Semiconductor Revenue M$"/>
    <x v="6"/>
    <n v="0"/>
  </r>
  <r>
    <s v="Integrated AI"/>
    <x v="1"/>
    <x v="4"/>
    <s v="Consumer Electronics"/>
    <s v="Smart Speakers"/>
    <s v="Semiconductor Revenue M$"/>
    <x v="0"/>
    <n v="0"/>
  </r>
  <r>
    <s v="Integrated AI"/>
    <x v="1"/>
    <x v="4"/>
    <s v="Consumer Electronics"/>
    <s v="Smart Speakers"/>
    <s v="Semiconductor Revenue M$"/>
    <x v="1"/>
    <n v="0"/>
  </r>
  <r>
    <s v="Integrated AI"/>
    <x v="1"/>
    <x v="4"/>
    <s v="Consumer Electronics"/>
    <s v="Smart Speakers"/>
    <s v="Semiconductor Revenue M$"/>
    <x v="2"/>
    <n v="0"/>
  </r>
  <r>
    <s v="Integrated AI"/>
    <x v="1"/>
    <x v="4"/>
    <s v="Consumer Electronics"/>
    <s v="Smart Speakers"/>
    <s v="Semiconductor Revenue M$"/>
    <x v="3"/>
    <n v="0"/>
  </r>
  <r>
    <s v="Integrated AI"/>
    <x v="1"/>
    <x v="4"/>
    <s v="Consumer Electronics"/>
    <s v="Smart Speakers"/>
    <s v="Semiconductor Revenue M$"/>
    <x v="4"/>
    <n v="0"/>
  </r>
  <r>
    <s v="Integrated AI"/>
    <x v="1"/>
    <x v="4"/>
    <s v="Consumer Electronics"/>
    <s v="Smart Speakers"/>
    <s v="Semiconductor Revenue M$"/>
    <x v="5"/>
    <n v="0"/>
  </r>
  <r>
    <s v="Integrated AI"/>
    <x v="1"/>
    <x v="4"/>
    <s v="Consumer Electronics"/>
    <s v="Smart Speakers"/>
    <s v="Semiconductor Revenue M$"/>
    <x v="6"/>
    <n v="0"/>
  </r>
  <r>
    <s v="Integrated AI"/>
    <x v="1"/>
    <x v="4"/>
    <s v="Consumer Electronics"/>
    <s v="TV, Standard"/>
    <s v="Semiconductor Revenue M$"/>
    <x v="0"/>
    <n v="0"/>
  </r>
  <r>
    <s v="Integrated AI"/>
    <x v="1"/>
    <x v="4"/>
    <s v="Consumer Electronics"/>
    <s v="TV, Standard"/>
    <s v="Semiconductor Revenue M$"/>
    <x v="1"/>
    <n v="0"/>
  </r>
  <r>
    <s v="Integrated AI"/>
    <x v="1"/>
    <x v="4"/>
    <s v="Consumer Electronics"/>
    <s v="TV, Standard"/>
    <s v="Semiconductor Revenue M$"/>
    <x v="2"/>
    <n v="0"/>
  </r>
  <r>
    <s v="Integrated AI"/>
    <x v="1"/>
    <x v="4"/>
    <s v="Consumer Electronics"/>
    <s v="TV, Standard"/>
    <s v="Semiconductor Revenue M$"/>
    <x v="3"/>
    <n v="0"/>
  </r>
  <r>
    <s v="Integrated AI"/>
    <x v="1"/>
    <x v="4"/>
    <s v="Consumer Electronics"/>
    <s v="TV, Standard"/>
    <s v="Semiconductor Revenue M$"/>
    <x v="4"/>
    <n v="0"/>
  </r>
  <r>
    <s v="Integrated AI"/>
    <x v="1"/>
    <x v="4"/>
    <s v="Consumer Electronics"/>
    <s v="TV, Standard"/>
    <s v="Semiconductor Revenue M$"/>
    <x v="5"/>
    <n v="0"/>
  </r>
  <r>
    <s v="Integrated AI"/>
    <x v="1"/>
    <x v="4"/>
    <s v="Consumer Electronics"/>
    <s v="TV, Standard"/>
    <s v="Semiconductor Revenue M$"/>
    <x v="6"/>
    <n v="0"/>
  </r>
  <r>
    <s v="Integrated AI"/>
    <x v="1"/>
    <x v="4"/>
    <s v="Consumer Electronics"/>
    <s v="TV, Smart"/>
    <s v="Semiconductor Revenue M$"/>
    <x v="0"/>
    <n v="2.425449491761374E-4"/>
  </r>
  <r>
    <s v="Integrated AI"/>
    <x v="1"/>
    <x v="4"/>
    <s v="Consumer Electronics"/>
    <s v="TV, Smart"/>
    <s v="Semiconductor Revenue M$"/>
    <x v="1"/>
    <n v="1.1575216918333748E-3"/>
  </r>
  <r>
    <s v="Integrated AI"/>
    <x v="1"/>
    <x v="4"/>
    <s v="Consumer Electronics"/>
    <s v="TV, Smart"/>
    <s v="Semiconductor Revenue M$"/>
    <x v="2"/>
    <n v="5.4569621941287765E-3"/>
  </r>
  <r>
    <s v="Integrated AI"/>
    <x v="1"/>
    <x v="4"/>
    <s v="Consumer Electronics"/>
    <s v="TV, Smart"/>
    <s v="Semiconductor Revenue M$"/>
    <x v="3"/>
    <n v="2.5160933276749609E-2"/>
  </r>
  <r>
    <s v="Integrated AI"/>
    <x v="1"/>
    <x v="4"/>
    <s v="Consumer Electronics"/>
    <s v="TV, Smart"/>
    <s v="Semiconductor Revenue M$"/>
    <x v="4"/>
    <n v="0.11518181088452219"/>
  </r>
  <r>
    <s v="Integrated AI"/>
    <x v="1"/>
    <x v="4"/>
    <s v="Consumer Electronics"/>
    <s v="TV, Smart"/>
    <s v="Semiconductor Revenue M$"/>
    <x v="5"/>
    <n v="0.23300665014755925"/>
  </r>
  <r>
    <s v="Integrated AI"/>
    <x v="1"/>
    <x v="4"/>
    <s v="Consumer Electronics"/>
    <s v="TV, Smart"/>
    <s v="Semiconductor Revenue M$"/>
    <x v="6"/>
    <n v="0.34726165444371415"/>
  </r>
  <r>
    <s v="Integrated AI"/>
    <x v="1"/>
    <x v="4"/>
    <s v="Consumer Electronics"/>
    <s v="Video Game Consoles"/>
    <s v="Semiconductor Revenue M$"/>
    <x v="0"/>
    <n v="0"/>
  </r>
  <r>
    <s v="Integrated AI"/>
    <x v="1"/>
    <x v="4"/>
    <s v="Consumer Electronics"/>
    <s v="Video Game Consoles"/>
    <s v="Semiconductor Revenue M$"/>
    <x v="1"/>
    <n v="0"/>
  </r>
  <r>
    <s v="Integrated AI"/>
    <x v="1"/>
    <x v="4"/>
    <s v="Consumer Electronics"/>
    <s v="Video Game Consoles"/>
    <s v="Semiconductor Revenue M$"/>
    <x v="2"/>
    <n v="0"/>
  </r>
  <r>
    <s v="Integrated AI"/>
    <x v="1"/>
    <x v="4"/>
    <s v="Consumer Electronics"/>
    <s v="Video Game Consoles"/>
    <s v="Semiconductor Revenue M$"/>
    <x v="3"/>
    <n v="0"/>
  </r>
  <r>
    <s v="Integrated AI"/>
    <x v="1"/>
    <x v="4"/>
    <s v="Consumer Electronics"/>
    <s v="Video Game Consoles"/>
    <s v="Semiconductor Revenue M$"/>
    <x v="4"/>
    <n v="0"/>
  </r>
  <r>
    <s v="Integrated AI"/>
    <x v="1"/>
    <x v="4"/>
    <s v="Consumer Electronics"/>
    <s v="Video Game Consoles"/>
    <s v="Semiconductor Revenue M$"/>
    <x v="5"/>
    <n v="0"/>
  </r>
  <r>
    <s v="Integrated AI"/>
    <x v="1"/>
    <x v="4"/>
    <s v="Consumer Electronics"/>
    <s v="Video Game Consoles"/>
    <s v="Semiconductor Revenue M$"/>
    <x v="6"/>
    <n v="0"/>
  </r>
  <r>
    <s v="Integrated AI"/>
    <x v="1"/>
    <x v="4"/>
    <s v="Consumer Electronics"/>
    <s v="Video Game Handhelds"/>
    <s v="Semiconductor Revenue M$"/>
    <x v="0"/>
    <n v="0"/>
  </r>
  <r>
    <s v="Integrated AI"/>
    <x v="1"/>
    <x v="4"/>
    <s v="Consumer Electronics"/>
    <s v="Video Game Handhelds"/>
    <s v="Semiconductor Revenue M$"/>
    <x v="1"/>
    <n v="0"/>
  </r>
  <r>
    <s v="Integrated AI"/>
    <x v="1"/>
    <x v="4"/>
    <s v="Consumer Electronics"/>
    <s v="Video Game Handhelds"/>
    <s v="Semiconductor Revenue M$"/>
    <x v="2"/>
    <n v="0"/>
  </r>
  <r>
    <s v="Integrated AI"/>
    <x v="1"/>
    <x v="4"/>
    <s v="Consumer Electronics"/>
    <s v="Video Game Handhelds"/>
    <s v="Semiconductor Revenue M$"/>
    <x v="3"/>
    <n v="0"/>
  </r>
  <r>
    <s v="Integrated AI"/>
    <x v="1"/>
    <x v="4"/>
    <s v="Consumer Electronics"/>
    <s v="Video Game Handhelds"/>
    <s v="Semiconductor Revenue M$"/>
    <x v="4"/>
    <n v="0"/>
  </r>
  <r>
    <s v="Integrated AI"/>
    <x v="1"/>
    <x v="4"/>
    <s v="Consumer Electronics"/>
    <s v="Video Game Handhelds"/>
    <s v="Semiconductor Revenue M$"/>
    <x v="5"/>
    <n v="0"/>
  </r>
  <r>
    <s v="Integrated AI"/>
    <x v="1"/>
    <x v="4"/>
    <s v="Consumer Electronics"/>
    <s v="Video Game Handhelds"/>
    <s v="Semiconductor Revenue M$"/>
    <x v="6"/>
    <n v="0"/>
  </r>
  <r>
    <s v="Integrated AI"/>
    <x v="1"/>
    <x v="4"/>
    <s v="Consumer Electronics"/>
    <s v="Wristbands"/>
    <s v="Semiconductor Revenue M$"/>
    <x v="0"/>
    <n v="0"/>
  </r>
  <r>
    <s v="Integrated AI"/>
    <x v="1"/>
    <x v="4"/>
    <s v="Consumer Electronics"/>
    <s v="Wristbands"/>
    <s v="Semiconductor Revenue M$"/>
    <x v="1"/>
    <n v="0"/>
  </r>
  <r>
    <s v="Integrated AI"/>
    <x v="1"/>
    <x v="4"/>
    <s v="Consumer Electronics"/>
    <s v="Wristbands"/>
    <s v="Semiconductor Revenue M$"/>
    <x v="2"/>
    <n v="0"/>
  </r>
  <r>
    <s v="Integrated AI"/>
    <x v="1"/>
    <x v="4"/>
    <s v="Consumer Electronics"/>
    <s v="Wristbands"/>
    <s v="Semiconductor Revenue M$"/>
    <x v="3"/>
    <n v="0"/>
  </r>
  <r>
    <s v="Integrated AI"/>
    <x v="1"/>
    <x v="4"/>
    <s v="Consumer Electronics"/>
    <s v="Wristbands"/>
    <s v="Semiconductor Revenue M$"/>
    <x v="4"/>
    <n v="0"/>
  </r>
  <r>
    <s v="Integrated AI"/>
    <x v="1"/>
    <x v="4"/>
    <s v="Consumer Electronics"/>
    <s v="Wristbands"/>
    <s v="Semiconductor Revenue M$"/>
    <x v="5"/>
    <n v="0"/>
  </r>
  <r>
    <s v="Integrated AI"/>
    <x v="1"/>
    <x v="4"/>
    <s v="Consumer Electronics"/>
    <s v="Wristbands"/>
    <s v="Semiconductor Revenue M$"/>
    <x v="6"/>
    <n v="0"/>
  </r>
  <r>
    <s v="Integrated AI"/>
    <x v="1"/>
    <x v="4"/>
    <s v="Consumer Electronics"/>
    <s v="Head Mounted Display"/>
    <s v="Semiconductor Revenue M$"/>
    <x v="0"/>
    <n v="0"/>
  </r>
  <r>
    <s v="Integrated AI"/>
    <x v="1"/>
    <x v="4"/>
    <s v="Consumer Electronics"/>
    <s v="Head Mounted Display"/>
    <s v="Semiconductor Revenue M$"/>
    <x v="1"/>
    <n v="0"/>
  </r>
  <r>
    <s v="Integrated AI"/>
    <x v="1"/>
    <x v="4"/>
    <s v="Consumer Electronics"/>
    <s v="Head Mounted Display"/>
    <s v="Semiconductor Revenue M$"/>
    <x v="2"/>
    <n v="0"/>
  </r>
  <r>
    <s v="Integrated AI"/>
    <x v="1"/>
    <x v="4"/>
    <s v="Consumer Electronics"/>
    <s v="Head Mounted Display"/>
    <s v="Semiconductor Revenue M$"/>
    <x v="3"/>
    <n v="0"/>
  </r>
  <r>
    <s v="Integrated AI"/>
    <x v="1"/>
    <x v="4"/>
    <s v="Consumer Electronics"/>
    <s v="Head Mounted Display"/>
    <s v="Semiconductor Revenue M$"/>
    <x v="4"/>
    <n v="0"/>
  </r>
  <r>
    <s v="Integrated AI"/>
    <x v="1"/>
    <x v="4"/>
    <s v="Consumer Electronics"/>
    <s v="Head Mounted Display"/>
    <s v="Semiconductor Revenue M$"/>
    <x v="5"/>
    <n v="0"/>
  </r>
  <r>
    <s v="Integrated AI"/>
    <x v="1"/>
    <x v="4"/>
    <s v="Consumer Electronics"/>
    <s v="Head Mounted Display"/>
    <s v="Semiconductor Revenue M$"/>
    <x v="6"/>
    <n v="0"/>
  </r>
  <r>
    <s v="Integrated AI"/>
    <x v="1"/>
    <x v="4"/>
    <s v="Consumer Electronics"/>
    <s v="Smart Watches"/>
    <s v="Semiconductor Revenue M$"/>
    <x v="0"/>
    <n v="0"/>
  </r>
  <r>
    <s v="Integrated AI"/>
    <x v="1"/>
    <x v="4"/>
    <s v="Consumer Electronics"/>
    <s v="Smart Watches"/>
    <s v="Semiconductor Revenue M$"/>
    <x v="1"/>
    <n v="0"/>
  </r>
  <r>
    <s v="Integrated AI"/>
    <x v="1"/>
    <x v="4"/>
    <s v="Consumer Electronics"/>
    <s v="Smart Watches"/>
    <s v="Semiconductor Revenue M$"/>
    <x v="2"/>
    <n v="0"/>
  </r>
  <r>
    <s v="Integrated AI"/>
    <x v="1"/>
    <x v="4"/>
    <s v="Consumer Electronics"/>
    <s v="Smart Watches"/>
    <s v="Semiconductor Revenue M$"/>
    <x v="3"/>
    <n v="0"/>
  </r>
  <r>
    <s v="Integrated AI"/>
    <x v="1"/>
    <x v="4"/>
    <s v="Consumer Electronics"/>
    <s v="Smart Watches"/>
    <s v="Semiconductor Revenue M$"/>
    <x v="4"/>
    <n v="0"/>
  </r>
  <r>
    <s v="Integrated AI"/>
    <x v="1"/>
    <x v="4"/>
    <s v="Consumer Electronics"/>
    <s v="Smart Watches"/>
    <s v="Semiconductor Revenue M$"/>
    <x v="5"/>
    <n v="0"/>
  </r>
  <r>
    <s v="Integrated AI"/>
    <x v="1"/>
    <x v="4"/>
    <s v="Consumer Electronics"/>
    <s v="Smart Watches"/>
    <s v="Semiconductor Revenue M$"/>
    <x v="6"/>
    <n v="0"/>
  </r>
  <r>
    <s v="Integrated AI"/>
    <x v="1"/>
    <x v="4"/>
    <s v="Consumer Electronics"/>
    <s v="Sports Watches"/>
    <s v="Semiconductor Revenue M$"/>
    <x v="0"/>
    <n v="0"/>
  </r>
  <r>
    <s v="Integrated AI"/>
    <x v="1"/>
    <x v="4"/>
    <s v="Consumer Electronics"/>
    <s v="Sports Watches"/>
    <s v="Semiconductor Revenue M$"/>
    <x v="1"/>
    <n v="0"/>
  </r>
  <r>
    <s v="Integrated AI"/>
    <x v="1"/>
    <x v="4"/>
    <s v="Consumer Electronics"/>
    <s v="Sports Watches"/>
    <s v="Semiconductor Revenue M$"/>
    <x v="2"/>
    <n v="0"/>
  </r>
  <r>
    <s v="Integrated AI"/>
    <x v="1"/>
    <x v="4"/>
    <s v="Consumer Electronics"/>
    <s v="Sports Watches"/>
    <s v="Semiconductor Revenue M$"/>
    <x v="3"/>
    <n v="0"/>
  </r>
  <r>
    <s v="Integrated AI"/>
    <x v="1"/>
    <x v="4"/>
    <s v="Consumer Electronics"/>
    <s v="Sports Watches"/>
    <s v="Semiconductor Revenue M$"/>
    <x v="4"/>
    <n v="0"/>
  </r>
  <r>
    <s v="Integrated AI"/>
    <x v="1"/>
    <x v="4"/>
    <s v="Consumer Electronics"/>
    <s v="Sports Watches"/>
    <s v="Semiconductor Revenue M$"/>
    <x v="5"/>
    <n v="0"/>
  </r>
  <r>
    <s v="Integrated AI"/>
    <x v="1"/>
    <x v="4"/>
    <s v="Consumer Electronics"/>
    <s v="Sports Watches"/>
    <s v="Semiconductor Revenue M$"/>
    <x v="6"/>
    <n v="0"/>
  </r>
  <r>
    <s v="Integrated AI"/>
    <x v="1"/>
    <x v="4"/>
    <s v="Consumer Electronics"/>
    <s v="Other Consumer Electronics"/>
    <s v="Semiconductor Revenue M$"/>
    <x v="0"/>
    <n v="0.25166430600002315"/>
  </r>
  <r>
    <s v="Integrated AI"/>
    <x v="1"/>
    <x v="4"/>
    <s v="Consumer Electronics"/>
    <s v="Other Consumer Electronics"/>
    <s v="Semiconductor Revenue M$"/>
    <x v="1"/>
    <n v="0.29145385820001174"/>
  </r>
  <r>
    <s v="Integrated AI"/>
    <x v="1"/>
    <x v="4"/>
    <s v="Consumer Electronics"/>
    <s v="Other Consumer Electronics"/>
    <s v="Semiconductor Revenue M$"/>
    <x v="2"/>
    <n v="0.3507551060789702"/>
  </r>
  <r>
    <s v="Integrated AI"/>
    <x v="1"/>
    <x v="4"/>
    <s v="Consumer Electronics"/>
    <s v="Other Consumer Electronics"/>
    <s v="Semiconductor Revenue M$"/>
    <x v="3"/>
    <n v="0.4537596033108765"/>
  </r>
  <r>
    <s v="Integrated AI"/>
    <x v="1"/>
    <x v="4"/>
    <s v="Consumer Electronics"/>
    <s v="Other Consumer Electronics"/>
    <s v="Semiconductor Revenue M$"/>
    <x v="4"/>
    <n v="0.52351021183916968"/>
  </r>
  <r>
    <s v="Integrated AI"/>
    <x v="1"/>
    <x v="4"/>
    <s v="Consumer Electronics"/>
    <s v="Other Consumer Electronics"/>
    <s v="Semiconductor Revenue M$"/>
    <x v="5"/>
    <n v="0.60592941142991075"/>
  </r>
  <r>
    <s v="Integrated AI"/>
    <x v="1"/>
    <x v="4"/>
    <s v="Consumer Electronics"/>
    <s v="Other Consumer Electronics"/>
    <s v="Semiconductor Revenue M$"/>
    <x v="6"/>
    <n v="0.72181593766440588"/>
  </r>
  <r>
    <s v="Integrated AI"/>
    <x v="1"/>
    <x v="3"/>
    <s v="Automotive Electronics"/>
    <s v="ADAS-Sensors and Connectivity"/>
    <s v="Semiconductor Revenue M$"/>
    <x v="0"/>
    <n v="0"/>
  </r>
  <r>
    <s v="Integrated AI"/>
    <x v="1"/>
    <x v="3"/>
    <s v="Automotive Electronics"/>
    <s v="ADAS-Sensors and Connectivity"/>
    <s v="Semiconductor Revenue M$"/>
    <x v="1"/>
    <n v="0"/>
  </r>
  <r>
    <s v="Integrated AI"/>
    <x v="1"/>
    <x v="3"/>
    <s v="Automotive Electronics"/>
    <s v="ADAS-Sensors and Connectivity"/>
    <s v="Semiconductor Revenue M$"/>
    <x v="2"/>
    <n v="0"/>
  </r>
  <r>
    <s v="Integrated AI"/>
    <x v="1"/>
    <x v="3"/>
    <s v="Automotive Electronics"/>
    <s v="ADAS-Sensors and Connectivity"/>
    <s v="Semiconductor Revenue M$"/>
    <x v="3"/>
    <n v="0"/>
  </r>
  <r>
    <s v="Integrated AI"/>
    <x v="1"/>
    <x v="3"/>
    <s v="Automotive Electronics"/>
    <s v="ADAS-Sensors and Connectivity"/>
    <s v="Semiconductor Revenue M$"/>
    <x v="4"/>
    <n v="0"/>
  </r>
  <r>
    <s v="Integrated AI"/>
    <x v="1"/>
    <x v="3"/>
    <s v="Automotive Electronics"/>
    <s v="ADAS-Sensors and Connectivity"/>
    <s v="Semiconductor Revenue M$"/>
    <x v="5"/>
    <n v="0"/>
  </r>
  <r>
    <s v="Integrated AI"/>
    <x v="1"/>
    <x v="3"/>
    <s v="Automotive Electronics"/>
    <s v="ADAS-Sensors and Connectivity"/>
    <s v="Semiconductor Revenue M$"/>
    <x v="6"/>
    <n v="0"/>
  </r>
  <r>
    <s v="Integrated AI"/>
    <x v="1"/>
    <x v="3"/>
    <s v="Automotive Electronics"/>
    <s v="Body"/>
    <s v="Semiconductor Revenue M$"/>
    <x v="0"/>
    <n v="0"/>
  </r>
  <r>
    <s v="Integrated AI"/>
    <x v="1"/>
    <x v="3"/>
    <s v="Automotive Electronics"/>
    <s v="Body"/>
    <s v="Semiconductor Revenue M$"/>
    <x v="1"/>
    <n v="0"/>
  </r>
  <r>
    <s v="Integrated AI"/>
    <x v="1"/>
    <x v="3"/>
    <s v="Automotive Electronics"/>
    <s v="Body"/>
    <s v="Semiconductor Revenue M$"/>
    <x v="2"/>
    <n v="0"/>
  </r>
  <r>
    <s v="Integrated AI"/>
    <x v="1"/>
    <x v="3"/>
    <s v="Automotive Electronics"/>
    <s v="Body"/>
    <s v="Semiconductor Revenue M$"/>
    <x v="3"/>
    <n v="0"/>
  </r>
  <r>
    <s v="Integrated AI"/>
    <x v="1"/>
    <x v="3"/>
    <s v="Automotive Electronics"/>
    <s v="Body"/>
    <s v="Semiconductor Revenue M$"/>
    <x v="4"/>
    <n v="0"/>
  </r>
  <r>
    <s v="Integrated AI"/>
    <x v="1"/>
    <x v="3"/>
    <s v="Automotive Electronics"/>
    <s v="Body"/>
    <s v="Semiconductor Revenue M$"/>
    <x v="5"/>
    <n v="0"/>
  </r>
  <r>
    <s v="Integrated AI"/>
    <x v="1"/>
    <x v="3"/>
    <s v="Automotive Electronics"/>
    <s v="Body"/>
    <s v="Semiconductor Revenue M$"/>
    <x v="6"/>
    <n v="0"/>
  </r>
  <r>
    <s v="Integrated AI"/>
    <x v="1"/>
    <x v="3"/>
    <s v="Automotive Electronics"/>
    <s v="Chassis"/>
    <s v="Semiconductor Revenue M$"/>
    <x v="0"/>
    <n v="0"/>
  </r>
  <r>
    <s v="Integrated AI"/>
    <x v="1"/>
    <x v="3"/>
    <s v="Automotive Electronics"/>
    <s v="Chassis"/>
    <s v="Semiconductor Revenue M$"/>
    <x v="1"/>
    <n v="0"/>
  </r>
  <r>
    <s v="Integrated AI"/>
    <x v="1"/>
    <x v="3"/>
    <s v="Automotive Electronics"/>
    <s v="Chassis"/>
    <s v="Semiconductor Revenue M$"/>
    <x v="2"/>
    <n v="0"/>
  </r>
  <r>
    <s v="Integrated AI"/>
    <x v="1"/>
    <x v="3"/>
    <s v="Automotive Electronics"/>
    <s v="Chassis"/>
    <s v="Semiconductor Revenue M$"/>
    <x v="3"/>
    <n v="0"/>
  </r>
  <r>
    <s v="Integrated AI"/>
    <x v="1"/>
    <x v="3"/>
    <s v="Automotive Electronics"/>
    <s v="Chassis"/>
    <s v="Semiconductor Revenue M$"/>
    <x v="4"/>
    <n v="0"/>
  </r>
  <r>
    <s v="Integrated AI"/>
    <x v="1"/>
    <x v="3"/>
    <s v="Automotive Electronics"/>
    <s v="Chassis"/>
    <s v="Semiconductor Revenue M$"/>
    <x v="5"/>
    <n v="0"/>
  </r>
  <r>
    <s v="Integrated AI"/>
    <x v="1"/>
    <x v="3"/>
    <s v="Automotive Electronics"/>
    <s v="Chassis"/>
    <s v="Semiconductor Revenue M$"/>
    <x v="6"/>
    <n v="0"/>
  </r>
  <r>
    <s v="Integrated AI"/>
    <x v="1"/>
    <x v="3"/>
    <s v="Automotive Electronics"/>
    <s v="EV/HEV"/>
    <s v="Semiconductor Revenue M$"/>
    <x v="0"/>
    <n v="0"/>
  </r>
  <r>
    <s v="Integrated AI"/>
    <x v="1"/>
    <x v="3"/>
    <s v="Automotive Electronics"/>
    <s v="EV/HEV"/>
    <s v="Semiconductor Revenue M$"/>
    <x v="1"/>
    <n v="0"/>
  </r>
  <r>
    <s v="Integrated AI"/>
    <x v="1"/>
    <x v="3"/>
    <s v="Automotive Electronics"/>
    <s v="EV/HEV"/>
    <s v="Semiconductor Revenue M$"/>
    <x v="2"/>
    <n v="0"/>
  </r>
  <r>
    <s v="Integrated AI"/>
    <x v="1"/>
    <x v="3"/>
    <s v="Automotive Electronics"/>
    <s v="EV/HEV"/>
    <s v="Semiconductor Revenue M$"/>
    <x v="3"/>
    <n v="0"/>
  </r>
  <r>
    <s v="Integrated AI"/>
    <x v="1"/>
    <x v="3"/>
    <s v="Automotive Electronics"/>
    <s v="EV/HEV"/>
    <s v="Semiconductor Revenue M$"/>
    <x v="4"/>
    <n v="0"/>
  </r>
  <r>
    <s v="Integrated AI"/>
    <x v="1"/>
    <x v="3"/>
    <s v="Automotive Electronics"/>
    <s v="EV/HEV"/>
    <s v="Semiconductor Revenue M$"/>
    <x v="5"/>
    <n v="0"/>
  </r>
  <r>
    <s v="Integrated AI"/>
    <x v="1"/>
    <x v="3"/>
    <s v="Automotive Electronics"/>
    <s v="EV/HEV"/>
    <s v="Semiconductor Revenue M$"/>
    <x v="6"/>
    <n v="0"/>
  </r>
  <r>
    <s v="Integrated AI"/>
    <x v="1"/>
    <x v="3"/>
    <s v="Automotive Electronics"/>
    <s v="Infotainment"/>
    <s v="Semiconductor Revenue M$"/>
    <x v="0"/>
    <n v="1.7640953039407672E-2"/>
  </r>
  <r>
    <s v="Integrated AI"/>
    <x v="1"/>
    <x v="3"/>
    <s v="Automotive Electronics"/>
    <s v="Infotainment"/>
    <s v="Semiconductor Revenue M$"/>
    <x v="1"/>
    <n v="8.2314214775910735E-2"/>
  </r>
  <r>
    <s v="Integrated AI"/>
    <x v="1"/>
    <x v="3"/>
    <s v="Automotive Electronics"/>
    <s v="Infotainment"/>
    <s v="Semiconductor Revenue M$"/>
    <x v="2"/>
    <n v="0.32150707989249139"/>
  </r>
  <r>
    <s v="Integrated AI"/>
    <x v="1"/>
    <x v="3"/>
    <s v="Automotive Electronics"/>
    <s v="Infotainment"/>
    <s v="Semiconductor Revenue M$"/>
    <x v="3"/>
    <n v="1.1852129653600909"/>
  </r>
  <r>
    <s v="Integrated AI"/>
    <x v="1"/>
    <x v="3"/>
    <s v="Automotive Electronics"/>
    <s v="Infotainment"/>
    <s v="Semiconductor Revenue M$"/>
    <x v="4"/>
    <n v="4.4230998408377546"/>
  </r>
  <r>
    <s v="Integrated AI"/>
    <x v="1"/>
    <x v="3"/>
    <s v="Automotive Electronics"/>
    <s v="Infotainment"/>
    <s v="Semiconductor Revenue M$"/>
    <x v="5"/>
    <n v="6.6801383094476758"/>
  </r>
  <r>
    <s v="Integrated AI"/>
    <x v="1"/>
    <x v="3"/>
    <s v="Automotive Electronics"/>
    <s v="Infotainment"/>
    <s v="Semiconductor Revenue M$"/>
    <x v="6"/>
    <n v="8.9658367459497565"/>
  </r>
  <r>
    <s v="Integrated AI"/>
    <x v="1"/>
    <x v="3"/>
    <s v="Automotive Electronics"/>
    <s v="Instrument Cluster"/>
    <s v="Semiconductor Revenue M$"/>
    <x v="0"/>
    <n v="0"/>
  </r>
  <r>
    <s v="Integrated AI"/>
    <x v="1"/>
    <x v="3"/>
    <s v="Automotive Electronics"/>
    <s v="Instrument Cluster"/>
    <s v="Semiconductor Revenue M$"/>
    <x v="1"/>
    <n v="0"/>
  </r>
  <r>
    <s v="Integrated AI"/>
    <x v="1"/>
    <x v="3"/>
    <s v="Automotive Electronics"/>
    <s v="Instrument Cluster"/>
    <s v="Semiconductor Revenue M$"/>
    <x v="2"/>
    <n v="0"/>
  </r>
  <r>
    <s v="Integrated AI"/>
    <x v="1"/>
    <x v="3"/>
    <s v="Automotive Electronics"/>
    <s v="Instrument Cluster"/>
    <s v="Semiconductor Revenue M$"/>
    <x v="3"/>
    <n v="0"/>
  </r>
  <r>
    <s v="Integrated AI"/>
    <x v="1"/>
    <x v="3"/>
    <s v="Automotive Electronics"/>
    <s v="Instrument Cluster"/>
    <s v="Semiconductor Revenue M$"/>
    <x v="4"/>
    <n v="0"/>
  </r>
  <r>
    <s v="Integrated AI"/>
    <x v="1"/>
    <x v="3"/>
    <s v="Automotive Electronics"/>
    <s v="Instrument Cluster"/>
    <s v="Semiconductor Revenue M$"/>
    <x v="5"/>
    <n v="0"/>
  </r>
  <r>
    <s v="Integrated AI"/>
    <x v="1"/>
    <x v="3"/>
    <s v="Automotive Electronics"/>
    <s v="Instrument Cluster"/>
    <s v="Semiconductor Revenue M$"/>
    <x v="6"/>
    <n v="0"/>
  </r>
  <r>
    <s v="Integrated AI"/>
    <x v="1"/>
    <x v="3"/>
    <s v="Automotive Electronics"/>
    <s v="Powertrain"/>
    <s v="Semiconductor Revenue M$"/>
    <x v="0"/>
    <n v="5.1791462833903896E-4"/>
  </r>
  <r>
    <s v="Integrated AI"/>
    <x v="1"/>
    <x v="3"/>
    <s v="Automotive Electronics"/>
    <s v="Powertrain"/>
    <s v="Semiconductor Revenue M$"/>
    <x v="1"/>
    <n v="1.8055622302533354E-3"/>
  </r>
  <r>
    <s v="Integrated AI"/>
    <x v="1"/>
    <x v="3"/>
    <s v="Automotive Electronics"/>
    <s v="Powertrain"/>
    <s v="Semiconductor Revenue M$"/>
    <x v="2"/>
    <n v="5.6172158740774207E-3"/>
  </r>
  <r>
    <s v="Integrated AI"/>
    <x v="1"/>
    <x v="3"/>
    <s v="Automotive Electronics"/>
    <s v="Powertrain"/>
    <s v="Semiconductor Revenue M$"/>
    <x v="3"/>
    <n v="1.4575047594664943E-2"/>
  </r>
  <r>
    <s v="Integrated AI"/>
    <x v="1"/>
    <x v="3"/>
    <s v="Automotive Electronics"/>
    <s v="Powertrain"/>
    <s v="Semiconductor Revenue M$"/>
    <x v="4"/>
    <n v="4.0552645053970042E-2"/>
  </r>
  <r>
    <s v="Integrated AI"/>
    <x v="1"/>
    <x v="3"/>
    <s v="Automotive Electronics"/>
    <s v="Powertrain"/>
    <s v="Semiconductor Revenue M$"/>
    <x v="5"/>
    <n v="8.050526435367128E-2"/>
  </r>
  <r>
    <s v="Integrated AI"/>
    <x v="1"/>
    <x v="3"/>
    <s v="Automotive Electronics"/>
    <s v="Powertrain"/>
    <s v="Semiconductor Revenue M$"/>
    <x v="6"/>
    <n v="0.32113905753533389"/>
  </r>
  <r>
    <s v="Integrated AI"/>
    <x v="1"/>
    <x v="3"/>
    <s v="Automotive Electronics"/>
    <s v="Safety"/>
    <s v="Semiconductor Revenue M$"/>
    <x v="0"/>
    <n v="0"/>
  </r>
  <r>
    <s v="Integrated AI"/>
    <x v="1"/>
    <x v="3"/>
    <s v="Automotive Electronics"/>
    <s v="Safety"/>
    <s v="Semiconductor Revenue M$"/>
    <x v="1"/>
    <n v="0"/>
  </r>
  <r>
    <s v="Integrated AI"/>
    <x v="1"/>
    <x v="3"/>
    <s v="Automotive Electronics"/>
    <s v="Safety"/>
    <s v="Semiconductor Revenue M$"/>
    <x v="2"/>
    <n v="0"/>
  </r>
  <r>
    <s v="Integrated AI"/>
    <x v="1"/>
    <x v="3"/>
    <s v="Automotive Electronics"/>
    <s v="Safety"/>
    <s v="Semiconductor Revenue M$"/>
    <x v="3"/>
    <n v="0"/>
  </r>
  <r>
    <s v="Integrated AI"/>
    <x v="1"/>
    <x v="3"/>
    <s v="Automotive Electronics"/>
    <s v="Safety"/>
    <s v="Semiconductor Revenue M$"/>
    <x v="4"/>
    <n v="0"/>
  </r>
  <r>
    <s v="Integrated AI"/>
    <x v="1"/>
    <x v="3"/>
    <s v="Automotive Electronics"/>
    <s v="Safety"/>
    <s v="Semiconductor Revenue M$"/>
    <x v="5"/>
    <n v="0"/>
  </r>
  <r>
    <s v="Integrated AI"/>
    <x v="1"/>
    <x v="3"/>
    <s v="Automotive Electronics"/>
    <s v="Safety"/>
    <s v="Semiconductor Revenue M$"/>
    <x v="6"/>
    <n v="0"/>
  </r>
  <r>
    <s v="Integrated AI"/>
    <x v="1"/>
    <x v="3"/>
    <s v="Automotive Electronics"/>
    <s v="Aftermarket"/>
    <s v="Semiconductor Revenue M$"/>
    <x v="0"/>
    <n v="1.5209462921790557E-3"/>
  </r>
  <r>
    <s v="Integrated AI"/>
    <x v="1"/>
    <x v="3"/>
    <s v="Automotive Electronics"/>
    <s v="Aftermarket"/>
    <s v="Semiconductor Revenue M$"/>
    <x v="1"/>
    <n v="6.0766848092994163E-3"/>
  </r>
  <r>
    <s v="Integrated AI"/>
    <x v="1"/>
    <x v="3"/>
    <s v="Automotive Electronics"/>
    <s v="Aftermarket"/>
    <s v="Semiconductor Revenue M$"/>
    <x v="2"/>
    <n v="2.1348095121763069E-2"/>
  </r>
  <r>
    <s v="Integrated AI"/>
    <x v="1"/>
    <x v="3"/>
    <s v="Automotive Electronics"/>
    <s v="Aftermarket"/>
    <s v="Semiconductor Revenue M$"/>
    <x v="3"/>
    <n v="7.2231775477124421E-2"/>
  </r>
  <r>
    <s v="Integrated AI"/>
    <x v="1"/>
    <x v="3"/>
    <s v="Automotive Electronics"/>
    <s v="Aftermarket"/>
    <s v="Semiconductor Revenue M$"/>
    <x v="4"/>
    <n v="0.24890254409504892"/>
  </r>
  <r>
    <s v="Integrated AI"/>
    <x v="1"/>
    <x v="3"/>
    <s v="Automotive Electronics"/>
    <s v="Aftermarket"/>
    <s v="Semiconductor Revenue M$"/>
    <x v="5"/>
    <n v="0.36531677658350337"/>
  </r>
  <r>
    <s v="Integrated AI"/>
    <x v="1"/>
    <x v="3"/>
    <s v="Automotive Electronics"/>
    <s v="Aftermarket"/>
    <s v="Semiconductor Revenue M$"/>
    <x v="6"/>
    <n v="0.4586233450422626"/>
  </r>
  <r>
    <s v="Integrated AI"/>
    <x v="1"/>
    <x v="5"/>
    <s v="Industrial Electronics"/>
    <s v="Commercial Amusement"/>
    <s v="Semiconductor Revenue M$"/>
    <x v="0"/>
    <n v="0.17523909182807282"/>
  </r>
  <r>
    <s v="Integrated AI"/>
    <x v="1"/>
    <x v="5"/>
    <s v="Industrial Electronics"/>
    <s v="Commercial Amusement"/>
    <s v="Semiconductor Revenue M$"/>
    <x v="1"/>
    <n v="0.4453874800260561"/>
  </r>
  <r>
    <s v="Integrated AI"/>
    <x v="1"/>
    <x v="5"/>
    <s v="Industrial Electronics"/>
    <s v="Commercial Amusement"/>
    <s v="Semiconductor Revenue M$"/>
    <x v="2"/>
    <n v="1.050781015729128"/>
  </r>
  <r>
    <s v="Integrated AI"/>
    <x v="1"/>
    <x v="5"/>
    <s v="Industrial Electronics"/>
    <s v="Commercial Amusement"/>
    <s v="Semiconductor Revenue M$"/>
    <x v="3"/>
    <n v="2.3575699184897614"/>
  </r>
  <r>
    <s v="Integrated AI"/>
    <x v="1"/>
    <x v="5"/>
    <s v="Industrial Electronics"/>
    <s v="Commercial Amusement"/>
    <s v="Semiconductor Revenue M$"/>
    <x v="4"/>
    <n v="4.6382514911629036"/>
  </r>
  <r>
    <s v="Integrated AI"/>
    <x v="1"/>
    <x v="5"/>
    <s v="Industrial Electronics"/>
    <s v="Commercial Amusement"/>
    <s v="Semiconductor Revenue M$"/>
    <x v="5"/>
    <n v="9.1623600400796708"/>
  </r>
  <r>
    <s v="Integrated AI"/>
    <x v="1"/>
    <x v="5"/>
    <s v="Industrial Electronics"/>
    <s v="Commercial Amusement"/>
    <s v="Semiconductor Revenue M$"/>
    <x v="6"/>
    <n v="15.284048023714851"/>
  </r>
  <r>
    <s v="Integrated AI"/>
    <x v="1"/>
    <x v="5"/>
    <s v="Industrial Electronics"/>
    <s v="Automation"/>
    <s v="Semiconductor Revenue M$"/>
    <x v="0"/>
    <n v="9.7194384833359369"/>
  </r>
  <r>
    <s v="Integrated AI"/>
    <x v="1"/>
    <x v="5"/>
    <s v="Industrial Electronics"/>
    <s v="Automation"/>
    <s v="Semiconductor Revenue M$"/>
    <x v="1"/>
    <n v="20.854555631206605"/>
  </r>
  <r>
    <s v="Integrated AI"/>
    <x v="1"/>
    <x v="5"/>
    <s v="Industrial Electronics"/>
    <s v="Automation"/>
    <s v="Semiconductor Revenue M$"/>
    <x v="2"/>
    <n v="38.499020969000966"/>
  </r>
  <r>
    <s v="Integrated AI"/>
    <x v="1"/>
    <x v="5"/>
    <s v="Industrial Electronics"/>
    <s v="Automation"/>
    <s v="Semiconductor Revenue M$"/>
    <x v="3"/>
    <n v="70.518117910009252"/>
  </r>
  <r>
    <s v="Integrated AI"/>
    <x v="1"/>
    <x v="5"/>
    <s v="Industrial Electronics"/>
    <s v="Automation"/>
    <s v="Semiconductor Revenue M$"/>
    <x v="4"/>
    <n v="133.13068553609853"/>
  </r>
  <r>
    <s v="Integrated AI"/>
    <x v="1"/>
    <x v="5"/>
    <s v="Industrial Electronics"/>
    <s v="Automation"/>
    <s v="Semiconductor Revenue M$"/>
    <x v="5"/>
    <n v="194.30504331601526"/>
  </r>
  <r>
    <s v="Integrated AI"/>
    <x v="1"/>
    <x v="5"/>
    <s v="Industrial Electronics"/>
    <s v="Automation"/>
    <s v="Semiconductor Revenue M$"/>
    <x v="6"/>
    <n v="262.92071043497646"/>
  </r>
  <r>
    <s v="Integrated AI"/>
    <x v="1"/>
    <x v="5"/>
    <s v="Industrial Electronics"/>
    <s v="Energy Management"/>
    <s v="Semiconductor Revenue M$"/>
    <x v="0"/>
    <n v="8.8781179228961032E-2"/>
  </r>
  <r>
    <s v="Integrated AI"/>
    <x v="1"/>
    <x v="5"/>
    <s v="Industrial Electronics"/>
    <s v="Energy Management"/>
    <s v="Semiconductor Revenue M$"/>
    <x v="1"/>
    <n v="0.25118064846222432"/>
  </r>
  <r>
    <s v="Integrated AI"/>
    <x v="1"/>
    <x v="5"/>
    <s v="Industrial Electronics"/>
    <s v="Energy Management"/>
    <s v="Semiconductor Revenue M$"/>
    <x v="2"/>
    <n v="0.60499884651108005"/>
  </r>
  <r>
    <s v="Integrated AI"/>
    <x v="1"/>
    <x v="5"/>
    <s v="Industrial Electronics"/>
    <s v="Energy Management"/>
    <s v="Semiconductor Revenue M$"/>
    <x v="3"/>
    <n v="1.4628419158709325"/>
  </r>
  <r>
    <s v="Integrated AI"/>
    <x v="1"/>
    <x v="5"/>
    <s v="Industrial Electronics"/>
    <s v="Energy Management"/>
    <s v="Semiconductor Revenue M$"/>
    <x v="4"/>
    <n v="2.8971917725881742"/>
  </r>
  <r>
    <s v="Integrated AI"/>
    <x v="1"/>
    <x v="5"/>
    <s v="Industrial Electronics"/>
    <s v="Energy Management"/>
    <s v="Semiconductor Revenue M$"/>
    <x v="5"/>
    <n v="5.8299374632155443"/>
  </r>
  <r>
    <s v="Integrated AI"/>
    <x v="1"/>
    <x v="5"/>
    <s v="Industrial Electronics"/>
    <s v="Energy Management"/>
    <s v="Semiconductor Revenue M$"/>
    <x v="6"/>
    <n v="11.078291168092758"/>
  </r>
  <r>
    <s v="Integrated AI"/>
    <x v="1"/>
    <x v="5"/>
    <s v="Industrial Electronics"/>
    <s v="Solid-State Lighting"/>
    <s v="Semiconductor Revenue M$"/>
    <x v="0"/>
    <n v="0"/>
  </r>
  <r>
    <s v="Integrated AI"/>
    <x v="1"/>
    <x v="5"/>
    <s v="Industrial Electronics"/>
    <s v="Solid-State Lighting"/>
    <s v="Semiconductor Revenue M$"/>
    <x v="1"/>
    <n v="0"/>
  </r>
  <r>
    <s v="Integrated AI"/>
    <x v="1"/>
    <x v="5"/>
    <s v="Industrial Electronics"/>
    <s v="Solid-State Lighting"/>
    <s v="Semiconductor Revenue M$"/>
    <x v="2"/>
    <n v="0"/>
  </r>
  <r>
    <s v="Integrated AI"/>
    <x v="1"/>
    <x v="5"/>
    <s v="Industrial Electronics"/>
    <s v="Solid-State Lighting"/>
    <s v="Semiconductor Revenue M$"/>
    <x v="3"/>
    <n v="0"/>
  </r>
  <r>
    <s v="Integrated AI"/>
    <x v="1"/>
    <x v="5"/>
    <s v="Industrial Electronics"/>
    <s v="Solid-State Lighting"/>
    <s v="Semiconductor Revenue M$"/>
    <x v="4"/>
    <n v="0"/>
  </r>
  <r>
    <s v="Integrated AI"/>
    <x v="1"/>
    <x v="5"/>
    <s v="Industrial Electronics"/>
    <s v="Solid-State Lighting"/>
    <s v="Semiconductor Revenue M$"/>
    <x v="5"/>
    <n v="0"/>
  </r>
  <r>
    <s v="Integrated AI"/>
    <x v="1"/>
    <x v="5"/>
    <s v="Industrial Electronics"/>
    <s v="Solid-State Lighting"/>
    <s v="Semiconductor Revenue M$"/>
    <x v="6"/>
    <n v="0"/>
  </r>
  <r>
    <s v="Integrated AI"/>
    <x v="1"/>
    <x v="5"/>
    <s v="Industrial Electronics"/>
    <s v="Medical/Healthcare"/>
    <s v="Semiconductor Revenue M$"/>
    <x v="0"/>
    <n v="0.91047912811920417"/>
  </r>
  <r>
    <s v="Integrated AI"/>
    <x v="1"/>
    <x v="5"/>
    <s v="Industrial Electronics"/>
    <s v="Medical/Healthcare"/>
    <s v="Semiconductor Revenue M$"/>
    <x v="1"/>
    <n v="2.3704063661375376"/>
  </r>
  <r>
    <s v="Integrated AI"/>
    <x v="1"/>
    <x v="5"/>
    <s v="Industrial Electronics"/>
    <s v="Medical/Healthcare"/>
    <s v="Semiconductor Revenue M$"/>
    <x v="2"/>
    <n v="3.9499335755954141"/>
  </r>
  <r>
    <s v="Integrated AI"/>
    <x v="1"/>
    <x v="5"/>
    <s v="Industrial Electronics"/>
    <s v="Medical/Healthcare"/>
    <s v="Semiconductor Revenue M$"/>
    <x v="3"/>
    <n v="6.8653813892867639"/>
  </r>
  <r>
    <s v="Integrated AI"/>
    <x v="1"/>
    <x v="5"/>
    <s v="Industrial Electronics"/>
    <s v="Medical/Healthcare"/>
    <s v="Semiconductor Revenue M$"/>
    <x v="4"/>
    <n v="9.5280805397947717"/>
  </r>
  <r>
    <s v="Integrated AI"/>
    <x v="1"/>
    <x v="5"/>
    <s v="Industrial Electronics"/>
    <s v="Medical/Healthcare"/>
    <s v="Semiconductor Revenue M$"/>
    <x v="5"/>
    <n v="14.542269376104747"/>
  </r>
  <r>
    <s v="Integrated AI"/>
    <x v="1"/>
    <x v="5"/>
    <s v="Industrial Electronics"/>
    <s v="Medical/Healthcare"/>
    <s v="Semiconductor Revenue M$"/>
    <x v="6"/>
    <n v="21.45371834942366"/>
  </r>
  <r>
    <s v="Integrated AI"/>
    <x v="1"/>
    <x v="5"/>
    <s v="Industrial Electronics"/>
    <s v="Test/Measurement"/>
    <s v="Semiconductor Revenue M$"/>
    <x v="0"/>
    <n v="5.41920788322462E-2"/>
  </r>
  <r>
    <s v="Integrated AI"/>
    <x v="1"/>
    <x v="5"/>
    <s v="Industrial Electronics"/>
    <s v="Test/Measurement"/>
    <s v="Semiconductor Revenue M$"/>
    <x v="1"/>
    <n v="0.17231959935017274"/>
  </r>
  <r>
    <s v="Integrated AI"/>
    <x v="1"/>
    <x v="5"/>
    <s v="Industrial Electronics"/>
    <s v="Test/Measurement"/>
    <s v="Semiconductor Revenue M$"/>
    <x v="2"/>
    <n v="0.35748402750089819"/>
  </r>
  <r>
    <s v="Integrated AI"/>
    <x v="1"/>
    <x v="5"/>
    <s v="Industrial Electronics"/>
    <s v="Test/Measurement"/>
    <s v="Semiconductor Revenue M$"/>
    <x v="3"/>
    <n v="0.78795306586407199"/>
  </r>
  <r>
    <s v="Integrated AI"/>
    <x v="1"/>
    <x v="5"/>
    <s v="Industrial Electronics"/>
    <s v="Test/Measurement"/>
    <s v="Semiconductor Revenue M$"/>
    <x v="4"/>
    <n v="1.5063826618975633"/>
  </r>
  <r>
    <s v="Integrated AI"/>
    <x v="1"/>
    <x v="5"/>
    <s v="Industrial Electronics"/>
    <s v="Test/Measurement"/>
    <s v="Semiconductor Revenue M$"/>
    <x v="5"/>
    <n v="2.8729162275866456"/>
  </r>
  <r>
    <s v="Integrated AI"/>
    <x v="1"/>
    <x v="5"/>
    <s v="Industrial Electronics"/>
    <s v="Test/Measurement"/>
    <s v="Semiconductor Revenue M$"/>
    <x v="6"/>
    <n v="4.3251649757996358"/>
  </r>
  <r>
    <s v="Integrated AI"/>
    <x v="1"/>
    <x v="5"/>
    <s v="Industrial Electronics"/>
    <s v="Other Security"/>
    <s v="Semiconductor Revenue M$"/>
    <x v="0"/>
    <n v="2.5068032587873105E-2"/>
  </r>
  <r>
    <s v="Integrated AI"/>
    <x v="1"/>
    <x v="5"/>
    <s v="Industrial Electronics"/>
    <s v="Other Security"/>
    <s v="Semiconductor Revenue M$"/>
    <x v="1"/>
    <n v="7.7818929303772141E-2"/>
  </r>
  <r>
    <s v="Integrated AI"/>
    <x v="1"/>
    <x v="5"/>
    <s v="Industrial Electronics"/>
    <s v="Other Security"/>
    <s v="Semiconductor Revenue M$"/>
    <x v="2"/>
    <n v="0.16972018962594848"/>
  </r>
  <r>
    <s v="Integrated AI"/>
    <x v="1"/>
    <x v="5"/>
    <s v="Industrial Electronics"/>
    <s v="Other Security"/>
    <s v="Semiconductor Revenue M$"/>
    <x v="3"/>
    <n v="0.37061378372625425"/>
  </r>
  <r>
    <s v="Integrated AI"/>
    <x v="1"/>
    <x v="5"/>
    <s v="Industrial Electronics"/>
    <s v="Other Security"/>
    <s v="Semiconductor Revenue M$"/>
    <x v="4"/>
    <n v="0.6519869790399212"/>
  </r>
  <r>
    <s v="Integrated AI"/>
    <x v="1"/>
    <x v="5"/>
    <s v="Industrial Electronics"/>
    <s v="Other Security"/>
    <s v="Semiconductor Revenue M$"/>
    <x v="5"/>
    <n v="0.93590475404758744"/>
  </r>
  <r>
    <s v="Integrated AI"/>
    <x v="1"/>
    <x v="5"/>
    <s v="Industrial Electronics"/>
    <s v="Other Security"/>
    <s v="Semiconductor Revenue M$"/>
    <x v="6"/>
    <n v="1.2141845289939026"/>
  </r>
  <r>
    <s v="Integrated AI"/>
    <x v="1"/>
    <x v="5"/>
    <s v="Industrial Electronics"/>
    <s v="Transportation"/>
    <s v="Semiconductor Revenue M$"/>
    <x v="0"/>
    <n v="0.33237733298531263"/>
  </r>
  <r>
    <s v="Integrated AI"/>
    <x v="1"/>
    <x v="5"/>
    <s v="Industrial Electronics"/>
    <s v="Transportation"/>
    <s v="Semiconductor Revenue M$"/>
    <x v="1"/>
    <n v="0.72663924675742353"/>
  </r>
  <r>
    <s v="Integrated AI"/>
    <x v="1"/>
    <x v="5"/>
    <s v="Industrial Electronics"/>
    <s v="Transportation"/>
    <s v="Semiconductor Revenue M$"/>
    <x v="2"/>
    <n v="1.2096834686270146"/>
  </r>
  <r>
    <s v="Integrated AI"/>
    <x v="1"/>
    <x v="5"/>
    <s v="Industrial Electronics"/>
    <s v="Transportation"/>
    <s v="Semiconductor Revenue M$"/>
    <x v="3"/>
    <n v="1.9320440699397081"/>
  </r>
  <r>
    <s v="Integrated AI"/>
    <x v="1"/>
    <x v="5"/>
    <s v="Industrial Electronics"/>
    <s v="Transportation"/>
    <s v="Semiconductor Revenue M$"/>
    <x v="4"/>
    <n v="2.5993416691400366"/>
  </r>
  <r>
    <s v="Integrated AI"/>
    <x v="1"/>
    <x v="5"/>
    <s v="Industrial Electronics"/>
    <s v="Transportation"/>
    <s v="Semiconductor Revenue M$"/>
    <x v="5"/>
    <n v="3.8677865802812428"/>
  </r>
  <r>
    <s v="Integrated AI"/>
    <x v="1"/>
    <x v="5"/>
    <s v="Industrial Electronics"/>
    <s v="Transportation"/>
    <s v="Semiconductor Revenue M$"/>
    <x v="6"/>
    <n v="5.4806391689526812"/>
  </r>
  <r>
    <s v="Integrated AI"/>
    <x v="1"/>
    <x v="5"/>
    <s v="Industrial Electronics"/>
    <s v="Other Industrial Electronics"/>
    <s v="Semiconductor Revenue M$"/>
    <x v="0"/>
    <n v="3.0321087756131577"/>
  </r>
  <r>
    <s v="Integrated AI"/>
    <x v="1"/>
    <x v="5"/>
    <s v="Industrial Electronics"/>
    <s v="Other Industrial Electronics"/>
    <s v="Semiconductor Revenue M$"/>
    <x v="1"/>
    <n v="6.9245589376225114"/>
  </r>
  <r>
    <s v="Integrated AI"/>
    <x v="1"/>
    <x v="5"/>
    <s v="Industrial Electronics"/>
    <s v="Other Industrial Electronics"/>
    <s v="Semiconductor Revenue M$"/>
    <x v="2"/>
    <n v="13.053056874842857"/>
  </r>
  <r>
    <s v="Integrated AI"/>
    <x v="1"/>
    <x v="5"/>
    <s v="Industrial Electronics"/>
    <s v="Other Industrial Electronics"/>
    <s v="Semiconductor Revenue M$"/>
    <x v="3"/>
    <n v="22.753246322038024"/>
  </r>
  <r>
    <s v="Integrated AI"/>
    <x v="1"/>
    <x v="5"/>
    <s v="Industrial Electronics"/>
    <s v="Other Industrial Electronics"/>
    <s v="Semiconductor Revenue M$"/>
    <x v="4"/>
    <n v="41.258280423718816"/>
  </r>
  <r>
    <s v="Integrated AI"/>
    <x v="1"/>
    <x v="5"/>
    <s v="Industrial Electronics"/>
    <s v="Other Industrial Electronics"/>
    <s v="Semiconductor Revenue M$"/>
    <x v="5"/>
    <n v="63.054708471743254"/>
  </r>
  <r>
    <s v="Integrated AI"/>
    <x v="1"/>
    <x v="5"/>
    <s v="Industrial Electronics"/>
    <s v="Other Industrial Electronics"/>
    <s v="Semiconductor Revenue M$"/>
    <x v="6"/>
    <n v="79.373136648359235"/>
  </r>
  <r>
    <s v="Integrated AI"/>
    <x v="1"/>
    <x v="5"/>
    <s v="Industrial Electronics"/>
    <s v="Military/Civil Aerospace Electronics"/>
    <s v="Semiconductor Revenue M$"/>
    <x v="0"/>
    <n v="0.45977216198691317"/>
  </r>
  <r>
    <s v="Integrated AI"/>
    <x v="1"/>
    <x v="5"/>
    <s v="Industrial Electronics"/>
    <s v="Military/Civil Aerospace Electronics"/>
    <s v="Semiconductor Revenue M$"/>
    <x v="1"/>
    <n v="1.1918413072892757"/>
  </r>
  <r>
    <s v="Integrated AI"/>
    <x v="1"/>
    <x v="5"/>
    <s v="Industrial Electronics"/>
    <s v="Military/Civil Aerospace Electronics"/>
    <s v="Semiconductor Revenue M$"/>
    <x v="2"/>
    <n v="2.1275120442411635"/>
  </r>
  <r>
    <s v="Integrated AI"/>
    <x v="1"/>
    <x v="5"/>
    <s v="Industrial Electronics"/>
    <s v="Military/Civil Aerospace Electronics"/>
    <s v="Semiconductor Revenue M$"/>
    <x v="3"/>
    <n v="3.5650243196319327"/>
  </r>
  <r>
    <s v="Integrated AI"/>
    <x v="1"/>
    <x v="5"/>
    <s v="Industrial Electronics"/>
    <s v="Military/Civil Aerospace Electronics"/>
    <s v="Semiconductor Revenue M$"/>
    <x v="4"/>
    <n v="5.0415845368768721"/>
  </r>
  <r>
    <s v="Integrated AI"/>
    <x v="1"/>
    <x v="5"/>
    <s v="Industrial Electronics"/>
    <s v="Military/Civil Aerospace Electronics"/>
    <s v="Semiconductor Revenue M$"/>
    <x v="5"/>
    <n v="6.2532084083369766"/>
  </r>
  <r>
    <s v="Integrated AI"/>
    <x v="1"/>
    <x v="5"/>
    <s v="Industrial Electronics"/>
    <s v="Military/Civil Aerospace Electronics"/>
    <s v="Semiconductor Revenue M$"/>
    <x v="6"/>
    <n v="7.3659776296740045"/>
  </r>
  <r>
    <s v="Integrated AI"/>
    <x v="2"/>
    <x v="0"/>
    <s v="Compute"/>
    <s v="External Monitor"/>
    <s v="Semiconductor Revenue M$"/>
    <x v="0"/>
    <n v="0"/>
  </r>
  <r>
    <s v="Integrated AI"/>
    <x v="2"/>
    <x v="0"/>
    <s v="Compute"/>
    <s v="External Monitor"/>
    <s v="Semiconductor Revenue M$"/>
    <x v="1"/>
    <n v="0"/>
  </r>
  <r>
    <s v="Integrated AI"/>
    <x v="2"/>
    <x v="0"/>
    <s v="Compute"/>
    <s v="External Monitor"/>
    <s v="Semiconductor Revenue M$"/>
    <x v="2"/>
    <n v="0"/>
  </r>
  <r>
    <s v="Integrated AI"/>
    <x v="2"/>
    <x v="0"/>
    <s v="Compute"/>
    <s v="External Monitor"/>
    <s v="Semiconductor Revenue M$"/>
    <x v="3"/>
    <n v="0"/>
  </r>
  <r>
    <s v="Integrated AI"/>
    <x v="2"/>
    <x v="0"/>
    <s v="Compute"/>
    <s v="External Monitor"/>
    <s v="Semiconductor Revenue M$"/>
    <x v="4"/>
    <n v="0"/>
  </r>
  <r>
    <s v="Integrated AI"/>
    <x v="2"/>
    <x v="0"/>
    <s v="Compute"/>
    <s v="External Monitor"/>
    <s v="Semiconductor Revenue M$"/>
    <x v="5"/>
    <n v="0"/>
  </r>
  <r>
    <s v="Integrated AI"/>
    <x v="2"/>
    <x v="0"/>
    <s v="Compute"/>
    <s v="External Monitor"/>
    <s v="Semiconductor Revenue M$"/>
    <x v="6"/>
    <n v="0"/>
  </r>
  <r>
    <s v="Integrated AI"/>
    <x v="2"/>
    <x v="0"/>
    <s v="PC"/>
    <s v="Graphics Cards"/>
    <s v="Semiconductor Revenue M$"/>
    <x v="0"/>
    <n v="0"/>
  </r>
  <r>
    <s v="Integrated AI"/>
    <x v="2"/>
    <x v="0"/>
    <s v="PC"/>
    <s v="Graphics Cards"/>
    <s v="Semiconductor Revenue M$"/>
    <x v="1"/>
    <n v="0"/>
  </r>
  <r>
    <s v="Integrated AI"/>
    <x v="2"/>
    <x v="0"/>
    <s v="PC"/>
    <s v="Graphics Cards"/>
    <s v="Semiconductor Revenue M$"/>
    <x v="2"/>
    <n v="0"/>
  </r>
  <r>
    <s v="Integrated AI"/>
    <x v="2"/>
    <x v="0"/>
    <s v="PC"/>
    <s v="Graphics Cards"/>
    <s v="Semiconductor Revenue M$"/>
    <x v="3"/>
    <n v="0"/>
  </r>
  <r>
    <s v="Integrated AI"/>
    <x v="2"/>
    <x v="0"/>
    <s v="PC"/>
    <s v="Graphics Cards"/>
    <s v="Semiconductor Revenue M$"/>
    <x v="4"/>
    <n v="0"/>
  </r>
  <r>
    <s v="Integrated AI"/>
    <x v="2"/>
    <x v="0"/>
    <s v="PC"/>
    <s v="Graphics Cards"/>
    <s v="Semiconductor Revenue M$"/>
    <x v="5"/>
    <n v="0"/>
  </r>
  <r>
    <s v="Integrated AI"/>
    <x v="2"/>
    <x v="0"/>
    <s v="PC"/>
    <s v="Graphics Cards"/>
    <s v="Semiconductor Revenue M$"/>
    <x v="6"/>
    <n v="0"/>
  </r>
  <r>
    <s v="Integrated AI"/>
    <x v="2"/>
    <x v="0"/>
    <s v="PC"/>
    <s v="Desk-Based PC"/>
    <s v="Semiconductor Revenue M$"/>
    <x v="0"/>
    <n v="0"/>
  </r>
  <r>
    <s v="Integrated AI"/>
    <x v="2"/>
    <x v="0"/>
    <s v="PC"/>
    <s v="Desk-Based PC"/>
    <s v="Semiconductor Revenue M$"/>
    <x v="1"/>
    <n v="0"/>
  </r>
  <r>
    <s v="Integrated AI"/>
    <x v="2"/>
    <x v="0"/>
    <s v="PC"/>
    <s v="Desk-Based PC"/>
    <s v="Semiconductor Revenue M$"/>
    <x v="2"/>
    <n v="0"/>
  </r>
  <r>
    <s v="Integrated AI"/>
    <x v="2"/>
    <x v="0"/>
    <s v="PC"/>
    <s v="Desk-Based PC"/>
    <s v="Semiconductor Revenue M$"/>
    <x v="3"/>
    <n v="0"/>
  </r>
  <r>
    <s v="Integrated AI"/>
    <x v="2"/>
    <x v="0"/>
    <s v="PC"/>
    <s v="Desk-Based PC"/>
    <s v="Semiconductor Revenue M$"/>
    <x v="4"/>
    <n v="0"/>
  </r>
  <r>
    <s v="Integrated AI"/>
    <x v="2"/>
    <x v="0"/>
    <s v="PC"/>
    <s v="Desk-Based PC"/>
    <s v="Semiconductor Revenue M$"/>
    <x v="5"/>
    <n v="0"/>
  </r>
  <r>
    <s v="Integrated AI"/>
    <x v="2"/>
    <x v="0"/>
    <s v="PC"/>
    <s v="Desk-Based PC"/>
    <s v="Semiconductor Revenue M$"/>
    <x v="6"/>
    <n v="0"/>
  </r>
  <r>
    <s v="Integrated AI"/>
    <x v="2"/>
    <x v="0"/>
    <s v="PC"/>
    <s v="Ultramobile Basic, Tablet"/>
    <s v="Semiconductor Revenue M$"/>
    <x v="0"/>
    <n v="0"/>
  </r>
  <r>
    <s v="Integrated AI"/>
    <x v="2"/>
    <x v="0"/>
    <s v="PC"/>
    <s v="Ultramobile Basic, Tablet"/>
    <s v="Semiconductor Revenue M$"/>
    <x v="1"/>
    <n v="0"/>
  </r>
  <r>
    <s v="Integrated AI"/>
    <x v="2"/>
    <x v="0"/>
    <s v="PC"/>
    <s v="Ultramobile Basic, Tablet"/>
    <s v="Semiconductor Revenue M$"/>
    <x v="2"/>
    <n v="0"/>
  </r>
  <r>
    <s v="Integrated AI"/>
    <x v="2"/>
    <x v="0"/>
    <s v="PC"/>
    <s v="Ultramobile Basic, Tablet"/>
    <s v="Semiconductor Revenue M$"/>
    <x v="3"/>
    <n v="0"/>
  </r>
  <r>
    <s v="Integrated AI"/>
    <x v="2"/>
    <x v="0"/>
    <s v="PC"/>
    <s v="Ultramobile Basic, Tablet"/>
    <s v="Semiconductor Revenue M$"/>
    <x v="4"/>
    <n v="0"/>
  </r>
  <r>
    <s v="Integrated AI"/>
    <x v="2"/>
    <x v="0"/>
    <s v="PC"/>
    <s v="Ultramobile Basic, Tablet"/>
    <s v="Semiconductor Revenue M$"/>
    <x v="5"/>
    <n v="0"/>
  </r>
  <r>
    <s v="Integrated AI"/>
    <x v="2"/>
    <x v="0"/>
    <s v="PC"/>
    <s v="Ultramobile Basic, Tablet"/>
    <s v="Semiconductor Revenue M$"/>
    <x v="6"/>
    <n v="0"/>
  </r>
  <r>
    <s v="Integrated AI"/>
    <x v="2"/>
    <x v="0"/>
    <s v="PC"/>
    <s v="Ultramobile Utility, Tablet"/>
    <s v="Semiconductor Revenue M$"/>
    <x v="0"/>
    <n v="0"/>
  </r>
  <r>
    <s v="Integrated AI"/>
    <x v="2"/>
    <x v="0"/>
    <s v="PC"/>
    <s v="Ultramobile Utility, Tablet"/>
    <s v="Semiconductor Revenue M$"/>
    <x v="1"/>
    <n v="0"/>
  </r>
  <r>
    <s v="Integrated AI"/>
    <x v="2"/>
    <x v="0"/>
    <s v="PC"/>
    <s v="Ultramobile Utility, Tablet"/>
    <s v="Semiconductor Revenue M$"/>
    <x v="2"/>
    <n v="0"/>
  </r>
  <r>
    <s v="Integrated AI"/>
    <x v="2"/>
    <x v="0"/>
    <s v="PC"/>
    <s v="Ultramobile Utility, Tablet"/>
    <s v="Semiconductor Revenue M$"/>
    <x v="3"/>
    <n v="0"/>
  </r>
  <r>
    <s v="Integrated AI"/>
    <x v="2"/>
    <x v="0"/>
    <s v="PC"/>
    <s v="Ultramobile Utility, Tablet"/>
    <s v="Semiconductor Revenue M$"/>
    <x v="4"/>
    <n v="0"/>
  </r>
  <r>
    <s v="Integrated AI"/>
    <x v="2"/>
    <x v="0"/>
    <s v="PC"/>
    <s v="Ultramobile Utility, Tablet"/>
    <s v="Semiconductor Revenue M$"/>
    <x v="5"/>
    <n v="0"/>
  </r>
  <r>
    <s v="Integrated AI"/>
    <x v="2"/>
    <x v="0"/>
    <s v="PC"/>
    <s v="Ultramobile Utility, Tablet"/>
    <s v="Semiconductor Revenue M$"/>
    <x v="6"/>
    <n v="0"/>
  </r>
  <r>
    <s v="Integrated AI"/>
    <x v="2"/>
    <x v="0"/>
    <s v="PC"/>
    <s v="Ultramobile Premium, Tablet"/>
    <s v="Semiconductor Revenue M$"/>
    <x v="0"/>
    <n v="0"/>
  </r>
  <r>
    <s v="Integrated AI"/>
    <x v="2"/>
    <x v="0"/>
    <s v="PC"/>
    <s v="Ultramobile Premium, Tablet"/>
    <s v="Semiconductor Revenue M$"/>
    <x v="1"/>
    <n v="0"/>
  </r>
  <r>
    <s v="Integrated AI"/>
    <x v="2"/>
    <x v="0"/>
    <s v="PC"/>
    <s v="Ultramobile Premium, Tablet"/>
    <s v="Semiconductor Revenue M$"/>
    <x v="2"/>
    <n v="0"/>
  </r>
  <r>
    <s v="Integrated AI"/>
    <x v="2"/>
    <x v="0"/>
    <s v="PC"/>
    <s v="Ultramobile Premium, Tablet"/>
    <s v="Semiconductor Revenue M$"/>
    <x v="3"/>
    <n v="0"/>
  </r>
  <r>
    <s v="Integrated AI"/>
    <x v="2"/>
    <x v="0"/>
    <s v="PC"/>
    <s v="Ultramobile Premium, Tablet"/>
    <s v="Semiconductor Revenue M$"/>
    <x v="4"/>
    <n v="0"/>
  </r>
  <r>
    <s v="Integrated AI"/>
    <x v="2"/>
    <x v="0"/>
    <s v="PC"/>
    <s v="Ultramobile Premium, Tablet"/>
    <s v="Semiconductor Revenue M$"/>
    <x v="5"/>
    <n v="0"/>
  </r>
  <r>
    <s v="Integrated AI"/>
    <x v="2"/>
    <x v="0"/>
    <s v="PC"/>
    <s v="Ultramobile Premium, Tablet"/>
    <s v="Semiconductor Revenue M$"/>
    <x v="6"/>
    <n v="0"/>
  </r>
  <r>
    <s v="Integrated AI"/>
    <x v="2"/>
    <x v="0"/>
    <s v="PC"/>
    <s v="Ultramobile Basic, Clamshell"/>
    <s v="Semiconductor Revenue M$"/>
    <x v="0"/>
    <n v="0"/>
  </r>
  <r>
    <s v="Integrated AI"/>
    <x v="2"/>
    <x v="0"/>
    <s v="PC"/>
    <s v="Ultramobile Basic, Clamshell"/>
    <s v="Semiconductor Revenue M$"/>
    <x v="1"/>
    <n v="0"/>
  </r>
  <r>
    <s v="Integrated AI"/>
    <x v="2"/>
    <x v="0"/>
    <s v="PC"/>
    <s v="Ultramobile Basic, Clamshell"/>
    <s v="Semiconductor Revenue M$"/>
    <x v="2"/>
    <n v="0"/>
  </r>
  <r>
    <s v="Integrated AI"/>
    <x v="2"/>
    <x v="0"/>
    <s v="PC"/>
    <s v="Ultramobile Basic, Clamshell"/>
    <s v="Semiconductor Revenue M$"/>
    <x v="3"/>
    <n v="0"/>
  </r>
  <r>
    <s v="Integrated AI"/>
    <x v="2"/>
    <x v="0"/>
    <s v="PC"/>
    <s v="Ultramobile Basic, Clamshell"/>
    <s v="Semiconductor Revenue M$"/>
    <x v="4"/>
    <n v="0"/>
  </r>
  <r>
    <s v="Integrated AI"/>
    <x v="2"/>
    <x v="0"/>
    <s v="PC"/>
    <s v="Ultramobile Basic, Clamshell"/>
    <s v="Semiconductor Revenue M$"/>
    <x v="5"/>
    <n v="0"/>
  </r>
  <r>
    <s v="Integrated AI"/>
    <x v="2"/>
    <x v="0"/>
    <s v="PC"/>
    <s v="Ultramobile Basic, Clamshell"/>
    <s v="Semiconductor Revenue M$"/>
    <x v="6"/>
    <n v="0"/>
  </r>
  <r>
    <s v="Integrated AI"/>
    <x v="2"/>
    <x v="0"/>
    <s v="PC"/>
    <s v="Ultramobile Premium, Clamshell"/>
    <s v="Semiconductor Revenue M$"/>
    <x v="0"/>
    <n v="0"/>
  </r>
  <r>
    <s v="Integrated AI"/>
    <x v="2"/>
    <x v="0"/>
    <s v="PC"/>
    <s v="Ultramobile Premium, Clamshell"/>
    <s v="Semiconductor Revenue M$"/>
    <x v="1"/>
    <n v="0"/>
  </r>
  <r>
    <s v="Integrated AI"/>
    <x v="2"/>
    <x v="0"/>
    <s v="PC"/>
    <s v="Ultramobile Premium, Clamshell"/>
    <s v="Semiconductor Revenue M$"/>
    <x v="2"/>
    <n v="0"/>
  </r>
  <r>
    <s v="Integrated AI"/>
    <x v="2"/>
    <x v="0"/>
    <s v="PC"/>
    <s v="Ultramobile Premium, Clamshell"/>
    <s v="Semiconductor Revenue M$"/>
    <x v="3"/>
    <n v="0"/>
  </r>
  <r>
    <s v="Integrated AI"/>
    <x v="2"/>
    <x v="0"/>
    <s v="PC"/>
    <s v="Ultramobile Premium, Clamshell"/>
    <s v="Semiconductor Revenue M$"/>
    <x v="4"/>
    <n v="0"/>
  </r>
  <r>
    <s v="Integrated AI"/>
    <x v="2"/>
    <x v="0"/>
    <s v="PC"/>
    <s v="Ultramobile Premium, Clamshell"/>
    <s v="Semiconductor Revenue M$"/>
    <x v="5"/>
    <n v="0"/>
  </r>
  <r>
    <s v="Integrated AI"/>
    <x v="2"/>
    <x v="0"/>
    <s v="PC"/>
    <s v="Ultramobile Premium, Clamshell"/>
    <s v="Semiconductor Revenue M$"/>
    <x v="6"/>
    <n v="0"/>
  </r>
  <r>
    <s v="Integrated AI"/>
    <x v="2"/>
    <x v="0"/>
    <s v="PC"/>
    <s v="Ultramobile Basic, Hybrid"/>
    <s v="Semiconductor Revenue M$"/>
    <x v="0"/>
    <n v="0"/>
  </r>
  <r>
    <s v="Integrated AI"/>
    <x v="2"/>
    <x v="0"/>
    <s v="PC"/>
    <s v="Ultramobile Basic, Hybrid"/>
    <s v="Semiconductor Revenue M$"/>
    <x v="1"/>
    <n v="0"/>
  </r>
  <r>
    <s v="Integrated AI"/>
    <x v="2"/>
    <x v="0"/>
    <s v="PC"/>
    <s v="Ultramobile Basic, Hybrid"/>
    <s v="Semiconductor Revenue M$"/>
    <x v="2"/>
    <n v="0"/>
  </r>
  <r>
    <s v="Integrated AI"/>
    <x v="2"/>
    <x v="0"/>
    <s v="PC"/>
    <s v="Ultramobile Basic, Hybrid"/>
    <s v="Semiconductor Revenue M$"/>
    <x v="3"/>
    <n v="0"/>
  </r>
  <r>
    <s v="Integrated AI"/>
    <x v="2"/>
    <x v="0"/>
    <s v="PC"/>
    <s v="Ultramobile Basic, Hybrid"/>
    <s v="Semiconductor Revenue M$"/>
    <x v="4"/>
    <n v="0"/>
  </r>
  <r>
    <s v="Integrated AI"/>
    <x v="2"/>
    <x v="0"/>
    <s v="PC"/>
    <s v="Ultramobile Basic, Hybrid"/>
    <s v="Semiconductor Revenue M$"/>
    <x v="5"/>
    <n v="0"/>
  </r>
  <r>
    <s v="Integrated AI"/>
    <x v="2"/>
    <x v="0"/>
    <s v="PC"/>
    <s v="Ultramobile Basic, Hybrid"/>
    <s v="Semiconductor Revenue M$"/>
    <x v="6"/>
    <n v="0"/>
  </r>
  <r>
    <s v="Integrated AI"/>
    <x v="2"/>
    <x v="0"/>
    <s v="PC"/>
    <s v="Ultramobile Premium, Hybrid"/>
    <s v="Semiconductor Revenue M$"/>
    <x v="0"/>
    <n v="0"/>
  </r>
  <r>
    <s v="Integrated AI"/>
    <x v="2"/>
    <x v="0"/>
    <s v="PC"/>
    <s v="Ultramobile Premium, Hybrid"/>
    <s v="Semiconductor Revenue M$"/>
    <x v="1"/>
    <n v="0"/>
  </r>
  <r>
    <s v="Integrated AI"/>
    <x v="2"/>
    <x v="0"/>
    <s v="PC"/>
    <s v="Ultramobile Premium, Hybrid"/>
    <s v="Semiconductor Revenue M$"/>
    <x v="2"/>
    <n v="0"/>
  </r>
  <r>
    <s v="Integrated AI"/>
    <x v="2"/>
    <x v="0"/>
    <s v="PC"/>
    <s v="Ultramobile Premium, Hybrid"/>
    <s v="Semiconductor Revenue M$"/>
    <x v="3"/>
    <n v="0"/>
  </r>
  <r>
    <s v="Integrated AI"/>
    <x v="2"/>
    <x v="0"/>
    <s v="PC"/>
    <s v="Ultramobile Premium, Hybrid"/>
    <s v="Semiconductor Revenue M$"/>
    <x v="4"/>
    <n v="0"/>
  </r>
  <r>
    <s v="Integrated AI"/>
    <x v="2"/>
    <x v="0"/>
    <s v="PC"/>
    <s v="Ultramobile Premium, Hybrid"/>
    <s v="Semiconductor Revenue M$"/>
    <x v="5"/>
    <n v="0"/>
  </r>
  <r>
    <s v="Integrated AI"/>
    <x v="2"/>
    <x v="0"/>
    <s v="PC"/>
    <s v="Ultramobile Premium, Hybrid"/>
    <s v="Semiconductor Revenue M$"/>
    <x v="6"/>
    <n v="0"/>
  </r>
  <r>
    <s v="Integrated AI"/>
    <x v="2"/>
    <x v="0"/>
    <s v="PC"/>
    <s v="Notebook"/>
    <s v="Semiconductor Revenue M$"/>
    <x v="0"/>
    <n v="0"/>
  </r>
  <r>
    <s v="Integrated AI"/>
    <x v="2"/>
    <x v="0"/>
    <s v="PC"/>
    <s v="Notebook"/>
    <s v="Semiconductor Revenue M$"/>
    <x v="1"/>
    <n v="0"/>
  </r>
  <r>
    <s v="Integrated AI"/>
    <x v="2"/>
    <x v="0"/>
    <s v="PC"/>
    <s v="Notebook"/>
    <s v="Semiconductor Revenue M$"/>
    <x v="2"/>
    <n v="0"/>
  </r>
  <r>
    <s v="Integrated AI"/>
    <x v="2"/>
    <x v="0"/>
    <s v="PC"/>
    <s v="Notebook"/>
    <s v="Semiconductor Revenue M$"/>
    <x v="3"/>
    <n v="0"/>
  </r>
  <r>
    <s v="Integrated AI"/>
    <x v="2"/>
    <x v="0"/>
    <s v="PC"/>
    <s v="Notebook"/>
    <s v="Semiconductor Revenue M$"/>
    <x v="4"/>
    <n v="0"/>
  </r>
  <r>
    <s v="Integrated AI"/>
    <x v="2"/>
    <x v="0"/>
    <s v="PC"/>
    <s v="Notebook"/>
    <s v="Semiconductor Revenue M$"/>
    <x v="5"/>
    <n v="0"/>
  </r>
  <r>
    <s v="Integrated AI"/>
    <x v="2"/>
    <x v="0"/>
    <s v="PC"/>
    <s v="Notebook"/>
    <s v="Semiconductor Revenue M$"/>
    <x v="6"/>
    <n v="0"/>
  </r>
  <r>
    <s v="Integrated AI"/>
    <x v="2"/>
    <x v="0"/>
    <s v="Compute"/>
    <s v="Printer/Copier"/>
    <s v="Semiconductor Revenue M$"/>
    <x v="0"/>
    <n v="0"/>
  </r>
  <r>
    <s v="Integrated AI"/>
    <x v="2"/>
    <x v="0"/>
    <s v="Compute"/>
    <s v="Printer/Copier"/>
    <s v="Semiconductor Revenue M$"/>
    <x v="1"/>
    <n v="0"/>
  </r>
  <r>
    <s v="Integrated AI"/>
    <x v="2"/>
    <x v="0"/>
    <s v="Compute"/>
    <s v="Printer/Copier"/>
    <s v="Semiconductor Revenue M$"/>
    <x v="2"/>
    <n v="0"/>
  </r>
  <r>
    <s v="Integrated AI"/>
    <x v="2"/>
    <x v="0"/>
    <s v="Compute"/>
    <s v="Printer/Copier"/>
    <s v="Semiconductor Revenue M$"/>
    <x v="3"/>
    <n v="0"/>
  </r>
  <r>
    <s v="Integrated AI"/>
    <x v="2"/>
    <x v="0"/>
    <s v="Compute"/>
    <s v="Printer/Copier"/>
    <s v="Semiconductor Revenue M$"/>
    <x v="4"/>
    <n v="0"/>
  </r>
  <r>
    <s v="Integrated AI"/>
    <x v="2"/>
    <x v="0"/>
    <s v="Compute"/>
    <s v="Printer/Copier"/>
    <s v="Semiconductor Revenue M$"/>
    <x v="5"/>
    <n v="0"/>
  </r>
  <r>
    <s v="Integrated AI"/>
    <x v="2"/>
    <x v="0"/>
    <s v="Compute"/>
    <s v="Printer/Copier"/>
    <s v="Semiconductor Revenue M$"/>
    <x v="6"/>
    <n v="0"/>
  </r>
  <r>
    <s v="Integrated AI"/>
    <x v="2"/>
    <x v="0"/>
    <s v="Compute"/>
    <s v="Flash Cards"/>
    <s v="Semiconductor Revenue M$"/>
    <x v="0"/>
    <n v="0"/>
  </r>
  <r>
    <s v="Integrated AI"/>
    <x v="2"/>
    <x v="0"/>
    <s v="Compute"/>
    <s v="Flash Cards"/>
    <s v="Semiconductor Revenue M$"/>
    <x v="1"/>
    <n v="0"/>
  </r>
  <r>
    <s v="Integrated AI"/>
    <x v="2"/>
    <x v="0"/>
    <s v="Compute"/>
    <s v="Flash Cards"/>
    <s v="Semiconductor Revenue M$"/>
    <x v="2"/>
    <n v="0"/>
  </r>
  <r>
    <s v="Integrated AI"/>
    <x v="2"/>
    <x v="0"/>
    <s v="Compute"/>
    <s v="Flash Cards"/>
    <s v="Semiconductor Revenue M$"/>
    <x v="3"/>
    <n v="0"/>
  </r>
  <r>
    <s v="Integrated AI"/>
    <x v="2"/>
    <x v="0"/>
    <s v="Compute"/>
    <s v="Flash Cards"/>
    <s v="Semiconductor Revenue M$"/>
    <x v="4"/>
    <n v="0"/>
  </r>
  <r>
    <s v="Integrated AI"/>
    <x v="2"/>
    <x v="0"/>
    <s v="Compute"/>
    <s v="Flash Cards"/>
    <s v="Semiconductor Revenue M$"/>
    <x v="5"/>
    <n v="0"/>
  </r>
  <r>
    <s v="Integrated AI"/>
    <x v="2"/>
    <x v="0"/>
    <s v="Compute"/>
    <s v="Flash Cards"/>
    <s v="Semiconductor Revenue M$"/>
    <x v="6"/>
    <n v="0"/>
  </r>
  <r>
    <s v="Integrated AI"/>
    <x v="2"/>
    <x v="0"/>
    <s v="Compute"/>
    <s v="USB Flash Drives"/>
    <s v="Semiconductor Revenue M$"/>
    <x v="0"/>
    <n v="0"/>
  </r>
  <r>
    <s v="Integrated AI"/>
    <x v="2"/>
    <x v="0"/>
    <s v="Compute"/>
    <s v="USB Flash Drives"/>
    <s v="Semiconductor Revenue M$"/>
    <x v="1"/>
    <n v="0"/>
  </r>
  <r>
    <s v="Integrated AI"/>
    <x v="2"/>
    <x v="0"/>
    <s v="Compute"/>
    <s v="USB Flash Drives"/>
    <s v="Semiconductor Revenue M$"/>
    <x v="2"/>
    <n v="0"/>
  </r>
  <r>
    <s v="Integrated AI"/>
    <x v="2"/>
    <x v="0"/>
    <s v="Compute"/>
    <s v="USB Flash Drives"/>
    <s v="Semiconductor Revenue M$"/>
    <x v="3"/>
    <n v="0"/>
  </r>
  <r>
    <s v="Integrated AI"/>
    <x v="2"/>
    <x v="0"/>
    <s v="Compute"/>
    <s v="USB Flash Drives"/>
    <s v="Semiconductor Revenue M$"/>
    <x v="4"/>
    <n v="0"/>
  </r>
  <r>
    <s v="Integrated AI"/>
    <x v="2"/>
    <x v="0"/>
    <s v="Compute"/>
    <s v="USB Flash Drives"/>
    <s v="Semiconductor Revenue M$"/>
    <x v="5"/>
    <n v="0"/>
  </r>
  <r>
    <s v="Integrated AI"/>
    <x v="2"/>
    <x v="0"/>
    <s v="Compute"/>
    <s v="USB Flash Drives"/>
    <s v="Semiconductor Revenue M$"/>
    <x v="6"/>
    <n v="0"/>
  </r>
  <r>
    <s v="Integrated AI"/>
    <x v="2"/>
    <x v="0"/>
    <s v="Servers"/>
    <s v="Server, 4 CPU sockets and over"/>
    <s v="Semiconductor Revenue M$"/>
    <x v="0"/>
    <n v="0"/>
  </r>
  <r>
    <s v="Integrated AI"/>
    <x v="2"/>
    <x v="0"/>
    <s v="Servers"/>
    <s v="Server, 4 CPU sockets and over"/>
    <s v="Semiconductor Revenue M$"/>
    <x v="1"/>
    <n v="0"/>
  </r>
  <r>
    <s v="Integrated AI"/>
    <x v="2"/>
    <x v="0"/>
    <s v="Servers"/>
    <s v="Server, 4 CPU sockets and over"/>
    <s v="Semiconductor Revenue M$"/>
    <x v="2"/>
    <n v="0"/>
  </r>
  <r>
    <s v="Integrated AI"/>
    <x v="2"/>
    <x v="0"/>
    <s v="Servers"/>
    <s v="Server, 4 CPU sockets and over"/>
    <s v="Semiconductor Revenue M$"/>
    <x v="3"/>
    <n v="0"/>
  </r>
  <r>
    <s v="Integrated AI"/>
    <x v="2"/>
    <x v="0"/>
    <s v="Servers"/>
    <s v="Server, 4 CPU sockets and over"/>
    <s v="Semiconductor Revenue M$"/>
    <x v="4"/>
    <n v="0"/>
  </r>
  <r>
    <s v="Integrated AI"/>
    <x v="2"/>
    <x v="0"/>
    <s v="Servers"/>
    <s v="Server, 4 CPU sockets and over"/>
    <s v="Semiconductor Revenue M$"/>
    <x v="5"/>
    <n v="0"/>
  </r>
  <r>
    <s v="Integrated AI"/>
    <x v="2"/>
    <x v="0"/>
    <s v="Servers"/>
    <s v="Server, 4 CPU sockets and over"/>
    <s v="Semiconductor Revenue M$"/>
    <x v="6"/>
    <n v="0"/>
  </r>
  <r>
    <s v="Integrated AI"/>
    <x v="2"/>
    <x v="0"/>
    <s v="Servers"/>
    <s v="Server, 2 CPU socket"/>
    <s v="Semiconductor Revenue M$"/>
    <x v="0"/>
    <n v="0"/>
  </r>
  <r>
    <s v="Integrated AI"/>
    <x v="2"/>
    <x v="0"/>
    <s v="Servers"/>
    <s v="Server, 2 CPU socket"/>
    <s v="Semiconductor Revenue M$"/>
    <x v="1"/>
    <n v="0"/>
  </r>
  <r>
    <s v="Integrated AI"/>
    <x v="2"/>
    <x v="0"/>
    <s v="Servers"/>
    <s v="Server, 2 CPU socket"/>
    <s v="Semiconductor Revenue M$"/>
    <x v="2"/>
    <n v="0"/>
  </r>
  <r>
    <s v="Integrated AI"/>
    <x v="2"/>
    <x v="0"/>
    <s v="Servers"/>
    <s v="Server, 2 CPU socket"/>
    <s v="Semiconductor Revenue M$"/>
    <x v="3"/>
    <n v="0"/>
  </r>
  <r>
    <s v="Integrated AI"/>
    <x v="2"/>
    <x v="0"/>
    <s v="Servers"/>
    <s v="Server, 2 CPU socket"/>
    <s v="Semiconductor Revenue M$"/>
    <x v="4"/>
    <n v="0"/>
  </r>
  <r>
    <s v="Integrated AI"/>
    <x v="2"/>
    <x v="0"/>
    <s v="Servers"/>
    <s v="Server, 2 CPU socket"/>
    <s v="Semiconductor Revenue M$"/>
    <x v="5"/>
    <n v="0"/>
  </r>
  <r>
    <s v="Integrated AI"/>
    <x v="2"/>
    <x v="0"/>
    <s v="Servers"/>
    <s v="Server, 2 CPU socket"/>
    <s v="Semiconductor Revenue M$"/>
    <x v="6"/>
    <n v="0"/>
  </r>
  <r>
    <s v="Integrated AI"/>
    <x v="2"/>
    <x v="0"/>
    <s v="Servers"/>
    <s v="Server, 1 CPU socket"/>
    <s v="Semiconductor Revenue M$"/>
    <x v="0"/>
    <n v="0"/>
  </r>
  <r>
    <s v="Integrated AI"/>
    <x v="2"/>
    <x v="0"/>
    <s v="Servers"/>
    <s v="Server, 1 CPU socket"/>
    <s v="Semiconductor Revenue M$"/>
    <x v="1"/>
    <n v="0"/>
  </r>
  <r>
    <s v="Integrated AI"/>
    <x v="2"/>
    <x v="0"/>
    <s v="Servers"/>
    <s v="Server, 1 CPU socket"/>
    <s v="Semiconductor Revenue M$"/>
    <x v="2"/>
    <n v="0"/>
  </r>
  <r>
    <s v="Integrated AI"/>
    <x v="2"/>
    <x v="0"/>
    <s v="Servers"/>
    <s v="Server, 1 CPU socket"/>
    <s v="Semiconductor Revenue M$"/>
    <x v="3"/>
    <n v="0"/>
  </r>
  <r>
    <s v="Integrated AI"/>
    <x v="2"/>
    <x v="0"/>
    <s v="Servers"/>
    <s v="Server, 1 CPU socket"/>
    <s v="Semiconductor Revenue M$"/>
    <x v="4"/>
    <n v="0"/>
  </r>
  <r>
    <s v="Integrated AI"/>
    <x v="2"/>
    <x v="0"/>
    <s v="Servers"/>
    <s v="Server, 1 CPU socket"/>
    <s v="Semiconductor Revenue M$"/>
    <x v="5"/>
    <n v="0"/>
  </r>
  <r>
    <s v="Integrated AI"/>
    <x v="2"/>
    <x v="0"/>
    <s v="Servers"/>
    <s v="Server, 1 CPU socket"/>
    <s v="Semiconductor Revenue M$"/>
    <x v="6"/>
    <n v="0"/>
  </r>
  <r>
    <s v="Integrated AI"/>
    <x v="2"/>
    <x v="0"/>
    <s v="Compute"/>
    <s v="Smart Cards"/>
    <s v="Semiconductor Revenue M$"/>
    <x v="0"/>
    <n v="0"/>
  </r>
  <r>
    <s v="Integrated AI"/>
    <x v="2"/>
    <x v="0"/>
    <s v="Compute"/>
    <s v="Smart Cards"/>
    <s v="Semiconductor Revenue M$"/>
    <x v="1"/>
    <n v="0"/>
  </r>
  <r>
    <s v="Integrated AI"/>
    <x v="2"/>
    <x v="0"/>
    <s v="Compute"/>
    <s v="Smart Cards"/>
    <s v="Semiconductor Revenue M$"/>
    <x v="2"/>
    <n v="0"/>
  </r>
  <r>
    <s v="Integrated AI"/>
    <x v="2"/>
    <x v="0"/>
    <s v="Compute"/>
    <s v="Smart Cards"/>
    <s v="Semiconductor Revenue M$"/>
    <x v="3"/>
    <n v="0"/>
  </r>
  <r>
    <s v="Integrated AI"/>
    <x v="2"/>
    <x v="0"/>
    <s v="Compute"/>
    <s v="Smart Cards"/>
    <s v="Semiconductor Revenue M$"/>
    <x v="4"/>
    <n v="0"/>
  </r>
  <r>
    <s v="Integrated AI"/>
    <x v="2"/>
    <x v="0"/>
    <s v="Compute"/>
    <s v="Smart Cards"/>
    <s v="Semiconductor Revenue M$"/>
    <x v="5"/>
    <n v="0"/>
  </r>
  <r>
    <s v="Integrated AI"/>
    <x v="2"/>
    <x v="0"/>
    <s v="Compute"/>
    <s v="Smart Cards"/>
    <s v="Semiconductor Revenue M$"/>
    <x v="6"/>
    <n v="0"/>
  </r>
  <r>
    <s v="Integrated AI"/>
    <x v="2"/>
    <x v="0"/>
    <s v="Servers"/>
    <s v="Accelerator Cards"/>
    <s v="Semiconductor Revenue M$"/>
    <x v="0"/>
    <n v="0"/>
  </r>
  <r>
    <s v="Integrated AI"/>
    <x v="2"/>
    <x v="0"/>
    <s v="Servers"/>
    <s v="Accelerator Cards"/>
    <s v="Semiconductor Revenue M$"/>
    <x v="1"/>
    <n v="0"/>
  </r>
  <r>
    <s v="Integrated AI"/>
    <x v="2"/>
    <x v="0"/>
    <s v="Servers"/>
    <s v="Accelerator Cards"/>
    <s v="Semiconductor Revenue M$"/>
    <x v="2"/>
    <n v="0"/>
  </r>
  <r>
    <s v="Integrated AI"/>
    <x v="2"/>
    <x v="0"/>
    <s v="Servers"/>
    <s v="Accelerator Cards"/>
    <s v="Semiconductor Revenue M$"/>
    <x v="3"/>
    <n v="0"/>
  </r>
  <r>
    <s v="Integrated AI"/>
    <x v="2"/>
    <x v="0"/>
    <s v="Servers"/>
    <s v="Accelerator Cards"/>
    <s v="Semiconductor Revenue M$"/>
    <x v="4"/>
    <n v="0"/>
  </r>
  <r>
    <s v="Integrated AI"/>
    <x v="2"/>
    <x v="0"/>
    <s v="Servers"/>
    <s v="Accelerator Cards"/>
    <s v="Semiconductor Revenue M$"/>
    <x v="5"/>
    <n v="0"/>
  </r>
  <r>
    <s v="Integrated AI"/>
    <x v="2"/>
    <x v="0"/>
    <s v="Servers"/>
    <s v="Accelerator Cards"/>
    <s v="Semiconductor Revenue M$"/>
    <x v="6"/>
    <n v="0"/>
  </r>
  <r>
    <s v="Integrated AI"/>
    <x v="2"/>
    <x v="1"/>
    <s v="Storage"/>
    <s v="Solid-State ECB"/>
    <s v="Semiconductor Revenue M$"/>
    <x v="0"/>
    <n v="0"/>
  </r>
  <r>
    <s v="Integrated AI"/>
    <x v="2"/>
    <x v="1"/>
    <s v="Storage"/>
    <s v="Solid-State ECB"/>
    <s v="Semiconductor Revenue M$"/>
    <x v="1"/>
    <n v="0"/>
  </r>
  <r>
    <s v="Integrated AI"/>
    <x v="2"/>
    <x v="1"/>
    <s v="Storage"/>
    <s v="Solid-State ECB"/>
    <s v="Semiconductor Revenue M$"/>
    <x v="2"/>
    <n v="0"/>
  </r>
  <r>
    <s v="Integrated AI"/>
    <x v="2"/>
    <x v="1"/>
    <s v="Storage"/>
    <s v="Solid-State ECB"/>
    <s v="Semiconductor Revenue M$"/>
    <x v="3"/>
    <n v="0"/>
  </r>
  <r>
    <s v="Integrated AI"/>
    <x v="2"/>
    <x v="1"/>
    <s v="Storage"/>
    <s v="Solid-State ECB"/>
    <s v="Semiconductor Revenue M$"/>
    <x v="4"/>
    <n v="0"/>
  </r>
  <r>
    <s v="Integrated AI"/>
    <x v="2"/>
    <x v="1"/>
    <s v="Storage"/>
    <s v="Solid-State ECB"/>
    <s v="Semiconductor Revenue M$"/>
    <x v="5"/>
    <n v="0"/>
  </r>
  <r>
    <s v="Integrated AI"/>
    <x v="2"/>
    <x v="1"/>
    <s v="Storage"/>
    <s v="Solid-State ECB"/>
    <s v="Semiconductor Revenue M$"/>
    <x v="6"/>
    <n v="0"/>
  </r>
  <r>
    <s v="Integrated AI"/>
    <x v="2"/>
    <x v="1"/>
    <s v="Storage"/>
    <s v="Other ECB (HDD/Hybrid)"/>
    <s v="Semiconductor Revenue M$"/>
    <x v="0"/>
    <n v="0"/>
  </r>
  <r>
    <s v="Integrated AI"/>
    <x v="2"/>
    <x v="1"/>
    <s v="Storage"/>
    <s v="Other ECB (HDD/Hybrid)"/>
    <s v="Semiconductor Revenue M$"/>
    <x v="1"/>
    <n v="0"/>
  </r>
  <r>
    <s v="Integrated AI"/>
    <x v="2"/>
    <x v="1"/>
    <s v="Storage"/>
    <s v="Other ECB (HDD/Hybrid)"/>
    <s v="Semiconductor Revenue M$"/>
    <x v="2"/>
    <n v="0"/>
  </r>
  <r>
    <s v="Integrated AI"/>
    <x v="2"/>
    <x v="1"/>
    <s v="Storage"/>
    <s v="Other ECB (HDD/Hybrid)"/>
    <s v="Semiconductor Revenue M$"/>
    <x v="3"/>
    <n v="0"/>
  </r>
  <r>
    <s v="Integrated AI"/>
    <x v="2"/>
    <x v="1"/>
    <s v="Storage"/>
    <s v="Other ECB (HDD/Hybrid)"/>
    <s v="Semiconductor Revenue M$"/>
    <x v="4"/>
    <n v="0"/>
  </r>
  <r>
    <s v="Integrated AI"/>
    <x v="2"/>
    <x v="1"/>
    <s v="Storage"/>
    <s v="Other ECB (HDD/Hybrid)"/>
    <s v="Semiconductor Revenue M$"/>
    <x v="5"/>
    <n v="0"/>
  </r>
  <r>
    <s v="Integrated AI"/>
    <x v="2"/>
    <x v="1"/>
    <s v="Storage"/>
    <s v="Other ECB (HDD/Hybrid)"/>
    <s v="Semiconductor Revenue M$"/>
    <x v="6"/>
    <n v="0"/>
  </r>
  <r>
    <s v="Integrated AI"/>
    <x v="2"/>
    <x v="1"/>
    <s v="Storage"/>
    <s v="Storage Network Infrastructure"/>
    <s v="Semiconductor Revenue M$"/>
    <x v="0"/>
    <n v="0"/>
  </r>
  <r>
    <s v="Integrated AI"/>
    <x v="2"/>
    <x v="1"/>
    <s v="Storage"/>
    <s v="Storage Network Infrastructure"/>
    <s v="Semiconductor Revenue M$"/>
    <x v="1"/>
    <n v="0"/>
  </r>
  <r>
    <s v="Integrated AI"/>
    <x v="2"/>
    <x v="1"/>
    <s v="Storage"/>
    <s v="Storage Network Infrastructure"/>
    <s v="Semiconductor Revenue M$"/>
    <x v="2"/>
    <n v="0"/>
  </r>
  <r>
    <s v="Integrated AI"/>
    <x v="2"/>
    <x v="1"/>
    <s v="Storage"/>
    <s v="Storage Network Infrastructure"/>
    <s v="Semiconductor Revenue M$"/>
    <x v="3"/>
    <n v="0"/>
  </r>
  <r>
    <s v="Integrated AI"/>
    <x v="2"/>
    <x v="1"/>
    <s v="Storage"/>
    <s v="Storage Network Infrastructure"/>
    <s v="Semiconductor Revenue M$"/>
    <x v="4"/>
    <n v="0"/>
  </r>
  <r>
    <s v="Integrated AI"/>
    <x v="2"/>
    <x v="1"/>
    <s v="Storage"/>
    <s v="Storage Network Infrastructure"/>
    <s v="Semiconductor Revenue M$"/>
    <x v="5"/>
    <n v="0"/>
  </r>
  <r>
    <s v="Integrated AI"/>
    <x v="2"/>
    <x v="1"/>
    <s v="Storage"/>
    <s v="Storage Network Infrastructure"/>
    <s v="Semiconductor Revenue M$"/>
    <x v="6"/>
    <n v="0"/>
  </r>
  <r>
    <s v="Integrated AI"/>
    <x v="2"/>
    <x v="1"/>
    <s v="Storage"/>
    <s v="Hard Disk Drive"/>
    <s v="Semiconductor Revenue M$"/>
    <x v="0"/>
    <n v="0"/>
  </r>
  <r>
    <s v="Integrated AI"/>
    <x v="2"/>
    <x v="1"/>
    <s v="Storage"/>
    <s v="Hard Disk Drive"/>
    <s v="Semiconductor Revenue M$"/>
    <x v="1"/>
    <n v="0"/>
  </r>
  <r>
    <s v="Integrated AI"/>
    <x v="2"/>
    <x v="1"/>
    <s v="Storage"/>
    <s v="Hard Disk Drive"/>
    <s v="Semiconductor Revenue M$"/>
    <x v="2"/>
    <n v="0"/>
  </r>
  <r>
    <s v="Integrated AI"/>
    <x v="2"/>
    <x v="1"/>
    <s v="Storage"/>
    <s v="Hard Disk Drive"/>
    <s v="Semiconductor Revenue M$"/>
    <x v="3"/>
    <n v="0"/>
  </r>
  <r>
    <s v="Integrated AI"/>
    <x v="2"/>
    <x v="1"/>
    <s v="Storage"/>
    <s v="Hard Disk Drive"/>
    <s v="Semiconductor Revenue M$"/>
    <x v="4"/>
    <n v="0"/>
  </r>
  <r>
    <s v="Integrated AI"/>
    <x v="2"/>
    <x v="1"/>
    <s v="Storage"/>
    <s v="Hard Disk Drive"/>
    <s v="Semiconductor Revenue M$"/>
    <x v="5"/>
    <n v="0"/>
  </r>
  <r>
    <s v="Integrated AI"/>
    <x v="2"/>
    <x v="1"/>
    <s v="Storage"/>
    <s v="Hard Disk Drive"/>
    <s v="Semiconductor Revenue M$"/>
    <x v="6"/>
    <n v="0"/>
  </r>
  <r>
    <s v="Integrated AI"/>
    <x v="2"/>
    <x v="1"/>
    <s v="Storage"/>
    <s v="Solid-State Drives"/>
    <s v="Semiconductor Revenue M$"/>
    <x v="0"/>
    <n v="0"/>
  </r>
  <r>
    <s v="Integrated AI"/>
    <x v="2"/>
    <x v="1"/>
    <s v="Storage"/>
    <s v="Solid-State Drives"/>
    <s v="Semiconductor Revenue M$"/>
    <x v="1"/>
    <n v="0"/>
  </r>
  <r>
    <s v="Integrated AI"/>
    <x v="2"/>
    <x v="1"/>
    <s v="Storage"/>
    <s v="Solid-State Drives"/>
    <s v="Semiconductor Revenue M$"/>
    <x v="2"/>
    <n v="0"/>
  </r>
  <r>
    <s v="Integrated AI"/>
    <x v="2"/>
    <x v="1"/>
    <s v="Storage"/>
    <s v="Solid-State Drives"/>
    <s v="Semiconductor Revenue M$"/>
    <x v="3"/>
    <n v="0"/>
  </r>
  <r>
    <s v="Integrated AI"/>
    <x v="2"/>
    <x v="1"/>
    <s v="Storage"/>
    <s v="Solid-State Drives"/>
    <s v="Semiconductor Revenue M$"/>
    <x v="4"/>
    <n v="0"/>
  </r>
  <r>
    <s v="Integrated AI"/>
    <x v="2"/>
    <x v="1"/>
    <s v="Storage"/>
    <s v="Solid-State Drives"/>
    <s v="Semiconductor Revenue M$"/>
    <x v="5"/>
    <n v="0"/>
  </r>
  <r>
    <s v="Integrated AI"/>
    <x v="2"/>
    <x v="1"/>
    <s v="Storage"/>
    <s v="Solid-State Drives"/>
    <s v="Semiconductor Revenue M$"/>
    <x v="6"/>
    <n v="0"/>
  </r>
  <r>
    <s v="Integrated AI"/>
    <x v="2"/>
    <x v="1"/>
    <s v="Storage"/>
    <s v="Other Storage Media"/>
    <s v="Semiconductor Revenue M$"/>
    <x v="0"/>
    <n v="0"/>
  </r>
  <r>
    <s v="Integrated AI"/>
    <x v="2"/>
    <x v="1"/>
    <s v="Storage"/>
    <s v="Other Storage Media"/>
    <s v="Semiconductor Revenue M$"/>
    <x v="1"/>
    <n v="0"/>
  </r>
  <r>
    <s v="Integrated AI"/>
    <x v="2"/>
    <x v="1"/>
    <s v="Storage"/>
    <s v="Other Storage Media"/>
    <s v="Semiconductor Revenue M$"/>
    <x v="2"/>
    <n v="0"/>
  </r>
  <r>
    <s v="Integrated AI"/>
    <x v="2"/>
    <x v="1"/>
    <s v="Storage"/>
    <s v="Other Storage Media"/>
    <s v="Semiconductor Revenue M$"/>
    <x v="3"/>
    <n v="0"/>
  </r>
  <r>
    <s v="Integrated AI"/>
    <x v="2"/>
    <x v="1"/>
    <s v="Storage"/>
    <s v="Other Storage Media"/>
    <s v="Semiconductor Revenue M$"/>
    <x v="4"/>
    <n v="0"/>
  </r>
  <r>
    <s v="Integrated AI"/>
    <x v="2"/>
    <x v="1"/>
    <s v="Storage"/>
    <s v="Other Storage Media"/>
    <s v="Semiconductor Revenue M$"/>
    <x v="5"/>
    <n v="0"/>
  </r>
  <r>
    <s v="Integrated AI"/>
    <x v="2"/>
    <x v="1"/>
    <s v="Storage"/>
    <s v="Other Storage Media"/>
    <s v="Semiconductor Revenue M$"/>
    <x v="6"/>
    <n v="0"/>
  </r>
  <r>
    <s v="Integrated AI"/>
    <x v="2"/>
    <x v="1"/>
    <s v="Storage"/>
    <s v="Other Storage Electronics"/>
    <s v="Semiconductor Revenue M$"/>
    <x v="0"/>
    <n v="0"/>
  </r>
  <r>
    <s v="Integrated AI"/>
    <x v="2"/>
    <x v="1"/>
    <s v="Storage"/>
    <s v="Other Storage Electronics"/>
    <s v="Semiconductor Revenue M$"/>
    <x v="1"/>
    <n v="0"/>
  </r>
  <r>
    <s v="Integrated AI"/>
    <x v="2"/>
    <x v="1"/>
    <s v="Storage"/>
    <s v="Other Storage Electronics"/>
    <s v="Semiconductor Revenue M$"/>
    <x v="2"/>
    <n v="0"/>
  </r>
  <r>
    <s v="Integrated AI"/>
    <x v="2"/>
    <x v="1"/>
    <s v="Storage"/>
    <s v="Other Storage Electronics"/>
    <s v="Semiconductor Revenue M$"/>
    <x v="3"/>
    <n v="0"/>
  </r>
  <r>
    <s v="Integrated AI"/>
    <x v="2"/>
    <x v="1"/>
    <s v="Storage"/>
    <s v="Other Storage Electronics"/>
    <s v="Semiconductor Revenue M$"/>
    <x v="4"/>
    <n v="0"/>
  </r>
  <r>
    <s v="Integrated AI"/>
    <x v="2"/>
    <x v="1"/>
    <s v="Storage"/>
    <s v="Other Storage Electronics"/>
    <s v="Semiconductor Revenue M$"/>
    <x v="5"/>
    <n v="0"/>
  </r>
  <r>
    <s v="Integrated AI"/>
    <x v="2"/>
    <x v="1"/>
    <s v="Storage"/>
    <s v="Other Storage Electronics"/>
    <s v="Semiconductor Revenue M$"/>
    <x v="6"/>
    <n v="0"/>
  </r>
  <r>
    <s v="Integrated AI"/>
    <x v="2"/>
    <x v="2"/>
    <s v="Wireless Communications Electronics"/>
    <s v="Utility Traditional Phone"/>
    <s v="Semiconductor Revenue M$"/>
    <x v="0"/>
    <n v="0"/>
  </r>
  <r>
    <s v="Integrated AI"/>
    <x v="2"/>
    <x v="2"/>
    <s v="Wireless Communications Electronics"/>
    <s v="Utility Traditional Phone"/>
    <s v="Semiconductor Revenue M$"/>
    <x v="1"/>
    <n v="0"/>
  </r>
  <r>
    <s v="Integrated AI"/>
    <x v="2"/>
    <x v="2"/>
    <s v="Wireless Communications Electronics"/>
    <s v="Utility Traditional Phone"/>
    <s v="Semiconductor Revenue M$"/>
    <x v="2"/>
    <n v="0"/>
  </r>
  <r>
    <s v="Integrated AI"/>
    <x v="2"/>
    <x v="2"/>
    <s v="Wireless Communications Electronics"/>
    <s v="Utility Traditional Phone"/>
    <s v="Semiconductor Revenue M$"/>
    <x v="3"/>
    <n v="0"/>
  </r>
  <r>
    <s v="Integrated AI"/>
    <x v="2"/>
    <x v="2"/>
    <s v="Wireless Communications Electronics"/>
    <s v="Utility Traditional Phone"/>
    <s v="Semiconductor Revenue M$"/>
    <x v="4"/>
    <n v="0"/>
  </r>
  <r>
    <s v="Integrated AI"/>
    <x v="2"/>
    <x v="2"/>
    <s v="Wireless Communications Electronics"/>
    <s v="Utility Traditional Phone"/>
    <s v="Semiconductor Revenue M$"/>
    <x v="5"/>
    <n v="0"/>
  </r>
  <r>
    <s v="Integrated AI"/>
    <x v="2"/>
    <x v="2"/>
    <s v="Wireless Communications Electronics"/>
    <s v="Utility Traditional Phone"/>
    <s v="Semiconductor Revenue M$"/>
    <x v="6"/>
    <n v="0"/>
  </r>
  <r>
    <s v="Integrated AI"/>
    <x v="2"/>
    <x v="2"/>
    <s v="Wireless Communications Electronics"/>
    <s v="Basic Smartphone"/>
    <s v="Semiconductor Revenue M$"/>
    <x v="0"/>
    <n v="0"/>
  </r>
  <r>
    <s v="Integrated AI"/>
    <x v="2"/>
    <x v="2"/>
    <s v="Wireless Communications Electronics"/>
    <s v="Basic Smartphone"/>
    <s v="Semiconductor Revenue M$"/>
    <x v="1"/>
    <n v="0"/>
  </r>
  <r>
    <s v="Integrated AI"/>
    <x v="2"/>
    <x v="2"/>
    <s v="Wireless Communications Electronics"/>
    <s v="Basic Smartphone"/>
    <s v="Semiconductor Revenue M$"/>
    <x v="2"/>
    <n v="0"/>
  </r>
  <r>
    <s v="Integrated AI"/>
    <x v="2"/>
    <x v="2"/>
    <s v="Wireless Communications Electronics"/>
    <s v="Basic Smartphone"/>
    <s v="Semiconductor Revenue M$"/>
    <x v="3"/>
    <n v="0"/>
  </r>
  <r>
    <s v="Integrated AI"/>
    <x v="2"/>
    <x v="2"/>
    <s v="Wireless Communications Electronics"/>
    <s v="Basic Smartphone"/>
    <s v="Semiconductor Revenue M$"/>
    <x v="4"/>
    <n v="0"/>
  </r>
  <r>
    <s v="Integrated AI"/>
    <x v="2"/>
    <x v="2"/>
    <s v="Wireless Communications Electronics"/>
    <s v="Basic Smartphone"/>
    <s v="Semiconductor Revenue M$"/>
    <x v="5"/>
    <n v="0"/>
  </r>
  <r>
    <s v="Integrated AI"/>
    <x v="2"/>
    <x v="2"/>
    <s v="Wireless Communications Electronics"/>
    <s v="Basic Smartphone"/>
    <s v="Semiconductor Revenue M$"/>
    <x v="6"/>
    <n v="0"/>
  </r>
  <r>
    <s v="Integrated AI"/>
    <x v="2"/>
    <x v="2"/>
    <s v="Wireless Communications Electronics"/>
    <s v="Utility Smartphone"/>
    <s v="Semiconductor Revenue M$"/>
    <x v="0"/>
    <n v="0"/>
  </r>
  <r>
    <s v="Integrated AI"/>
    <x v="2"/>
    <x v="2"/>
    <s v="Wireless Communications Electronics"/>
    <s v="Utility Smartphone"/>
    <s v="Semiconductor Revenue M$"/>
    <x v="1"/>
    <n v="0"/>
  </r>
  <r>
    <s v="Integrated AI"/>
    <x v="2"/>
    <x v="2"/>
    <s v="Wireless Communications Electronics"/>
    <s v="Utility Smartphone"/>
    <s v="Semiconductor Revenue M$"/>
    <x v="2"/>
    <n v="0"/>
  </r>
  <r>
    <s v="Integrated AI"/>
    <x v="2"/>
    <x v="2"/>
    <s v="Wireless Communications Electronics"/>
    <s v="Utility Smartphone"/>
    <s v="Semiconductor Revenue M$"/>
    <x v="3"/>
    <n v="0"/>
  </r>
  <r>
    <s v="Integrated AI"/>
    <x v="2"/>
    <x v="2"/>
    <s v="Wireless Communications Electronics"/>
    <s v="Utility Smartphone"/>
    <s v="Semiconductor Revenue M$"/>
    <x v="4"/>
    <n v="0"/>
  </r>
  <r>
    <s v="Integrated AI"/>
    <x v="2"/>
    <x v="2"/>
    <s v="Wireless Communications Electronics"/>
    <s v="Utility Smartphone"/>
    <s v="Semiconductor Revenue M$"/>
    <x v="5"/>
    <n v="0"/>
  </r>
  <r>
    <s v="Integrated AI"/>
    <x v="2"/>
    <x v="2"/>
    <s v="Wireless Communications Electronics"/>
    <s v="Utility Smartphone"/>
    <s v="Semiconductor Revenue M$"/>
    <x v="6"/>
    <n v="0"/>
  </r>
  <r>
    <s v="Integrated AI"/>
    <x v="2"/>
    <x v="2"/>
    <s v="Wireless Communications Electronics"/>
    <s v="Premium Smartphone"/>
    <s v="Semiconductor Revenue M$"/>
    <x v="0"/>
    <n v="0"/>
  </r>
  <r>
    <s v="Integrated AI"/>
    <x v="2"/>
    <x v="2"/>
    <s v="Wireless Communications Electronics"/>
    <s v="Premium Smartphone"/>
    <s v="Semiconductor Revenue M$"/>
    <x v="1"/>
    <n v="0"/>
  </r>
  <r>
    <s v="Integrated AI"/>
    <x v="2"/>
    <x v="2"/>
    <s v="Wireless Communications Electronics"/>
    <s v="Premium Smartphone"/>
    <s v="Semiconductor Revenue M$"/>
    <x v="2"/>
    <n v="0"/>
  </r>
  <r>
    <s v="Integrated AI"/>
    <x v="2"/>
    <x v="2"/>
    <s v="Wireless Communications Electronics"/>
    <s v="Premium Smartphone"/>
    <s v="Semiconductor Revenue M$"/>
    <x v="3"/>
    <n v="0"/>
  </r>
  <r>
    <s v="Integrated AI"/>
    <x v="2"/>
    <x v="2"/>
    <s v="Wireless Communications Electronics"/>
    <s v="Premium Smartphone"/>
    <s v="Semiconductor Revenue M$"/>
    <x v="4"/>
    <n v="0"/>
  </r>
  <r>
    <s v="Integrated AI"/>
    <x v="2"/>
    <x v="2"/>
    <s v="Wireless Communications Electronics"/>
    <s v="Premium Smartphone"/>
    <s v="Semiconductor Revenue M$"/>
    <x v="5"/>
    <n v="0"/>
  </r>
  <r>
    <s v="Integrated AI"/>
    <x v="2"/>
    <x v="2"/>
    <s v="Wireless Communications Electronics"/>
    <s v="Premium Smartphone"/>
    <s v="Semiconductor Revenue M$"/>
    <x v="6"/>
    <n v="0"/>
  </r>
  <r>
    <s v="Integrated AI"/>
    <x v="2"/>
    <x v="3"/>
    <s v="Automotive Electronics"/>
    <s v="ADAS-ECU (Level-2+/3/4)"/>
    <s v="Semiconductor Revenue M$"/>
    <x v="0"/>
    <n v="0"/>
  </r>
  <r>
    <s v="Integrated AI"/>
    <x v="2"/>
    <x v="3"/>
    <s v="Automotive Electronics"/>
    <s v="ADAS-ECU (Level-2+/3/4)"/>
    <s v="Semiconductor Revenue M$"/>
    <x v="1"/>
    <n v="0"/>
  </r>
  <r>
    <s v="Integrated AI"/>
    <x v="2"/>
    <x v="3"/>
    <s v="Automotive Electronics"/>
    <s v="ADAS-ECU (Level-2+/3/4)"/>
    <s v="Semiconductor Revenue M$"/>
    <x v="2"/>
    <n v="0"/>
  </r>
  <r>
    <s v="Integrated AI"/>
    <x v="2"/>
    <x v="3"/>
    <s v="Automotive Electronics"/>
    <s v="ADAS-ECU (Level-2+/3/4)"/>
    <s v="Semiconductor Revenue M$"/>
    <x v="3"/>
    <n v="0"/>
  </r>
  <r>
    <s v="Integrated AI"/>
    <x v="2"/>
    <x v="3"/>
    <s v="Automotive Electronics"/>
    <s v="ADAS-ECU (Level-2+/3/4)"/>
    <s v="Semiconductor Revenue M$"/>
    <x v="4"/>
    <n v="0"/>
  </r>
  <r>
    <s v="Integrated AI"/>
    <x v="2"/>
    <x v="3"/>
    <s v="Automotive Electronics"/>
    <s v="ADAS-ECU (Level-2+/3/4)"/>
    <s v="Semiconductor Revenue M$"/>
    <x v="5"/>
    <n v="0"/>
  </r>
  <r>
    <s v="Integrated AI"/>
    <x v="2"/>
    <x v="3"/>
    <s v="Automotive Electronics"/>
    <s v="ADAS-ECU (Level-2+/3/4)"/>
    <s v="Semiconductor Revenue M$"/>
    <x v="6"/>
    <n v="0"/>
  </r>
  <r>
    <s v="Integrated AI"/>
    <x v="2"/>
    <x v="2"/>
    <s v="Wireless Communications Electronics"/>
    <s v="Mobile Infrastructure - Base Station Equipment"/>
    <s v="Semiconductor Revenue M$"/>
    <x v="0"/>
    <n v="0"/>
  </r>
  <r>
    <s v="Integrated AI"/>
    <x v="2"/>
    <x v="2"/>
    <s v="Wireless Communications Electronics"/>
    <s v="Mobile Infrastructure - Base Station Equipment"/>
    <s v="Semiconductor Revenue M$"/>
    <x v="1"/>
    <n v="0"/>
  </r>
  <r>
    <s v="Integrated AI"/>
    <x v="2"/>
    <x v="2"/>
    <s v="Wireless Communications Electronics"/>
    <s v="Mobile Infrastructure - Base Station Equipment"/>
    <s v="Semiconductor Revenue M$"/>
    <x v="2"/>
    <n v="0"/>
  </r>
  <r>
    <s v="Integrated AI"/>
    <x v="2"/>
    <x v="2"/>
    <s v="Wireless Communications Electronics"/>
    <s v="Mobile Infrastructure - Base Station Equipment"/>
    <s v="Semiconductor Revenue M$"/>
    <x v="3"/>
    <n v="0"/>
  </r>
  <r>
    <s v="Integrated AI"/>
    <x v="2"/>
    <x v="2"/>
    <s v="Wireless Communications Electronics"/>
    <s v="Mobile Infrastructure - Base Station Equipment"/>
    <s v="Semiconductor Revenue M$"/>
    <x v="4"/>
    <n v="0"/>
  </r>
  <r>
    <s v="Integrated AI"/>
    <x v="2"/>
    <x v="2"/>
    <s v="Wireless Communications Electronics"/>
    <s v="Mobile Infrastructure - Base Station Equipment"/>
    <s v="Semiconductor Revenue M$"/>
    <x v="5"/>
    <n v="0"/>
  </r>
  <r>
    <s v="Integrated AI"/>
    <x v="2"/>
    <x v="2"/>
    <s v="Wireless Communications Electronics"/>
    <s v="Mobile Infrastructure - Base Station Equipment"/>
    <s v="Semiconductor Revenue M$"/>
    <x v="6"/>
    <n v="0"/>
  </r>
  <r>
    <s v="Integrated AI"/>
    <x v="2"/>
    <x v="2"/>
    <s v="Wireless Communications Electronics"/>
    <s v="Wireless LAN Infrastructure"/>
    <s v="Semiconductor Revenue M$"/>
    <x v="0"/>
    <n v="0"/>
  </r>
  <r>
    <s v="Integrated AI"/>
    <x v="2"/>
    <x v="2"/>
    <s v="Wireless Communications Electronics"/>
    <s v="Wireless LAN Infrastructure"/>
    <s v="Semiconductor Revenue M$"/>
    <x v="1"/>
    <n v="0"/>
  </r>
  <r>
    <s v="Integrated AI"/>
    <x v="2"/>
    <x v="2"/>
    <s v="Wireless Communications Electronics"/>
    <s v="Wireless LAN Infrastructure"/>
    <s v="Semiconductor Revenue M$"/>
    <x v="2"/>
    <n v="0"/>
  </r>
  <r>
    <s v="Integrated AI"/>
    <x v="2"/>
    <x v="2"/>
    <s v="Wireless Communications Electronics"/>
    <s v="Wireless LAN Infrastructure"/>
    <s v="Semiconductor Revenue M$"/>
    <x v="3"/>
    <n v="0"/>
  </r>
  <r>
    <s v="Integrated AI"/>
    <x v="2"/>
    <x v="2"/>
    <s v="Wireless Communications Electronics"/>
    <s v="Wireless LAN Infrastructure"/>
    <s v="Semiconductor Revenue M$"/>
    <x v="4"/>
    <n v="0"/>
  </r>
  <r>
    <s v="Integrated AI"/>
    <x v="2"/>
    <x v="2"/>
    <s v="Wireless Communications Electronics"/>
    <s v="Wireless LAN Infrastructure"/>
    <s v="Semiconductor Revenue M$"/>
    <x v="5"/>
    <n v="0"/>
  </r>
  <r>
    <s v="Integrated AI"/>
    <x v="2"/>
    <x v="2"/>
    <s v="Wireless Communications Electronics"/>
    <s v="Wireless LAN Infrastructure"/>
    <s v="Semiconductor Revenue M$"/>
    <x v="6"/>
    <n v="0"/>
  </r>
  <r>
    <s v="Integrated AI"/>
    <x v="2"/>
    <x v="2"/>
    <s v="Wireless Communications Electronics"/>
    <s v="Cellular Modems"/>
    <s v="Semiconductor Revenue M$"/>
    <x v="0"/>
    <n v="0"/>
  </r>
  <r>
    <s v="Integrated AI"/>
    <x v="2"/>
    <x v="2"/>
    <s v="Wireless Communications Electronics"/>
    <s v="Cellular Modems"/>
    <s v="Semiconductor Revenue M$"/>
    <x v="1"/>
    <n v="0"/>
  </r>
  <r>
    <s v="Integrated AI"/>
    <x v="2"/>
    <x v="2"/>
    <s v="Wireless Communications Electronics"/>
    <s v="Cellular Modems"/>
    <s v="Semiconductor Revenue M$"/>
    <x v="2"/>
    <n v="0"/>
  </r>
  <r>
    <s v="Integrated AI"/>
    <x v="2"/>
    <x v="2"/>
    <s v="Wireless Communications Electronics"/>
    <s v="Cellular Modems"/>
    <s v="Semiconductor Revenue M$"/>
    <x v="3"/>
    <n v="0"/>
  </r>
  <r>
    <s v="Integrated AI"/>
    <x v="2"/>
    <x v="2"/>
    <s v="Wireless Communications Electronics"/>
    <s v="Cellular Modems"/>
    <s v="Semiconductor Revenue M$"/>
    <x v="4"/>
    <n v="0"/>
  </r>
  <r>
    <s v="Integrated AI"/>
    <x v="2"/>
    <x v="2"/>
    <s v="Wireless Communications Electronics"/>
    <s v="Cellular Modems"/>
    <s v="Semiconductor Revenue M$"/>
    <x v="5"/>
    <n v="0"/>
  </r>
  <r>
    <s v="Integrated AI"/>
    <x v="2"/>
    <x v="2"/>
    <s v="Wireless Communications Electronics"/>
    <s v="Cellular Modems"/>
    <s v="Semiconductor Revenue M$"/>
    <x v="6"/>
    <n v="0"/>
  </r>
  <r>
    <s v="Integrated AI"/>
    <x v="2"/>
    <x v="2"/>
    <s v="Wireless Communications Electronics"/>
    <s v="Other Wireless Communications Electronics"/>
    <s v="Semiconductor Revenue M$"/>
    <x v="0"/>
    <n v="0"/>
  </r>
  <r>
    <s v="Integrated AI"/>
    <x v="2"/>
    <x v="2"/>
    <s v="Wireless Communications Electronics"/>
    <s v="Other Wireless Communications Electronics"/>
    <s v="Semiconductor Revenue M$"/>
    <x v="1"/>
    <n v="0"/>
  </r>
  <r>
    <s v="Integrated AI"/>
    <x v="2"/>
    <x v="2"/>
    <s v="Wireless Communications Electronics"/>
    <s v="Other Wireless Communications Electronics"/>
    <s v="Semiconductor Revenue M$"/>
    <x v="2"/>
    <n v="0"/>
  </r>
  <r>
    <s v="Integrated AI"/>
    <x v="2"/>
    <x v="2"/>
    <s v="Wireless Communications Electronics"/>
    <s v="Other Wireless Communications Electronics"/>
    <s v="Semiconductor Revenue M$"/>
    <x v="3"/>
    <n v="0"/>
  </r>
  <r>
    <s v="Integrated AI"/>
    <x v="2"/>
    <x v="2"/>
    <s v="Wireless Communications Electronics"/>
    <s v="Other Wireless Communications Electronics"/>
    <s v="Semiconductor Revenue M$"/>
    <x v="4"/>
    <n v="0"/>
  </r>
  <r>
    <s v="Integrated AI"/>
    <x v="2"/>
    <x v="2"/>
    <s v="Wireless Communications Electronics"/>
    <s v="Other Wireless Communications Electronics"/>
    <s v="Semiconductor Revenue M$"/>
    <x v="5"/>
    <n v="0"/>
  </r>
  <r>
    <s v="Integrated AI"/>
    <x v="2"/>
    <x v="2"/>
    <s v="Wireless Communications Electronics"/>
    <s v="Other Wireless Communications Electronics"/>
    <s v="Semiconductor Revenue M$"/>
    <x v="6"/>
    <n v="0"/>
  </r>
  <r>
    <s v="Integrated AI"/>
    <x v="2"/>
    <x v="2"/>
    <s v="Wired Communications Electronics"/>
    <s v="DSL Broadband Access"/>
    <s v="Semiconductor Revenue M$"/>
    <x v="0"/>
    <n v="0"/>
  </r>
  <r>
    <s v="Integrated AI"/>
    <x v="2"/>
    <x v="2"/>
    <s v="Wired Communications Electronics"/>
    <s v="DSL Broadband Access"/>
    <s v="Semiconductor Revenue M$"/>
    <x v="1"/>
    <n v="0"/>
  </r>
  <r>
    <s v="Integrated AI"/>
    <x v="2"/>
    <x v="2"/>
    <s v="Wired Communications Electronics"/>
    <s v="DSL Broadband Access"/>
    <s v="Semiconductor Revenue M$"/>
    <x v="2"/>
    <n v="0"/>
  </r>
  <r>
    <s v="Integrated AI"/>
    <x v="2"/>
    <x v="2"/>
    <s v="Wired Communications Electronics"/>
    <s v="DSL Broadband Access"/>
    <s v="Semiconductor Revenue M$"/>
    <x v="3"/>
    <n v="0"/>
  </r>
  <r>
    <s v="Integrated AI"/>
    <x v="2"/>
    <x v="2"/>
    <s v="Wired Communications Electronics"/>
    <s v="DSL Broadband Access"/>
    <s v="Semiconductor Revenue M$"/>
    <x v="4"/>
    <n v="0"/>
  </r>
  <r>
    <s v="Integrated AI"/>
    <x v="2"/>
    <x v="2"/>
    <s v="Wired Communications Electronics"/>
    <s v="DSL Broadband Access"/>
    <s v="Semiconductor Revenue M$"/>
    <x v="5"/>
    <n v="0"/>
  </r>
  <r>
    <s v="Integrated AI"/>
    <x v="2"/>
    <x v="2"/>
    <s v="Wired Communications Electronics"/>
    <s v="DSL Broadband Access"/>
    <s v="Semiconductor Revenue M$"/>
    <x v="6"/>
    <n v="0"/>
  </r>
  <r>
    <s v="Integrated AI"/>
    <x v="2"/>
    <x v="2"/>
    <s v="Wired Communications Electronics"/>
    <s v="Fiber Broadband Access"/>
    <s v="Semiconductor Revenue M$"/>
    <x v="0"/>
    <n v="0"/>
  </r>
  <r>
    <s v="Integrated AI"/>
    <x v="2"/>
    <x v="2"/>
    <s v="Wired Communications Electronics"/>
    <s v="Fiber Broadband Access"/>
    <s v="Semiconductor Revenue M$"/>
    <x v="1"/>
    <n v="0"/>
  </r>
  <r>
    <s v="Integrated AI"/>
    <x v="2"/>
    <x v="2"/>
    <s v="Wired Communications Electronics"/>
    <s v="Fiber Broadband Access"/>
    <s v="Semiconductor Revenue M$"/>
    <x v="2"/>
    <n v="0"/>
  </r>
  <r>
    <s v="Integrated AI"/>
    <x v="2"/>
    <x v="2"/>
    <s v="Wired Communications Electronics"/>
    <s v="Fiber Broadband Access"/>
    <s v="Semiconductor Revenue M$"/>
    <x v="3"/>
    <n v="0"/>
  </r>
  <r>
    <s v="Integrated AI"/>
    <x v="2"/>
    <x v="2"/>
    <s v="Wired Communications Electronics"/>
    <s v="Fiber Broadband Access"/>
    <s v="Semiconductor Revenue M$"/>
    <x v="4"/>
    <n v="0"/>
  </r>
  <r>
    <s v="Integrated AI"/>
    <x v="2"/>
    <x v="2"/>
    <s v="Wired Communications Electronics"/>
    <s v="Fiber Broadband Access"/>
    <s v="Semiconductor Revenue M$"/>
    <x v="5"/>
    <n v="0"/>
  </r>
  <r>
    <s v="Integrated AI"/>
    <x v="2"/>
    <x v="2"/>
    <s v="Wired Communications Electronics"/>
    <s v="Fiber Broadband Access"/>
    <s v="Semiconductor Revenue M$"/>
    <x v="6"/>
    <n v="0"/>
  </r>
  <r>
    <s v="Integrated AI"/>
    <x v="2"/>
    <x v="2"/>
    <s v="Wired Communications Electronics"/>
    <s v="Other Broadband Access"/>
    <s v="Semiconductor Revenue M$"/>
    <x v="0"/>
    <n v="0"/>
  </r>
  <r>
    <s v="Integrated AI"/>
    <x v="2"/>
    <x v="2"/>
    <s v="Wired Communications Electronics"/>
    <s v="Other Broadband Access"/>
    <s v="Semiconductor Revenue M$"/>
    <x v="1"/>
    <n v="0"/>
  </r>
  <r>
    <s v="Integrated AI"/>
    <x v="2"/>
    <x v="2"/>
    <s v="Wired Communications Electronics"/>
    <s v="Other Broadband Access"/>
    <s v="Semiconductor Revenue M$"/>
    <x v="2"/>
    <n v="0"/>
  </r>
  <r>
    <s v="Integrated AI"/>
    <x v="2"/>
    <x v="2"/>
    <s v="Wired Communications Electronics"/>
    <s v="Other Broadband Access"/>
    <s v="Semiconductor Revenue M$"/>
    <x v="3"/>
    <n v="0"/>
  </r>
  <r>
    <s v="Integrated AI"/>
    <x v="2"/>
    <x v="2"/>
    <s v="Wired Communications Electronics"/>
    <s v="Other Broadband Access"/>
    <s v="Semiconductor Revenue M$"/>
    <x v="4"/>
    <n v="0"/>
  </r>
  <r>
    <s v="Integrated AI"/>
    <x v="2"/>
    <x v="2"/>
    <s v="Wired Communications Electronics"/>
    <s v="Other Broadband Access"/>
    <s v="Semiconductor Revenue M$"/>
    <x v="5"/>
    <n v="0"/>
  </r>
  <r>
    <s v="Integrated AI"/>
    <x v="2"/>
    <x v="2"/>
    <s v="Wired Communications Electronics"/>
    <s v="Other Broadband Access"/>
    <s v="Semiconductor Revenue M$"/>
    <x v="6"/>
    <n v="0"/>
  </r>
  <r>
    <s v="Integrated AI"/>
    <x v="2"/>
    <x v="2"/>
    <s v="Wired Communications Electronics"/>
    <s v="Enterprise LAN"/>
    <s v="Semiconductor Revenue M$"/>
    <x v="0"/>
    <n v="0"/>
  </r>
  <r>
    <s v="Integrated AI"/>
    <x v="2"/>
    <x v="2"/>
    <s v="Wired Communications Electronics"/>
    <s v="Enterprise LAN"/>
    <s v="Semiconductor Revenue M$"/>
    <x v="1"/>
    <n v="0"/>
  </r>
  <r>
    <s v="Integrated AI"/>
    <x v="2"/>
    <x v="2"/>
    <s v="Wired Communications Electronics"/>
    <s v="Enterprise LAN"/>
    <s v="Semiconductor Revenue M$"/>
    <x v="2"/>
    <n v="0"/>
  </r>
  <r>
    <s v="Integrated AI"/>
    <x v="2"/>
    <x v="2"/>
    <s v="Wired Communications Electronics"/>
    <s v="Enterprise LAN"/>
    <s v="Semiconductor Revenue M$"/>
    <x v="3"/>
    <n v="0"/>
  </r>
  <r>
    <s v="Integrated AI"/>
    <x v="2"/>
    <x v="2"/>
    <s v="Wired Communications Electronics"/>
    <s v="Enterprise LAN"/>
    <s v="Semiconductor Revenue M$"/>
    <x v="4"/>
    <n v="0"/>
  </r>
  <r>
    <s v="Integrated AI"/>
    <x v="2"/>
    <x v="2"/>
    <s v="Wired Communications Electronics"/>
    <s v="Enterprise LAN"/>
    <s v="Semiconductor Revenue M$"/>
    <x v="5"/>
    <n v="0"/>
  </r>
  <r>
    <s v="Integrated AI"/>
    <x v="2"/>
    <x v="2"/>
    <s v="Wired Communications Electronics"/>
    <s v="Enterprise LAN"/>
    <s v="Semiconductor Revenue M$"/>
    <x v="6"/>
    <n v="0"/>
  </r>
  <r>
    <s v="Integrated AI"/>
    <x v="2"/>
    <x v="3"/>
    <s v="Automotive Electronics"/>
    <s v="ADAS-ECU (Level-0/1/2)"/>
    <s v="Semiconductor Revenue M$"/>
    <x v="0"/>
    <n v="0"/>
  </r>
  <r>
    <s v="Integrated AI"/>
    <x v="2"/>
    <x v="3"/>
    <s v="Automotive Electronics"/>
    <s v="ADAS-ECU (Level-0/1/2)"/>
    <s v="Semiconductor Revenue M$"/>
    <x v="1"/>
    <n v="0"/>
  </r>
  <r>
    <s v="Integrated AI"/>
    <x v="2"/>
    <x v="3"/>
    <s v="Automotive Electronics"/>
    <s v="ADAS-ECU (Level-0/1/2)"/>
    <s v="Semiconductor Revenue M$"/>
    <x v="2"/>
    <n v="0"/>
  </r>
  <r>
    <s v="Integrated AI"/>
    <x v="2"/>
    <x v="3"/>
    <s v="Automotive Electronics"/>
    <s v="ADAS-ECU (Level-0/1/2)"/>
    <s v="Semiconductor Revenue M$"/>
    <x v="3"/>
    <n v="0"/>
  </r>
  <r>
    <s v="Integrated AI"/>
    <x v="2"/>
    <x v="3"/>
    <s v="Automotive Electronics"/>
    <s v="ADAS-ECU (Level-0/1/2)"/>
    <s v="Semiconductor Revenue M$"/>
    <x v="4"/>
    <n v="0"/>
  </r>
  <r>
    <s v="Integrated AI"/>
    <x v="2"/>
    <x v="3"/>
    <s v="Automotive Electronics"/>
    <s v="ADAS-ECU (Level-0/1/2)"/>
    <s v="Semiconductor Revenue M$"/>
    <x v="5"/>
    <n v="0"/>
  </r>
  <r>
    <s v="Integrated AI"/>
    <x v="2"/>
    <x v="3"/>
    <s v="Automotive Electronics"/>
    <s v="ADAS-ECU (Level-0/1/2)"/>
    <s v="Semiconductor Revenue M$"/>
    <x v="6"/>
    <n v="0"/>
  </r>
  <r>
    <s v="Integrated AI"/>
    <x v="2"/>
    <x v="2"/>
    <s v="Wired Communications Electronics"/>
    <s v="Enterprise WAN"/>
    <s v="Semiconductor Revenue M$"/>
    <x v="0"/>
    <n v="0"/>
  </r>
  <r>
    <s v="Integrated AI"/>
    <x v="2"/>
    <x v="2"/>
    <s v="Wired Communications Electronics"/>
    <s v="Enterprise WAN"/>
    <s v="Semiconductor Revenue M$"/>
    <x v="1"/>
    <n v="0"/>
  </r>
  <r>
    <s v="Integrated AI"/>
    <x v="2"/>
    <x v="2"/>
    <s v="Wired Communications Electronics"/>
    <s v="Enterprise WAN"/>
    <s v="Semiconductor Revenue M$"/>
    <x v="2"/>
    <n v="0"/>
  </r>
  <r>
    <s v="Integrated AI"/>
    <x v="2"/>
    <x v="2"/>
    <s v="Wired Communications Electronics"/>
    <s v="Enterprise WAN"/>
    <s v="Semiconductor Revenue M$"/>
    <x v="3"/>
    <n v="0"/>
  </r>
  <r>
    <s v="Integrated AI"/>
    <x v="2"/>
    <x v="2"/>
    <s v="Wired Communications Electronics"/>
    <s v="Enterprise WAN"/>
    <s v="Semiconductor Revenue M$"/>
    <x v="4"/>
    <n v="0"/>
  </r>
  <r>
    <s v="Integrated AI"/>
    <x v="2"/>
    <x v="2"/>
    <s v="Wired Communications Electronics"/>
    <s v="Enterprise WAN"/>
    <s v="Semiconductor Revenue M$"/>
    <x v="5"/>
    <n v="0"/>
  </r>
  <r>
    <s v="Integrated AI"/>
    <x v="2"/>
    <x v="2"/>
    <s v="Wired Communications Electronics"/>
    <s v="Enterprise WAN"/>
    <s v="Semiconductor Revenue M$"/>
    <x v="6"/>
    <n v="0"/>
  </r>
  <r>
    <s v="Integrated AI"/>
    <x v="2"/>
    <x v="2"/>
    <s v="Wired Communications Electronics"/>
    <s v="Optical Transport"/>
    <s v="Semiconductor Revenue M$"/>
    <x v="0"/>
    <n v="0"/>
  </r>
  <r>
    <s v="Integrated AI"/>
    <x v="2"/>
    <x v="2"/>
    <s v="Wired Communications Electronics"/>
    <s v="Optical Transport"/>
    <s v="Semiconductor Revenue M$"/>
    <x v="1"/>
    <n v="0"/>
  </r>
  <r>
    <s v="Integrated AI"/>
    <x v="2"/>
    <x v="2"/>
    <s v="Wired Communications Electronics"/>
    <s v="Optical Transport"/>
    <s v="Semiconductor Revenue M$"/>
    <x v="2"/>
    <n v="0"/>
  </r>
  <r>
    <s v="Integrated AI"/>
    <x v="2"/>
    <x v="2"/>
    <s v="Wired Communications Electronics"/>
    <s v="Optical Transport"/>
    <s v="Semiconductor Revenue M$"/>
    <x v="3"/>
    <n v="0"/>
  </r>
  <r>
    <s v="Integrated AI"/>
    <x v="2"/>
    <x v="2"/>
    <s v="Wired Communications Electronics"/>
    <s v="Optical Transport"/>
    <s v="Semiconductor Revenue M$"/>
    <x v="4"/>
    <n v="0"/>
  </r>
  <r>
    <s v="Integrated AI"/>
    <x v="2"/>
    <x v="2"/>
    <s v="Wired Communications Electronics"/>
    <s v="Optical Transport"/>
    <s v="Semiconductor Revenue M$"/>
    <x v="5"/>
    <n v="0"/>
  </r>
  <r>
    <s v="Integrated AI"/>
    <x v="2"/>
    <x v="2"/>
    <s v="Wired Communications Electronics"/>
    <s v="Optical Transport"/>
    <s v="Semiconductor Revenue M$"/>
    <x v="6"/>
    <n v="0"/>
  </r>
  <r>
    <s v="Integrated AI"/>
    <x v="2"/>
    <x v="2"/>
    <s v="Wired Communications Electronics"/>
    <s v="Service Provider Routers and Switches"/>
    <s v="Semiconductor Revenue M$"/>
    <x v="0"/>
    <n v="0"/>
  </r>
  <r>
    <s v="Integrated AI"/>
    <x v="2"/>
    <x v="2"/>
    <s v="Wired Communications Electronics"/>
    <s v="Service Provider Routers and Switches"/>
    <s v="Semiconductor Revenue M$"/>
    <x v="1"/>
    <n v="0"/>
  </r>
  <r>
    <s v="Integrated AI"/>
    <x v="2"/>
    <x v="2"/>
    <s v="Wired Communications Electronics"/>
    <s v="Service Provider Routers and Switches"/>
    <s v="Semiconductor Revenue M$"/>
    <x v="2"/>
    <n v="0"/>
  </r>
  <r>
    <s v="Integrated AI"/>
    <x v="2"/>
    <x v="2"/>
    <s v="Wired Communications Electronics"/>
    <s v="Service Provider Routers and Switches"/>
    <s v="Semiconductor Revenue M$"/>
    <x v="3"/>
    <n v="0"/>
  </r>
  <r>
    <s v="Integrated AI"/>
    <x v="2"/>
    <x v="2"/>
    <s v="Wired Communications Electronics"/>
    <s v="Service Provider Routers and Switches"/>
    <s v="Semiconductor Revenue M$"/>
    <x v="4"/>
    <n v="0"/>
  </r>
  <r>
    <s v="Integrated AI"/>
    <x v="2"/>
    <x v="2"/>
    <s v="Wired Communications Electronics"/>
    <s v="Service Provider Routers and Switches"/>
    <s v="Semiconductor Revenue M$"/>
    <x v="5"/>
    <n v="0"/>
  </r>
  <r>
    <s v="Integrated AI"/>
    <x v="2"/>
    <x v="2"/>
    <s v="Wired Communications Electronics"/>
    <s v="Service Provider Routers and Switches"/>
    <s v="Semiconductor Revenue M$"/>
    <x v="6"/>
    <n v="0"/>
  </r>
  <r>
    <s v="Integrated AI"/>
    <x v="2"/>
    <x v="2"/>
    <s v="Wired Communications Electronics"/>
    <s v="Other Wired Communications Electronics"/>
    <s v="Semiconductor Revenue M$"/>
    <x v="0"/>
    <n v="0"/>
  </r>
  <r>
    <s v="Integrated AI"/>
    <x v="2"/>
    <x v="2"/>
    <s v="Wired Communications Electronics"/>
    <s v="Other Wired Communications Electronics"/>
    <s v="Semiconductor Revenue M$"/>
    <x v="1"/>
    <n v="0"/>
  </r>
  <r>
    <s v="Integrated AI"/>
    <x v="2"/>
    <x v="2"/>
    <s v="Wired Communications Electronics"/>
    <s v="Other Wired Communications Electronics"/>
    <s v="Semiconductor Revenue M$"/>
    <x v="2"/>
    <n v="0"/>
  </r>
  <r>
    <s v="Integrated AI"/>
    <x v="2"/>
    <x v="2"/>
    <s v="Wired Communications Electronics"/>
    <s v="Other Wired Communications Electronics"/>
    <s v="Semiconductor Revenue M$"/>
    <x v="3"/>
    <n v="0"/>
  </r>
  <r>
    <s v="Integrated AI"/>
    <x v="2"/>
    <x v="2"/>
    <s v="Wired Communications Electronics"/>
    <s v="Other Wired Communications Electronics"/>
    <s v="Semiconductor Revenue M$"/>
    <x v="4"/>
    <n v="0"/>
  </r>
  <r>
    <s v="Integrated AI"/>
    <x v="2"/>
    <x v="2"/>
    <s v="Wired Communications Electronics"/>
    <s v="Other Wired Communications Electronics"/>
    <s v="Semiconductor Revenue M$"/>
    <x v="5"/>
    <n v="0"/>
  </r>
  <r>
    <s v="Integrated AI"/>
    <x v="2"/>
    <x v="2"/>
    <s v="Wired Communications Electronics"/>
    <s v="Other Wired Communications Electronics"/>
    <s v="Semiconductor Revenue M$"/>
    <x v="6"/>
    <n v="0"/>
  </r>
  <r>
    <s v="Integrated AI"/>
    <x v="2"/>
    <x v="4"/>
    <s v="Consumer Electronics"/>
    <s v="Appliances"/>
    <s v="Semiconductor Revenue M$"/>
    <x v="0"/>
    <n v="0"/>
  </r>
  <r>
    <s v="Integrated AI"/>
    <x v="2"/>
    <x v="4"/>
    <s v="Consumer Electronics"/>
    <s v="Appliances"/>
    <s v="Semiconductor Revenue M$"/>
    <x v="1"/>
    <n v="0"/>
  </r>
  <r>
    <s v="Integrated AI"/>
    <x v="2"/>
    <x v="4"/>
    <s v="Consumer Electronics"/>
    <s v="Appliances"/>
    <s v="Semiconductor Revenue M$"/>
    <x v="2"/>
    <n v="0"/>
  </r>
  <r>
    <s v="Integrated AI"/>
    <x v="2"/>
    <x v="4"/>
    <s v="Consumer Electronics"/>
    <s v="Appliances"/>
    <s v="Semiconductor Revenue M$"/>
    <x v="3"/>
    <n v="0"/>
  </r>
  <r>
    <s v="Integrated AI"/>
    <x v="2"/>
    <x v="4"/>
    <s v="Consumer Electronics"/>
    <s v="Appliances"/>
    <s v="Semiconductor Revenue M$"/>
    <x v="4"/>
    <n v="0"/>
  </r>
  <r>
    <s v="Integrated AI"/>
    <x v="2"/>
    <x v="4"/>
    <s v="Consumer Electronics"/>
    <s v="Appliances"/>
    <s v="Semiconductor Revenue M$"/>
    <x v="5"/>
    <n v="0"/>
  </r>
  <r>
    <s v="Integrated AI"/>
    <x v="2"/>
    <x v="4"/>
    <s v="Consumer Electronics"/>
    <s v="Appliances"/>
    <s v="Semiconductor Revenue M$"/>
    <x v="6"/>
    <n v="0"/>
  </r>
  <r>
    <s v="Integrated AI"/>
    <x v="2"/>
    <x v="4"/>
    <s v="Consumer Electronics"/>
    <s v="Digital Camcorder"/>
    <s v="Semiconductor Revenue M$"/>
    <x v="0"/>
    <n v="0"/>
  </r>
  <r>
    <s v="Integrated AI"/>
    <x v="2"/>
    <x v="4"/>
    <s v="Consumer Electronics"/>
    <s v="Digital Camcorder"/>
    <s v="Semiconductor Revenue M$"/>
    <x v="1"/>
    <n v="0"/>
  </r>
  <r>
    <s v="Integrated AI"/>
    <x v="2"/>
    <x v="4"/>
    <s v="Consumer Electronics"/>
    <s v="Digital Camcorder"/>
    <s v="Semiconductor Revenue M$"/>
    <x v="2"/>
    <n v="0"/>
  </r>
  <r>
    <s v="Integrated AI"/>
    <x v="2"/>
    <x v="4"/>
    <s v="Consumer Electronics"/>
    <s v="Digital Camcorder"/>
    <s v="Semiconductor Revenue M$"/>
    <x v="3"/>
    <n v="0"/>
  </r>
  <r>
    <s v="Integrated AI"/>
    <x v="2"/>
    <x v="4"/>
    <s v="Consumer Electronics"/>
    <s v="Digital Camcorder"/>
    <s v="Semiconductor Revenue M$"/>
    <x v="4"/>
    <n v="0"/>
  </r>
  <r>
    <s v="Integrated AI"/>
    <x v="2"/>
    <x v="4"/>
    <s v="Consumer Electronics"/>
    <s v="Digital Camcorder"/>
    <s v="Semiconductor Revenue M$"/>
    <x v="5"/>
    <n v="0"/>
  </r>
  <r>
    <s v="Integrated AI"/>
    <x v="2"/>
    <x v="4"/>
    <s v="Consumer Electronics"/>
    <s v="Digital Camcorder"/>
    <s v="Semiconductor Revenue M$"/>
    <x v="6"/>
    <n v="0"/>
  </r>
  <r>
    <s v="Integrated AI"/>
    <x v="2"/>
    <x v="4"/>
    <s v="Consumer Electronics"/>
    <s v="Digital Set-Top Box, Cable"/>
    <s v="Semiconductor Revenue M$"/>
    <x v="0"/>
    <n v="0"/>
  </r>
  <r>
    <s v="Integrated AI"/>
    <x v="2"/>
    <x v="4"/>
    <s v="Consumer Electronics"/>
    <s v="Digital Set-Top Box, Cable"/>
    <s v="Semiconductor Revenue M$"/>
    <x v="1"/>
    <n v="0"/>
  </r>
  <r>
    <s v="Integrated AI"/>
    <x v="2"/>
    <x v="4"/>
    <s v="Consumer Electronics"/>
    <s v="Digital Set-Top Box, Cable"/>
    <s v="Semiconductor Revenue M$"/>
    <x v="2"/>
    <n v="0"/>
  </r>
  <r>
    <s v="Integrated AI"/>
    <x v="2"/>
    <x v="4"/>
    <s v="Consumer Electronics"/>
    <s v="Digital Set-Top Box, Cable"/>
    <s v="Semiconductor Revenue M$"/>
    <x v="3"/>
    <n v="0"/>
  </r>
  <r>
    <s v="Integrated AI"/>
    <x v="2"/>
    <x v="4"/>
    <s v="Consumer Electronics"/>
    <s v="Digital Set-Top Box, Cable"/>
    <s v="Semiconductor Revenue M$"/>
    <x v="4"/>
    <n v="0"/>
  </r>
  <r>
    <s v="Integrated AI"/>
    <x v="2"/>
    <x v="4"/>
    <s v="Consumer Electronics"/>
    <s v="Digital Set-Top Box, Cable"/>
    <s v="Semiconductor Revenue M$"/>
    <x v="5"/>
    <n v="0"/>
  </r>
  <r>
    <s v="Integrated AI"/>
    <x v="2"/>
    <x v="4"/>
    <s v="Consumer Electronics"/>
    <s v="Digital Set-Top Box, Cable"/>
    <s v="Semiconductor Revenue M$"/>
    <x v="6"/>
    <n v="0"/>
  </r>
  <r>
    <s v="Integrated AI"/>
    <x v="2"/>
    <x v="4"/>
    <s v="Consumer Electronics"/>
    <s v="Digital Set-Top Box, Satellite"/>
    <s v="Semiconductor Revenue M$"/>
    <x v="0"/>
    <n v="0"/>
  </r>
  <r>
    <s v="Integrated AI"/>
    <x v="2"/>
    <x v="4"/>
    <s v="Consumer Electronics"/>
    <s v="Digital Set-Top Box, Satellite"/>
    <s v="Semiconductor Revenue M$"/>
    <x v="1"/>
    <n v="0"/>
  </r>
  <r>
    <s v="Integrated AI"/>
    <x v="2"/>
    <x v="4"/>
    <s v="Consumer Electronics"/>
    <s v="Digital Set-Top Box, Satellite"/>
    <s v="Semiconductor Revenue M$"/>
    <x v="2"/>
    <n v="0"/>
  </r>
  <r>
    <s v="Integrated AI"/>
    <x v="2"/>
    <x v="4"/>
    <s v="Consumer Electronics"/>
    <s v="Digital Set-Top Box, Satellite"/>
    <s v="Semiconductor Revenue M$"/>
    <x v="3"/>
    <n v="0"/>
  </r>
  <r>
    <s v="Integrated AI"/>
    <x v="2"/>
    <x v="4"/>
    <s v="Consumer Electronics"/>
    <s v="Digital Set-Top Box, Satellite"/>
    <s v="Semiconductor Revenue M$"/>
    <x v="4"/>
    <n v="0"/>
  </r>
  <r>
    <s v="Integrated AI"/>
    <x v="2"/>
    <x v="4"/>
    <s v="Consumer Electronics"/>
    <s v="Digital Set-Top Box, Satellite"/>
    <s v="Semiconductor Revenue M$"/>
    <x v="5"/>
    <n v="0"/>
  </r>
  <r>
    <s v="Integrated AI"/>
    <x v="2"/>
    <x v="4"/>
    <s v="Consumer Electronics"/>
    <s v="Digital Set-Top Box, Satellite"/>
    <s v="Semiconductor Revenue M$"/>
    <x v="6"/>
    <n v="0"/>
  </r>
  <r>
    <s v="Integrated AI"/>
    <x v="2"/>
    <x v="4"/>
    <s v="Consumer Electronics"/>
    <s v="Digital Set-Top Box, Terrestrial"/>
    <s v="Semiconductor Revenue M$"/>
    <x v="0"/>
    <n v="0"/>
  </r>
  <r>
    <s v="Integrated AI"/>
    <x v="2"/>
    <x v="4"/>
    <s v="Consumer Electronics"/>
    <s v="Digital Set-Top Box, Terrestrial"/>
    <s v="Semiconductor Revenue M$"/>
    <x v="1"/>
    <n v="0"/>
  </r>
  <r>
    <s v="Integrated AI"/>
    <x v="2"/>
    <x v="4"/>
    <s v="Consumer Electronics"/>
    <s v="Digital Set-Top Box, Terrestrial"/>
    <s v="Semiconductor Revenue M$"/>
    <x v="2"/>
    <n v="0"/>
  </r>
  <r>
    <s v="Integrated AI"/>
    <x v="2"/>
    <x v="4"/>
    <s v="Consumer Electronics"/>
    <s v="Digital Set-Top Box, Terrestrial"/>
    <s v="Semiconductor Revenue M$"/>
    <x v="3"/>
    <n v="0"/>
  </r>
  <r>
    <s v="Integrated AI"/>
    <x v="2"/>
    <x v="4"/>
    <s v="Consumer Electronics"/>
    <s v="Digital Set-Top Box, Terrestrial"/>
    <s v="Semiconductor Revenue M$"/>
    <x v="4"/>
    <n v="0"/>
  </r>
  <r>
    <s v="Integrated AI"/>
    <x v="2"/>
    <x v="4"/>
    <s v="Consumer Electronics"/>
    <s v="Digital Set-Top Box, Terrestrial"/>
    <s v="Semiconductor Revenue M$"/>
    <x v="5"/>
    <n v="0"/>
  </r>
  <r>
    <s v="Integrated AI"/>
    <x v="2"/>
    <x v="4"/>
    <s v="Consumer Electronics"/>
    <s v="Digital Set-Top Box, Terrestrial"/>
    <s v="Semiconductor Revenue M$"/>
    <x v="6"/>
    <n v="0"/>
  </r>
  <r>
    <s v="Integrated AI"/>
    <x v="2"/>
    <x v="4"/>
    <s v="Consumer Electronics"/>
    <s v="Digital Set-Top Box, IP/Other"/>
    <s v="Semiconductor Revenue M$"/>
    <x v="0"/>
    <n v="0"/>
  </r>
  <r>
    <s v="Integrated AI"/>
    <x v="2"/>
    <x v="4"/>
    <s v="Consumer Electronics"/>
    <s v="Digital Set-Top Box, IP/Other"/>
    <s v="Semiconductor Revenue M$"/>
    <x v="1"/>
    <n v="0"/>
  </r>
  <r>
    <s v="Integrated AI"/>
    <x v="2"/>
    <x v="4"/>
    <s v="Consumer Electronics"/>
    <s v="Digital Set-Top Box, IP/Other"/>
    <s v="Semiconductor Revenue M$"/>
    <x v="2"/>
    <n v="0"/>
  </r>
  <r>
    <s v="Integrated AI"/>
    <x v="2"/>
    <x v="4"/>
    <s v="Consumer Electronics"/>
    <s v="Digital Set-Top Box, IP/Other"/>
    <s v="Semiconductor Revenue M$"/>
    <x v="3"/>
    <n v="0"/>
  </r>
  <r>
    <s v="Integrated AI"/>
    <x v="2"/>
    <x v="4"/>
    <s v="Consumer Electronics"/>
    <s v="Digital Set-Top Box, IP/Other"/>
    <s v="Semiconductor Revenue M$"/>
    <x v="4"/>
    <n v="0"/>
  </r>
  <r>
    <s v="Integrated AI"/>
    <x v="2"/>
    <x v="4"/>
    <s v="Consumer Electronics"/>
    <s v="Digital Set-Top Box, IP/Other"/>
    <s v="Semiconductor Revenue M$"/>
    <x v="5"/>
    <n v="0"/>
  </r>
  <r>
    <s v="Integrated AI"/>
    <x v="2"/>
    <x v="4"/>
    <s v="Consumer Electronics"/>
    <s v="Digital Set-Top Box, IP/Other"/>
    <s v="Semiconductor Revenue M$"/>
    <x v="6"/>
    <n v="0"/>
  </r>
  <r>
    <s v="Integrated AI"/>
    <x v="2"/>
    <x v="4"/>
    <s v="Consumer Electronics"/>
    <s v="Digital Still Camera"/>
    <s v="Semiconductor Revenue M$"/>
    <x v="0"/>
    <n v="0"/>
  </r>
  <r>
    <s v="Integrated AI"/>
    <x v="2"/>
    <x v="4"/>
    <s v="Consumer Electronics"/>
    <s v="Digital Still Camera"/>
    <s v="Semiconductor Revenue M$"/>
    <x v="1"/>
    <n v="0"/>
  </r>
  <r>
    <s v="Integrated AI"/>
    <x v="2"/>
    <x v="4"/>
    <s v="Consumer Electronics"/>
    <s v="Digital Still Camera"/>
    <s v="Semiconductor Revenue M$"/>
    <x v="2"/>
    <n v="0"/>
  </r>
  <r>
    <s v="Integrated AI"/>
    <x v="2"/>
    <x v="4"/>
    <s v="Consumer Electronics"/>
    <s v="Digital Still Camera"/>
    <s v="Semiconductor Revenue M$"/>
    <x v="3"/>
    <n v="0"/>
  </r>
  <r>
    <s v="Integrated AI"/>
    <x v="2"/>
    <x v="4"/>
    <s v="Consumer Electronics"/>
    <s v="Digital Still Camera"/>
    <s v="Semiconductor Revenue M$"/>
    <x v="4"/>
    <n v="0"/>
  </r>
  <r>
    <s v="Integrated AI"/>
    <x v="2"/>
    <x v="4"/>
    <s v="Consumer Electronics"/>
    <s v="Digital Still Camera"/>
    <s v="Semiconductor Revenue M$"/>
    <x v="5"/>
    <n v="0"/>
  </r>
  <r>
    <s v="Integrated AI"/>
    <x v="2"/>
    <x v="4"/>
    <s v="Consumer Electronics"/>
    <s v="Digital Still Camera"/>
    <s v="Semiconductor Revenue M$"/>
    <x v="6"/>
    <n v="0"/>
  </r>
  <r>
    <s v="Integrated AI"/>
    <x v="2"/>
    <x v="5"/>
    <s v="Industrial Electronics"/>
    <s v="Agriculture"/>
    <s v="Semiconductor Revenue M$"/>
    <x v="0"/>
    <n v="0"/>
  </r>
  <r>
    <s v="Integrated AI"/>
    <x v="2"/>
    <x v="5"/>
    <s v="Industrial Electronics"/>
    <s v="Agriculture"/>
    <s v="Semiconductor Revenue M$"/>
    <x v="1"/>
    <n v="0"/>
  </r>
  <r>
    <s v="Integrated AI"/>
    <x v="2"/>
    <x v="5"/>
    <s v="Industrial Electronics"/>
    <s v="Agriculture"/>
    <s v="Semiconductor Revenue M$"/>
    <x v="2"/>
    <n v="0"/>
  </r>
  <r>
    <s v="Integrated AI"/>
    <x v="2"/>
    <x v="5"/>
    <s v="Industrial Electronics"/>
    <s v="Agriculture"/>
    <s v="Semiconductor Revenue M$"/>
    <x v="3"/>
    <n v="0"/>
  </r>
  <r>
    <s v="Integrated AI"/>
    <x v="2"/>
    <x v="5"/>
    <s v="Industrial Electronics"/>
    <s v="Agriculture"/>
    <s v="Semiconductor Revenue M$"/>
    <x v="4"/>
    <n v="0"/>
  </r>
  <r>
    <s v="Integrated AI"/>
    <x v="2"/>
    <x v="5"/>
    <s v="Industrial Electronics"/>
    <s v="Agriculture"/>
    <s v="Semiconductor Revenue M$"/>
    <x v="5"/>
    <n v="0"/>
  </r>
  <r>
    <s v="Integrated AI"/>
    <x v="2"/>
    <x v="5"/>
    <s v="Industrial Electronics"/>
    <s v="Agriculture"/>
    <s v="Semiconductor Revenue M$"/>
    <x v="6"/>
    <n v="0"/>
  </r>
  <r>
    <s v="Integrated AI"/>
    <x v="2"/>
    <x v="3"/>
    <s v="Automotive Electronics"/>
    <s v="Automotive HPC"/>
    <s v="Semiconductor Revenue M$"/>
    <x v="0"/>
    <n v="0"/>
  </r>
  <r>
    <s v="Integrated AI"/>
    <x v="2"/>
    <x v="3"/>
    <s v="Automotive Electronics"/>
    <s v="Automotive HPC"/>
    <s v="Semiconductor Revenue M$"/>
    <x v="1"/>
    <n v="0"/>
  </r>
  <r>
    <s v="Integrated AI"/>
    <x v="2"/>
    <x v="3"/>
    <s v="Automotive Electronics"/>
    <s v="Automotive HPC"/>
    <s v="Semiconductor Revenue M$"/>
    <x v="2"/>
    <n v="0"/>
  </r>
  <r>
    <s v="Integrated AI"/>
    <x v="2"/>
    <x v="3"/>
    <s v="Automotive Electronics"/>
    <s v="Automotive HPC"/>
    <s v="Semiconductor Revenue M$"/>
    <x v="3"/>
    <n v="0"/>
  </r>
  <r>
    <s v="Integrated AI"/>
    <x v="2"/>
    <x v="3"/>
    <s v="Automotive Electronics"/>
    <s v="Automotive HPC"/>
    <s v="Semiconductor Revenue M$"/>
    <x v="4"/>
    <n v="0"/>
  </r>
  <r>
    <s v="Integrated AI"/>
    <x v="2"/>
    <x v="3"/>
    <s v="Automotive Electronics"/>
    <s v="Automotive HPC"/>
    <s v="Semiconductor Revenue M$"/>
    <x v="5"/>
    <n v="0"/>
  </r>
  <r>
    <s v="Integrated AI"/>
    <x v="2"/>
    <x v="3"/>
    <s v="Automotive Electronics"/>
    <s v="Automotive HPC"/>
    <s v="Semiconductor Revenue M$"/>
    <x v="6"/>
    <n v="0"/>
  </r>
  <r>
    <s v="Integrated AI"/>
    <x v="2"/>
    <x v="5"/>
    <s v="Industrial Electronics"/>
    <s v="Surveillance"/>
    <s v="Semiconductor Revenue M$"/>
    <x v="0"/>
    <n v="0"/>
  </r>
  <r>
    <s v="Integrated AI"/>
    <x v="2"/>
    <x v="5"/>
    <s v="Industrial Electronics"/>
    <s v="Surveillance"/>
    <s v="Semiconductor Revenue M$"/>
    <x v="1"/>
    <n v="0"/>
  </r>
  <r>
    <s v="Integrated AI"/>
    <x v="2"/>
    <x v="5"/>
    <s v="Industrial Electronics"/>
    <s v="Surveillance"/>
    <s v="Semiconductor Revenue M$"/>
    <x v="2"/>
    <n v="0"/>
  </r>
  <r>
    <s v="Integrated AI"/>
    <x v="2"/>
    <x v="5"/>
    <s v="Industrial Electronics"/>
    <s v="Surveillance"/>
    <s v="Semiconductor Revenue M$"/>
    <x v="3"/>
    <n v="0"/>
  </r>
  <r>
    <s v="Integrated AI"/>
    <x v="2"/>
    <x v="5"/>
    <s v="Industrial Electronics"/>
    <s v="Surveillance"/>
    <s v="Semiconductor Revenue M$"/>
    <x v="4"/>
    <n v="0"/>
  </r>
  <r>
    <s v="Integrated AI"/>
    <x v="2"/>
    <x v="5"/>
    <s v="Industrial Electronics"/>
    <s v="Surveillance"/>
    <s v="Semiconductor Revenue M$"/>
    <x v="5"/>
    <n v="0"/>
  </r>
  <r>
    <s v="Integrated AI"/>
    <x v="2"/>
    <x v="5"/>
    <s v="Industrial Electronics"/>
    <s v="Surveillance"/>
    <s v="Semiconductor Revenue M$"/>
    <x v="6"/>
    <n v="0"/>
  </r>
  <r>
    <s v="Integrated AI"/>
    <x v="2"/>
    <x v="4"/>
    <s v="Consumer Electronics"/>
    <s v="Portable Media Players"/>
    <s v="Semiconductor Revenue M$"/>
    <x v="0"/>
    <n v="0"/>
  </r>
  <r>
    <s v="Integrated AI"/>
    <x v="2"/>
    <x v="4"/>
    <s v="Consumer Electronics"/>
    <s v="Portable Media Players"/>
    <s v="Semiconductor Revenue M$"/>
    <x v="1"/>
    <n v="0"/>
  </r>
  <r>
    <s v="Integrated AI"/>
    <x v="2"/>
    <x v="4"/>
    <s v="Consumer Electronics"/>
    <s v="Portable Media Players"/>
    <s v="Semiconductor Revenue M$"/>
    <x v="2"/>
    <n v="0"/>
  </r>
  <r>
    <s v="Integrated AI"/>
    <x v="2"/>
    <x v="4"/>
    <s v="Consumer Electronics"/>
    <s v="Portable Media Players"/>
    <s v="Semiconductor Revenue M$"/>
    <x v="3"/>
    <n v="0"/>
  </r>
  <r>
    <s v="Integrated AI"/>
    <x v="2"/>
    <x v="4"/>
    <s v="Consumer Electronics"/>
    <s v="Portable Media Players"/>
    <s v="Semiconductor Revenue M$"/>
    <x v="4"/>
    <n v="0"/>
  </r>
  <r>
    <s v="Integrated AI"/>
    <x v="2"/>
    <x v="4"/>
    <s v="Consumer Electronics"/>
    <s v="Portable Media Players"/>
    <s v="Semiconductor Revenue M$"/>
    <x v="5"/>
    <n v="0"/>
  </r>
  <r>
    <s v="Integrated AI"/>
    <x v="2"/>
    <x v="4"/>
    <s v="Consumer Electronics"/>
    <s v="Portable Media Players"/>
    <s v="Semiconductor Revenue M$"/>
    <x v="6"/>
    <n v="0"/>
  </r>
  <r>
    <s v="Integrated AI"/>
    <x v="2"/>
    <x v="4"/>
    <s v="Consumer Electronics"/>
    <s v="Smart Speakers"/>
    <s v="Semiconductor Revenue M$"/>
    <x v="0"/>
    <n v="0"/>
  </r>
  <r>
    <s v="Integrated AI"/>
    <x v="2"/>
    <x v="4"/>
    <s v="Consumer Electronics"/>
    <s v="Smart Speakers"/>
    <s v="Semiconductor Revenue M$"/>
    <x v="1"/>
    <n v="0"/>
  </r>
  <r>
    <s v="Integrated AI"/>
    <x v="2"/>
    <x v="4"/>
    <s v="Consumer Electronics"/>
    <s v="Smart Speakers"/>
    <s v="Semiconductor Revenue M$"/>
    <x v="2"/>
    <n v="0"/>
  </r>
  <r>
    <s v="Integrated AI"/>
    <x v="2"/>
    <x v="4"/>
    <s v="Consumer Electronics"/>
    <s v="Smart Speakers"/>
    <s v="Semiconductor Revenue M$"/>
    <x v="3"/>
    <n v="0"/>
  </r>
  <r>
    <s v="Integrated AI"/>
    <x v="2"/>
    <x v="4"/>
    <s v="Consumer Electronics"/>
    <s v="Smart Speakers"/>
    <s v="Semiconductor Revenue M$"/>
    <x v="4"/>
    <n v="0"/>
  </r>
  <r>
    <s v="Integrated AI"/>
    <x v="2"/>
    <x v="4"/>
    <s v="Consumer Electronics"/>
    <s v="Smart Speakers"/>
    <s v="Semiconductor Revenue M$"/>
    <x v="5"/>
    <n v="0"/>
  </r>
  <r>
    <s v="Integrated AI"/>
    <x v="2"/>
    <x v="4"/>
    <s v="Consumer Electronics"/>
    <s v="Smart Speakers"/>
    <s v="Semiconductor Revenue M$"/>
    <x v="6"/>
    <n v="0"/>
  </r>
  <r>
    <s v="Integrated AI"/>
    <x v="2"/>
    <x v="4"/>
    <s v="Consumer Electronics"/>
    <s v="TV, Standard"/>
    <s v="Semiconductor Revenue M$"/>
    <x v="0"/>
    <n v="0"/>
  </r>
  <r>
    <s v="Integrated AI"/>
    <x v="2"/>
    <x v="4"/>
    <s v="Consumer Electronics"/>
    <s v="TV, Standard"/>
    <s v="Semiconductor Revenue M$"/>
    <x v="1"/>
    <n v="0"/>
  </r>
  <r>
    <s v="Integrated AI"/>
    <x v="2"/>
    <x v="4"/>
    <s v="Consumer Electronics"/>
    <s v="TV, Standard"/>
    <s v="Semiconductor Revenue M$"/>
    <x v="2"/>
    <n v="0"/>
  </r>
  <r>
    <s v="Integrated AI"/>
    <x v="2"/>
    <x v="4"/>
    <s v="Consumer Electronics"/>
    <s v="TV, Standard"/>
    <s v="Semiconductor Revenue M$"/>
    <x v="3"/>
    <n v="0"/>
  </r>
  <r>
    <s v="Integrated AI"/>
    <x v="2"/>
    <x v="4"/>
    <s v="Consumer Electronics"/>
    <s v="TV, Standard"/>
    <s v="Semiconductor Revenue M$"/>
    <x v="4"/>
    <n v="0"/>
  </r>
  <r>
    <s v="Integrated AI"/>
    <x v="2"/>
    <x v="4"/>
    <s v="Consumer Electronics"/>
    <s v="TV, Standard"/>
    <s v="Semiconductor Revenue M$"/>
    <x v="5"/>
    <n v="0"/>
  </r>
  <r>
    <s v="Integrated AI"/>
    <x v="2"/>
    <x v="4"/>
    <s v="Consumer Electronics"/>
    <s v="TV, Standard"/>
    <s v="Semiconductor Revenue M$"/>
    <x v="6"/>
    <n v="0"/>
  </r>
  <r>
    <s v="Integrated AI"/>
    <x v="2"/>
    <x v="4"/>
    <s v="Consumer Electronics"/>
    <s v="TV, Smart"/>
    <s v="Semiconductor Revenue M$"/>
    <x v="0"/>
    <n v="0"/>
  </r>
  <r>
    <s v="Integrated AI"/>
    <x v="2"/>
    <x v="4"/>
    <s v="Consumer Electronics"/>
    <s v="TV, Smart"/>
    <s v="Semiconductor Revenue M$"/>
    <x v="1"/>
    <n v="0"/>
  </r>
  <r>
    <s v="Integrated AI"/>
    <x v="2"/>
    <x v="4"/>
    <s v="Consumer Electronics"/>
    <s v="TV, Smart"/>
    <s v="Semiconductor Revenue M$"/>
    <x v="2"/>
    <n v="0"/>
  </r>
  <r>
    <s v="Integrated AI"/>
    <x v="2"/>
    <x v="4"/>
    <s v="Consumer Electronics"/>
    <s v="TV, Smart"/>
    <s v="Semiconductor Revenue M$"/>
    <x v="3"/>
    <n v="0"/>
  </r>
  <r>
    <s v="Integrated AI"/>
    <x v="2"/>
    <x v="4"/>
    <s v="Consumer Electronics"/>
    <s v="TV, Smart"/>
    <s v="Semiconductor Revenue M$"/>
    <x v="4"/>
    <n v="0"/>
  </r>
  <r>
    <s v="Integrated AI"/>
    <x v="2"/>
    <x v="4"/>
    <s v="Consumer Electronics"/>
    <s v="TV, Smart"/>
    <s v="Semiconductor Revenue M$"/>
    <x v="5"/>
    <n v="0"/>
  </r>
  <r>
    <s v="Integrated AI"/>
    <x v="2"/>
    <x v="4"/>
    <s v="Consumer Electronics"/>
    <s v="TV, Smart"/>
    <s v="Semiconductor Revenue M$"/>
    <x v="6"/>
    <n v="0"/>
  </r>
  <r>
    <s v="Integrated AI"/>
    <x v="2"/>
    <x v="4"/>
    <s v="Consumer Electronics"/>
    <s v="Video Game Consoles"/>
    <s v="Semiconductor Revenue M$"/>
    <x v="0"/>
    <n v="0"/>
  </r>
  <r>
    <s v="Integrated AI"/>
    <x v="2"/>
    <x v="4"/>
    <s v="Consumer Electronics"/>
    <s v="Video Game Consoles"/>
    <s v="Semiconductor Revenue M$"/>
    <x v="1"/>
    <n v="0"/>
  </r>
  <r>
    <s v="Integrated AI"/>
    <x v="2"/>
    <x v="4"/>
    <s v="Consumer Electronics"/>
    <s v="Video Game Consoles"/>
    <s v="Semiconductor Revenue M$"/>
    <x v="2"/>
    <n v="0"/>
  </r>
  <r>
    <s v="Integrated AI"/>
    <x v="2"/>
    <x v="4"/>
    <s v="Consumer Electronics"/>
    <s v="Video Game Consoles"/>
    <s v="Semiconductor Revenue M$"/>
    <x v="3"/>
    <n v="0"/>
  </r>
  <r>
    <s v="Integrated AI"/>
    <x v="2"/>
    <x v="4"/>
    <s v="Consumer Electronics"/>
    <s v="Video Game Consoles"/>
    <s v="Semiconductor Revenue M$"/>
    <x v="4"/>
    <n v="0"/>
  </r>
  <r>
    <s v="Integrated AI"/>
    <x v="2"/>
    <x v="4"/>
    <s v="Consumer Electronics"/>
    <s v="Video Game Consoles"/>
    <s v="Semiconductor Revenue M$"/>
    <x v="5"/>
    <n v="0"/>
  </r>
  <r>
    <s v="Integrated AI"/>
    <x v="2"/>
    <x v="4"/>
    <s v="Consumer Electronics"/>
    <s v="Video Game Consoles"/>
    <s v="Semiconductor Revenue M$"/>
    <x v="6"/>
    <n v="0"/>
  </r>
  <r>
    <s v="Integrated AI"/>
    <x v="2"/>
    <x v="4"/>
    <s v="Consumer Electronics"/>
    <s v="Video Game Handhelds"/>
    <s v="Semiconductor Revenue M$"/>
    <x v="0"/>
    <n v="0"/>
  </r>
  <r>
    <s v="Integrated AI"/>
    <x v="2"/>
    <x v="4"/>
    <s v="Consumer Electronics"/>
    <s v="Video Game Handhelds"/>
    <s v="Semiconductor Revenue M$"/>
    <x v="1"/>
    <n v="0"/>
  </r>
  <r>
    <s v="Integrated AI"/>
    <x v="2"/>
    <x v="4"/>
    <s v="Consumer Electronics"/>
    <s v="Video Game Handhelds"/>
    <s v="Semiconductor Revenue M$"/>
    <x v="2"/>
    <n v="0"/>
  </r>
  <r>
    <s v="Integrated AI"/>
    <x v="2"/>
    <x v="4"/>
    <s v="Consumer Electronics"/>
    <s v="Video Game Handhelds"/>
    <s v="Semiconductor Revenue M$"/>
    <x v="3"/>
    <n v="0"/>
  </r>
  <r>
    <s v="Integrated AI"/>
    <x v="2"/>
    <x v="4"/>
    <s v="Consumer Electronics"/>
    <s v="Video Game Handhelds"/>
    <s v="Semiconductor Revenue M$"/>
    <x v="4"/>
    <n v="0"/>
  </r>
  <r>
    <s v="Integrated AI"/>
    <x v="2"/>
    <x v="4"/>
    <s v="Consumer Electronics"/>
    <s v="Video Game Handhelds"/>
    <s v="Semiconductor Revenue M$"/>
    <x v="5"/>
    <n v="0"/>
  </r>
  <r>
    <s v="Integrated AI"/>
    <x v="2"/>
    <x v="4"/>
    <s v="Consumer Electronics"/>
    <s v="Video Game Handhelds"/>
    <s v="Semiconductor Revenue M$"/>
    <x v="6"/>
    <n v="0"/>
  </r>
  <r>
    <s v="Integrated AI"/>
    <x v="2"/>
    <x v="4"/>
    <s v="Consumer Electronics"/>
    <s v="Wristbands"/>
    <s v="Semiconductor Revenue M$"/>
    <x v="0"/>
    <n v="0"/>
  </r>
  <r>
    <s v="Integrated AI"/>
    <x v="2"/>
    <x v="4"/>
    <s v="Consumer Electronics"/>
    <s v="Wristbands"/>
    <s v="Semiconductor Revenue M$"/>
    <x v="1"/>
    <n v="0"/>
  </r>
  <r>
    <s v="Integrated AI"/>
    <x v="2"/>
    <x v="4"/>
    <s v="Consumer Electronics"/>
    <s v="Wristbands"/>
    <s v="Semiconductor Revenue M$"/>
    <x v="2"/>
    <n v="0"/>
  </r>
  <r>
    <s v="Integrated AI"/>
    <x v="2"/>
    <x v="4"/>
    <s v="Consumer Electronics"/>
    <s v="Wristbands"/>
    <s v="Semiconductor Revenue M$"/>
    <x v="3"/>
    <n v="0"/>
  </r>
  <r>
    <s v="Integrated AI"/>
    <x v="2"/>
    <x v="4"/>
    <s v="Consumer Electronics"/>
    <s v="Wristbands"/>
    <s v="Semiconductor Revenue M$"/>
    <x v="4"/>
    <n v="0"/>
  </r>
  <r>
    <s v="Integrated AI"/>
    <x v="2"/>
    <x v="4"/>
    <s v="Consumer Electronics"/>
    <s v="Wristbands"/>
    <s v="Semiconductor Revenue M$"/>
    <x v="5"/>
    <n v="0"/>
  </r>
  <r>
    <s v="Integrated AI"/>
    <x v="2"/>
    <x v="4"/>
    <s v="Consumer Electronics"/>
    <s v="Wristbands"/>
    <s v="Semiconductor Revenue M$"/>
    <x v="6"/>
    <n v="0"/>
  </r>
  <r>
    <s v="Integrated AI"/>
    <x v="2"/>
    <x v="4"/>
    <s v="Consumer Electronics"/>
    <s v="Head Mounted Display"/>
    <s v="Semiconductor Revenue M$"/>
    <x v="0"/>
    <n v="0"/>
  </r>
  <r>
    <s v="Integrated AI"/>
    <x v="2"/>
    <x v="4"/>
    <s v="Consumer Electronics"/>
    <s v="Head Mounted Display"/>
    <s v="Semiconductor Revenue M$"/>
    <x v="1"/>
    <n v="0"/>
  </r>
  <r>
    <s v="Integrated AI"/>
    <x v="2"/>
    <x v="4"/>
    <s v="Consumer Electronics"/>
    <s v="Head Mounted Display"/>
    <s v="Semiconductor Revenue M$"/>
    <x v="2"/>
    <n v="0"/>
  </r>
  <r>
    <s v="Integrated AI"/>
    <x v="2"/>
    <x v="4"/>
    <s v="Consumer Electronics"/>
    <s v="Head Mounted Display"/>
    <s v="Semiconductor Revenue M$"/>
    <x v="3"/>
    <n v="0"/>
  </r>
  <r>
    <s v="Integrated AI"/>
    <x v="2"/>
    <x v="4"/>
    <s v="Consumer Electronics"/>
    <s v="Head Mounted Display"/>
    <s v="Semiconductor Revenue M$"/>
    <x v="4"/>
    <n v="0"/>
  </r>
  <r>
    <s v="Integrated AI"/>
    <x v="2"/>
    <x v="4"/>
    <s v="Consumer Electronics"/>
    <s v="Head Mounted Display"/>
    <s v="Semiconductor Revenue M$"/>
    <x v="5"/>
    <n v="0"/>
  </r>
  <r>
    <s v="Integrated AI"/>
    <x v="2"/>
    <x v="4"/>
    <s v="Consumer Electronics"/>
    <s v="Head Mounted Display"/>
    <s v="Semiconductor Revenue M$"/>
    <x v="6"/>
    <n v="0"/>
  </r>
  <r>
    <s v="Integrated AI"/>
    <x v="2"/>
    <x v="4"/>
    <s v="Consumer Electronics"/>
    <s v="Smart Watches"/>
    <s v="Semiconductor Revenue M$"/>
    <x v="0"/>
    <n v="0"/>
  </r>
  <r>
    <s v="Integrated AI"/>
    <x v="2"/>
    <x v="4"/>
    <s v="Consumer Electronics"/>
    <s v="Smart Watches"/>
    <s v="Semiconductor Revenue M$"/>
    <x v="1"/>
    <n v="0"/>
  </r>
  <r>
    <s v="Integrated AI"/>
    <x v="2"/>
    <x v="4"/>
    <s v="Consumer Electronics"/>
    <s v="Smart Watches"/>
    <s v="Semiconductor Revenue M$"/>
    <x v="2"/>
    <n v="0"/>
  </r>
  <r>
    <s v="Integrated AI"/>
    <x v="2"/>
    <x v="4"/>
    <s v="Consumer Electronics"/>
    <s v="Smart Watches"/>
    <s v="Semiconductor Revenue M$"/>
    <x v="3"/>
    <n v="0"/>
  </r>
  <r>
    <s v="Integrated AI"/>
    <x v="2"/>
    <x v="4"/>
    <s v="Consumer Electronics"/>
    <s v="Smart Watches"/>
    <s v="Semiconductor Revenue M$"/>
    <x v="4"/>
    <n v="0"/>
  </r>
  <r>
    <s v="Integrated AI"/>
    <x v="2"/>
    <x v="4"/>
    <s v="Consumer Electronics"/>
    <s v="Smart Watches"/>
    <s v="Semiconductor Revenue M$"/>
    <x v="5"/>
    <n v="0"/>
  </r>
  <r>
    <s v="Integrated AI"/>
    <x v="2"/>
    <x v="4"/>
    <s v="Consumer Electronics"/>
    <s v="Smart Watches"/>
    <s v="Semiconductor Revenue M$"/>
    <x v="6"/>
    <n v="0"/>
  </r>
  <r>
    <s v="Integrated AI"/>
    <x v="2"/>
    <x v="4"/>
    <s v="Consumer Electronics"/>
    <s v="Sports Watches"/>
    <s v="Semiconductor Revenue M$"/>
    <x v="0"/>
    <n v="0"/>
  </r>
  <r>
    <s v="Integrated AI"/>
    <x v="2"/>
    <x v="4"/>
    <s v="Consumer Electronics"/>
    <s v="Sports Watches"/>
    <s v="Semiconductor Revenue M$"/>
    <x v="1"/>
    <n v="0"/>
  </r>
  <r>
    <s v="Integrated AI"/>
    <x v="2"/>
    <x v="4"/>
    <s v="Consumer Electronics"/>
    <s v="Sports Watches"/>
    <s v="Semiconductor Revenue M$"/>
    <x v="2"/>
    <n v="0"/>
  </r>
  <r>
    <s v="Integrated AI"/>
    <x v="2"/>
    <x v="4"/>
    <s v="Consumer Electronics"/>
    <s v="Sports Watches"/>
    <s v="Semiconductor Revenue M$"/>
    <x v="3"/>
    <n v="0"/>
  </r>
  <r>
    <s v="Integrated AI"/>
    <x v="2"/>
    <x v="4"/>
    <s v="Consumer Electronics"/>
    <s v="Sports Watches"/>
    <s v="Semiconductor Revenue M$"/>
    <x v="4"/>
    <n v="0"/>
  </r>
  <r>
    <s v="Integrated AI"/>
    <x v="2"/>
    <x v="4"/>
    <s v="Consumer Electronics"/>
    <s v="Sports Watches"/>
    <s v="Semiconductor Revenue M$"/>
    <x v="5"/>
    <n v="0"/>
  </r>
  <r>
    <s v="Integrated AI"/>
    <x v="2"/>
    <x v="4"/>
    <s v="Consumer Electronics"/>
    <s v="Sports Watches"/>
    <s v="Semiconductor Revenue M$"/>
    <x v="6"/>
    <n v="0"/>
  </r>
  <r>
    <s v="Integrated AI"/>
    <x v="2"/>
    <x v="4"/>
    <s v="Consumer Electronics"/>
    <s v="Other Consumer Electronics"/>
    <s v="Semiconductor Revenue M$"/>
    <x v="0"/>
    <n v="0"/>
  </r>
  <r>
    <s v="Integrated AI"/>
    <x v="2"/>
    <x v="4"/>
    <s v="Consumer Electronics"/>
    <s v="Other Consumer Electronics"/>
    <s v="Semiconductor Revenue M$"/>
    <x v="1"/>
    <n v="0"/>
  </r>
  <r>
    <s v="Integrated AI"/>
    <x v="2"/>
    <x v="4"/>
    <s v="Consumer Electronics"/>
    <s v="Other Consumer Electronics"/>
    <s v="Semiconductor Revenue M$"/>
    <x v="2"/>
    <n v="0"/>
  </r>
  <r>
    <s v="Integrated AI"/>
    <x v="2"/>
    <x v="4"/>
    <s v="Consumer Electronics"/>
    <s v="Other Consumer Electronics"/>
    <s v="Semiconductor Revenue M$"/>
    <x v="3"/>
    <n v="0"/>
  </r>
  <r>
    <s v="Integrated AI"/>
    <x v="2"/>
    <x v="4"/>
    <s v="Consumer Electronics"/>
    <s v="Other Consumer Electronics"/>
    <s v="Semiconductor Revenue M$"/>
    <x v="4"/>
    <n v="0"/>
  </r>
  <r>
    <s v="Integrated AI"/>
    <x v="2"/>
    <x v="4"/>
    <s v="Consumer Electronics"/>
    <s v="Other Consumer Electronics"/>
    <s v="Semiconductor Revenue M$"/>
    <x v="5"/>
    <n v="0"/>
  </r>
  <r>
    <s v="Integrated AI"/>
    <x v="2"/>
    <x v="4"/>
    <s v="Consumer Electronics"/>
    <s v="Other Consumer Electronics"/>
    <s v="Semiconductor Revenue M$"/>
    <x v="6"/>
    <n v="0"/>
  </r>
  <r>
    <s v="Integrated AI"/>
    <x v="2"/>
    <x v="3"/>
    <s v="Automotive Electronics"/>
    <s v="ADAS-Sensors and Connectivity"/>
    <s v="Semiconductor Revenue M$"/>
    <x v="0"/>
    <n v="0"/>
  </r>
  <r>
    <s v="Integrated AI"/>
    <x v="2"/>
    <x v="3"/>
    <s v="Automotive Electronics"/>
    <s v="ADAS-Sensors and Connectivity"/>
    <s v="Semiconductor Revenue M$"/>
    <x v="1"/>
    <n v="0"/>
  </r>
  <r>
    <s v="Integrated AI"/>
    <x v="2"/>
    <x v="3"/>
    <s v="Automotive Electronics"/>
    <s v="ADAS-Sensors and Connectivity"/>
    <s v="Semiconductor Revenue M$"/>
    <x v="2"/>
    <n v="0"/>
  </r>
  <r>
    <s v="Integrated AI"/>
    <x v="2"/>
    <x v="3"/>
    <s v="Automotive Electronics"/>
    <s v="ADAS-Sensors and Connectivity"/>
    <s v="Semiconductor Revenue M$"/>
    <x v="3"/>
    <n v="0"/>
  </r>
  <r>
    <s v="Integrated AI"/>
    <x v="2"/>
    <x v="3"/>
    <s v="Automotive Electronics"/>
    <s v="ADAS-Sensors and Connectivity"/>
    <s v="Semiconductor Revenue M$"/>
    <x v="4"/>
    <n v="0"/>
  </r>
  <r>
    <s v="Integrated AI"/>
    <x v="2"/>
    <x v="3"/>
    <s v="Automotive Electronics"/>
    <s v="ADAS-Sensors and Connectivity"/>
    <s v="Semiconductor Revenue M$"/>
    <x v="5"/>
    <n v="0"/>
  </r>
  <r>
    <s v="Integrated AI"/>
    <x v="2"/>
    <x v="3"/>
    <s v="Automotive Electronics"/>
    <s v="ADAS-Sensors and Connectivity"/>
    <s v="Semiconductor Revenue M$"/>
    <x v="6"/>
    <n v="0"/>
  </r>
  <r>
    <s v="Integrated AI"/>
    <x v="2"/>
    <x v="3"/>
    <s v="Automotive Electronics"/>
    <s v="Body"/>
    <s v="Semiconductor Revenue M$"/>
    <x v="0"/>
    <n v="0"/>
  </r>
  <r>
    <s v="Integrated AI"/>
    <x v="2"/>
    <x v="3"/>
    <s v="Automotive Electronics"/>
    <s v="Body"/>
    <s v="Semiconductor Revenue M$"/>
    <x v="1"/>
    <n v="0"/>
  </r>
  <r>
    <s v="Integrated AI"/>
    <x v="2"/>
    <x v="3"/>
    <s v="Automotive Electronics"/>
    <s v="Body"/>
    <s v="Semiconductor Revenue M$"/>
    <x v="2"/>
    <n v="0"/>
  </r>
  <r>
    <s v="Integrated AI"/>
    <x v="2"/>
    <x v="3"/>
    <s v="Automotive Electronics"/>
    <s v="Body"/>
    <s v="Semiconductor Revenue M$"/>
    <x v="3"/>
    <n v="0"/>
  </r>
  <r>
    <s v="Integrated AI"/>
    <x v="2"/>
    <x v="3"/>
    <s v="Automotive Electronics"/>
    <s v="Body"/>
    <s v="Semiconductor Revenue M$"/>
    <x v="4"/>
    <n v="0"/>
  </r>
  <r>
    <s v="Integrated AI"/>
    <x v="2"/>
    <x v="3"/>
    <s v="Automotive Electronics"/>
    <s v="Body"/>
    <s v="Semiconductor Revenue M$"/>
    <x v="5"/>
    <n v="0"/>
  </r>
  <r>
    <s v="Integrated AI"/>
    <x v="2"/>
    <x v="3"/>
    <s v="Automotive Electronics"/>
    <s v="Body"/>
    <s v="Semiconductor Revenue M$"/>
    <x v="6"/>
    <n v="0"/>
  </r>
  <r>
    <s v="Integrated AI"/>
    <x v="2"/>
    <x v="3"/>
    <s v="Automotive Electronics"/>
    <s v="Chassis"/>
    <s v="Semiconductor Revenue M$"/>
    <x v="0"/>
    <n v="0"/>
  </r>
  <r>
    <s v="Integrated AI"/>
    <x v="2"/>
    <x v="3"/>
    <s v="Automotive Electronics"/>
    <s v="Chassis"/>
    <s v="Semiconductor Revenue M$"/>
    <x v="1"/>
    <n v="0"/>
  </r>
  <r>
    <s v="Integrated AI"/>
    <x v="2"/>
    <x v="3"/>
    <s v="Automotive Electronics"/>
    <s v="Chassis"/>
    <s v="Semiconductor Revenue M$"/>
    <x v="2"/>
    <n v="0"/>
  </r>
  <r>
    <s v="Integrated AI"/>
    <x v="2"/>
    <x v="3"/>
    <s v="Automotive Electronics"/>
    <s v="Chassis"/>
    <s v="Semiconductor Revenue M$"/>
    <x v="3"/>
    <n v="0"/>
  </r>
  <r>
    <s v="Integrated AI"/>
    <x v="2"/>
    <x v="3"/>
    <s v="Automotive Electronics"/>
    <s v="Chassis"/>
    <s v="Semiconductor Revenue M$"/>
    <x v="4"/>
    <n v="0"/>
  </r>
  <r>
    <s v="Integrated AI"/>
    <x v="2"/>
    <x v="3"/>
    <s v="Automotive Electronics"/>
    <s v="Chassis"/>
    <s v="Semiconductor Revenue M$"/>
    <x v="5"/>
    <n v="0"/>
  </r>
  <r>
    <s v="Integrated AI"/>
    <x v="2"/>
    <x v="3"/>
    <s v="Automotive Electronics"/>
    <s v="Chassis"/>
    <s v="Semiconductor Revenue M$"/>
    <x v="6"/>
    <n v="0"/>
  </r>
  <r>
    <s v="Integrated AI"/>
    <x v="2"/>
    <x v="3"/>
    <s v="Automotive Electronics"/>
    <s v="EV/HEV"/>
    <s v="Semiconductor Revenue M$"/>
    <x v="0"/>
    <n v="0"/>
  </r>
  <r>
    <s v="Integrated AI"/>
    <x v="2"/>
    <x v="3"/>
    <s v="Automotive Electronics"/>
    <s v="EV/HEV"/>
    <s v="Semiconductor Revenue M$"/>
    <x v="1"/>
    <n v="0"/>
  </r>
  <r>
    <s v="Integrated AI"/>
    <x v="2"/>
    <x v="3"/>
    <s v="Automotive Electronics"/>
    <s v="EV/HEV"/>
    <s v="Semiconductor Revenue M$"/>
    <x v="2"/>
    <n v="0"/>
  </r>
  <r>
    <s v="Integrated AI"/>
    <x v="2"/>
    <x v="3"/>
    <s v="Automotive Electronics"/>
    <s v="EV/HEV"/>
    <s v="Semiconductor Revenue M$"/>
    <x v="3"/>
    <n v="0"/>
  </r>
  <r>
    <s v="Integrated AI"/>
    <x v="2"/>
    <x v="3"/>
    <s v="Automotive Electronics"/>
    <s v="EV/HEV"/>
    <s v="Semiconductor Revenue M$"/>
    <x v="4"/>
    <n v="0"/>
  </r>
  <r>
    <s v="Integrated AI"/>
    <x v="2"/>
    <x v="3"/>
    <s v="Automotive Electronics"/>
    <s v="EV/HEV"/>
    <s v="Semiconductor Revenue M$"/>
    <x v="5"/>
    <n v="0"/>
  </r>
  <r>
    <s v="Integrated AI"/>
    <x v="2"/>
    <x v="3"/>
    <s v="Automotive Electronics"/>
    <s v="EV/HEV"/>
    <s v="Semiconductor Revenue M$"/>
    <x v="6"/>
    <n v="0"/>
  </r>
  <r>
    <s v="Integrated AI"/>
    <x v="2"/>
    <x v="3"/>
    <s v="Automotive Electronics"/>
    <s v="Infotainment"/>
    <s v="Semiconductor Revenue M$"/>
    <x v="0"/>
    <n v="0"/>
  </r>
  <r>
    <s v="Integrated AI"/>
    <x v="2"/>
    <x v="3"/>
    <s v="Automotive Electronics"/>
    <s v="Infotainment"/>
    <s v="Semiconductor Revenue M$"/>
    <x v="1"/>
    <n v="0"/>
  </r>
  <r>
    <s v="Integrated AI"/>
    <x v="2"/>
    <x v="3"/>
    <s v="Automotive Electronics"/>
    <s v="Infotainment"/>
    <s v="Semiconductor Revenue M$"/>
    <x v="2"/>
    <n v="0"/>
  </r>
  <r>
    <s v="Integrated AI"/>
    <x v="2"/>
    <x v="3"/>
    <s v="Automotive Electronics"/>
    <s v="Infotainment"/>
    <s v="Semiconductor Revenue M$"/>
    <x v="3"/>
    <n v="0"/>
  </r>
  <r>
    <s v="Integrated AI"/>
    <x v="2"/>
    <x v="3"/>
    <s v="Automotive Electronics"/>
    <s v="Infotainment"/>
    <s v="Semiconductor Revenue M$"/>
    <x v="4"/>
    <n v="0"/>
  </r>
  <r>
    <s v="Integrated AI"/>
    <x v="2"/>
    <x v="3"/>
    <s v="Automotive Electronics"/>
    <s v="Infotainment"/>
    <s v="Semiconductor Revenue M$"/>
    <x v="5"/>
    <n v="0"/>
  </r>
  <r>
    <s v="Integrated AI"/>
    <x v="2"/>
    <x v="3"/>
    <s v="Automotive Electronics"/>
    <s v="Infotainment"/>
    <s v="Semiconductor Revenue M$"/>
    <x v="6"/>
    <n v="0"/>
  </r>
  <r>
    <s v="Integrated AI"/>
    <x v="2"/>
    <x v="3"/>
    <s v="Automotive Electronics"/>
    <s v="Instrument Cluster"/>
    <s v="Semiconductor Revenue M$"/>
    <x v="0"/>
    <n v="0"/>
  </r>
  <r>
    <s v="Integrated AI"/>
    <x v="2"/>
    <x v="3"/>
    <s v="Automotive Electronics"/>
    <s v="Instrument Cluster"/>
    <s v="Semiconductor Revenue M$"/>
    <x v="1"/>
    <n v="0"/>
  </r>
  <r>
    <s v="Integrated AI"/>
    <x v="2"/>
    <x v="3"/>
    <s v="Automotive Electronics"/>
    <s v="Instrument Cluster"/>
    <s v="Semiconductor Revenue M$"/>
    <x v="2"/>
    <n v="0"/>
  </r>
  <r>
    <s v="Integrated AI"/>
    <x v="2"/>
    <x v="3"/>
    <s v="Automotive Electronics"/>
    <s v="Instrument Cluster"/>
    <s v="Semiconductor Revenue M$"/>
    <x v="3"/>
    <n v="0"/>
  </r>
  <r>
    <s v="Integrated AI"/>
    <x v="2"/>
    <x v="3"/>
    <s v="Automotive Electronics"/>
    <s v="Instrument Cluster"/>
    <s v="Semiconductor Revenue M$"/>
    <x v="4"/>
    <n v="0"/>
  </r>
  <r>
    <s v="Integrated AI"/>
    <x v="2"/>
    <x v="3"/>
    <s v="Automotive Electronics"/>
    <s v="Instrument Cluster"/>
    <s v="Semiconductor Revenue M$"/>
    <x v="5"/>
    <n v="0"/>
  </r>
  <r>
    <s v="Integrated AI"/>
    <x v="2"/>
    <x v="3"/>
    <s v="Automotive Electronics"/>
    <s v="Instrument Cluster"/>
    <s v="Semiconductor Revenue M$"/>
    <x v="6"/>
    <n v="0"/>
  </r>
  <r>
    <s v="Integrated AI"/>
    <x v="2"/>
    <x v="3"/>
    <s v="Automotive Electronics"/>
    <s v="Powertrain"/>
    <s v="Semiconductor Revenue M$"/>
    <x v="0"/>
    <n v="0"/>
  </r>
  <r>
    <s v="Integrated AI"/>
    <x v="2"/>
    <x v="3"/>
    <s v="Automotive Electronics"/>
    <s v="Powertrain"/>
    <s v="Semiconductor Revenue M$"/>
    <x v="1"/>
    <n v="0"/>
  </r>
  <r>
    <s v="Integrated AI"/>
    <x v="2"/>
    <x v="3"/>
    <s v="Automotive Electronics"/>
    <s v="Powertrain"/>
    <s v="Semiconductor Revenue M$"/>
    <x v="2"/>
    <n v="0"/>
  </r>
  <r>
    <s v="Integrated AI"/>
    <x v="2"/>
    <x v="3"/>
    <s v="Automotive Electronics"/>
    <s v="Powertrain"/>
    <s v="Semiconductor Revenue M$"/>
    <x v="3"/>
    <n v="0"/>
  </r>
  <r>
    <s v="Integrated AI"/>
    <x v="2"/>
    <x v="3"/>
    <s v="Automotive Electronics"/>
    <s v="Powertrain"/>
    <s v="Semiconductor Revenue M$"/>
    <x v="4"/>
    <n v="0"/>
  </r>
  <r>
    <s v="Integrated AI"/>
    <x v="2"/>
    <x v="3"/>
    <s v="Automotive Electronics"/>
    <s v="Powertrain"/>
    <s v="Semiconductor Revenue M$"/>
    <x v="5"/>
    <n v="0"/>
  </r>
  <r>
    <s v="Integrated AI"/>
    <x v="2"/>
    <x v="3"/>
    <s v="Automotive Electronics"/>
    <s v="Powertrain"/>
    <s v="Semiconductor Revenue M$"/>
    <x v="6"/>
    <n v="0"/>
  </r>
  <r>
    <s v="Integrated AI"/>
    <x v="2"/>
    <x v="3"/>
    <s v="Automotive Electronics"/>
    <s v="Safety"/>
    <s v="Semiconductor Revenue M$"/>
    <x v="0"/>
    <n v="0"/>
  </r>
  <r>
    <s v="Integrated AI"/>
    <x v="2"/>
    <x v="3"/>
    <s v="Automotive Electronics"/>
    <s v="Safety"/>
    <s v="Semiconductor Revenue M$"/>
    <x v="1"/>
    <n v="0"/>
  </r>
  <r>
    <s v="Integrated AI"/>
    <x v="2"/>
    <x v="3"/>
    <s v="Automotive Electronics"/>
    <s v="Safety"/>
    <s v="Semiconductor Revenue M$"/>
    <x v="2"/>
    <n v="0"/>
  </r>
  <r>
    <s v="Integrated AI"/>
    <x v="2"/>
    <x v="3"/>
    <s v="Automotive Electronics"/>
    <s v="Safety"/>
    <s v="Semiconductor Revenue M$"/>
    <x v="3"/>
    <n v="0"/>
  </r>
  <r>
    <s v="Integrated AI"/>
    <x v="2"/>
    <x v="3"/>
    <s v="Automotive Electronics"/>
    <s v="Safety"/>
    <s v="Semiconductor Revenue M$"/>
    <x v="4"/>
    <n v="0"/>
  </r>
  <r>
    <s v="Integrated AI"/>
    <x v="2"/>
    <x v="3"/>
    <s v="Automotive Electronics"/>
    <s v="Safety"/>
    <s v="Semiconductor Revenue M$"/>
    <x v="5"/>
    <n v="0"/>
  </r>
  <r>
    <s v="Integrated AI"/>
    <x v="2"/>
    <x v="3"/>
    <s v="Automotive Electronics"/>
    <s v="Safety"/>
    <s v="Semiconductor Revenue M$"/>
    <x v="6"/>
    <n v="0"/>
  </r>
  <r>
    <s v="Integrated AI"/>
    <x v="2"/>
    <x v="3"/>
    <s v="Automotive Electronics"/>
    <s v="Aftermarket"/>
    <s v="Semiconductor Revenue M$"/>
    <x v="0"/>
    <n v="0"/>
  </r>
  <r>
    <s v="Integrated AI"/>
    <x v="2"/>
    <x v="3"/>
    <s v="Automotive Electronics"/>
    <s v="Aftermarket"/>
    <s v="Semiconductor Revenue M$"/>
    <x v="1"/>
    <n v="0"/>
  </r>
  <r>
    <s v="Integrated AI"/>
    <x v="2"/>
    <x v="3"/>
    <s v="Automotive Electronics"/>
    <s v="Aftermarket"/>
    <s v="Semiconductor Revenue M$"/>
    <x v="2"/>
    <n v="0"/>
  </r>
  <r>
    <s v="Integrated AI"/>
    <x v="2"/>
    <x v="3"/>
    <s v="Automotive Electronics"/>
    <s v="Aftermarket"/>
    <s v="Semiconductor Revenue M$"/>
    <x v="3"/>
    <n v="0"/>
  </r>
  <r>
    <s v="Integrated AI"/>
    <x v="2"/>
    <x v="3"/>
    <s v="Automotive Electronics"/>
    <s v="Aftermarket"/>
    <s v="Semiconductor Revenue M$"/>
    <x v="4"/>
    <n v="0"/>
  </r>
  <r>
    <s v="Integrated AI"/>
    <x v="2"/>
    <x v="3"/>
    <s v="Automotive Electronics"/>
    <s v="Aftermarket"/>
    <s v="Semiconductor Revenue M$"/>
    <x v="5"/>
    <n v="0"/>
  </r>
  <r>
    <s v="Integrated AI"/>
    <x v="2"/>
    <x v="3"/>
    <s v="Automotive Electronics"/>
    <s v="Aftermarket"/>
    <s v="Semiconductor Revenue M$"/>
    <x v="6"/>
    <n v="0"/>
  </r>
  <r>
    <s v="Integrated AI"/>
    <x v="2"/>
    <x v="5"/>
    <s v="Industrial Electronics"/>
    <s v="Commercial Amusement"/>
    <s v="Semiconductor Revenue M$"/>
    <x v="0"/>
    <n v="0"/>
  </r>
  <r>
    <s v="Integrated AI"/>
    <x v="2"/>
    <x v="5"/>
    <s v="Industrial Electronics"/>
    <s v="Commercial Amusement"/>
    <s v="Semiconductor Revenue M$"/>
    <x v="1"/>
    <n v="0"/>
  </r>
  <r>
    <s v="Integrated AI"/>
    <x v="2"/>
    <x v="5"/>
    <s v="Industrial Electronics"/>
    <s v="Commercial Amusement"/>
    <s v="Semiconductor Revenue M$"/>
    <x v="2"/>
    <n v="0"/>
  </r>
  <r>
    <s v="Integrated AI"/>
    <x v="2"/>
    <x v="5"/>
    <s v="Industrial Electronics"/>
    <s v="Commercial Amusement"/>
    <s v="Semiconductor Revenue M$"/>
    <x v="3"/>
    <n v="0"/>
  </r>
  <r>
    <s v="Integrated AI"/>
    <x v="2"/>
    <x v="5"/>
    <s v="Industrial Electronics"/>
    <s v="Commercial Amusement"/>
    <s v="Semiconductor Revenue M$"/>
    <x v="4"/>
    <n v="0"/>
  </r>
  <r>
    <s v="Integrated AI"/>
    <x v="2"/>
    <x v="5"/>
    <s v="Industrial Electronics"/>
    <s v="Commercial Amusement"/>
    <s v="Semiconductor Revenue M$"/>
    <x v="5"/>
    <n v="0"/>
  </r>
  <r>
    <s v="Integrated AI"/>
    <x v="2"/>
    <x v="5"/>
    <s v="Industrial Electronics"/>
    <s v="Commercial Amusement"/>
    <s v="Semiconductor Revenue M$"/>
    <x v="6"/>
    <n v="0"/>
  </r>
  <r>
    <s v="Integrated AI"/>
    <x v="2"/>
    <x v="5"/>
    <s v="Industrial Electronics"/>
    <s v="Automation"/>
    <s v="Semiconductor Revenue M$"/>
    <x v="0"/>
    <n v="0"/>
  </r>
  <r>
    <s v="Integrated AI"/>
    <x v="2"/>
    <x v="5"/>
    <s v="Industrial Electronics"/>
    <s v="Automation"/>
    <s v="Semiconductor Revenue M$"/>
    <x v="1"/>
    <n v="0"/>
  </r>
  <r>
    <s v="Integrated AI"/>
    <x v="2"/>
    <x v="5"/>
    <s v="Industrial Electronics"/>
    <s v="Automation"/>
    <s v="Semiconductor Revenue M$"/>
    <x v="2"/>
    <n v="0"/>
  </r>
  <r>
    <s v="Integrated AI"/>
    <x v="2"/>
    <x v="5"/>
    <s v="Industrial Electronics"/>
    <s v="Automation"/>
    <s v="Semiconductor Revenue M$"/>
    <x v="3"/>
    <n v="0"/>
  </r>
  <r>
    <s v="Integrated AI"/>
    <x v="2"/>
    <x v="5"/>
    <s v="Industrial Electronics"/>
    <s v="Automation"/>
    <s v="Semiconductor Revenue M$"/>
    <x v="4"/>
    <n v="0"/>
  </r>
  <r>
    <s v="Integrated AI"/>
    <x v="2"/>
    <x v="5"/>
    <s v="Industrial Electronics"/>
    <s v="Automation"/>
    <s v="Semiconductor Revenue M$"/>
    <x v="5"/>
    <n v="0"/>
  </r>
  <r>
    <s v="Integrated AI"/>
    <x v="2"/>
    <x v="5"/>
    <s v="Industrial Electronics"/>
    <s v="Automation"/>
    <s v="Semiconductor Revenue M$"/>
    <x v="6"/>
    <n v="0"/>
  </r>
  <r>
    <s v="Integrated AI"/>
    <x v="2"/>
    <x v="5"/>
    <s v="Industrial Electronics"/>
    <s v="Energy Management"/>
    <s v="Semiconductor Revenue M$"/>
    <x v="0"/>
    <n v="0"/>
  </r>
  <r>
    <s v="Integrated AI"/>
    <x v="2"/>
    <x v="5"/>
    <s v="Industrial Electronics"/>
    <s v="Energy Management"/>
    <s v="Semiconductor Revenue M$"/>
    <x v="1"/>
    <n v="0"/>
  </r>
  <r>
    <s v="Integrated AI"/>
    <x v="2"/>
    <x v="5"/>
    <s v="Industrial Electronics"/>
    <s v="Energy Management"/>
    <s v="Semiconductor Revenue M$"/>
    <x v="2"/>
    <n v="0"/>
  </r>
  <r>
    <s v="Integrated AI"/>
    <x v="2"/>
    <x v="5"/>
    <s v="Industrial Electronics"/>
    <s v="Energy Management"/>
    <s v="Semiconductor Revenue M$"/>
    <x v="3"/>
    <n v="0"/>
  </r>
  <r>
    <s v="Integrated AI"/>
    <x v="2"/>
    <x v="5"/>
    <s v="Industrial Electronics"/>
    <s v="Energy Management"/>
    <s v="Semiconductor Revenue M$"/>
    <x v="4"/>
    <n v="0"/>
  </r>
  <r>
    <s v="Integrated AI"/>
    <x v="2"/>
    <x v="5"/>
    <s v="Industrial Electronics"/>
    <s v="Energy Management"/>
    <s v="Semiconductor Revenue M$"/>
    <x v="5"/>
    <n v="0"/>
  </r>
  <r>
    <s v="Integrated AI"/>
    <x v="2"/>
    <x v="5"/>
    <s v="Industrial Electronics"/>
    <s v="Energy Management"/>
    <s v="Semiconductor Revenue M$"/>
    <x v="6"/>
    <n v="0"/>
  </r>
  <r>
    <s v="Integrated AI"/>
    <x v="2"/>
    <x v="5"/>
    <s v="Industrial Electronics"/>
    <s v="Solid-State Lighting"/>
    <s v="Semiconductor Revenue M$"/>
    <x v="0"/>
    <n v="0"/>
  </r>
  <r>
    <s v="Integrated AI"/>
    <x v="2"/>
    <x v="5"/>
    <s v="Industrial Electronics"/>
    <s v="Solid-State Lighting"/>
    <s v="Semiconductor Revenue M$"/>
    <x v="1"/>
    <n v="0"/>
  </r>
  <r>
    <s v="Integrated AI"/>
    <x v="2"/>
    <x v="5"/>
    <s v="Industrial Electronics"/>
    <s v="Solid-State Lighting"/>
    <s v="Semiconductor Revenue M$"/>
    <x v="2"/>
    <n v="0"/>
  </r>
  <r>
    <s v="Integrated AI"/>
    <x v="2"/>
    <x v="5"/>
    <s v="Industrial Electronics"/>
    <s v="Solid-State Lighting"/>
    <s v="Semiconductor Revenue M$"/>
    <x v="3"/>
    <n v="0"/>
  </r>
  <r>
    <s v="Integrated AI"/>
    <x v="2"/>
    <x v="5"/>
    <s v="Industrial Electronics"/>
    <s v="Solid-State Lighting"/>
    <s v="Semiconductor Revenue M$"/>
    <x v="4"/>
    <n v="0"/>
  </r>
  <r>
    <s v="Integrated AI"/>
    <x v="2"/>
    <x v="5"/>
    <s v="Industrial Electronics"/>
    <s v="Solid-State Lighting"/>
    <s v="Semiconductor Revenue M$"/>
    <x v="5"/>
    <n v="0"/>
  </r>
  <r>
    <s v="Integrated AI"/>
    <x v="2"/>
    <x v="5"/>
    <s v="Industrial Electronics"/>
    <s v="Solid-State Lighting"/>
    <s v="Semiconductor Revenue M$"/>
    <x v="6"/>
    <n v="0"/>
  </r>
  <r>
    <s v="Integrated AI"/>
    <x v="2"/>
    <x v="5"/>
    <s v="Industrial Electronics"/>
    <s v="Medical/Healthcare"/>
    <s v="Semiconductor Revenue M$"/>
    <x v="0"/>
    <n v="0"/>
  </r>
  <r>
    <s v="Integrated AI"/>
    <x v="2"/>
    <x v="5"/>
    <s v="Industrial Electronics"/>
    <s v="Medical/Healthcare"/>
    <s v="Semiconductor Revenue M$"/>
    <x v="1"/>
    <n v="0"/>
  </r>
  <r>
    <s v="Integrated AI"/>
    <x v="2"/>
    <x v="5"/>
    <s v="Industrial Electronics"/>
    <s v="Medical/Healthcare"/>
    <s v="Semiconductor Revenue M$"/>
    <x v="2"/>
    <n v="0"/>
  </r>
  <r>
    <s v="Integrated AI"/>
    <x v="2"/>
    <x v="5"/>
    <s v="Industrial Electronics"/>
    <s v="Medical/Healthcare"/>
    <s v="Semiconductor Revenue M$"/>
    <x v="3"/>
    <n v="0"/>
  </r>
  <r>
    <s v="Integrated AI"/>
    <x v="2"/>
    <x v="5"/>
    <s v="Industrial Electronics"/>
    <s v="Medical/Healthcare"/>
    <s v="Semiconductor Revenue M$"/>
    <x v="4"/>
    <n v="0"/>
  </r>
  <r>
    <s v="Integrated AI"/>
    <x v="2"/>
    <x v="5"/>
    <s v="Industrial Electronics"/>
    <s v="Medical/Healthcare"/>
    <s v="Semiconductor Revenue M$"/>
    <x v="5"/>
    <n v="0"/>
  </r>
  <r>
    <s v="Integrated AI"/>
    <x v="2"/>
    <x v="5"/>
    <s v="Industrial Electronics"/>
    <s v="Medical/Healthcare"/>
    <s v="Semiconductor Revenue M$"/>
    <x v="6"/>
    <n v="0"/>
  </r>
  <r>
    <s v="Integrated AI"/>
    <x v="2"/>
    <x v="5"/>
    <s v="Industrial Electronics"/>
    <s v="Test/Measurement"/>
    <s v="Semiconductor Revenue M$"/>
    <x v="0"/>
    <n v="0"/>
  </r>
  <r>
    <s v="Integrated AI"/>
    <x v="2"/>
    <x v="5"/>
    <s v="Industrial Electronics"/>
    <s v="Test/Measurement"/>
    <s v="Semiconductor Revenue M$"/>
    <x v="1"/>
    <n v="0"/>
  </r>
  <r>
    <s v="Integrated AI"/>
    <x v="2"/>
    <x v="5"/>
    <s v="Industrial Electronics"/>
    <s v="Test/Measurement"/>
    <s v="Semiconductor Revenue M$"/>
    <x v="2"/>
    <n v="0"/>
  </r>
  <r>
    <s v="Integrated AI"/>
    <x v="2"/>
    <x v="5"/>
    <s v="Industrial Electronics"/>
    <s v="Test/Measurement"/>
    <s v="Semiconductor Revenue M$"/>
    <x v="3"/>
    <n v="0"/>
  </r>
  <r>
    <s v="Integrated AI"/>
    <x v="2"/>
    <x v="5"/>
    <s v="Industrial Electronics"/>
    <s v="Test/Measurement"/>
    <s v="Semiconductor Revenue M$"/>
    <x v="4"/>
    <n v="0"/>
  </r>
  <r>
    <s v="Integrated AI"/>
    <x v="2"/>
    <x v="5"/>
    <s v="Industrial Electronics"/>
    <s v="Test/Measurement"/>
    <s v="Semiconductor Revenue M$"/>
    <x v="5"/>
    <n v="0"/>
  </r>
  <r>
    <s v="Integrated AI"/>
    <x v="2"/>
    <x v="5"/>
    <s v="Industrial Electronics"/>
    <s v="Test/Measurement"/>
    <s v="Semiconductor Revenue M$"/>
    <x v="6"/>
    <n v="0"/>
  </r>
  <r>
    <s v="Integrated AI"/>
    <x v="2"/>
    <x v="5"/>
    <s v="Industrial Electronics"/>
    <s v="Other Security"/>
    <s v="Semiconductor Revenue M$"/>
    <x v="0"/>
    <n v="0"/>
  </r>
  <r>
    <s v="Integrated AI"/>
    <x v="2"/>
    <x v="5"/>
    <s v="Industrial Electronics"/>
    <s v="Other Security"/>
    <s v="Semiconductor Revenue M$"/>
    <x v="1"/>
    <n v="0"/>
  </r>
  <r>
    <s v="Integrated AI"/>
    <x v="2"/>
    <x v="5"/>
    <s v="Industrial Electronics"/>
    <s v="Other Security"/>
    <s v="Semiconductor Revenue M$"/>
    <x v="2"/>
    <n v="0"/>
  </r>
  <r>
    <s v="Integrated AI"/>
    <x v="2"/>
    <x v="5"/>
    <s v="Industrial Electronics"/>
    <s v="Other Security"/>
    <s v="Semiconductor Revenue M$"/>
    <x v="3"/>
    <n v="0"/>
  </r>
  <r>
    <s v="Integrated AI"/>
    <x v="2"/>
    <x v="5"/>
    <s v="Industrial Electronics"/>
    <s v="Other Security"/>
    <s v="Semiconductor Revenue M$"/>
    <x v="4"/>
    <n v="0"/>
  </r>
  <r>
    <s v="Integrated AI"/>
    <x v="2"/>
    <x v="5"/>
    <s v="Industrial Electronics"/>
    <s v="Other Security"/>
    <s v="Semiconductor Revenue M$"/>
    <x v="5"/>
    <n v="0"/>
  </r>
  <r>
    <s v="Integrated AI"/>
    <x v="2"/>
    <x v="5"/>
    <s v="Industrial Electronics"/>
    <s v="Other Security"/>
    <s v="Semiconductor Revenue M$"/>
    <x v="6"/>
    <n v="0"/>
  </r>
  <r>
    <s v="Integrated AI"/>
    <x v="2"/>
    <x v="5"/>
    <s v="Industrial Electronics"/>
    <s v="Transportation"/>
    <s v="Semiconductor Revenue M$"/>
    <x v="0"/>
    <n v="0"/>
  </r>
  <r>
    <s v="Integrated AI"/>
    <x v="2"/>
    <x v="5"/>
    <s v="Industrial Electronics"/>
    <s v="Transportation"/>
    <s v="Semiconductor Revenue M$"/>
    <x v="1"/>
    <n v="0"/>
  </r>
  <r>
    <s v="Integrated AI"/>
    <x v="2"/>
    <x v="5"/>
    <s v="Industrial Electronics"/>
    <s v="Transportation"/>
    <s v="Semiconductor Revenue M$"/>
    <x v="2"/>
    <n v="0"/>
  </r>
  <r>
    <s v="Integrated AI"/>
    <x v="2"/>
    <x v="5"/>
    <s v="Industrial Electronics"/>
    <s v="Transportation"/>
    <s v="Semiconductor Revenue M$"/>
    <x v="3"/>
    <n v="0"/>
  </r>
  <r>
    <s v="Integrated AI"/>
    <x v="2"/>
    <x v="5"/>
    <s v="Industrial Electronics"/>
    <s v="Transportation"/>
    <s v="Semiconductor Revenue M$"/>
    <x v="4"/>
    <n v="0"/>
  </r>
  <r>
    <s v="Integrated AI"/>
    <x v="2"/>
    <x v="5"/>
    <s v="Industrial Electronics"/>
    <s v="Transportation"/>
    <s v="Semiconductor Revenue M$"/>
    <x v="5"/>
    <n v="0"/>
  </r>
  <r>
    <s v="Integrated AI"/>
    <x v="2"/>
    <x v="5"/>
    <s v="Industrial Electronics"/>
    <s v="Transportation"/>
    <s v="Semiconductor Revenue M$"/>
    <x v="6"/>
    <n v="0"/>
  </r>
  <r>
    <s v="Integrated AI"/>
    <x v="2"/>
    <x v="5"/>
    <s v="Industrial Electronics"/>
    <s v="Other Industrial Electronics"/>
    <s v="Semiconductor Revenue M$"/>
    <x v="0"/>
    <n v="0"/>
  </r>
  <r>
    <s v="Integrated AI"/>
    <x v="2"/>
    <x v="5"/>
    <s v="Industrial Electronics"/>
    <s v="Other Industrial Electronics"/>
    <s v="Semiconductor Revenue M$"/>
    <x v="1"/>
    <n v="0"/>
  </r>
  <r>
    <s v="Integrated AI"/>
    <x v="2"/>
    <x v="5"/>
    <s v="Industrial Electronics"/>
    <s v="Other Industrial Electronics"/>
    <s v="Semiconductor Revenue M$"/>
    <x v="2"/>
    <n v="0"/>
  </r>
  <r>
    <s v="Integrated AI"/>
    <x v="2"/>
    <x v="5"/>
    <s v="Industrial Electronics"/>
    <s v="Other Industrial Electronics"/>
    <s v="Semiconductor Revenue M$"/>
    <x v="3"/>
    <n v="0"/>
  </r>
  <r>
    <s v="Integrated AI"/>
    <x v="2"/>
    <x v="5"/>
    <s v="Industrial Electronics"/>
    <s v="Other Industrial Electronics"/>
    <s v="Semiconductor Revenue M$"/>
    <x v="4"/>
    <n v="0"/>
  </r>
  <r>
    <s v="Integrated AI"/>
    <x v="2"/>
    <x v="5"/>
    <s v="Industrial Electronics"/>
    <s v="Other Industrial Electronics"/>
    <s v="Semiconductor Revenue M$"/>
    <x v="5"/>
    <n v="0"/>
  </r>
  <r>
    <s v="Integrated AI"/>
    <x v="2"/>
    <x v="5"/>
    <s v="Industrial Electronics"/>
    <s v="Other Industrial Electronics"/>
    <s v="Semiconductor Revenue M$"/>
    <x v="6"/>
    <n v="0"/>
  </r>
  <r>
    <s v="Integrated AI"/>
    <x v="2"/>
    <x v="5"/>
    <s v="Industrial Electronics"/>
    <s v="Military/Civil Aerospace Electronics"/>
    <s v="Semiconductor Revenue M$"/>
    <x v="0"/>
    <n v="0"/>
  </r>
  <r>
    <s v="Integrated AI"/>
    <x v="2"/>
    <x v="5"/>
    <s v="Industrial Electronics"/>
    <s v="Military/Civil Aerospace Electronics"/>
    <s v="Semiconductor Revenue M$"/>
    <x v="1"/>
    <n v="0"/>
  </r>
  <r>
    <s v="Integrated AI"/>
    <x v="2"/>
    <x v="5"/>
    <s v="Industrial Electronics"/>
    <s v="Military/Civil Aerospace Electronics"/>
    <s v="Semiconductor Revenue M$"/>
    <x v="2"/>
    <n v="0"/>
  </r>
  <r>
    <s v="Integrated AI"/>
    <x v="2"/>
    <x v="5"/>
    <s v="Industrial Electronics"/>
    <s v="Military/Civil Aerospace Electronics"/>
    <s v="Semiconductor Revenue M$"/>
    <x v="3"/>
    <n v="0"/>
  </r>
  <r>
    <s v="Integrated AI"/>
    <x v="2"/>
    <x v="5"/>
    <s v="Industrial Electronics"/>
    <s v="Military/Civil Aerospace Electronics"/>
    <s v="Semiconductor Revenue M$"/>
    <x v="4"/>
    <n v="0"/>
  </r>
  <r>
    <s v="Integrated AI"/>
    <x v="2"/>
    <x v="5"/>
    <s v="Industrial Electronics"/>
    <s v="Military/Civil Aerospace Electronics"/>
    <s v="Semiconductor Revenue M$"/>
    <x v="5"/>
    <n v="0"/>
  </r>
  <r>
    <s v="Integrated AI"/>
    <x v="2"/>
    <x v="5"/>
    <s v="Industrial Electronics"/>
    <s v="Military/Civil Aerospace Electronics"/>
    <s v="Semiconductor Revenue M$"/>
    <x v="6"/>
    <n v="0"/>
  </r>
  <r>
    <s v="Integrated AI"/>
    <x v="3"/>
    <x v="0"/>
    <s v="Compute"/>
    <s v="External Monitor"/>
    <s v="Semiconductor Revenue M$"/>
    <x v="0"/>
    <n v="0"/>
  </r>
  <r>
    <s v="Integrated AI"/>
    <x v="3"/>
    <x v="0"/>
    <s v="Compute"/>
    <s v="External Monitor"/>
    <s v="Semiconductor Revenue M$"/>
    <x v="1"/>
    <n v="0"/>
  </r>
  <r>
    <s v="Integrated AI"/>
    <x v="3"/>
    <x v="0"/>
    <s v="Compute"/>
    <s v="External Monitor"/>
    <s v="Semiconductor Revenue M$"/>
    <x v="2"/>
    <n v="0"/>
  </r>
  <r>
    <s v="Integrated AI"/>
    <x v="3"/>
    <x v="0"/>
    <s v="Compute"/>
    <s v="External Monitor"/>
    <s v="Semiconductor Revenue M$"/>
    <x v="3"/>
    <n v="0"/>
  </r>
  <r>
    <s v="Integrated AI"/>
    <x v="3"/>
    <x v="0"/>
    <s v="Compute"/>
    <s v="External Monitor"/>
    <s v="Semiconductor Revenue M$"/>
    <x v="4"/>
    <n v="0"/>
  </r>
  <r>
    <s v="Integrated AI"/>
    <x v="3"/>
    <x v="0"/>
    <s v="Compute"/>
    <s v="External Monitor"/>
    <s v="Semiconductor Revenue M$"/>
    <x v="5"/>
    <n v="0"/>
  </r>
  <r>
    <s v="Integrated AI"/>
    <x v="3"/>
    <x v="0"/>
    <s v="Compute"/>
    <s v="External Monitor"/>
    <s v="Semiconductor Revenue M$"/>
    <x v="6"/>
    <n v="0"/>
  </r>
  <r>
    <s v="Integrated AI"/>
    <x v="3"/>
    <x v="0"/>
    <s v="PC"/>
    <s v="Graphics Cards"/>
    <s v="Semiconductor Revenue M$"/>
    <x v="0"/>
    <n v="0"/>
  </r>
  <r>
    <s v="Integrated AI"/>
    <x v="3"/>
    <x v="0"/>
    <s v="PC"/>
    <s v="Graphics Cards"/>
    <s v="Semiconductor Revenue M$"/>
    <x v="1"/>
    <n v="0"/>
  </r>
  <r>
    <s v="Integrated AI"/>
    <x v="3"/>
    <x v="0"/>
    <s v="PC"/>
    <s v="Graphics Cards"/>
    <s v="Semiconductor Revenue M$"/>
    <x v="2"/>
    <n v="0"/>
  </r>
  <r>
    <s v="Integrated AI"/>
    <x v="3"/>
    <x v="0"/>
    <s v="PC"/>
    <s v="Graphics Cards"/>
    <s v="Semiconductor Revenue M$"/>
    <x v="3"/>
    <n v="0"/>
  </r>
  <r>
    <s v="Integrated AI"/>
    <x v="3"/>
    <x v="0"/>
    <s v="PC"/>
    <s v="Graphics Cards"/>
    <s v="Semiconductor Revenue M$"/>
    <x v="4"/>
    <n v="0"/>
  </r>
  <r>
    <s v="Integrated AI"/>
    <x v="3"/>
    <x v="0"/>
    <s v="PC"/>
    <s v="Graphics Cards"/>
    <s v="Semiconductor Revenue M$"/>
    <x v="5"/>
    <n v="0"/>
  </r>
  <r>
    <s v="Integrated AI"/>
    <x v="3"/>
    <x v="0"/>
    <s v="PC"/>
    <s v="Graphics Cards"/>
    <s v="Semiconductor Revenue M$"/>
    <x v="6"/>
    <n v="0"/>
  </r>
  <r>
    <s v="Integrated AI"/>
    <x v="3"/>
    <x v="0"/>
    <s v="PC"/>
    <s v="Desk-Based PC"/>
    <s v="Semiconductor Revenue M$"/>
    <x v="0"/>
    <n v="0"/>
  </r>
  <r>
    <s v="Integrated AI"/>
    <x v="3"/>
    <x v="0"/>
    <s v="PC"/>
    <s v="Desk-Based PC"/>
    <s v="Semiconductor Revenue M$"/>
    <x v="1"/>
    <n v="0"/>
  </r>
  <r>
    <s v="Integrated AI"/>
    <x v="3"/>
    <x v="0"/>
    <s v="PC"/>
    <s v="Desk-Based PC"/>
    <s v="Semiconductor Revenue M$"/>
    <x v="2"/>
    <n v="0"/>
  </r>
  <r>
    <s v="Integrated AI"/>
    <x v="3"/>
    <x v="0"/>
    <s v="PC"/>
    <s v="Desk-Based PC"/>
    <s v="Semiconductor Revenue M$"/>
    <x v="3"/>
    <n v="0"/>
  </r>
  <r>
    <s v="Integrated AI"/>
    <x v="3"/>
    <x v="0"/>
    <s v="PC"/>
    <s v="Desk-Based PC"/>
    <s v="Semiconductor Revenue M$"/>
    <x v="4"/>
    <n v="0"/>
  </r>
  <r>
    <s v="Integrated AI"/>
    <x v="3"/>
    <x v="0"/>
    <s v="PC"/>
    <s v="Desk-Based PC"/>
    <s v="Semiconductor Revenue M$"/>
    <x v="5"/>
    <n v="0"/>
  </r>
  <r>
    <s v="Integrated AI"/>
    <x v="3"/>
    <x v="0"/>
    <s v="PC"/>
    <s v="Desk-Based PC"/>
    <s v="Semiconductor Revenue M$"/>
    <x v="6"/>
    <n v="0"/>
  </r>
  <r>
    <s v="Integrated AI"/>
    <x v="3"/>
    <x v="0"/>
    <s v="PC"/>
    <s v="Ultramobile Basic, Tablet"/>
    <s v="Semiconductor Revenue M$"/>
    <x v="0"/>
    <n v="0"/>
  </r>
  <r>
    <s v="Integrated AI"/>
    <x v="3"/>
    <x v="0"/>
    <s v="PC"/>
    <s v="Ultramobile Basic, Tablet"/>
    <s v="Semiconductor Revenue M$"/>
    <x v="1"/>
    <n v="0"/>
  </r>
  <r>
    <s v="Integrated AI"/>
    <x v="3"/>
    <x v="0"/>
    <s v="PC"/>
    <s v="Ultramobile Basic, Tablet"/>
    <s v="Semiconductor Revenue M$"/>
    <x v="2"/>
    <n v="0"/>
  </r>
  <r>
    <s v="Integrated AI"/>
    <x v="3"/>
    <x v="0"/>
    <s v="PC"/>
    <s v="Ultramobile Basic, Tablet"/>
    <s v="Semiconductor Revenue M$"/>
    <x v="3"/>
    <n v="0"/>
  </r>
  <r>
    <s v="Integrated AI"/>
    <x v="3"/>
    <x v="0"/>
    <s v="PC"/>
    <s v="Ultramobile Basic, Tablet"/>
    <s v="Semiconductor Revenue M$"/>
    <x v="4"/>
    <n v="0"/>
  </r>
  <r>
    <s v="Integrated AI"/>
    <x v="3"/>
    <x v="0"/>
    <s v="PC"/>
    <s v="Ultramobile Basic, Tablet"/>
    <s v="Semiconductor Revenue M$"/>
    <x v="5"/>
    <n v="0"/>
  </r>
  <r>
    <s v="Integrated AI"/>
    <x v="3"/>
    <x v="0"/>
    <s v="PC"/>
    <s v="Ultramobile Basic, Tablet"/>
    <s v="Semiconductor Revenue M$"/>
    <x v="6"/>
    <n v="0"/>
  </r>
  <r>
    <s v="Integrated AI"/>
    <x v="3"/>
    <x v="0"/>
    <s v="PC"/>
    <s v="Ultramobile Utility, Tablet"/>
    <s v="Semiconductor Revenue M$"/>
    <x v="0"/>
    <n v="0"/>
  </r>
  <r>
    <s v="Integrated AI"/>
    <x v="3"/>
    <x v="0"/>
    <s v="PC"/>
    <s v="Ultramobile Utility, Tablet"/>
    <s v="Semiconductor Revenue M$"/>
    <x v="1"/>
    <n v="0"/>
  </r>
  <r>
    <s v="Integrated AI"/>
    <x v="3"/>
    <x v="0"/>
    <s v="PC"/>
    <s v="Ultramobile Utility, Tablet"/>
    <s v="Semiconductor Revenue M$"/>
    <x v="2"/>
    <n v="0"/>
  </r>
  <r>
    <s v="Integrated AI"/>
    <x v="3"/>
    <x v="0"/>
    <s v="PC"/>
    <s v="Ultramobile Utility, Tablet"/>
    <s v="Semiconductor Revenue M$"/>
    <x v="3"/>
    <n v="0"/>
  </r>
  <r>
    <s v="Integrated AI"/>
    <x v="3"/>
    <x v="0"/>
    <s v="PC"/>
    <s v="Ultramobile Utility, Tablet"/>
    <s v="Semiconductor Revenue M$"/>
    <x v="4"/>
    <n v="0"/>
  </r>
  <r>
    <s v="Integrated AI"/>
    <x v="3"/>
    <x v="0"/>
    <s v="PC"/>
    <s v="Ultramobile Utility, Tablet"/>
    <s v="Semiconductor Revenue M$"/>
    <x v="5"/>
    <n v="0"/>
  </r>
  <r>
    <s v="Integrated AI"/>
    <x v="3"/>
    <x v="0"/>
    <s v="PC"/>
    <s v="Ultramobile Utility, Tablet"/>
    <s v="Semiconductor Revenue M$"/>
    <x v="6"/>
    <n v="0"/>
  </r>
  <r>
    <s v="Integrated AI"/>
    <x v="3"/>
    <x v="0"/>
    <s v="PC"/>
    <s v="Ultramobile Premium, Tablet"/>
    <s v="Semiconductor Revenue M$"/>
    <x v="0"/>
    <n v="0"/>
  </r>
  <r>
    <s v="Integrated AI"/>
    <x v="3"/>
    <x v="0"/>
    <s v="PC"/>
    <s v="Ultramobile Premium, Tablet"/>
    <s v="Semiconductor Revenue M$"/>
    <x v="1"/>
    <n v="0"/>
  </r>
  <r>
    <s v="Integrated AI"/>
    <x v="3"/>
    <x v="0"/>
    <s v="PC"/>
    <s v="Ultramobile Premium, Tablet"/>
    <s v="Semiconductor Revenue M$"/>
    <x v="2"/>
    <n v="0"/>
  </r>
  <r>
    <s v="Integrated AI"/>
    <x v="3"/>
    <x v="0"/>
    <s v="PC"/>
    <s v="Ultramobile Premium, Tablet"/>
    <s v="Semiconductor Revenue M$"/>
    <x v="3"/>
    <n v="0"/>
  </r>
  <r>
    <s v="Integrated AI"/>
    <x v="3"/>
    <x v="0"/>
    <s v="PC"/>
    <s v="Ultramobile Premium, Tablet"/>
    <s v="Semiconductor Revenue M$"/>
    <x v="4"/>
    <n v="0"/>
  </r>
  <r>
    <s v="Integrated AI"/>
    <x v="3"/>
    <x v="0"/>
    <s v="PC"/>
    <s v="Ultramobile Premium, Tablet"/>
    <s v="Semiconductor Revenue M$"/>
    <x v="5"/>
    <n v="0"/>
  </r>
  <r>
    <s v="Integrated AI"/>
    <x v="3"/>
    <x v="0"/>
    <s v="PC"/>
    <s v="Ultramobile Premium, Tablet"/>
    <s v="Semiconductor Revenue M$"/>
    <x v="6"/>
    <n v="0"/>
  </r>
  <r>
    <s v="Integrated AI"/>
    <x v="3"/>
    <x v="0"/>
    <s v="PC"/>
    <s v="Ultramobile Basic, Clamshell"/>
    <s v="Semiconductor Revenue M$"/>
    <x v="0"/>
    <n v="0"/>
  </r>
  <r>
    <s v="Integrated AI"/>
    <x v="3"/>
    <x v="0"/>
    <s v="PC"/>
    <s v="Ultramobile Basic, Clamshell"/>
    <s v="Semiconductor Revenue M$"/>
    <x v="1"/>
    <n v="0"/>
  </r>
  <r>
    <s v="Integrated AI"/>
    <x v="3"/>
    <x v="0"/>
    <s v="PC"/>
    <s v="Ultramobile Basic, Clamshell"/>
    <s v="Semiconductor Revenue M$"/>
    <x v="2"/>
    <n v="0"/>
  </r>
  <r>
    <s v="Integrated AI"/>
    <x v="3"/>
    <x v="0"/>
    <s v="PC"/>
    <s v="Ultramobile Basic, Clamshell"/>
    <s v="Semiconductor Revenue M$"/>
    <x v="3"/>
    <n v="0"/>
  </r>
  <r>
    <s v="Integrated AI"/>
    <x v="3"/>
    <x v="0"/>
    <s v="PC"/>
    <s v="Ultramobile Basic, Clamshell"/>
    <s v="Semiconductor Revenue M$"/>
    <x v="4"/>
    <n v="0"/>
  </r>
  <r>
    <s v="Integrated AI"/>
    <x v="3"/>
    <x v="0"/>
    <s v="PC"/>
    <s v="Ultramobile Basic, Clamshell"/>
    <s v="Semiconductor Revenue M$"/>
    <x v="5"/>
    <n v="0"/>
  </r>
  <r>
    <s v="Integrated AI"/>
    <x v="3"/>
    <x v="0"/>
    <s v="PC"/>
    <s v="Ultramobile Basic, Clamshell"/>
    <s v="Semiconductor Revenue M$"/>
    <x v="6"/>
    <n v="0"/>
  </r>
  <r>
    <s v="Integrated AI"/>
    <x v="3"/>
    <x v="0"/>
    <s v="PC"/>
    <s v="Ultramobile Premium, Clamshell"/>
    <s v="Semiconductor Revenue M$"/>
    <x v="0"/>
    <n v="0"/>
  </r>
  <r>
    <s v="Integrated AI"/>
    <x v="3"/>
    <x v="0"/>
    <s v="PC"/>
    <s v="Ultramobile Premium, Clamshell"/>
    <s v="Semiconductor Revenue M$"/>
    <x v="1"/>
    <n v="0"/>
  </r>
  <r>
    <s v="Integrated AI"/>
    <x v="3"/>
    <x v="0"/>
    <s v="PC"/>
    <s v="Ultramobile Premium, Clamshell"/>
    <s v="Semiconductor Revenue M$"/>
    <x v="2"/>
    <n v="0"/>
  </r>
  <r>
    <s v="Integrated AI"/>
    <x v="3"/>
    <x v="0"/>
    <s v="PC"/>
    <s v="Ultramobile Premium, Clamshell"/>
    <s v="Semiconductor Revenue M$"/>
    <x v="3"/>
    <n v="0"/>
  </r>
  <r>
    <s v="Integrated AI"/>
    <x v="3"/>
    <x v="0"/>
    <s v="PC"/>
    <s v="Ultramobile Premium, Clamshell"/>
    <s v="Semiconductor Revenue M$"/>
    <x v="4"/>
    <n v="0"/>
  </r>
  <r>
    <s v="Integrated AI"/>
    <x v="3"/>
    <x v="0"/>
    <s v="PC"/>
    <s v="Ultramobile Premium, Clamshell"/>
    <s v="Semiconductor Revenue M$"/>
    <x v="5"/>
    <n v="0"/>
  </r>
  <r>
    <s v="Integrated AI"/>
    <x v="3"/>
    <x v="0"/>
    <s v="PC"/>
    <s v="Ultramobile Premium, Clamshell"/>
    <s v="Semiconductor Revenue M$"/>
    <x v="6"/>
    <n v="0"/>
  </r>
  <r>
    <s v="Integrated AI"/>
    <x v="3"/>
    <x v="0"/>
    <s v="PC"/>
    <s v="Ultramobile Basic, Hybrid"/>
    <s v="Semiconductor Revenue M$"/>
    <x v="0"/>
    <n v="0"/>
  </r>
  <r>
    <s v="Integrated AI"/>
    <x v="3"/>
    <x v="0"/>
    <s v="PC"/>
    <s v="Ultramobile Basic, Hybrid"/>
    <s v="Semiconductor Revenue M$"/>
    <x v="1"/>
    <n v="0"/>
  </r>
  <r>
    <s v="Integrated AI"/>
    <x v="3"/>
    <x v="0"/>
    <s v="PC"/>
    <s v="Ultramobile Basic, Hybrid"/>
    <s v="Semiconductor Revenue M$"/>
    <x v="2"/>
    <n v="0"/>
  </r>
  <r>
    <s v="Integrated AI"/>
    <x v="3"/>
    <x v="0"/>
    <s v="PC"/>
    <s v="Ultramobile Basic, Hybrid"/>
    <s v="Semiconductor Revenue M$"/>
    <x v="3"/>
    <n v="0"/>
  </r>
  <r>
    <s v="Integrated AI"/>
    <x v="3"/>
    <x v="0"/>
    <s v="PC"/>
    <s v="Ultramobile Basic, Hybrid"/>
    <s v="Semiconductor Revenue M$"/>
    <x v="4"/>
    <n v="0"/>
  </r>
  <r>
    <s v="Integrated AI"/>
    <x v="3"/>
    <x v="0"/>
    <s v="PC"/>
    <s v="Ultramobile Basic, Hybrid"/>
    <s v="Semiconductor Revenue M$"/>
    <x v="5"/>
    <n v="0"/>
  </r>
  <r>
    <s v="Integrated AI"/>
    <x v="3"/>
    <x v="0"/>
    <s v="PC"/>
    <s v="Ultramobile Basic, Hybrid"/>
    <s v="Semiconductor Revenue M$"/>
    <x v="6"/>
    <n v="0"/>
  </r>
  <r>
    <s v="Integrated AI"/>
    <x v="3"/>
    <x v="0"/>
    <s v="PC"/>
    <s v="Ultramobile Premium, Hybrid"/>
    <s v="Semiconductor Revenue M$"/>
    <x v="0"/>
    <n v="0"/>
  </r>
  <r>
    <s v="Integrated AI"/>
    <x v="3"/>
    <x v="0"/>
    <s v="PC"/>
    <s v="Ultramobile Premium, Hybrid"/>
    <s v="Semiconductor Revenue M$"/>
    <x v="1"/>
    <n v="0"/>
  </r>
  <r>
    <s v="Integrated AI"/>
    <x v="3"/>
    <x v="0"/>
    <s v="PC"/>
    <s v="Ultramobile Premium, Hybrid"/>
    <s v="Semiconductor Revenue M$"/>
    <x v="2"/>
    <n v="0"/>
  </r>
  <r>
    <s v="Integrated AI"/>
    <x v="3"/>
    <x v="0"/>
    <s v="PC"/>
    <s v="Ultramobile Premium, Hybrid"/>
    <s v="Semiconductor Revenue M$"/>
    <x v="3"/>
    <n v="0"/>
  </r>
  <r>
    <s v="Integrated AI"/>
    <x v="3"/>
    <x v="0"/>
    <s v="PC"/>
    <s v="Ultramobile Premium, Hybrid"/>
    <s v="Semiconductor Revenue M$"/>
    <x v="4"/>
    <n v="0"/>
  </r>
  <r>
    <s v="Integrated AI"/>
    <x v="3"/>
    <x v="0"/>
    <s v="PC"/>
    <s v="Ultramobile Premium, Hybrid"/>
    <s v="Semiconductor Revenue M$"/>
    <x v="5"/>
    <n v="0"/>
  </r>
  <r>
    <s v="Integrated AI"/>
    <x v="3"/>
    <x v="0"/>
    <s v="PC"/>
    <s v="Ultramobile Premium, Hybrid"/>
    <s v="Semiconductor Revenue M$"/>
    <x v="6"/>
    <n v="0"/>
  </r>
  <r>
    <s v="Integrated AI"/>
    <x v="3"/>
    <x v="0"/>
    <s v="PC"/>
    <s v="Notebook"/>
    <s v="Semiconductor Revenue M$"/>
    <x v="0"/>
    <n v="0"/>
  </r>
  <r>
    <s v="Integrated AI"/>
    <x v="3"/>
    <x v="0"/>
    <s v="PC"/>
    <s v="Notebook"/>
    <s v="Semiconductor Revenue M$"/>
    <x v="1"/>
    <n v="0"/>
  </r>
  <r>
    <s v="Integrated AI"/>
    <x v="3"/>
    <x v="0"/>
    <s v="PC"/>
    <s v="Notebook"/>
    <s v="Semiconductor Revenue M$"/>
    <x v="2"/>
    <n v="0"/>
  </r>
  <r>
    <s v="Integrated AI"/>
    <x v="3"/>
    <x v="0"/>
    <s v="PC"/>
    <s v="Notebook"/>
    <s v="Semiconductor Revenue M$"/>
    <x v="3"/>
    <n v="0"/>
  </r>
  <r>
    <s v="Integrated AI"/>
    <x v="3"/>
    <x v="0"/>
    <s v="PC"/>
    <s v="Notebook"/>
    <s v="Semiconductor Revenue M$"/>
    <x v="4"/>
    <n v="0"/>
  </r>
  <r>
    <s v="Integrated AI"/>
    <x v="3"/>
    <x v="0"/>
    <s v="PC"/>
    <s v="Notebook"/>
    <s v="Semiconductor Revenue M$"/>
    <x v="5"/>
    <n v="0"/>
  </r>
  <r>
    <s v="Integrated AI"/>
    <x v="3"/>
    <x v="0"/>
    <s v="PC"/>
    <s v="Notebook"/>
    <s v="Semiconductor Revenue M$"/>
    <x v="6"/>
    <n v="0"/>
  </r>
  <r>
    <s v="Integrated AI"/>
    <x v="3"/>
    <x v="0"/>
    <s v="Compute"/>
    <s v="Printer/Copier"/>
    <s v="Semiconductor Revenue M$"/>
    <x v="0"/>
    <n v="2.4072380917048811E-4"/>
  </r>
  <r>
    <s v="Integrated AI"/>
    <x v="3"/>
    <x v="0"/>
    <s v="Compute"/>
    <s v="Printer/Copier"/>
    <s v="Semiconductor Revenue M$"/>
    <x v="1"/>
    <n v="1.2671324499227748E-3"/>
  </r>
  <r>
    <s v="Integrated AI"/>
    <x v="3"/>
    <x v="0"/>
    <s v="Compute"/>
    <s v="Printer/Copier"/>
    <s v="Semiconductor Revenue M$"/>
    <x v="2"/>
    <n v="4.8118966575839061E-3"/>
  </r>
  <r>
    <s v="Integrated AI"/>
    <x v="3"/>
    <x v="0"/>
    <s v="Compute"/>
    <s v="Printer/Copier"/>
    <s v="Semiconductor Revenue M$"/>
    <x v="3"/>
    <n v="1.9449049152526768E-2"/>
  </r>
  <r>
    <s v="Integrated AI"/>
    <x v="3"/>
    <x v="0"/>
    <s v="Compute"/>
    <s v="Printer/Copier"/>
    <s v="Semiconductor Revenue M$"/>
    <x v="4"/>
    <n v="8.1829514787733329E-2"/>
  </r>
  <r>
    <s v="Integrated AI"/>
    <x v="3"/>
    <x v="0"/>
    <s v="Compute"/>
    <s v="Printer/Copier"/>
    <s v="Semiconductor Revenue M$"/>
    <x v="5"/>
    <n v="0.25523249484297722"/>
  </r>
  <r>
    <s v="Integrated AI"/>
    <x v="3"/>
    <x v="0"/>
    <s v="Compute"/>
    <s v="Printer/Copier"/>
    <s v="Semiconductor Revenue M$"/>
    <x v="6"/>
    <n v="0.27459300305416695"/>
  </r>
  <r>
    <s v="Integrated AI"/>
    <x v="3"/>
    <x v="0"/>
    <s v="Compute"/>
    <s v="Flash Cards"/>
    <s v="Semiconductor Revenue M$"/>
    <x v="0"/>
    <n v="0"/>
  </r>
  <r>
    <s v="Integrated AI"/>
    <x v="3"/>
    <x v="0"/>
    <s v="Compute"/>
    <s v="Flash Cards"/>
    <s v="Semiconductor Revenue M$"/>
    <x v="1"/>
    <n v="0"/>
  </r>
  <r>
    <s v="Integrated AI"/>
    <x v="3"/>
    <x v="0"/>
    <s v="Compute"/>
    <s v="Flash Cards"/>
    <s v="Semiconductor Revenue M$"/>
    <x v="2"/>
    <n v="0"/>
  </r>
  <r>
    <s v="Integrated AI"/>
    <x v="3"/>
    <x v="0"/>
    <s v="Compute"/>
    <s v="Flash Cards"/>
    <s v="Semiconductor Revenue M$"/>
    <x v="3"/>
    <n v="0"/>
  </r>
  <r>
    <s v="Integrated AI"/>
    <x v="3"/>
    <x v="0"/>
    <s v="Compute"/>
    <s v="Flash Cards"/>
    <s v="Semiconductor Revenue M$"/>
    <x v="4"/>
    <n v="0"/>
  </r>
  <r>
    <s v="Integrated AI"/>
    <x v="3"/>
    <x v="0"/>
    <s v="Compute"/>
    <s v="Flash Cards"/>
    <s v="Semiconductor Revenue M$"/>
    <x v="5"/>
    <n v="0"/>
  </r>
  <r>
    <s v="Integrated AI"/>
    <x v="3"/>
    <x v="0"/>
    <s v="Compute"/>
    <s v="Flash Cards"/>
    <s v="Semiconductor Revenue M$"/>
    <x v="6"/>
    <n v="0"/>
  </r>
  <r>
    <s v="Integrated AI"/>
    <x v="3"/>
    <x v="0"/>
    <s v="Compute"/>
    <s v="USB Flash Drives"/>
    <s v="Semiconductor Revenue M$"/>
    <x v="0"/>
    <n v="0"/>
  </r>
  <r>
    <s v="Integrated AI"/>
    <x v="3"/>
    <x v="0"/>
    <s v="Compute"/>
    <s v="USB Flash Drives"/>
    <s v="Semiconductor Revenue M$"/>
    <x v="1"/>
    <n v="0"/>
  </r>
  <r>
    <s v="Integrated AI"/>
    <x v="3"/>
    <x v="0"/>
    <s v="Compute"/>
    <s v="USB Flash Drives"/>
    <s v="Semiconductor Revenue M$"/>
    <x v="2"/>
    <n v="0"/>
  </r>
  <r>
    <s v="Integrated AI"/>
    <x v="3"/>
    <x v="0"/>
    <s v="Compute"/>
    <s v="USB Flash Drives"/>
    <s v="Semiconductor Revenue M$"/>
    <x v="3"/>
    <n v="0"/>
  </r>
  <r>
    <s v="Integrated AI"/>
    <x v="3"/>
    <x v="0"/>
    <s v="Compute"/>
    <s v="USB Flash Drives"/>
    <s v="Semiconductor Revenue M$"/>
    <x v="4"/>
    <n v="0"/>
  </r>
  <r>
    <s v="Integrated AI"/>
    <x v="3"/>
    <x v="0"/>
    <s v="Compute"/>
    <s v="USB Flash Drives"/>
    <s v="Semiconductor Revenue M$"/>
    <x v="5"/>
    <n v="0"/>
  </r>
  <r>
    <s v="Integrated AI"/>
    <x v="3"/>
    <x v="0"/>
    <s v="Compute"/>
    <s v="USB Flash Drives"/>
    <s v="Semiconductor Revenue M$"/>
    <x v="6"/>
    <n v="0"/>
  </r>
  <r>
    <s v="Integrated AI"/>
    <x v="3"/>
    <x v="0"/>
    <s v="Servers"/>
    <s v="Server, 4 CPU sockets and over"/>
    <s v="Semiconductor Revenue M$"/>
    <x v="0"/>
    <n v="1.5446885648267144E-9"/>
  </r>
  <r>
    <s v="Integrated AI"/>
    <x v="3"/>
    <x v="0"/>
    <s v="Servers"/>
    <s v="Server, 4 CPU sockets and over"/>
    <s v="Semiconductor Revenue M$"/>
    <x v="1"/>
    <n v="4.5847788120485118E-9"/>
  </r>
  <r>
    <s v="Integrated AI"/>
    <x v="3"/>
    <x v="0"/>
    <s v="Servers"/>
    <s v="Server, 4 CPU sockets and over"/>
    <s v="Semiconductor Revenue M$"/>
    <x v="2"/>
    <n v="1.0749528404191485E-8"/>
  </r>
  <r>
    <s v="Integrated AI"/>
    <x v="3"/>
    <x v="0"/>
    <s v="Servers"/>
    <s v="Server, 4 CPU sockets and over"/>
    <s v="Semiconductor Revenue M$"/>
    <x v="3"/>
    <n v="2.4705900122232037E-8"/>
  </r>
  <r>
    <s v="Integrated AI"/>
    <x v="3"/>
    <x v="0"/>
    <s v="Servers"/>
    <s v="Server, 4 CPU sockets and over"/>
    <s v="Semiconductor Revenue M$"/>
    <x v="4"/>
    <n v="6.0522837989276682E-8"/>
  </r>
  <r>
    <s v="Integrated AI"/>
    <x v="3"/>
    <x v="0"/>
    <s v="Servers"/>
    <s v="Server, 4 CPU sockets and over"/>
    <s v="Semiconductor Revenue M$"/>
    <x v="5"/>
    <n v="1.3166314164108328E-7"/>
  </r>
  <r>
    <s v="Integrated AI"/>
    <x v="3"/>
    <x v="0"/>
    <s v="Servers"/>
    <s v="Server, 4 CPU sockets and over"/>
    <s v="Semiconductor Revenue M$"/>
    <x v="6"/>
    <n v="2.3298723832051677E-7"/>
  </r>
  <r>
    <s v="Integrated AI"/>
    <x v="3"/>
    <x v="0"/>
    <s v="Servers"/>
    <s v="Server, 2 CPU socket"/>
    <s v="Semiconductor Revenue M$"/>
    <x v="0"/>
    <n v="3.654491131968783E-6"/>
  </r>
  <r>
    <s v="Integrated AI"/>
    <x v="3"/>
    <x v="0"/>
    <s v="Servers"/>
    <s v="Server, 2 CPU socket"/>
    <s v="Semiconductor Revenue M$"/>
    <x v="1"/>
    <n v="1.4187532450656548E-5"/>
  </r>
  <r>
    <s v="Integrated AI"/>
    <x v="3"/>
    <x v="0"/>
    <s v="Servers"/>
    <s v="Server, 2 CPU socket"/>
    <s v="Semiconductor Revenue M$"/>
    <x v="2"/>
    <n v="4.594981659734991E-5"/>
  </r>
  <r>
    <s v="Integrated AI"/>
    <x v="3"/>
    <x v="0"/>
    <s v="Servers"/>
    <s v="Server, 2 CPU socket"/>
    <s v="Semiconductor Revenue M$"/>
    <x v="3"/>
    <n v="1.6269026804103105E-4"/>
  </r>
  <r>
    <s v="Integrated AI"/>
    <x v="3"/>
    <x v="0"/>
    <s v="Servers"/>
    <s v="Server, 2 CPU socket"/>
    <s v="Semiconductor Revenue M$"/>
    <x v="4"/>
    <n v="5.1793247336227421E-4"/>
  </r>
  <r>
    <s v="Integrated AI"/>
    <x v="3"/>
    <x v="0"/>
    <s v="Servers"/>
    <s v="Server, 2 CPU socket"/>
    <s v="Semiconductor Revenue M$"/>
    <x v="5"/>
    <n v="1.336340331443424E-3"/>
  </r>
  <r>
    <s v="Integrated AI"/>
    <x v="3"/>
    <x v="0"/>
    <s v="Servers"/>
    <s v="Server, 2 CPU socket"/>
    <s v="Semiconductor Revenue M$"/>
    <x v="6"/>
    <n v="2.9359237186505935E-3"/>
  </r>
  <r>
    <s v="Integrated AI"/>
    <x v="3"/>
    <x v="0"/>
    <s v="Servers"/>
    <s v="Server, 1 CPU socket"/>
    <s v="Semiconductor Revenue M$"/>
    <x v="0"/>
    <n v="2.0931515908265362E-7"/>
  </r>
  <r>
    <s v="Integrated AI"/>
    <x v="3"/>
    <x v="0"/>
    <s v="Servers"/>
    <s v="Server, 1 CPU socket"/>
    <s v="Semiconductor Revenue M$"/>
    <x v="1"/>
    <n v="5.8105395138863954E-7"/>
  </r>
  <r>
    <s v="Integrated AI"/>
    <x v="3"/>
    <x v="0"/>
    <s v="Servers"/>
    <s v="Server, 1 CPU socket"/>
    <s v="Semiconductor Revenue M$"/>
    <x v="2"/>
    <n v="1.2587820953231978E-6"/>
  </r>
  <r>
    <s v="Integrated AI"/>
    <x v="3"/>
    <x v="0"/>
    <s v="Servers"/>
    <s v="Server, 1 CPU socket"/>
    <s v="Semiconductor Revenue M$"/>
    <x v="3"/>
    <n v="2.8467300891939299E-6"/>
  </r>
  <r>
    <s v="Integrated AI"/>
    <x v="3"/>
    <x v="0"/>
    <s v="Servers"/>
    <s v="Server, 1 CPU socket"/>
    <s v="Semiconductor Revenue M$"/>
    <x v="4"/>
    <n v="6.9337887405160241E-6"/>
  </r>
  <r>
    <s v="Integrated AI"/>
    <x v="3"/>
    <x v="0"/>
    <s v="Servers"/>
    <s v="Server, 1 CPU socket"/>
    <s v="Semiconductor Revenue M$"/>
    <x v="5"/>
    <n v="1.3925690195530797E-5"/>
  </r>
  <r>
    <s v="Integrated AI"/>
    <x v="3"/>
    <x v="0"/>
    <s v="Servers"/>
    <s v="Server, 1 CPU socket"/>
    <s v="Semiconductor Revenue M$"/>
    <x v="6"/>
    <n v="2.4986237266618886E-5"/>
  </r>
  <r>
    <s v="Integrated AI"/>
    <x v="3"/>
    <x v="0"/>
    <s v="Compute"/>
    <s v="Smart Cards"/>
    <s v="Semiconductor Revenue M$"/>
    <x v="0"/>
    <n v="0"/>
  </r>
  <r>
    <s v="Integrated AI"/>
    <x v="3"/>
    <x v="0"/>
    <s v="Compute"/>
    <s v="Smart Cards"/>
    <s v="Semiconductor Revenue M$"/>
    <x v="1"/>
    <n v="0"/>
  </r>
  <r>
    <s v="Integrated AI"/>
    <x v="3"/>
    <x v="0"/>
    <s v="Compute"/>
    <s v="Smart Cards"/>
    <s v="Semiconductor Revenue M$"/>
    <x v="2"/>
    <n v="0"/>
  </r>
  <r>
    <s v="Integrated AI"/>
    <x v="3"/>
    <x v="0"/>
    <s v="Compute"/>
    <s v="Smart Cards"/>
    <s v="Semiconductor Revenue M$"/>
    <x v="3"/>
    <n v="0"/>
  </r>
  <r>
    <s v="Integrated AI"/>
    <x v="3"/>
    <x v="0"/>
    <s v="Compute"/>
    <s v="Smart Cards"/>
    <s v="Semiconductor Revenue M$"/>
    <x v="4"/>
    <n v="0"/>
  </r>
  <r>
    <s v="Integrated AI"/>
    <x v="3"/>
    <x v="0"/>
    <s v="Compute"/>
    <s v="Smart Cards"/>
    <s v="Semiconductor Revenue M$"/>
    <x v="5"/>
    <n v="0"/>
  </r>
  <r>
    <s v="Integrated AI"/>
    <x v="3"/>
    <x v="0"/>
    <s v="Compute"/>
    <s v="Smart Cards"/>
    <s v="Semiconductor Revenue M$"/>
    <x v="6"/>
    <n v="0"/>
  </r>
  <r>
    <s v="Integrated AI"/>
    <x v="3"/>
    <x v="0"/>
    <s v="Servers"/>
    <s v="Accelerator Cards"/>
    <s v="Semiconductor Revenue M$"/>
    <x v="0"/>
    <n v="7.4076027067243532E-6"/>
  </r>
  <r>
    <s v="Integrated AI"/>
    <x v="3"/>
    <x v="0"/>
    <s v="Servers"/>
    <s v="Accelerator Cards"/>
    <s v="Semiconductor Revenue M$"/>
    <x v="1"/>
    <n v="1.9920948433720621E-5"/>
  </r>
  <r>
    <s v="Integrated AI"/>
    <x v="3"/>
    <x v="0"/>
    <s v="Servers"/>
    <s v="Accelerator Cards"/>
    <s v="Semiconductor Revenue M$"/>
    <x v="2"/>
    <n v="3.9947409965596812E-5"/>
  </r>
  <r>
    <s v="Integrated AI"/>
    <x v="3"/>
    <x v="0"/>
    <s v="Servers"/>
    <s v="Accelerator Cards"/>
    <s v="Semiconductor Revenue M$"/>
    <x v="3"/>
    <n v="1.0742999217184032E-4"/>
  </r>
  <r>
    <s v="Integrated AI"/>
    <x v="3"/>
    <x v="0"/>
    <s v="Servers"/>
    <s v="Accelerator Cards"/>
    <s v="Semiconductor Revenue M$"/>
    <x v="4"/>
    <n v="2.0798250740232727E-4"/>
  </r>
  <r>
    <s v="Integrated AI"/>
    <x v="3"/>
    <x v="0"/>
    <s v="Servers"/>
    <s v="Accelerator Cards"/>
    <s v="Semiconductor Revenue M$"/>
    <x v="5"/>
    <n v="3.1600895952673671E-4"/>
  </r>
  <r>
    <s v="Integrated AI"/>
    <x v="3"/>
    <x v="0"/>
    <s v="Servers"/>
    <s v="Accelerator Cards"/>
    <s v="Semiconductor Revenue M$"/>
    <x v="6"/>
    <n v="5.3680997805325499E-4"/>
  </r>
  <r>
    <s v="Integrated AI"/>
    <x v="3"/>
    <x v="1"/>
    <s v="Storage"/>
    <s v="Solid-State ECB"/>
    <s v="Semiconductor Revenue M$"/>
    <x v="0"/>
    <n v="1.6302628065289408E-4"/>
  </r>
  <r>
    <s v="Integrated AI"/>
    <x v="3"/>
    <x v="1"/>
    <s v="Storage"/>
    <s v="Solid-State ECB"/>
    <s v="Semiconductor Revenue M$"/>
    <x v="1"/>
    <n v="5.0563626688420664E-4"/>
  </r>
  <r>
    <s v="Integrated AI"/>
    <x v="3"/>
    <x v="1"/>
    <s v="Storage"/>
    <s v="Solid-State ECB"/>
    <s v="Semiconductor Revenue M$"/>
    <x v="2"/>
    <n v="1.4320455083018785E-3"/>
  </r>
  <r>
    <s v="Integrated AI"/>
    <x v="3"/>
    <x v="1"/>
    <s v="Storage"/>
    <s v="Solid-State ECB"/>
    <s v="Semiconductor Revenue M$"/>
    <x v="3"/>
    <n v="3.9532783950161554E-3"/>
  </r>
  <r>
    <s v="Integrated AI"/>
    <x v="3"/>
    <x v="1"/>
    <s v="Storage"/>
    <s v="Solid-State ECB"/>
    <s v="Semiconductor Revenue M$"/>
    <x v="4"/>
    <n v="1.0101682977195374E-2"/>
  </r>
  <r>
    <s v="Integrated AI"/>
    <x v="3"/>
    <x v="1"/>
    <s v="Storage"/>
    <s v="Solid-State ECB"/>
    <s v="Semiconductor Revenue M$"/>
    <x v="5"/>
    <n v="1.588862346066347E-2"/>
  </r>
  <r>
    <s v="Integrated AI"/>
    <x v="3"/>
    <x v="1"/>
    <s v="Storage"/>
    <s v="Solid-State ECB"/>
    <s v="Semiconductor Revenue M$"/>
    <x v="6"/>
    <n v="2.3476982850752236E-2"/>
  </r>
  <r>
    <s v="Integrated AI"/>
    <x v="3"/>
    <x v="1"/>
    <s v="Storage"/>
    <s v="Other ECB (HDD/Hybrid)"/>
    <s v="Semiconductor Revenue M$"/>
    <x v="0"/>
    <n v="2.2189935905086997E-4"/>
  </r>
  <r>
    <s v="Integrated AI"/>
    <x v="3"/>
    <x v="1"/>
    <s v="Storage"/>
    <s v="Other ECB (HDD/Hybrid)"/>
    <s v="Semiconductor Revenue M$"/>
    <x v="1"/>
    <n v="1.0403824011097477E-3"/>
  </r>
  <r>
    <s v="Integrated AI"/>
    <x v="3"/>
    <x v="1"/>
    <s v="Storage"/>
    <s v="Other ECB (HDD/Hybrid)"/>
    <s v="Semiconductor Revenue M$"/>
    <x v="2"/>
    <n v="3.7918938472912005E-3"/>
  </r>
  <r>
    <s v="Integrated AI"/>
    <x v="3"/>
    <x v="1"/>
    <s v="Storage"/>
    <s v="Other ECB (HDD/Hybrid)"/>
    <s v="Semiconductor Revenue M$"/>
    <x v="3"/>
    <n v="1.4467371134056809E-2"/>
  </r>
  <r>
    <s v="Integrated AI"/>
    <x v="3"/>
    <x v="1"/>
    <s v="Storage"/>
    <s v="Other ECB (HDD/Hybrid)"/>
    <s v="Semiconductor Revenue M$"/>
    <x v="4"/>
    <n v="5.1476058037099953E-2"/>
  </r>
  <r>
    <s v="Integrated AI"/>
    <x v="3"/>
    <x v="1"/>
    <s v="Storage"/>
    <s v="Other ECB (HDD/Hybrid)"/>
    <s v="Semiconductor Revenue M$"/>
    <x v="5"/>
    <n v="8.0508741423058014E-2"/>
  </r>
  <r>
    <s v="Integrated AI"/>
    <x v="3"/>
    <x v="1"/>
    <s v="Storage"/>
    <s v="Other ECB (HDD/Hybrid)"/>
    <s v="Semiconductor Revenue M$"/>
    <x v="6"/>
    <n v="0.11631846872446361"/>
  </r>
  <r>
    <s v="Integrated AI"/>
    <x v="3"/>
    <x v="1"/>
    <s v="Storage"/>
    <s v="Storage Network Infrastructure"/>
    <s v="Semiconductor Revenue M$"/>
    <x v="0"/>
    <n v="7.1618023847350486E-3"/>
  </r>
  <r>
    <s v="Integrated AI"/>
    <x v="3"/>
    <x v="1"/>
    <s v="Storage"/>
    <s v="Storage Network Infrastructure"/>
    <s v="Semiconductor Revenue M$"/>
    <x v="1"/>
    <n v="2.3200029860923111E-2"/>
  </r>
  <r>
    <s v="Integrated AI"/>
    <x v="3"/>
    <x v="1"/>
    <s v="Storage"/>
    <s v="Storage Network Infrastructure"/>
    <s v="Semiconductor Revenue M$"/>
    <x v="2"/>
    <n v="6.73841927200102E-2"/>
  </r>
  <r>
    <s v="Integrated AI"/>
    <x v="3"/>
    <x v="1"/>
    <s v="Storage"/>
    <s v="Storage Network Infrastructure"/>
    <s v="Semiconductor Revenue M$"/>
    <x v="3"/>
    <n v="0.18848227437304041"/>
  </r>
  <r>
    <s v="Integrated AI"/>
    <x v="3"/>
    <x v="1"/>
    <s v="Storage"/>
    <s v="Storage Network Infrastructure"/>
    <s v="Semiconductor Revenue M$"/>
    <x v="4"/>
    <n v="0.50057914631722056"/>
  </r>
  <r>
    <s v="Integrated AI"/>
    <x v="3"/>
    <x v="1"/>
    <s v="Storage"/>
    <s v="Storage Network Infrastructure"/>
    <s v="Semiconductor Revenue M$"/>
    <x v="5"/>
    <n v="0.80828027457000151"/>
  </r>
  <r>
    <s v="Integrated AI"/>
    <x v="3"/>
    <x v="1"/>
    <s v="Storage"/>
    <s v="Storage Network Infrastructure"/>
    <s v="Semiconductor Revenue M$"/>
    <x v="6"/>
    <n v="1.2230164935101884"/>
  </r>
  <r>
    <s v="Integrated AI"/>
    <x v="3"/>
    <x v="1"/>
    <s v="Storage"/>
    <s v="Hard Disk Drive"/>
    <s v="Semiconductor Revenue M$"/>
    <x v="0"/>
    <n v="0"/>
  </r>
  <r>
    <s v="Integrated AI"/>
    <x v="3"/>
    <x v="1"/>
    <s v="Storage"/>
    <s v="Hard Disk Drive"/>
    <s v="Semiconductor Revenue M$"/>
    <x v="1"/>
    <n v="0"/>
  </r>
  <r>
    <s v="Integrated AI"/>
    <x v="3"/>
    <x v="1"/>
    <s v="Storage"/>
    <s v="Hard Disk Drive"/>
    <s v="Semiconductor Revenue M$"/>
    <x v="2"/>
    <n v="0"/>
  </r>
  <r>
    <s v="Integrated AI"/>
    <x v="3"/>
    <x v="1"/>
    <s v="Storage"/>
    <s v="Hard Disk Drive"/>
    <s v="Semiconductor Revenue M$"/>
    <x v="3"/>
    <n v="0"/>
  </r>
  <r>
    <s v="Integrated AI"/>
    <x v="3"/>
    <x v="1"/>
    <s v="Storage"/>
    <s v="Hard Disk Drive"/>
    <s v="Semiconductor Revenue M$"/>
    <x v="4"/>
    <n v="0"/>
  </r>
  <r>
    <s v="Integrated AI"/>
    <x v="3"/>
    <x v="1"/>
    <s v="Storage"/>
    <s v="Hard Disk Drive"/>
    <s v="Semiconductor Revenue M$"/>
    <x v="5"/>
    <n v="0"/>
  </r>
  <r>
    <s v="Integrated AI"/>
    <x v="3"/>
    <x v="1"/>
    <s v="Storage"/>
    <s v="Hard Disk Drive"/>
    <s v="Semiconductor Revenue M$"/>
    <x v="6"/>
    <n v="0"/>
  </r>
  <r>
    <s v="Integrated AI"/>
    <x v="3"/>
    <x v="1"/>
    <s v="Storage"/>
    <s v="Solid-State Drives"/>
    <s v="Semiconductor Revenue M$"/>
    <x v="0"/>
    <n v="0"/>
  </r>
  <r>
    <s v="Integrated AI"/>
    <x v="3"/>
    <x v="1"/>
    <s v="Storage"/>
    <s v="Solid-State Drives"/>
    <s v="Semiconductor Revenue M$"/>
    <x v="1"/>
    <n v="0"/>
  </r>
  <r>
    <s v="Integrated AI"/>
    <x v="3"/>
    <x v="1"/>
    <s v="Storage"/>
    <s v="Solid-State Drives"/>
    <s v="Semiconductor Revenue M$"/>
    <x v="2"/>
    <n v="0"/>
  </r>
  <r>
    <s v="Integrated AI"/>
    <x v="3"/>
    <x v="1"/>
    <s v="Storage"/>
    <s v="Solid-State Drives"/>
    <s v="Semiconductor Revenue M$"/>
    <x v="3"/>
    <n v="0"/>
  </r>
  <r>
    <s v="Integrated AI"/>
    <x v="3"/>
    <x v="1"/>
    <s v="Storage"/>
    <s v="Solid-State Drives"/>
    <s v="Semiconductor Revenue M$"/>
    <x v="4"/>
    <n v="0"/>
  </r>
  <r>
    <s v="Integrated AI"/>
    <x v="3"/>
    <x v="1"/>
    <s v="Storage"/>
    <s v="Solid-State Drives"/>
    <s v="Semiconductor Revenue M$"/>
    <x v="5"/>
    <n v="0"/>
  </r>
  <r>
    <s v="Integrated AI"/>
    <x v="3"/>
    <x v="1"/>
    <s v="Storage"/>
    <s v="Solid-State Drives"/>
    <s v="Semiconductor Revenue M$"/>
    <x v="6"/>
    <n v="0"/>
  </r>
  <r>
    <s v="Integrated AI"/>
    <x v="3"/>
    <x v="1"/>
    <s v="Storage"/>
    <s v="Other Storage Media"/>
    <s v="Semiconductor Revenue M$"/>
    <x v="0"/>
    <n v="0"/>
  </r>
  <r>
    <s v="Integrated AI"/>
    <x v="3"/>
    <x v="1"/>
    <s v="Storage"/>
    <s v="Other Storage Media"/>
    <s v="Semiconductor Revenue M$"/>
    <x v="1"/>
    <n v="0"/>
  </r>
  <r>
    <s v="Integrated AI"/>
    <x v="3"/>
    <x v="1"/>
    <s v="Storage"/>
    <s v="Other Storage Media"/>
    <s v="Semiconductor Revenue M$"/>
    <x v="2"/>
    <n v="0"/>
  </r>
  <r>
    <s v="Integrated AI"/>
    <x v="3"/>
    <x v="1"/>
    <s v="Storage"/>
    <s v="Other Storage Media"/>
    <s v="Semiconductor Revenue M$"/>
    <x v="3"/>
    <n v="0"/>
  </r>
  <r>
    <s v="Integrated AI"/>
    <x v="3"/>
    <x v="1"/>
    <s v="Storage"/>
    <s v="Other Storage Media"/>
    <s v="Semiconductor Revenue M$"/>
    <x v="4"/>
    <n v="0"/>
  </r>
  <r>
    <s v="Integrated AI"/>
    <x v="3"/>
    <x v="1"/>
    <s v="Storage"/>
    <s v="Other Storage Media"/>
    <s v="Semiconductor Revenue M$"/>
    <x v="5"/>
    <n v="0"/>
  </r>
  <r>
    <s v="Integrated AI"/>
    <x v="3"/>
    <x v="1"/>
    <s v="Storage"/>
    <s v="Other Storage Media"/>
    <s v="Semiconductor Revenue M$"/>
    <x v="6"/>
    <n v="0"/>
  </r>
  <r>
    <s v="Integrated AI"/>
    <x v="3"/>
    <x v="1"/>
    <s v="Storage"/>
    <s v="Other Storage Electronics"/>
    <s v="Semiconductor Revenue M$"/>
    <x v="0"/>
    <n v="6.6880088367641498E-3"/>
  </r>
  <r>
    <s v="Integrated AI"/>
    <x v="3"/>
    <x v="1"/>
    <s v="Storage"/>
    <s v="Other Storage Electronics"/>
    <s v="Semiconductor Revenue M$"/>
    <x v="1"/>
    <n v="2.4356020595976167E-2"/>
  </r>
  <r>
    <s v="Integrated AI"/>
    <x v="3"/>
    <x v="1"/>
    <s v="Storage"/>
    <s v="Other Storage Electronics"/>
    <s v="Semiconductor Revenue M$"/>
    <x v="2"/>
    <n v="6.4685028560209551E-2"/>
  </r>
  <r>
    <s v="Integrated AI"/>
    <x v="3"/>
    <x v="1"/>
    <s v="Storage"/>
    <s v="Other Storage Electronics"/>
    <s v="Semiconductor Revenue M$"/>
    <x v="3"/>
    <n v="0.17627952717720091"/>
  </r>
  <r>
    <s v="Integrated AI"/>
    <x v="3"/>
    <x v="1"/>
    <s v="Storage"/>
    <s v="Other Storage Electronics"/>
    <s v="Semiconductor Revenue M$"/>
    <x v="4"/>
    <n v="0.43782267715031514"/>
  </r>
  <r>
    <s v="Integrated AI"/>
    <x v="3"/>
    <x v="1"/>
    <s v="Storage"/>
    <s v="Other Storage Electronics"/>
    <s v="Semiconductor Revenue M$"/>
    <x v="5"/>
    <n v="0.66047030613553681"/>
  </r>
  <r>
    <s v="Integrated AI"/>
    <x v="3"/>
    <x v="1"/>
    <s v="Storage"/>
    <s v="Other Storage Electronics"/>
    <s v="Semiconductor Revenue M$"/>
    <x v="6"/>
    <n v="0.95315957411210817"/>
  </r>
  <r>
    <s v="Integrated AI"/>
    <x v="3"/>
    <x v="2"/>
    <s v="Wireless Communications Electronics"/>
    <s v="Utility Traditional Phone"/>
    <s v="Semiconductor Revenue M$"/>
    <x v="0"/>
    <n v="0"/>
  </r>
  <r>
    <s v="Integrated AI"/>
    <x v="3"/>
    <x v="2"/>
    <s v="Wireless Communications Electronics"/>
    <s v="Utility Traditional Phone"/>
    <s v="Semiconductor Revenue M$"/>
    <x v="1"/>
    <n v="0"/>
  </r>
  <r>
    <s v="Integrated AI"/>
    <x v="3"/>
    <x v="2"/>
    <s v="Wireless Communications Electronics"/>
    <s v="Utility Traditional Phone"/>
    <s v="Semiconductor Revenue M$"/>
    <x v="2"/>
    <n v="0"/>
  </r>
  <r>
    <s v="Integrated AI"/>
    <x v="3"/>
    <x v="2"/>
    <s v="Wireless Communications Electronics"/>
    <s v="Utility Traditional Phone"/>
    <s v="Semiconductor Revenue M$"/>
    <x v="3"/>
    <n v="0"/>
  </r>
  <r>
    <s v="Integrated AI"/>
    <x v="3"/>
    <x v="2"/>
    <s v="Wireless Communications Electronics"/>
    <s v="Utility Traditional Phone"/>
    <s v="Semiconductor Revenue M$"/>
    <x v="4"/>
    <n v="0"/>
  </r>
  <r>
    <s v="Integrated AI"/>
    <x v="3"/>
    <x v="2"/>
    <s v="Wireless Communications Electronics"/>
    <s v="Utility Traditional Phone"/>
    <s v="Semiconductor Revenue M$"/>
    <x v="5"/>
    <n v="0"/>
  </r>
  <r>
    <s v="Integrated AI"/>
    <x v="3"/>
    <x v="2"/>
    <s v="Wireless Communications Electronics"/>
    <s v="Utility Traditional Phone"/>
    <s v="Semiconductor Revenue M$"/>
    <x v="6"/>
    <n v="0"/>
  </r>
  <r>
    <s v="Integrated AI"/>
    <x v="3"/>
    <x v="2"/>
    <s v="Wireless Communications Electronics"/>
    <s v="Basic Smartphone"/>
    <s v="Semiconductor Revenue M$"/>
    <x v="0"/>
    <n v="0"/>
  </r>
  <r>
    <s v="Integrated AI"/>
    <x v="3"/>
    <x v="2"/>
    <s v="Wireless Communications Electronics"/>
    <s v="Basic Smartphone"/>
    <s v="Semiconductor Revenue M$"/>
    <x v="1"/>
    <n v="0"/>
  </r>
  <r>
    <s v="Integrated AI"/>
    <x v="3"/>
    <x v="2"/>
    <s v="Wireless Communications Electronics"/>
    <s v="Basic Smartphone"/>
    <s v="Semiconductor Revenue M$"/>
    <x v="2"/>
    <n v="0"/>
  </r>
  <r>
    <s v="Integrated AI"/>
    <x v="3"/>
    <x v="2"/>
    <s v="Wireless Communications Electronics"/>
    <s v="Basic Smartphone"/>
    <s v="Semiconductor Revenue M$"/>
    <x v="3"/>
    <n v="0"/>
  </r>
  <r>
    <s v="Integrated AI"/>
    <x v="3"/>
    <x v="2"/>
    <s v="Wireless Communications Electronics"/>
    <s v="Basic Smartphone"/>
    <s v="Semiconductor Revenue M$"/>
    <x v="4"/>
    <n v="0"/>
  </r>
  <r>
    <s v="Integrated AI"/>
    <x v="3"/>
    <x v="2"/>
    <s v="Wireless Communications Electronics"/>
    <s v="Basic Smartphone"/>
    <s v="Semiconductor Revenue M$"/>
    <x v="5"/>
    <n v="0"/>
  </r>
  <r>
    <s v="Integrated AI"/>
    <x v="3"/>
    <x v="2"/>
    <s v="Wireless Communications Electronics"/>
    <s v="Basic Smartphone"/>
    <s v="Semiconductor Revenue M$"/>
    <x v="6"/>
    <n v="0"/>
  </r>
  <r>
    <s v="Integrated AI"/>
    <x v="3"/>
    <x v="2"/>
    <s v="Wireless Communications Electronics"/>
    <s v="Utility Smartphone"/>
    <s v="Semiconductor Revenue M$"/>
    <x v="0"/>
    <n v="0"/>
  </r>
  <r>
    <s v="Integrated AI"/>
    <x v="3"/>
    <x v="2"/>
    <s v="Wireless Communications Electronics"/>
    <s v="Utility Smartphone"/>
    <s v="Semiconductor Revenue M$"/>
    <x v="1"/>
    <n v="0"/>
  </r>
  <r>
    <s v="Integrated AI"/>
    <x v="3"/>
    <x v="2"/>
    <s v="Wireless Communications Electronics"/>
    <s v="Utility Smartphone"/>
    <s v="Semiconductor Revenue M$"/>
    <x v="2"/>
    <n v="0"/>
  </r>
  <r>
    <s v="Integrated AI"/>
    <x v="3"/>
    <x v="2"/>
    <s v="Wireless Communications Electronics"/>
    <s v="Utility Smartphone"/>
    <s v="Semiconductor Revenue M$"/>
    <x v="3"/>
    <n v="0"/>
  </r>
  <r>
    <s v="Integrated AI"/>
    <x v="3"/>
    <x v="2"/>
    <s v="Wireless Communications Electronics"/>
    <s v="Utility Smartphone"/>
    <s v="Semiconductor Revenue M$"/>
    <x v="4"/>
    <n v="0"/>
  </r>
  <r>
    <s v="Integrated AI"/>
    <x v="3"/>
    <x v="2"/>
    <s v="Wireless Communications Electronics"/>
    <s v="Utility Smartphone"/>
    <s v="Semiconductor Revenue M$"/>
    <x v="5"/>
    <n v="0"/>
  </r>
  <r>
    <s v="Integrated AI"/>
    <x v="3"/>
    <x v="2"/>
    <s v="Wireless Communications Electronics"/>
    <s v="Utility Smartphone"/>
    <s v="Semiconductor Revenue M$"/>
    <x v="6"/>
    <n v="0"/>
  </r>
  <r>
    <s v="Integrated AI"/>
    <x v="3"/>
    <x v="2"/>
    <s v="Wireless Communications Electronics"/>
    <s v="Premium Smartphone"/>
    <s v="Semiconductor Revenue M$"/>
    <x v="0"/>
    <n v="0"/>
  </r>
  <r>
    <s v="Integrated AI"/>
    <x v="3"/>
    <x v="2"/>
    <s v="Wireless Communications Electronics"/>
    <s v="Premium Smartphone"/>
    <s v="Semiconductor Revenue M$"/>
    <x v="1"/>
    <n v="0"/>
  </r>
  <r>
    <s v="Integrated AI"/>
    <x v="3"/>
    <x v="2"/>
    <s v="Wireless Communications Electronics"/>
    <s v="Premium Smartphone"/>
    <s v="Semiconductor Revenue M$"/>
    <x v="2"/>
    <n v="0"/>
  </r>
  <r>
    <s v="Integrated AI"/>
    <x v="3"/>
    <x v="2"/>
    <s v="Wireless Communications Electronics"/>
    <s v="Premium Smartphone"/>
    <s v="Semiconductor Revenue M$"/>
    <x v="3"/>
    <n v="0"/>
  </r>
  <r>
    <s v="Integrated AI"/>
    <x v="3"/>
    <x v="2"/>
    <s v="Wireless Communications Electronics"/>
    <s v="Premium Smartphone"/>
    <s v="Semiconductor Revenue M$"/>
    <x v="4"/>
    <n v="0"/>
  </r>
  <r>
    <s v="Integrated AI"/>
    <x v="3"/>
    <x v="2"/>
    <s v="Wireless Communications Electronics"/>
    <s v="Premium Smartphone"/>
    <s v="Semiconductor Revenue M$"/>
    <x v="5"/>
    <n v="0"/>
  </r>
  <r>
    <s v="Integrated AI"/>
    <x v="3"/>
    <x v="2"/>
    <s v="Wireless Communications Electronics"/>
    <s v="Premium Smartphone"/>
    <s v="Semiconductor Revenue M$"/>
    <x v="6"/>
    <n v="0"/>
  </r>
  <r>
    <s v="Integrated AI"/>
    <x v="3"/>
    <x v="3"/>
    <s v="Automotive Electronics"/>
    <s v="ADAS-ECU (Level-2+/3/4)"/>
    <s v="Semiconductor Revenue M$"/>
    <x v="0"/>
    <n v="1.1602572007412397"/>
  </r>
  <r>
    <s v="Integrated AI"/>
    <x v="3"/>
    <x v="3"/>
    <s v="Automotive Electronics"/>
    <s v="ADAS-ECU (Level-2+/3/4)"/>
    <s v="Semiconductor Revenue M$"/>
    <x v="1"/>
    <n v="3.7887703121544201"/>
  </r>
  <r>
    <s v="Integrated AI"/>
    <x v="3"/>
    <x v="3"/>
    <s v="Automotive Electronics"/>
    <s v="ADAS-ECU (Level-2+/3/4)"/>
    <s v="Semiconductor Revenue M$"/>
    <x v="2"/>
    <n v="16.255758140688354"/>
  </r>
  <r>
    <s v="Integrated AI"/>
    <x v="3"/>
    <x v="3"/>
    <s v="Automotive Electronics"/>
    <s v="ADAS-ECU (Level-2+/3/4)"/>
    <s v="Semiconductor Revenue M$"/>
    <x v="3"/>
    <n v="36.342596824568858"/>
  </r>
  <r>
    <s v="Integrated AI"/>
    <x v="3"/>
    <x v="3"/>
    <s v="Automotive Electronics"/>
    <s v="ADAS-ECU (Level-2+/3/4)"/>
    <s v="Semiconductor Revenue M$"/>
    <x v="4"/>
    <n v="53.834219228129065"/>
  </r>
  <r>
    <s v="Integrated AI"/>
    <x v="3"/>
    <x v="3"/>
    <s v="Automotive Electronics"/>
    <s v="ADAS-ECU (Level-2+/3/4)"/>
    <s v="Semiconductor Revenue M$"/>
    <x v="5"/>
    <n v="68.555103853128671"/>
  </r>
  <r>
    <s v="Integrated AI"/>
    <x v="3"/>
    <x v="3"/>
    <s v="Automotive Electronics"/>
    <s v="ADAS-ECU (Level-2+/3/4)"/>
    <s v="Semiconductor Revenue M$"/>
    <x v="6"/>
    <n v="90.584033219922077"/>
  </r>
  <r>
    <s v="Integrated AI"/>
    <x v="3"/>
    <x v="2"/>
    <s v="Wireless Communications Electronics"/>
    <s v="Mobile Infrastructure - Base Station Equipment"/>
    <s v="Semiconductor Revenue M$"/>
    <x v="0"/>
    <n v="2.910289380346466"/>
  </r>
  <r>
    <s v="Integrated AI"/>
    <x v="3"/>
    <x v="2"/>
    <s v="Wireless Communications Electronics"/>
    <s v="Mobile Infrastructure - Base Station Equipment"/>
    <s v="Semiconductor Revenue M$"/>
    <x v="1"/>
    <n v="11.911713062247761"/>
  </r>
  <r>
    <s v="Integrated AI"/>
    <x v="3"/>
    <x v="2"/>
    <s v="Wireless Communications Electronics"/>
    <s v="Mobile Infrastructure - Base Station Equipment"/>
    <s v="Semiconductor Revenue M$"/>
    <x v="2"/>
    <n v="36.4300868769853"/>
  </r>
  <r>
    <s v="Integrated AI"/>
    <x v="3"/>
    <x v="2"/>
    <s v="Wireless Communications Electronics"/>
    <s v="Mobile Infrastructure - Base Station Equipment"/>
    <s v="Semiconductor Revenue M$"/>
    <x v="3"/>
    <n v="110.71236683057222"/>
  </r>
  <r>
    <s v="Integrated AI"/>
    <x v="3"/>
    <x v="2"/>
    <s v="Wireless Communications Electronics"/>
    <s v="Mobile Infrastructure - Base Station Equipment"/>
    <s v="Semiconductor Revenue M$"/>
    <x v="4"/>
    <n v="217.75671382942858"/>
  </r>
  <r>
    <s v="Integrated AI"/>
    <x v="3"/>
    <x v="2"/>
    <s v="Wireless Communications Electronics"/>
    <s v="Mobile Infrastructure - Base Station Equipment"/>
    <s v="Semiconductor Revenue M$"/>
    <x v="5"/>
    <n v="332.53984058476658"/>
  </r>
  <r>
    <s v="Integrated AI"/>
    <x v="3"/>
    <x v="2"/>
    <s v="Wireless Communications Electronics"/>
    <s v="Mobile Infrastructure - Base Station Equipment"/>
    <s v="Semiconductor Revenue M$"/>
    <x v="6"/>
    <n v="523.29767681136889"/>
  </r>
  <r>
    <s v="Integrated AI"/>
    <x v="3"/>
    <x v="2"/>
    <s v="Wireless Communications Electronics"/>
    <s v="Wireless LAN Infrastructure"/>
    <s v="Semiconductor Revenue M$"/>
    <x v="0"/>
    <n v="3.9987843830191832E-3"/>
  </r>
  <r>
    <s v="Integrated AI"/>
    <x v="3"/>
    <x v="2"/>
    <s v="Wireless Communications Electronics"/>
    <s v="Wireless LAN Infrastructure"/>
    <s v="Semiconductor Revenue M$"/>
    <x v="1"/>
    <n v="1.0264596219995864E-2"/>
  </r>
  <r>
    <s v="Integrated AI"/>
    <x v="3"/>
    <x v="2"/>
    <s v="Wireless Communications Electronics"/>
    <s v="Wireless LAN Infrastructure"/>
    <s v="Semiconductor Revenue M$"/>
    <x v="2"/>
    <n v="2.5567357889510606E-2"/>
  </r>
  <r>
    <s v="Integrated AI"/>
    <x v="3"/>
    <x v="2"/>
    <s v="Wireless Communications Electronics"/>
    <s v="Wireless LAN Infrastructure"/>
    <s v="Semiconductor Revenue M$"/>
    <x v="3"/>
    <n v="5.4662297634058978E-2"/>
  </r>
  <r>
    <s v="Integrated AI"/>
    <x v="3"/>
    <x v="2"/>
    <s v="Wireless Communications Electronics"/>
    <s v="Wireless LAN Infrastructure"/>
    <s v="Semiconductor Revenue M$"/>
    <x v="4"/>
    <n v="0.10208630573095311"/>
  </r>
  <r>
    <s v="Integrated AI"/>
    <x v="3"/>
    <x v="2"/>
    <s v="Wireless Communications Electronics"/>
    <s v="Wireless LAN Infrastructure"/>
    <s v="Semiconductor Revenue M$"/>
    <x v="5"/>
    <n v="0.18529077393109766"/>
  </r>
  <r>
    <s v="Integrated AI"/>
    <x v="3"/>
    <x v="2"/>
    <s v="Wireless Communications Electronics"/>
    <s v="Wireless LAN Infrastructure"/>
    <s v="Semiconductor Revenue M$"/>
    <x v="6"/>
    <n v="0.34050284885442461"/>
  </r>
  <r>
    <s v="Integrated AI"/>
    <x v="3"/>
    <x v="2"/>
    <s v="Wireless Communications Electronics"/>
    <s v="Cellular Modems"/>
    <s v="Semiconductor Revenue M$"/>
    <x v="0"/>
    <n v="0"/>
  </r>
  <r>
    <s v="Integrated AI"/>
    <x v="3"/>
    <x v="2"/>
    <s v="Wireless Communications Electronics"/>
    <s v="Cellular Modems"/>
    <s v="Semiconductor Revenue M$"/>
    <x v="1"/>
    <n v="0"/>
  </r>
  <r>
    <s v="Integrated AI"/>
    <x v="3"/>
    <x v="2"/>
    <s v="Wireless Communications Electronics"/>
    <s v="Cellular Modems"/>
    <s v="Semiconductor Revenue M$"/>
    <x v="2"/>
    <n v="0"/>
  </r>
  <r>
    <s v="Integrated AI"/>
    <x v="3"/>
    <x v="2"/>
    <s v="Wireless Communications Electronics"/>
    <s v="Cellular Modems"/>
    <s v="Semiconductor Revenue M$"/>
    <x v="3"/>
    <n v="0"/>
  </r>
  <r>
    <s v="Integrated AI"/>
    <x v="3"/>
    <x v="2"/>
    <s v="Wireless Communications Electronics"/>
    <s v="Cellular Modems"/>
    <s v="Semiconductor Revenue M$"/>
    <x v="4"/>
    <n v="0"/>
  </r>
  <r>
    <s v="Integrated AI"/>
    <x v="3"/>
    <x v="2"/>
    <s v="Wireless Communications Electronics"/>
    <s v="Cellular Modems"/>
    <s v="Semiconductor Revenue M$"/>
    <x v="5"/>
    <n v="0"/>
  </r>
  <r>
    <s v="Integrated AI"/>
    <x v="3"/>
    <x v="2"/>
    <s v="Wireless Communications Electronics"/>
    <s v="Cellular Modems"/>
    <s v="Semiconductor Revenue M$"/>
    <x v="6"/>
    <n v="0"/>
  </r>
  <r>
    <s v="Integrated AI"/>
    <x v="3"/>
    <x v="2"/>
    <s v="Wireless Communications Electronics"/>
    <s v="Other Wireless Communications Electronics"/>
    <s v="Semiconductor Revenue M$"/>
    <x v="0"/>
    <n v="0.4286627137323466"/>
  </r>
  <r>
    <s v="Integrated AI"/>
    <x v="3"/>
    <x v="2"/>
    <s v="Wireless Communications Electronics"/>
    <s v="Other Wireless Communications Electronics"/>
    <s v="Semiconductor Revenue M$"/>
    <x v="1"/>
    <n v="1.3426085667223393"/>
  </r>
  <r>
    <s v="Integrated AI"/>
    <x v="3"/>
    <x v="2"/>
    <s v="Wireless Communications Electronics"/>
    <s v="Other Wireless Communications Electronics"/>
    <s v="Semiconductor Revenue M$"/>
    <x v="2"/>
    <n v="3.634783452946778"/>
  </r>
  <r>
    <s v="Integrated AI"/>
    <x v="3"/>
    <x v="2"/>
    <s v="Wireless Communications Electronics"/>
    <s v="Other Wireless Communications Electronics"/>
    <s v="Semiconductor Revenue M$"/>
    <x v="3"/>
    <n v="9.1218447125576034"/>
  </r>
  <r>
    <s v="Integrated AI"/>
    <x v="3"/>
    <x v="2"/>
    <s v="Wireless Communications Electronics"/>
    <s v="Other Wireless Communications Electronics"/>
    <s v="Semiconductor Revenue M$"/>
    <x v="4"/>
    <n v="15.977552694437069"/>
  </r>
  <r>
    <s v="Integrated AI"/>
    <x v="3"/>
    <x v="2"/>
    <s v="Wireless Communications Electronics"/>
    <s v="Other Wireless Communications Electronics"/>
    <s v="Semiconductor Revenue M$"/>
    <x v="5"/>
    <n v="22.326028621583173"/>
  </r>
  <r>
    <s v="Integrated AI"/>
    <x v="3"/>
    <x v="2"/>
    <s v="Wireless Communications Electronics"/>
    <s v="Other Wireless Communications Electronics"/>
    <s v="Semiconductor Revenue M$"/>
    <x v="6"/>
    <n v="31.942868924602617"/>
  </r>
  <r>
    <s v="Integrated AI"/>
    <x v="3"/>
    <x v="2"/>
    <s v="Wired Communications Electronics"/>
    <s v="DSL Broadband Access"/>
    <s v="Semiconductor Revenue M$"/>
    <x v="0"/>
    <n v="0"/>
  </r>
  <r>
    <s v="Integrated AI"/>
    <x v="3"/>
    <x v="2"/>
    <s v="Wired Communications Electronics"/>
    <s v="DSL Broadband Access"/>
    <s v="Semiconductor Revenue M$"/>
    <x v="1"/>
    <n v="0"/>
  </r>
  <r>
    <s v="Integrated AI"/>
    <x v="3"/>
    <x v="2"/>
    <s v="Wired Communications Electronics"/>
    <s v="DSL Broadband Access"/>
    <s v="Semiconductor Revenue M$"/>
    <x v="2"/>
    <n v="0"/>
  </r>
  <r>
    <s v="Integrated AI"/>
    <x v="3"/>
    <x v="2"/>
    <s v="Wired Communications Electronics"/>
    <s v="DSL Broadband Access"/>
    <s v="Semiconductor Revenue M$"/>
    <x v="3"/>
    <n v="0"/>
  </r>
  <r>
    <s v="Integrated AI"/>
    <x v="3"/>
    <x v="2"/>
    <s v="Wired Communications Electronics"/>
    <s v="DSL Broadband Access"/>
    <s v="Semiconductor Revenue M$"/>
    <x v="4"/>
    <n v="0"/>
  </r>
  <r>
    <s v="Integrated AI"/>
    <x v="3"/>
    <x v="2"/>
    <s v="Wired Communications Electronics"/>
    <s v="DSL Broadband Access"/>
    <s v="Semiconductor Revenue M$"/>
    <x v="5"/>
    <n v="0"/>
  </r>
  <r>
    <s v="Integrated AI"/>
    <x v="3"/>
    <x v="2"/>
    <s v="Wired Communications Electronics"/>
    <s v="DSL Broadband Access"/>
    <s v="Semiconductor Revenue M$"/>
    <x v="6"/>
    <n v="0"/>
  </r>
  <r>
    <s v="Integrated AI"/>
    <x v="3"/>
    <x v="2"/>
    <s v="Wired Communications Electronics"/>
    <s v="Fiber Broadband Access"/>
    <s v="Semiconductor Revenue M$"/>
    <x v="0"/>
    <n v="0"/>
  </r>
  <r>
    <s v="Integrated AI"/>
    <x v="3"/>
    <x v="2"/>
    <s v="Wired Communications Electronics"/>
    <s v="Fiber Broadband Access"/>
    <s v="Semiconductor Revenue M$"/>
    <x v="1"/>
    <n v="0"/>
  </r>
  <r>
    <s v="Integrated AI"/>
    <x v="3"/>
    <x v="2"/>
    <s v="Wired Communications Electronics"/>
    <s v="Fiber Broadband Access"/>
    <s v="Semiconductor Revenue M$"/>
    <x v="2"/>
    <n v="0"/>
  </r>
  <r>
    <s v="Integrated AI"/>
    <x v="3"/>
    <x v="2"/>
    <s v="Wired Communications Electronics"/>
    <s v="Fiber Broadband Access"/>
    <s v="Semiconductor Revenue M$"/>
    <x v="3"/>
    <n v="0"/>
  </r>
  <r>
    <s v="Integrated AI"/>
    <x v="3"/>
    <x v="2"/>
    <s v="Wired Communications Electronics"/>
    <s v="Fiber Broadband Access"/>
    <s v="Semiconductor Revenue M$"/>
    <x v="4"/>
    <n v="0"/>
  </r>
  <r>
    <s v="Integrated AI"/>
    <x v="3"/>
    <x v="2"/>
    <s v="Wired Communications Electronics"/>
    <s v="Fiber Broadband Access"/>
    <s v="Semiconductor Revenue M$"/>
    <x v="5"/>
    <n v="0"/>
  </r>
  <r>
    <s v="Integrated AI"/>
    <x v="3"/>
    <x v="2"/>
    <s v="Wired Communications Electronics"/>
    <s v="Fiber Broadband Access"/>
    <s v="Semiconductor Revenue M$"/>
    <x v="6"/>
    <n v="0"/>
  </r>
  <r>
    <s v="Integrated AI"/>
    <x v="3"/>
    <x v="2"/>
    <s v="Wired Communications Electronics"/>
    <s v="Other Broadband Access"/>
    <s v="Semiconductor Revenue M$"/>
    <x v="0"/>
    <n v="0"/>
  </r>
  <r>
    <s v="Integrated AI"/>
    <x v="3"/>
    <x v="2"/>
    <s v="Wired Communications Electronics"/>
    <s v="Other Broadband Access"/>
    <s v="Semiconductor Revenue M$"/>
    <x v="1"/>
    <n v="0"/>
  </r>
  <r>
    <s v="Integrated AI"/>
    <x v="3"/>
    <x v="2"/>
    <s v="Wired Communications Electronics"/>
    <s v="Other Broadband Access"/>
    <s v="Semiconductor Revenue M$"/>
    <x v="2"/>
    <n v="0"/>
  </r>
  <r>
    <s v="Integrated AI"/>
    <x v="3"/>
    <x v="2"/>
    <s v="Wired Communications Electronics"/>
    <s v="Other Broadband Access"/>
    <s v="Semiconductor Revenue M$"/>
    <x v="3"/>
    <n v="0"/>
  </r>
  <r>
    <s v="Integrated AI"/>
    <x v="3"/>
    <x v="2"/>
    <s v="Wired Communications Electronics"/>
    <s v="Other Broadband Access"/>
    <s v="Semiconductor Revenue M$"/>
    <x v="4"/>
    <n v="0"/>
  </r>
  <r>
    <s v="Integrated AI"/>
    <x v="3"/>
    <x v="2"/>
    <s v="Wired Communications Electronics"/>
    <s v="Other Broadband Access"/>
    <s v="Semiconductor Revenue M$"/>
    <x v="5"/>
    <n v="0"/>
  </r>
  <r>
    <s v="Integrated AI"/>
    <x v="3"/>
    <x v="2"/>
    <s v="Wired Communications Electronics"/>
    <s v="Other Broadband Access"/>
    <s v="Semiconductor Revenue M$"/>
    <x v="6"/>
    <n v="0"/>
  </r>
  <r>
    <s v="Integrated AI"/>
    <x v="3"/>
    <x v="2"/>
    <s v="Wired Communications Electronics"/>
    <s v="Enterprise LAN"/>
    <s v="Semiconductor Revenue M$"/>
    <x v="0"/>
    <n v="1.246503827618181E-2"/>
  </r>
  <r>
    <s v="Integrated AI"/>
    <x v="3"/>
    <x v="2"/>
    <s v="Wired Communications Electronics"/>
    <s v="Enterprise LAN"/>
    <s v="Semiconductor Revenue M$"/>
    <x v="1"/>
    <n v="4.8911051536215444E-2"/>
  </r>
  <r>
    <s v="Integrated AI"/>
    <x v="3"/>
    <x v="2"/>
    <s v="Wired Communications Electronics"/>
    <s v="Enterprise LAN"/>
    <s v="Semiconductor Revenue M$"/>
    <x v="2"/>
    <n v="0.32186438432745229"/>
  </r>
  <r>
    <s v="Integrated AI"/>
    <x v="3"/>
    <x v="2"/>
    <s v="Wired Communications Electronics"/>
    <s v="Enterprise LAN"/>
    <s v="Semiconductor Revenue M$"/>
    <x v="3"/>
    <n v="1.2678306169695517"/>
  </r>
  <r>
    <s v="Integrated AI"/>
    <x v="3"/>
    <x v="2"/>
    <s v="Wired Communications Electronics"/>
    <s v="Enterprise LAN"/>
    <s v="Semiconductor Revenue M$"/>
    <x v="4"/>
    <n v="3.7015425057840528"/>
  </r>
  <r>
    <s v="Integrated AI"/>
    <x v="3"/>
    <x v="2"/>
    <s v="Wired Communications Electronics"/>
    <s v="Enterprise LAN"/>
    <s v="Semiconductor Revenue M$"/>
    <x v="5"/>
    <n v="9.1276086798240836"/>
  </r>
  <r>
    <s v="Integrated AI"/>
    <x v="3"/>
    <x v="2"/>
    <s v="Wired Communications Electronics"/>
    <s v="Enterprise LAN"/>
    <s v="Semiconductor Revenue M$"/>
    <x v="6"/>
    <n v="14.047736177218578"/>
  </r>
  <r>
    <s v="Integrated AI"/>
    <x v="3"/>
    <x v="3"/>
    <s v="Automotive Electronics"/>
    <s v="ADAS-ECU (Level-0/1/2)"/>
    <s v="Semiconductor Revenue M$"/>
    <x v="0"/>
    <n v="0.54631134957995142"/>
  </r>
  <r>
    <s v="Integrated AI"/>
    <x v="3"/>
    <x v="3"/>
    <s v="Automotive Electronics"/>
    <s v="ADAS-ECU (Level-0/1/2)"/>
    <s v="Semiconductor Revenue M$"/>
    <x v="1"/>
    <n v="1.2782786349509347"/>
  </r>
  <r>
    <s v="Integrated AI"/>
    <x v="3"/>
    <x v="3"/>
    <s v="Automotive Electronics"/>
    <s v="ADAS-ECU (Level-0/1/2)"/>
    <s v="Semiconductor Revenue M$"/>
    <x v="2"/>
    <n v="2.4050778265342316"/>
  </r>
  <r>
    <s v="Integrated AI"/>
    <x v="3"/>
    <x v="3"/>
    <s v="Automotive Electronics"/>
    <s v="ADAS-ECU (Level-0/1/2)"/>
    <s v="Semiconductor Revenue M$"/>
    <x v="3"/>
    <n v="4.0082076409185134"/>
  </r>
  <r>
    <s v="Integrated AI"/>
    <x v="3"/>
    <x v="3"/>
    <s v="Automotive Electronics"/>
    <s v="ADAS-ECU (Level-0/1/2)"/>
    <s v="Semiconductor Revenue M$"/>
    <x v="4"/>
    <n v="6.4807574104229628"/>
  </r>
  <r>
    <s v="Integrated AI"/>
    <x v="3"/>
    <x v="3"/>
    <s v="Automotive Electronics"/>
    <s v="ADAS-ECU (Level-0/1/2)"/>
    <s v="Semiconductor Revenue M$"/>
    <x v="5"/>
    <n v="9.8518987870235435"/>
  </r>
  <r>
    <s v="Integrated AI"/>
    <x v="3"/>
    <x v="3"/>
    <s v="Automotive Electronics"/>
    <s v="ADAS-ECU (Level-0/1/2)"/>
    <s v="Semiconductor Revenue M$"/>
    <x v="6"/>
    <n v="12.572254841158275"/>
  </r>
  <r>
    <s v="Integrated AI"/>
    <x v="3"/>
    <x v="2"/>
    <s v="Wired Communications Electronics"/>
    <s v="Enterprise WAN"/>
    <s v="Semiconductor Revenue M$"/>
    <x v="0"/>
    <n v="3.1169872563148536E-2"/>
  </r>
  <r>
    <s v="Integrated AI"/>
    <x v="3"/>
    <x v="2"/>
    <s v="Wired Communications Electronics"/>
    <s v="Enterprise WAN"/>
    <s v="Semiconductor Revenue M$"/>
    <x v="1"/>
    <n v="0.12504998883144197"/>
  </r>
  <r>
    <s v="Integrated AI"/>
    <x v="3"/>
    <x v="2"/>
    <s v="Wired Communications Electronics"/>
    <s v="Enterprise WAN"/>
    <s v="Semiconductor Revenue M$"/>
    <x v="2"/>
    <n v="0.61264464271475882"/>
  </r>
  <r>
    <s v="Integrated AI"/>
    <x v="3"/>
    <x v="2"/>
    <s v="Wired Communications Electronics"/>
    <s v="Enterprise WAN"/>
    <s v="Semiconductor Revenue M$"/>
    <x v="3"/>
    <n v="2.4531957849040844"/>
  </r>
  <r>
    <s v="Integrated AI"/>
    <x v="3"/>
    <x v="2"/>
    <s v="Wired Communications Electronics"/>
    <s v="Enterprise WAN"/>
    <s v="Semiconductor Revenue M$"/>
    <x v="4"/>
    <n v="7.4134970636823612"/>
  </r>
  <r>
    <s v="Integrated AI"/>
    <x v="3"/>
    <x v="2"/>
    <s v="Wired Communications Electronics"/>
    <s v="Enterprise WAN"/>
    <s v="Semiconductor Revenue M$"/>
    <x v="5"/>
    <n v="15.63597817280122"/>
  </r>
  <r>
    <s v="Integrated AI"/>
    <x v="3"/>
    <x v="2"/>
    <s v="Wired Communications Electronics"/>
    <s v="Enterprise WAN"/>
    <s v="Semiconductor Revenue M$"/>
    <x v="6"/>
    <n v="25.75970362161814"/>
  </r>
  <r>
    <s v="Integrated AI"/>
    <x v="3"/>
    <x v="2"/>
    <s v="Wired Communications Electronics"/>
    <s v="Optical Transport"/>
    <s v="Semiconductor Revenue M$"/>
    <x v="0"/>
    <n v="1.8904345091411628E-2"/>
  </r>
  <r>
    <s v="Integrated AI"/>
    <x v="3"/>
    <x v="2"/>
    <s v="Wired Communications Electronics"/>
    <s v="Optical Transport"/>
    <s v="Semiconductor Revenue M$"/>
    <x v="1"/>
    <n v="7.4098692062228841E-2"/>
  </r>
  <r>
    <s v="Integrated AI"/>
    <x v="3"/>
    <x v="2"/>
    <s v="Wired Communications Electronics"/>
    <s v="Optical Transport"/>
    <s v="Semiconductor Revenue M$"/>
    <x v="2"/>
    <n v="0.36709268063823297"/>
  </r>
  <r>
    <s v="Integrated AI"/>
    <x v="3"/>
    <x v="2"/>
    <s v="Wired Communications Electronics"/>
    <s v="Optical Transport"/>
    <s v="Semiconductor Revenue M$"/>
    <x v="3"/>
    <n v="1.4750204800021944"/>
  </r>
  <r>
    <s v="Integrated AI"/>
    <x v="3"/>
    <x v="2"/>
    <s v="Wired Communications Electronics"/>
    <s v="Optical Transport"/>
    <s v="Semiconductor Revenue M$"/>
    <x v="4"/>
    <n v="4.3655721022812308"/>
  </r>
  <r>
    <s v="Integrated AI"/>
    <x v="3"/>
    <x v="2"/>
    <s v="Wired Communications Electronics"/>
    <s v="Optical Transport"/>
    <s v="Semiconductor Revenue M$"/>
    <x v="5"/>
    <n v="9.1420033563642704"/>
  </r>
  <r>
    <s v="Integrated AI"/>
    <x v="3"/>
    <x v="2"/>
    <s v="Wired Communications Electronics"/>
    <s v="Optical Transport"/>
    <s v="Semiconductor Revenue M$"/>
    <x v="6"/>
    <n v="14.97853633073051"/>
  </r>
  <r>
    <s v="Integrated AI"/>
    <x v="3"/>
    <x v="2"/>
    <s v="Wired Communications Electronics"/>
    <s v="Service Provider Routers and Switches"/>
    <s v="Semiconductor Revenue M$"/>
    <x v="0"/>
    <n v="0"/>
  </r>
  <r>
    <s v="Integrated AI"/>
    <x v="3"/>
    <x v="2"/>
    <s v="Wired Communications Electronics"/>
    <s v="Service Provider Routers and Switches"/>
    <s v="Semiconductor Revenue M$"/>
    <x v="1"/>
    <n v="0"/>
  </r>
  <r>
    <s v="Integrated AI"/>
    <x v="3"/>
    <x v="2"/>
    <s v="Wired Communications Electronics"/>
    <s v="Service Provider Routers and Switches"/>
    <s v="Semiconductor Revenue M$"/>
    <x v="2"/>
    <n v="0"/>
  </r>
  <r>
    <s v="Integrated AI"/>
    <x v="3"/>
    <x v="2"/>
    <s v="Wired Communications Electronics"/>
    <s v="Service Provider Routers and Switches"/>
    <s v="Semiconductor Revenue M$"/>
    <x v="3"/>
    <n v="0"/>
  </r>
  <r>
    <s v="Integrated AI"/>
    <x v="3"/>
    <x v="2"/>
    <s v="Wired Communications Electronics"/>
    <s v="Service Provider Routers and Switches"/>
    <s v="Semiconductor Revenue M$"/>
    <x v="4"/>
    <n v="0"/>
  </r>
  <r>
    <s v="Integrated AI"/>
    <x v="3"/>
    <x v="2"/>
    <s v="Wired Communications Electronics"/>
    <s v="Service Provider Routers and Switches"/>
    <s v="Semiconductor Revenue M$"/>
    <x v="5"/>
    <n v="0"/>
  </r>
  <r>
    <s v="Integrated AI"/>
    <x v="3"/>
    <x v="2"/>
    <s v="Wired Communications Electronics"/>
    <s v="Service Provider Routers and Switches"/>
    <s v="Semiconductor Revenue M$"/>
    <x v="6"/>
    <n v="0"/>
  </r>
  <r>
    <s v="Integrated AI"/>
    <x v="3"/>
    <x v="2"/>
    <s v="Wired Communications Electronics"/>
    <s v="Other Wired Communications Electronics"/>
    <s v="Semiconductor Revenue M$"/>
    <x v="0"/>
    <n v="0"/>
  </r>
  <r>
    <s v="Integrated AI"/>
    <x v="3"/>
    <x v="2"/>
    <s v="Wired Communications Electronics"/>
    <s v="Other Wired Communications Electronics"/>
    <s v="Semiconductor Revenue M$"/>
    <x v="1"/>
    <n v="0"/>
  </r>
  <r>
    <s v="Integrated AI"/>
    <x v="3"/>
    <x v="2"/>
    <s v="Wired Communications Electronics"/>
    <s v="Other Wired Communications Electronics"/>
    <s v="Semiconductor Revenue M$"/>
    <x v="2"/>
    <n v="0"/>
  </r>
  <r>
    <s v="Integrated AI"/>
    <x v="3"/>
    <x v="2"/>
    <s v="Wired Communications Electronics"/>
    <s v="Other Wired Communications Electronics"/>
    <s v="Semiconductor Revenue M$"/>
    <x v="3"/>
    <n v="0"/>
  </r>
  <r>
    <s v="Integrated AI"/>
    <x v="3"/>
    <x v="2"/>
    <s v="Wired Communications Electronics"/>
    <s v="Other Wired Communications Electronics"/>
    <s v="Semiconductor Revenue M$"/>
    <x v="4"/>
    <n v="0"/>
  </r>
  <r>
    <s v="Integrated AI"/>
    <x v="3"/>
    <x v="2"/>
    <s v="Wired Communications Electronics"/>
    <s v="Other Wired Communications Electronics"/>
    <s v="Semiconductor Revenue M$"/>
    <x v="5"/>
    <n v="0"/>
  </r>
  <r>
    <s v="Integrated AI"/>
    <x v="3"/>
    <x v="2"/>
    <s v="Wired Communications Electronics"/>
    <s v="Other Wired Communications Electronics"/>
    <s v="Semiconductor Revenue M$"/>
    <x v="6"/>
    <n v="0"/>
  </r>
  <r>
    <s v="Integrated AI"/>
    <x v="3"/>
    <x v="4"/>
    <s v="Consumer Electronics"/>
    <s v="Appliances"/>
    <s v="Semiconductor Revenue M$"/>
    <x v="0"/>
    <n v="0"/>
  </r>
  <r>
    <s v="Integrated AI"/>
    <x v="3"/>
    <x v="4"/>
    <s v="Consumer Electronics"/>
    <s v="Appliances"/>
    <s v="Semiconductor Revenue M$"/>
    <x v="1"/>
    <n v="0"/>
  </r>
  <r>
    <s v="Integrated AI"/>
    <x v="3"/>
    <x v="4"/>
    <s v="Consumer Electronics"/>
    <s v="Appliances"/>
    <s v="Semiconductor Revenue M$"/>
    <x v="2"/>
    <n v="0"/>
  </r>
  <r>
    <s v="Integrated AI"/>
    <x v="3"/>
    <x v="4"/>
    <s v="Consumer Electronics"/>
    <s v="Appliances"/>
    <s v="Semiconductor Revenue M$"/>
    <x v="3"/>
    <n v="0"/>
  </r>
  <r>
    <s v="Integrated AI"/>
    <x v="3"/>
    <x v="4"/>
    <s v="Consumer Electronics"/>
    <s v="Appliances"/>
    <s v="Semiconductor Revenue M$"/>
    <x v="4"/>
    <n v="0"/>
  </r>
  <r>
    <s v="Integrated AI"/>
    <x v="3"/>
    <x v="4"/>
    <s v="Consumer Electronics"/>
    <s v="Appliances"/>
    <s v="Semiconductor Revenue M$"/>
    <x v="5"/>
    <n v="0"/>
  </r>
  <r>
    <s v="Integrated AI"/>
    <x v="3"/>
    <x v="4"/>
    <s v="Consumer Electronics"/>
    <s v="Appliances"/>
    <s v="Semiconductor Revenue M$"/>
    <x v="6"/>
    <n v="0"/>
  </r>
  <r>
    <s v="Integrated AI"/>
    <x v="3"/>
    <x v="4"/>
    <s v="Consumer Electronics"/>
    <s v="Digital Camcorder"/>
    <s v="Semiconductor Revenue M$"/>
    <x v="0"/>
    <n v="1.2630468881494381E-5"/>
  </r>
  <r>
    <s v="Integrated AI"/>
    <x v="3"/>
    <x v="4"/>
    <s v="Consumer Electronics"/>
    <s v="Digital Camcorder"/>
    <s v="Semiconductor Revenue M$"/>
    <x v="1"/>
    <n v="3.3515110813482238E-5"/>
  </r>
  <r>
    <s v="Integrated AI"/>
    <x v="3"/>
    <x v="4"/>
    <s v="Consumer Electronics"/>
    <s v="Digital Camcorder"/>
    <s v="Semiconductor Revenue M$"/>
    <x v="2"/>
    <n v="7.682472395802746E-5"/>
  </r>
  <r>
    <s v="Integrated AI"/>
    <x v="3"/>
    <x v="4"/>
    <s v="Consumer Electronics"/>
    <s v="Digital Camcorder"/>
    <s v="Semiconductor Revenue M$"/>
    <x v="3"/>
    <n v="1.7339866225144838E-4"/>
  </r>
  <r>
    <s v="Integrated AI"/>
    <x v="3"/>
    <x v="4"/>
    <s v="Consumer Electronics"/>
    <s v="Digital Camcorder"/>
    <s v="Semiconductor Revenue M$"/>
    <x v="4"/>
    <n v="3.9056114072598917E-4"/>
  </r>
  <r>
    <s v="Integrated AI"/>
    <x v="3"/>
    <x v="4"/>
    <s v="Consumer Electronics"/>
    <s v="Digital Camcorder"/>
    <s v="Semiconductor Revenue M$"/>
    <x v="5"/>
    <n v="8.0309367875567336E-4"/>
  </r>
  <r>
    <s v="Integrated AI"/>
    <x v="3"/>
    <x v="4"/>
    <s v="Consumer Electronics"/>
    <s v="Digital Camcorder"/>
    <s v="Semiconductor Revenue M$"/>
    <x v="6"/>
    <n v="1.5716076236977118E-3"/>
  </r>
  <r>
    <s v="Integrated AI"/>
    <x v="3"/>
    <x v="4"/>
    <s v="Consumer Electronics"/>
    <s v="Digital Set-Top Box, Cable"/>
    <s v="Semiconductor Revenue M$"/>
    <x v="0"/>
    <n v="0"/>
  </r>
  <r>
    <s v="Integrated AI"/>
    <x v="3"/>
    <x v="4"/>
    <s v="Consumer Electronics"/>
    <s v="Digital Set-Top Box, Cable"/>
    <s v="Semiconductor Revenue M$"/>
    <x v="1"/>
    <n v="0"/>
  </r>
  <r>
    <s v="Integrated AI"/>
    <x v="3"/>
    <x v="4"/>
    <s v="Consumer Electronics"/>
    <s v="Digital Set-Top Box, Cable"/>
    <s v="Semiconductor Revenue M$"/>
    <x v="2"/>
    <n v="0"/>
  </r>
  <r>
    <s v="Integrated AI"/>
    <x v="3"/>
    <x v="4"/>
    <s v="Consumer Electronics"/>
    <s v="Digital Set-Top Box, Cable"/>
    <s v="Semiconductor Revenue M$"/>
    <x v="3"/>
    <n v="0"/>
  </r>
  <r>
    <s v="Integrated AI"/>
    <x v="3"/>
    <x v="4"/>
    <s v="Consumer Electronics"/>
    <s v="Digital Set-Top Box, Cable"/>
    <s v="Semiconductor Revenue M$"/>
    <x v="4"/>
    <n v="0"/>
  </r>
  <r>
    <s v="Integrated AI"/>
    <x v="3"/>
    <x v="4"/>
    <s v="Consumer Electronics"/>
    <s v="Digital Set-Top Box, Cable"/>
    <s v="Semiconductor Revenue M$"/>
    <x v="5"/>
    <n v="0"/>
  </r>
  <r>
    <s v="Integrated AI"/>
    <x v="3"/>
    <x v="4"/>
    <s v="Consumer Electronics"/>
    <s v="Digital Set-Top Box, Cable"/>
    <s v="Semiconductor Revenue M$"/>
    <x v="6"/>
    <n v="0"/>
  </r>
  <r>
    <s v="Integrated AI"/>
    <x v="3"/>
    <x v="4"/>
    <s v="Consumer Electronics"/>
    <s v="Digital Set-Top Box, Satellite"/>
    <s v="Semiconductor Revenue M$"/>
    <x v="0"/>
    <n v="0"/>
  </r>
  <r>
    <s v="Integrated AI"/>
    <x v="3"/>
    <x v="4"/>
    <s v="Consumer Electronics"/>
    <s v="Digital Set-Top Box, Satellite"/>
    <s v="Semiconductor Revenue M$"/>
    <x v="1"/>
    <n v="0"/>
  </r>
  <r>
    <s v="Integrated AI"/>
    <x v="3"/>
    <x v="4"/>
    <s v="Consumer Electronics"/>
    <s v="Digital Set-Top Box, Satellite"/>
    <s v="Semiconductor Revenue M$"/>
    <x v="2"/>
    <n v="0"/>
  </r>
  <r>
    <s v="Integrated AI"/>
    <x v="3"/>
    <x v="4"/>
    <s v="Consumer Electronics"/>
    <s v="Digital Set-Top Box, Satellite"/>
    <s v="Semiconductor Revenue M$"/>
    <x v="3"/>
    <n v="0"/>
  </r>
  <r>
    <s v="Integrated AI"/>
    <x v="3"/>
    <x v="4"/>
    <s v="Consumer Electronics"/>
    <s v="Digital Set-Top Box, Satellite"/>
    <s v="Semiconductor Revenue M$"/>
    <x v="4"/>
    <n v="0"/>
  </r>
  <r>
    <s v="Integrated AI"/>
    <x v="3"/>
    <x v="4"/>
    <s v="Consumer Electronics"/>
    <s v="Digital Set-Top Box, Satellite"/>
    <s v="Semiconductor Revenue M$"/>
    <x v="5"/>
    <n v="0"/>
  </r>
  <r>
    <s v="Integrated AI"/>
    <x v="3"/>
    <x v="4"/>
    <s v="Consumer Electronics"/>
    <s v="Digital Set-Top Box, Satellite"/>
    <s v="Semiconductor Revenue M$"/>
    <x v="6"/>
    <n v="0"/>
  </r>
  <r>
    <s v="Integrated AI"/>
    <x v="3"/>
    <x v="4"/>
    <s v="Consumer Electronics"/>
    <s v="Digital Set-Top Box, Terrestrial"/>
    <s v="Semiconductor Revenue M$"/>
    <x v="0"/>
    <n v="0"/>
  </r>
  <r>
    <s v="Integrated AI"/>
    <x v="3"/>
    <x v="4"/>
    <s v="Consumer Electronics"/>
    <s v="Digital Set-Top Box, Terrestrial"/>
    <s v="Semiconductor Revenue M$"/>
    <x v="1"/>
    <n v="0"/>
  </r>
  <r>
    <s v="Integrated AI"/>
    <x v="3"/>
    <x v="4"/>
    <s v="Consumer Electronics"/>
    <s v="Digital Set-Top Box, Terrestrial"/>
    <s v="Semiconductor Revenue M$"/>
    <x v="2"/>
    <n v="0"/>
  </r>
  <r>
    <s v="Integrated AI"/>
    <x v="3"/>
    <x v="4"/>
    <s v="Consumer Electronics"/>
    <s v="Digital Set-Top Box, Terrestrial"/>
    <s v="Semiconductor Revenue M$"/>
    <x v="3"/>
    <n v="0"/>
  </r>
  <r>
    <s v="Integrated AI"/>
    <x v="3"/>
    <x v="4"/>
    <s v="Consumer Electronics"/>
    <s v="Digital Set-Top Box, Terrestrial"/>
    <s v="Semiconductor Revenue M$"/>
    <x v="4"/>
    <n v="0"/>
  </r>
  <r>
    <s v="Integrated AI"/>
    <x v="3"/>
    <x v="4"/>
    <s v="Consumer Electronics"/>
    <s v="Digital Set-Top Box, Terrestrial"/>
    <s v="Semiconductor Revenue M$"/>
    <x v="5"/>
    <n v="0"/>
  </r>
  <r>
    <s v="Integrated AI"/>
    <x v="3"/>
    <x v="4"/>
    <s v="Consumer Electronics"/>
    <s v="Digital Set-Top Box, Terrestrial"/>
    <s v="Semiconductor Revenue M$"/>
    <x v="6"/>
    <n v="0"/>
  </r>
  <r>
    <s v="Integrated AI"/>
    <x v="3"/>
    <x v="4"/>
    <s v="Consumer Electronics"/>
    <s v="Digital Set-Top Box, IP/Other"/>
    <s v="Semiconductor Revenue M$"/>
    <x v="0"/>
    <n v="0"/>
  </r>
  <r>
    <s v="Integrated AI"/>
    <x v="3"/>
    <x v="4"/>
    <s v="Consumer Electronics"/>
    <s v="Digital Set-Top Box, IP/Other"/>
    <s v="Semiconductor Revenue M$"/>
    <x v="1"/>
    <n v="0"/>
  </r>
  <r>
    <s v="Integrated AI"/>
    <x v="3"/>
    <x v="4"/>
    <s v="Consumer Electronics"/>
    <s v="Digital Set-Top Box, IP/Other"/>
    <s v="Semiconductor Revenue M$"/>
    <x v="2"/>
    <n v="0"/>
  </r>
  <r>
    <s v="Integrated AI"/>
    <x v="3"/>
    <x v="4"/>
    <s v="Consumer Electronics"/>
    <s v="Digital Set-Top Box, IP/Other"/>
    <s v="Semiconductor Revenue M$"/>
    <x v="3"/>
    <n v="0"/>
  </r>
  <r>
    <s v="Integrated AI"/>
    <x v="3"/>
    <x v="4"/>
    <s v="Consumer Electronics"/>
    <s v="Digital Set-Top Box, IP/Other"/>
    <s v="Semiconductor Revenue M$"/>
    <x v="4"/>
    <n v="0"/>
  </r>
  <r>
    <s v="Integrated AI"/>
    <x v="3"/>
    <x v="4"/>
    <s v="Consumer Electronics"/>
    <s v="Digital Set-Top Box, IP/Other"/>
    <s v="Semiconductor Revenue M$"/>
    <x v="5"/>
    <n v="0"/>
  </r>
  <r>
    <s v="Integrated AI"/>
    <x v="3"/>
    <x v="4"/>
    <s v="Consumer Electronics"/>
    <s v="Digital Set-Top Box, IP/Other"/>
    <s v="Semiconductor Revenue M$"/>
    <x v="6"/>
    <n v="0"/>
  </r>
  <r>
    <s v="Integrated AI"/>
    <x v="3"/>
    <x v="4"/>
    <s v="Consumer Electronics"/>
    <s v="Digital Still Camera"/>
    <s v="Semiconductor Revenue M$"/>
    <x v="0"/>
    <n v="0"/>
  </r>
  <r>
    <s v="Integrated AI"/>
    <x v="3"/>
    <x v="4"/>
    <s v="Consumer Electronics"/>
    <s v="Digital Still Camera"/>
    <s v="Semiconductor Revenue M$"/>
    <x v="1"/>
    <n v="0"/>
  </r>
  <r>
    <s v="Integrated AI"/>
    <x v="3"/>
    <x v="4"/>
    <s v="Consumer Electronics"/>
    <s v="Digital Still Camera"/>
    <s v="Semiconductor Revenue M$"/>
    <x v="2"/>
    <n v="0"/>
  </r>
  <r>
    <s v="Integrated AI"/>
    <x v="3"/>
    <x v="4"/>
    <s v="Consumer Electronics"/>
    <s v="Digital Still Camera"/>
    <s v="Semiconductor Revenue M$"/>
    <x v="3"/>
    <n v="0"/>
  </r>
  <r>
    <s v="Integrated AI"/>
    <x v="3"/>
    <x v="4"/>
    <s v="Consumer Electronics"/>
    <s v="Digital Still Camera"/>
    <s v="Semiconductor Revenue M$"/>
    <x v="4"/>
    <n v="0"/>
  </r>
  <r>
    <s v="Integrated AI"/>
    <x v="3"/>
    <x v="4"/>
    <s v="Consumer Electronics"/>
    <s v="Digital Still Camera"/>
    <s v="Semiconductor Revenue M$"/>
    <x v="5"/>
    <n v="0"/>
  </r>
  <r>
    <s v="Integrated AI"/>
    <x v="3"/>
    <x v="4"/>
    <s v="Consumer Electronics"/>
    <s v="Digital Still Camera"/>
    <s v="Semiconductor Revenue M$"/>
    <x v="6"/>
    <n v="0"/>
  </r>
  <r>
    <s v="Integrated AI"/>
    <x v="3"/>
    <x v="5"/>
    <s v="Industrial Electronics"/>
    <s v="Agriculture"/>
    <s v="Semiconductor Revenue M$"/>
    <x v="0"/>
    <n v="3.0543700530767746E-3"/>
  </r>
  <r>
    <s v="Integrated AI"/>
    <x v="3"/>
    <x v="5"/>
    <s v="Industrial Electronics"/>
    <s v="Agriculture"/>
    <s v="Semiconductor Revenue M$"/>
    <x v="1"/>
    <n v="8.48639840120252E-3"/>
  </r>
  <r>
    <s v="Integrated AI"/>
    <x v="3"/>
    <x v="5"/>
    <s v="Industrial Electronics"/>
    <s v="Agriculture"/>
    <s v="Semiconductor Revenue M$"/>
    <x v="2"/>
    <n v="2.3798504276744504E-2"/>
  </r>
  <r>
    <s v="Integrated AI"/>
    <x v="3"/>
    <x v="5"/>
    <s v="Industrial Electronics"/>
    <s v="Agriculture"/>
    <s v="Semiconductor Revenue M$"/>
    <x v="3"/>
    <n v="7.8860412191504053E-2"/>
  </r>
  <r>
    <s v="Integrated AI"/>
    <x v="3"/>
    <x v="5"/>
    <s v="Industrial Electronics"/>
    <s v="Agriculture"/>
    <s v="Semiconductor Revenue M$"/>
    <x v="4"/>
    <n v="0.1874174703697776"/>
  </r>
  <r>
    <s v="Integrated AI"/>
    <x v="3"/>
    <x v="5"/>
    <s v="Industrial Electronics"/>
    <s v="Agriculture"/>
    <s v="Semiconductor Revenue M$"/>
    <x v="5"/>
    <n v="0.25646953601150518"/>
  </r>
  <r>
    <s v="Integrated AI"/>
    <x v="3"/>
    <x v="5"/>
    <s v="Industrial Electronics"/>
    <s v="Agriculture"/>
    <s v="Semiconductor Revenue M$"/>
    <x v="6"/>
    <n v="0.35578083416224865"/>
  </r>
  <r>
    <s v="Integrated AI"/>
    <x v="3"/>
    <x v="3"/>
    <s v="Automotive Electronics"/>
    <s v="Automotive HPC"/>
    <s v="Semiconductor Revenue M$"/>
    <x v="0"/>
    <n v="0"/>
  </r>
  <r>
    <s v="Integrated AI"/>
    <x v="3"/>
    <x v="3"/>
    <s v="Automotive Electronics"/>
    <s v="Automotive HPC"/>
    <s v="Semiconductor Revenue M$"/>
    <x v="1"/>
    <n v="0"/>
  </r>
  <r>
    <s v="Integrated AI"/>
    <x v="3"/>
    <x v="3"/>
    <s v="Automotive Electronics"/>
    <s v="Automotive HPC"/>
    <s v="Semiconductor Revenue M$"/>
    <x v="2"/>
    <n v="0"/>
  </r>
  <r>
    <s v="Integrated AI"/>
    <x v="3"/>
    <x v="3"/>
    <s v="Automotive Electronics"/>
    <s v="Automotive HPC"/>
    <s v="Semiconductor Revenue M$"/>
    <x v="3"/>
    <n v="3.5138878328584973E-3"/>
  </r>
  <r>
    <s v="Integrated AI"/>
    <x v="3"/>
    <x v="3"/>
    <s v="Automotive Electronics"/>
    <s v="Automotive HPC"/>
    <s v="Semiconductor Revenue M$"/>
    <x v="4"/>
    <n v="1.9146074551750991E-2"/>
  </r>
  <r>
    <s v="Integrated AI"/>
    <x v="3"/>
    <x v="3"/>
    <s v="Automotive Electronics"/>
    <s v="Automotive HPC"/>
    <s v="Semiconductor Revenue M$"/>
    <x v="5"/>
    <n v="5.8855795838103776E-2"/>
  </r>
  <r>
    <s v="Integrated AI"/>
    <x v="3"/>
    <x v="3"/>
    <s v="Automotive Electronics"/>
    <s v="Automotive HPC"/>
    <s v="Semiconductor Revenue M$"/>
    <x v="6"/>
    <n v="0"/>
  </r>
  <r>
    <s v="Integrated AI"/>
    <x v="3"/>
    <x v="5"/>
    <s v="Industrial Electronics"/>
    <s v="Surveillance"/>
    <s v="Semiconductor Revenue M$"/>
    <x v="0"/>
    <n v="3.9588545882450102E-2"/>
  </r>
  <r>
    <s v="Integrated AI"/>
    <x v="3"/>
    <x v="5"/>
    <s v="Industrial Electronics"/>
    <s v="Surveillance"/>
    <s v="Semiconductor Revenue M$"/>
    <x v="1"/>
    <n v="0.13621961942677954"/>
  </r>
  <r>
    <s v="Integrated AI"/>
    <x v="3"/>
    <x v="5"/>
    <s v="Industrial Electronics"/>
    <s v="Surveillance"/>
    <s v="Semiconductor Revenue M$"/>
    <x v="2"/>
    <n v="0.40768249832201869"/>
  </r>
  <r>
    <s v="Integrated AI"/>
    <x v="3"/>
    <x v="5"/>
    <s v="Industrial Electronics"/>
    <s v="Surveillance"/>
    <s v="Semiconductor Revenue M$"/>
    <x v="3"/>
    <n v="1.2486037732315125"/>
  </r>
  <r>
    <s v="Integrated AI"/>
    <x v="3"/>
    <x v="5"/>
    <s v="Industrial Electronics"/>
    <s v="Surveillance"/>
    <s v="Semiconductor Revenue M$"/>
    <x v="4"/>
    <n v="3.5161335746836215"/>
  </r>
  <r>
    <s v="Integrated AI"/>
    <x v="3"/>
    <x v="5"/>
    <s v="Industrial Electronics"/>
    <s v="Surveillance"/>
    <s v="Semiconductor Revenue M$"/>
    <x v="5"/>
    <n v="5.6606939547032606"/>
  </r>
  <r>
    <s v="Integrated AI"/>
    <x v="3"/>
    <x v="5"/>
    <s v="Industrial Electronics"/>
    <s v="Surveillance"/>
    <s v="Semiconductor Revenue M$"/>
    <x v="6"/>
    <n v="8.1381480296381508"/>
  </r>
  <r>
    <s v="Integrated AI"/>
    <x v="3"/>
    <x v="4"/>
    <s v="Consumer Electronics"/>
    <s v="Portable Media Players"/>
    <s v="Semiconductor Revenue M$"/>
    <x v="0"/>
    <n v="0"/>
  </r>
  <r>
    <s v="Integrated AI"/>
    <x v="3"/>
    <x v="4"/>
    <s v="Consumer Electronics"/>
    <s v="Portable Media Players"/>
    <s v="Semiconductor Revenue M$"/>
    <x v="1"/>
    <n v="0"/>
  </r>
  <r>
    <s v="Integrated AI"/>
    <x v="3"/>
    <x v="4"/>
    <s v="Consumer Electronics"/>
    <s v="Portable Media Players"/>
    <s v="Semiconductor Revenue M$"/>
    <x v="2"/>
    <n v="0"/>
  </r>
  <r>
    <s v="Integrated AI"/>
    <x v="3"/>
    <x v="4"/>
    <s v="Consumer Electronics"/>
    <s v="Portable Media Players"/>
    <s v="Semiconductor Revenue M$"/>
    <x v="3"/>
    <n v="0"/>
  </r>
  <r>
    <s v="Integrated AI"/>
    <x v="3"/>
    <x v="4"/>
    <s v="Consumer Electronics"/>
    <s v="Portable Media Players"/>
    <s v="Semiconductor Revenue M$"/>
    <x v="4"/>
    <n v="0"/>
  </r>
  <r>
    <s v="Integrated AI"/>
    <x v="3"/>
    <x v="4"/>
    <s v="Consumer Electronics"/>
    <s v="Portable Media Players"/>
    <s v="Semiconductor Revenue M$"/>
    <x v="5"/>
    <n v="0"/>
  </r>
  <r>
    <s v="Integrated AI"/>
    <x v="3"/>
    <x v="4"/>
    <s v="Consumer Electronics"/>
    <s v="Portable Media Players"/>
    <s v="Semiconductor Revenue M$"/>
    <x v="6"/>
    <n v="0"/>
  </r>
  <r>
    <s v="Integrated AI"/>
    <x v="3"/>
    <x v="4"/>
    <s v="Consumer Electronics"/>
    <s v="Smart Speakers"/>
    <s v="Semiconductor Revenue M$"/>
    <x v="0"/>
    <n v="2.1308021199826586E-5"/>
  </r>
  <r>
    <s v="Integrated AI"/>
    <x v="3"/>
    <x v="4"/>
    <s v="Consumer Electronics"/>
    <s v="Smart Speakers"/>
    <s v="Semiconductor Revenue M$"/>
    <x v="1"/>
    <n v="7.7286321772757004E-5"/>
  </r>
  <r>
    <s v="Integrated AI"/>
    <x v="3"/>
    <x v="4"/>
    <s v="Consumer Electronics"/>
    <s v="Smart Speakers"/>
    <s v="Semiconductor Revenue M$"/>
    <x v="2"/>
    <n v="2.3338905457503036E-4"/>
  </r>
  <r>
    <s v="Integrated AI"/>
    <x v="3"/>
    <x v="4"/>
    <s v="Consumer Electronics"/>
    <s v="Smart Speakers"/>
    <s v="Semiconductor Revenue M$"/>
    <x v="3"/>
    <n v="7.3605773618069597E-4"/>
  </r>
  <r>
    <s v="Integrated AI"/>
    <x v="3"/>
    <x v="4"/>
    <s v="Consumer Electronics"/>
    <s v="Smart Speakers"/>
    <s v="Semiconductor Revenue M$"/>
    <x v="4"/>
    <n v="2.2907463300149322E-3"/>
  </r>
  <r>
    <s v="Integrated AI"/>
    <x v="3"/>
    <x v="4"/>
    <s v="Consumer Electronics"/>
    <s v="Smart Speakers"/>
    <s v="Semiconductor Revenue M$"/>
    <x v="5"/>
    <n v="5.7468664600740221E-3"/>
  </r>
  <r>
    <s v="Integrated AI"/>
    <x v="3"/>
    <x v="4"/>
    <s v="Consumer Electronics"/>
    <s v="Smart Speakers"/>
    <s v="Semiconductor Revenue M$"/>
    <x v="6"/>
    <n v="1.3602316910773132E-2"/>
  </r>
  <r>
    <s v="Integrated AI"/>
    <x v="3"/>
    <x v="4"/>
    <s v="Consumer Electronics"/>
    <s v="TV, Standard"/>
    <s v="Semiconductor Revenue M$"/>
    <x v="0"/>
    <n v="0"/>
  </r>
  <r>
    <s v="Integrated AI"/>
    <x v="3"/>
    <x v="4"/>
    <s v="Consumer Electronics"/>
    <s v="TV, Standard"/>
    <s v="Semiconductor Revenue M$"/>
    <x v="1"/>
    <n v="0"/>
  </r>
  <r>
    <s v="Integrated AI"/>
    <x v="3"/>
    <x v="4"/>
    <s v="Consumer Electronics"/>
    <s v="TV, Standard"/>
    <s v="Semiconductor Revenue M$"/>
    <x v="2"/>
    <n v="0"/>
  </r>
  <r>
    <s v="Integrated AI"/>
    <x v="3"/>
    <x v="4"/>
    <s v="Consumer Electronics"/>
    <s v="TV, Standard"/>
    <s v="Semiconductor Revenue M$"/>
    <x v="3"/>
    <n v="0"/>
  </r>
  <r>
    <s v="Integrated AI"/>
    <x v="3"/>
    <x v="4"/>
    <s v="Consumer Electronics"/>
    <s v="TV, Standard"/>
    <s v="Semiconductor Revenue M$"/>
    <x v="4"/>
    <n v="0"/>
  </r>
  <r>
    <s v="Integrated AI"/>
    <x v="3"/>
    <x v="4"/>
    <s v="Consumer Electronics"/>
    <s v="TV, Standard"/>
    <s v="Semiconductor Revenue M$"/>
    <x v="5"/>
    <n v="0"/>
  </r>
  <r>
    <s v="Integrated AI"/>
    <x v="3"/>
    <x v="4"/>
    <s v="Consumer Electronics"/>
    <s v="TV, Standard"/>
    <s v="Semiconductor Revenue M$"/>
    <x v="6"/>
    <n v="0"/>
  </r>
  <r>
    <s v="Integrated AI"/>
    <x v="3"/>
    <x v="4"/>
    <s v="Consumer Electronics"/>
    <s v="TV, Smart"/>
    <s v="Semiconductor Revenue M$"/>
    <x v="0"/>
    <n v="0"/>
  </r>
  <r>
    <s v="Integrated AI"/>
    <x v="3"/>
    <x v="4"/>
    <s v="Consumer Electronics"/>
    <s v="TV, Smart"/>
    <s v="Semiconductor Revenue M$"/>
    <x v="1"/>
    <n v="0"/>
  </r>
  <r>
    <s v="Integrated AI"/>
    <x v="3"/>
    <x v="4"/>
    <s v="Consumer Electronics"/>
    <s v="TV, Smart"/>
    <s v="Semiconductor Revenue M$"/>
    <x v="2"/>
    <n v="0"/>
  </r>
  <r>
    <s v="Integrated AI"/>
    <x v="3"/>
    <x v="4"/>
    <s v="Consumer Electronics"/>
    <s v="TV, Smart"/>
    <s v="Semiconductor Revenue M$"/>
    <x v="3"/>
    <n v="0"/>
  </r>
  <r>
    <s v="Integrated AI"/>
    <x v="3"/>
    <x v="4"/>
    <s v="Consumer Electronics"/>
    <s v="TV, Smart"/>
    <s v="Semiconductor Revenue M$"/>
    <x v="4"/>
    <n v="0"/>
  </r>
  <r>
    <s v="Integrated AI"/>
    <x v="3"/>
    <x v="4"/>
    <s v="Consumer Electronics"/>
    <s v="TV, Smart"/>
    <s v="Semiconductor Revenue M$"/>
    <x v="5"/>
    <n v="0"/>
  </r>
  <r>
    <s v="Integrated AI"/>
    <x v="3"/>
    <x v="4"/>
    <s v="Consumer Electronics"/>
    <s v="TV, Smart"/>
    <s v="Semiconductor Revenue M$"/>
    <x v="6"/>
    <n v="0"/>
  </r>
  <r>
    <s v="Integrated AI"/>
    <x v="3"/>
    <x v="4"/>
    <s v="Consumer Electronics"/>
    <s v="Video Game Consoles"/>
    <s v="Semiconductor Revenue M$"/>
    <x v="0"/>
    <n v="0"/>
  </r>
  <r>
    <s v="Integrated AI"/>
    <x v="3"/>
    <x v="4"/>
    <s v="Consumer Electronics"/>
    <s v="Video Game Consoles"/>
    <s v="Semiconductor Revenue M$"/>
    <x v="1"/>
    <n v="0"/>
  </r>
  <r>
    <s v="Integrated AI"/>
    <x v="3"/>
    <x v="4"/>
    <s v="Consumer Electronics"/>
    <s v="Video Game Consoles"/>
    <s v="Semiconductor Revenue M$"/>
    <x v="2"/>
    <n v="0"/>
  </r>
  <r>
    <s v="Integrated AI"/>
    <x v="3"/>
    <x v="4"/>
    <s v="Consumer Electronics"/>
    <s v="Video Game Consoles"/>
    <s v="Semiconductor Revenue M$"/>
    <x v="3"/>
    <n v="0"/>
  </r>
  <r>
    <s v="Integrated AI"/>
    <x v="3"/>
    <x v="4"/>
    <s v="Consumer Electronics"/>
    <s v="Video Game Consoles"/>
    <s v="Semiconductor Revenue M$"/>
    <x v="4"/>
    <n v="0"/>
  </r>
  <r>
    <s v="Integrated AI"/>
    <x v="3"/>
    <x v="4"/>
    <s v="Consumer Electronics"/>
    <s v="Video Game Consoles"/>
    <s v="Semiconductor Revenue M$"/>
    <x v="5"/>
    <n v="0"/>
  </r>
  <r>
    <s v="Integrated AI"/>
    <x v="3"/>
    <x v="4"/>
    <s v="Consumer Electronics"/>
    <s v="Video Game Consoles"/>
    <s v="Semiconductor Revenue M$"/>
    <x v="6"/>
    <n v="0"/>
  </r>
  <r>
    <s v="Integrated AI"/>
    <x v="3"/>
    <x v="4"/>
    <s v="Consumer Electronics"/>
    <s v="Video Game Handhelds"/>
    <s v="Semiconductor Revenue M$"/>
    <x v="0"/>
    <n v="0"/>
  </r>
  <r>
    <s v="Integrated AI"/>
    <x v="3"/>
    <x v="4"/>
    <s v="Consumer Electronics"/>
    <s v="Video Game Handhelds"/>
    <s v="Semiconductor Revenue M$"/>
    <x v="1"/>
    <n v="0"/>
  </r>
  <r>
    <s v="Integrated AI"/>
    <x v="3"/>
    <x v="4"/>
    <s v="Consumer Electronics"/>
    <s v="Video Game Handhelds"/>
    <s v="Semiconductor Revenue M$"/>
    <x v="2"/>
    <n v="0"/>
  </r>
  <r>
    <s v="Integrated AI"/>
    <x v="3"/>
    <x v="4"/>
    <s v="Consumer Electronics"/>
    <s v="Video Game Handhelds"/>
    <s v="Semiconductor Revenue M$"/>
    <x v="3"/>
    <n v="0"/>
  </r>
  <r>
    <s v="Integrated AI"/>
    <x v="3"/>
    <x v="4"/>
    <s v="Consumer Electronics"/>
    <s v="Video Game Handhelds"/>
    <s v="Semiconductor Revenue M$"/>
    <x v="4"/>
    <n v="0"/>
  </r>
  <r>
    <s v="Integrated AI"/>
    <x v="3"/>
    <x v="4"/>
    <s v="Consumer Electronics"/>
    <s v="Video Game Handhelds"/>
    <s v="Semiconductor Revenue M$"/>
    <x v="5"/>
    <n v="0"/>
  </r>
  <r>
    <s v="Integrated AI"/>
    <x v="3"/>
    <x v="4"/>
    <s v="Consumer Electronics"/>
    <s v="Video Game Handhelds"/>
    <s v="Semiconductor Revenue M$"/>
    <x v="6"/>
    <n v="0"/>
  </r>
  <r>
    <s v="Integrated AI"/>
    <x v="3"/>
    <x v="4"/>
    <s v="Consumer Electronics"/>
    <s v="Wristbands"/>
    <s v="Semiconductor Revenue M$"/>
    <x v="0"/>
    <n v="0"/>
  </r>
  <r>
    <s v="Integrated AI"/>
    <x v="3"/>
    <x v="4"/>
    <s v="Consumer Electronics"/>
    <s v="Wristbands"/>
    <s v="Semiconductor Revenue M$"/>
    <x v="1"/>
    <n v="0"/>
  </r>
  <r>
    <s v="Integrated AI"/>
    <x v="3"/>
    <x v="4"/>
    <s v="Consumer Electronics"/>
    <s v="Wristbands"/>
    <s v="Semiconductor Revenue M$"/>
    <x v="2"/>
    <n v="0"/>
  </r>
  <r>
    <s v="Integrated AI"/>
    <x v="3"/>
    <x v="4"/>
    <s v="Consumer Electronics"/>
    <s v="Wristbands"/>
    <s v="Semiconductor Revenue M$"/>
    <x v="3"/>
    <n v="0"/>
  </r>
  <r>
    <s v="Integrated AI"/>
    <x v="3"/>
    <x v="4"/>
    <s v="Consumer Electronics"/>
    <s v="Wristbands"/>
    <s v="Semiconductor Revenue M$"/>
    <x v="4"/>
    <n v="0"/>
  </r>
  <r>
    <s v="Integrated AI"/>
    <x v="3"/>
    <x v="4"/>
    <s v="Consumer Electronics"/>
    <s v="Wristbands"/>
    <s v="Semiconductor Revenue M$"/>
    <x v="5"/>
    <n v="0"/>
  </r>
  <r>
    <s v="Integrated AI"/>
    <x v="3"/>
    <x v="4"/>
    <s v="Consumer Electronics"/>
    <s v="Wristbands"/>
    <s v="Semiconductor Revenue M$"/>
    <x v="6"/>
    <n v="0"/>
  </r>
  <r>
    <s v="Integrated AI"/>
    <x v="3"/>
    <x v="4"/>
    <s v="Consumer Electronics"/>
    <s v="Head Mounted Display"/>
    <s v="Semiconductor Revenue M$"/>
    <x v="0"/>
    <n v="0"/>
  </r>
  <r>
    <s v="Integrated AI"/>
    <x v="3"/>
    <x v="4"/>
    <s v="Consumer Electronics"/>
    <s v="Head Mounted Display"/>
    <s v="Semiconductor Revenue M$"/>
    <x v="1"/>
    <n v="0"/>
  </r>
  <r>
    <s v="Integrated AI"/>
    <x v="3"/>
    <x v="4"/>
    <s v="Consumer Electronics"/>
    <s v="Head Mounted Display"/>
    <s v="Semiconductor Revenue M$"/>
    <x v="2"/>
    <n v="0"/>
  </r>
  <r>
    <s v="Integrated AI"/>
    <x v="3"/>
    <x v="4"/>
    <s v="Consumer Electronics"/>
    <s v="Head Mounted Display"/>
    <s v="Semiconductor Revenue M$"/>
    <x v="3"/>
    <n v="0"/>
  </r>
  <r>
    <s v="Integrated AI"/>
    <x v="3"/>
    <x v="4"/>
    <s v="Consumer Electronics"/>
    <s v="Head Mounted Display"/>
    <s v="Semiconductor Revenue M$"/>
    <x v="4"/>
    <n v="0"/>
  </r>
  <r>
    <s v="Integrated AI"/>
    <x v="3"/>
    <x v="4"/>
    <s v="Consumer Electronics"/>
    <s v="Head Mounted Display"/>
    <s v="Semiconductor Revenue M$"/>
    <x v="5"/>
    <n v="0"/>
  </r>
  <r>
    <s v="Integrated AI"/>
    <x v="3"/>
    <x v="4"/>
    <s v="Consumer Electronics"/>
    <s v="Head Mounted Display"/>
    <s v="Semiconductor Revenue M$"/>
    <x v="6"/>
    <n v="0"/>
  </r>
  <r>
    <s v="Integrated AI"/>
    <x v="3"/>
    <x v="4"/>
    <s v="Consumer Electronics"/>
    <s v="Smart Watches"/>
    <s v="Semiconductor Revenue M$"/>
    <x v="0"/>
    <n v="0"/>
  </r>
  <r>
    <s v="Integrated AI"/>
    <x v="3"/>
    <x v="4"/>
    <s v="Consumer Electronics"/>
    <s v="Smart Watches"/>
    <s v="Semiconductor Revenue M$"/>
    <x v="1"/>
    <n v="0"/>
  </r>
  <r>
    <s v="Integrated AI"/>
    <x v="3"/>
    <x v="4"/>
    <s v="Consumer Electronics"/>
    <s v="Smart Watches"/>
    <s v="Semiconductor Revenue M$"/>
    <x v="2"/>
    <n v="0"/>
  </r>
  <r>
    <s v="Integrated AI"/>
    <x v="3"/>
    <x v="4"/>
    <s v="Consumer Electronics"/>
    <s v="Smart Watches"/>
    <s v="Semiconductor Revenue M$"/>
    <x v="3"/>
    <n v="0"/>
  </r>
  <r>
    <s v="Integrated AI"/>
    <x v="3"/>
    <x v="4"/>
    <s v="Consumer Electronics"/>
    <s v="Smart Watches"/>
    <s v="Semiconductor Revenue M$"/>
    <x v="4"/>
    <n v="0"/>
  </r>
  <r>
    <s v="Integrated AI"/>
    <x v="3"/>
    <x v="4"/>
    <s v="Consumer Electronics"/>
    <s v="Smart Watches"/>
    <s v="Semiconductor Revenue M$"/>
    <x v="5"/>
    <n v="0"/>
  </r>
  <r>
    <s v="Integrated AI"/>
    <x v="3"/>
    <x v="4"/>
    <s v="Consumer Electronics"/>
    <s v="Smart Watches"/>
    <s v="Semiconductor Revenue M$"/>
    <x v="6"/>
    <n v="0"/>
  </r>
  <r>
    <s v="Integrated AI"/>
    <x v="3"/>
    <x v="4"/>
    <s v="Consumer Electronics"/>
    <s v="Sports Watches"/>
    <s v="Semiconductor Revenue M$"/>
    <x v="0"/>
    <n v="0"/>
  </r>
  <r>
    <s v="Integrated AI"/>
    <x v="3"/>
    <x v="4"/>
    <s v="Consumer Electronics"/>
    <s v="Sports Watches"/>
    <s v="Semiconductor Revenue M$"/>
    <x v="1"/>
    <n v="0"/>
  </r>
  <r>
    <s v="Integrated AI"/>
    <x v="3"/>
    <x v="4"/>
    <s v="Consumer Electronics"/>
    <s v="Sports Watches"/>
    <s v="Semiconductor Revenue M$"/>
    <x v="2"/>
    <n v="0"/>
  </r>
  <r>
    <s v="Integrated AI"/>
    <x v="3"/>
    <x v="4"/>
    <s v="Consumer Electronics"/>
    <s v="Sports Watches"/>
    <s v="Semiconductor Revenue M$"/>
    <x v="3"/>
    <n v="0"/>
  </r>
  <r>
    <s v="Integrated AI"/>
    <x v="3"/>
    <x v="4"/>
    <s v="Consumer Electronics"/>
    <s v="Sports Watches"/>
    <s v="Semiconductor Revenue M$"/>
    <x v="4"/>
    <n v="0"/>
  </r>
  <r>
    <s v="Integrated AI"/>
    <x v="3"/>
    <x v="4"/>
    <s v="Consumer Electronics"/>
    <s v="Sports Watches"/>
    <s v="Semiconductor Revenue M$"/>
    <x v="5"/>
    <n v="0"/>
  </r>
  <r>
    <s v="Integrated AI"/>
    <x v="3"/>
    <x v="4"/>
    <s v="Consumer Electronics"/>
    <s v="Sports Watches"/>
    <s v="Semiconductor Revenue M$"/>
    <x v="6"/>
    <n v="0"/>
  </r>
  <r>
    <s v="Integrated AI"/>
    <x v="3"/>
    <x v="4"/>
    <s v="Consumer Electronics"/>
    <s v="Other Consumer Electronics"/>
    <s v="Semiconductor Revenue M$"/>
    <x v="0"/>
    <n v="1.4519063254518351E-4"/>
  </r>
  <r>
    <s v="Integrated AI"/>
    <x v="3"/>
    <x v="4"/>
    <s v="Consumer Electronics"/>
    <s v="Other Consumer Electronics"/>
    <s v="Semiconductor Revenue M$"/>
    <x v="1"/>
    <n v="5.9781651604093105E-4"/>
  </r>
  <r>
    <s v="Integrated AI"/>
    <x v="3"/>
    <x v="4"/>
    <s v="Consumer Electronics"/>
    <s v="Other Consumer Electronics"/>
    <s v="Semiconductor Revenue M$"/>
    <x v="2"/>
    <n v="1.8699532389997615E-3"/>
  </r>
  <r>
    <s v="Integrated AI"/>
    <x v="3"/>
    <x v="4"/>
    <s v="Consumer Electronics"/>
    <s v="Other Consumer Electronics"/>
    <s v="Semiconductor Revenue M$"/>
    <x v="3"/>
    <n v="5.9557366419974531E-3"/>
  </r>
  <r>
    <s v="Integrated AI"/>
    <x v="3"/>
    <x v="4"/>
    <s v="Consumer Electronics"/>
    <s v="Other Consumer Electronics"/>
    <s v="Semiconductor Revenue M$"/>
    <x v="4"/>
    <n v="1.9508881782477425E-2"/>
  </r>
  <r>
    <s v="Integrated AI"/>
    <x v="3"/>
    <x v="4"/>
    <s v="Consumer Electronics"/>
    <s v="Other Consumer Electronics"/>
    <s v="Semiconductor Revenue M$"/>
    <x v="5"/>
    <n v="4.9611967134924613E-2"/>
  </r>
  <r>
    <s v="Integrated AI"/>
    <x v="3"/>
    <x v="4"/>
    <s v="Consumer Electronics"/>
    <s v="Other Consumer Electronics"/>
    <s v="Semiconductor Revenue M$"/>
    <x v="6"/>
    <n v="0.1189658250116733"/>
  </r>
  <r>
    <s v="Integrated AI"/>
    <x v="3"/>
    <x v="3"/>
    <s v="Automotive Electronics"/>
    <s v="ADAS-Sensors and Connectivity"/>
    <s v="Semiconductor Revenue M$"/>
    <x v="0"/>
    <n v="1.514044174017301"/>
  </r>
  <r>
    <s v="Integrated AI"/>
    <x v="3"/>
    <x v="3"/>
    <s v="Automotive Electronics"/>
    <s v="ADAS-Sensors and Connectivity"/>
    <s v="Semiconductor Revenue M$"/>
    <x v="1"/>
    <n v="4.2223669009904263"/>
  </r>
  <r>
    <s v="Integrated AI"/>
    <x v="3"/>
    <x v="3"/>
    <s v="Automotive Electronics"/>
    <s v="ADAS-Sensors and Connectivity"/>
    <s v="Semiconductor Revenue M$"/>
    <x v="2"/>
    <n v="10.29745964901657"/>
  </r>
  <r>
    <s v="Integrated AI"/>
    <x v="3"/>
    <x v="3"/>
    <s v="Automotive Electronics"/>
    <s v="ADAS-Sensors and Connectivity"/>
    <s v="Semiconductor Revenue M$"/>
    <x v="3"/>
    <n v="20.514492598435098"/>
  </r>
  <r>
    <s v="Integrated AI"/>
    <x v="3"/>
    <x v="3"/>
    <s v="Automotive Electronics"/>
    <s v="ADAS-Sensors and Connectivity"/>
    <s v="Semiconductor Revenue M$"/>
    <x v="4"/>
    <n v="39.548501653707099"/>
  </r>
  <r>
    <s v="Integrated AI"/>
    <x v="3"/>
    <x v="3"/>
    <s v="Automotive Electronics"/>
    <s v="ADAS-Sensors and Connectivity"/>
    <s v="Semiconductor Revenue M$"/>
    <x v="5"/>
    <n v="69.750848243438313"/>
  </r>
  <r>
    <s v="Integrated AI"/>
    <x v="3"/>
    <x v="3"/>
    <s v="Automotive Electronics"/>
    <s v="ADAS-Sensors and Connectivity"/>
    <s v="Semiconductor Revenue M$"/>
    <x v="6"/>
    <n v="109.34104017246152"/>
  </r>
  <r>
    <s v="Integrated AI"/>
    <x v="3"/>
    <x v="3"/>
    <s v="Automotive Electronics"/>
    <s v="Body"/>
    <s v="Semiconductor Revenue M$"/>
    <x v="0"/>
    <n v="0"/>
  </r>
  <r>
    <s v="Integrated AI"/>
    <x v="3"/>
    <x v="3"/>
    <s v="Automotive Electronics"/>
    <s v="Body"/>
    <s v="Semiconductor Revenue M$"/>
    <x v="1"/>
    <n v="0"/>
  </r>
  <r>
    <s v="Integrated AI"/>
    <x v="3"/>
    <x v="3"/>
    <s v="Automotive Electronics"/>
    <s v="Body"/>
    <s v="Semiconductor Revenue M$"/>
    <x v="2"/>
    <n v="0"/>
  </r>
  <r>
    <s v="Integrated AI"/>
    <x v="3"/>
    <x v="3"/>
    <s v="Automotive Electronics"/>
    <s v="Body"/>
    <s v="Semiconductor Revenue M$"/>
    <x v="3"/>
    <n v="0"/>
  </r>
  <r>
    <s v="Integrated AI"/>
    <x v="3"/>
    <x v="3"/>
    <s v="Automotive Electronics"/>
    <s v="Body"/>
    <s v="Semiconductor Revenue M$"/>
    <x v="4"/>
    <n v="0"/>
  </r>
  <r>
    <s v="Integrated AI"/>
    <x v="3"/>
    <x v="3"/>
    <s v="Automotive Electronics"/>
    <s v="Body"/>
    <s v="Semiconductor Revenue M$"/>
    <x v="5"/>
    <n v="0"/>
  </r>
  <r>
    <s v="Integrated AI"/>
    <x v="3"/>
    <x v="3"/>
    <s v="Automotive Electronics"/>
    <s v="Body"/>
    <s v="Semiconductor Revenue M$"/>
    <x v="6"/>
    <n v="0"/>
  </r>
  <r>
    <s v="Integrated AI"/>
    <x v="3"/>
    <x v="3"/>
    <s v="Automotive Electronics"/>
    <s v="Chassis"/>
    <s v="Semiconductor Revenue M$"/>
    <x v="0"/>
    <n v="0"/>
  </r>
  <r>
    <s v="Integrated AI"/>
    <x v="3"/>
    <x v="3"/>
    <s v="Automotive Electronics"/>
    <s v="Chassis"/>
    <s v="Semiconductor Revenue M$"/>
    <x v="1"/>
    <n v="0"/>
  </r>
  <r>
    <s v="Integrated AI"/>
    <x v="3"/>
    <x v="3"/>
    <s v="Automotive Electronics"/>
    <s v="Chassis"/>
    <s v="Semiconductor Revenue M$"/>
    <x v="2"/>
    <n v="0"/>
  </r>
  <r>
    <s v="Integrated AI"/>
    <x v="3"/>
    <x v="3"/>
    <s v="Automotive Electronics"/>
    <s v="Chassis"/>
    <s v="Semiconductor Revenue M$"/>
    <x v="3"/>
    <n v="0"/>
  </r>
  <r>
    <s v="Integrated AI"/>
    <x v="3"/>
    <x v="3"/>
    <s v="Automotive Electronics"/>
    <s v="Chassis"/>
    <s v="Semiconductor Revenue M$"/>
    <x v="4"/>
    <n v="0"/>
  </r>
  <r>
    <s v="Integrated AI"/>
    <x v="3"/>
    <x v="3"/>
    <s v="Automotive Electronics"/>
    <s v="Chassis"/>
    <s v="Semiconductor Revenue M$"/>
    <x v="5"/>
    <n v="0"/>
  </r>
  <r>
    <s v="Integrated AI"/>
    <x v="3"/>
    <x v="3"/>
    <s v="Automotive Electronics"/>
    <s v="Chassis"/>
    <s v="Semiconductor Revenue M$"/>
    <x v="6"/>
    <n v="0"/>
  </r>
  <r>
    <s v="Integrated AI"/>
    <x v="3"/>
    <x v="3"/>
    <s v="Automotive Electronics"/>
    <s v="EV/HEV"/>
    <s v="Semiconductor Revenue M$"/>
    <x v="0"/>
    <n v="0"/>
  </r>
  <r>
    <s v="Integrated AI"/>
    <x v="3"/>
    <x v="3"/>
    <s v="Automotive Electronics"/>
    <s v="EV/HEV"/>
    <s v="Semiconductor Revenue M$"/>
    <x v="1"/>
    <n v="0"/>
  </r>
  <r>
    <s v="Integrated AI"/>
    <x v="3"/>
    <x v="3"/>
    <s v="Automotive Electronics"/>
    <s v="EV/HEV"/>
    <s v="Semiconductor Revenue M$"/>
    <x v="2"/>
    <n v="0"/>
  </r>
  <r>
    <s v="Integrated AI"/>
    <x v="3"/>
    <x v="3"/>
    <s v="Automotive Electronics"/>
    <s v="EV/HEV"/>
    <s v="Semiconductor Revenue M$"/>
    <x v="3"/>
    <n v="0"/>
  </r>
  <r>
    <s v="Integrated AI"/>
    <x v="3"/>
    <x v="3"/>
    <s v="Automotive Electronics"/>
    <s v="EV/HEV"/>
    <s v="Semiconductor Revenue M$"/>
    <x v="4"/>
    <n v="0"/>
  </r>
  <r>
    <s v="Integrated AI"/>
    <x v="3"/>
    <x v="3"/>
    <s v="Automotive Electronics"/>
    <s v="EV/HEV"/>
    <s v="Semiconductor Revenue M$"/>
    <x v="5"/>
    <n v="0"/>
  </r>
  <r>
    <s v="Integrated AI"/>
    <x v="3"/>
    <x v="3"/>
    <s v="Automotive Electronics"/>
    <s v="EV/HEV"/>
    <s v="Semiconductor Revenue M$"/>
    <x v="6"/>
    <n v="0"/>
  </r>
  <r>
    <s v="Integrated AI"/>
    <x v="3"/>
    <x v="3"/>
    <s v="Automotive Electronics"/>
    <s v="Infotainment"/>
    <s v="Semiconductor Revenue M$"/>
    <x v="0"/>
    <n v="0.12429517271696601"/>
  </r>
  <r>
    <s v="Integrated AI"/>
    <x v="3"/>
    <x v="3"/>
    <s v="Automotive Electronics"/>
    <s v="Infotainment"/>
    <s v="Semiconductor Revenue M$"/>
    <x v="1"/>
    <n v="0.40866053702854166"/>
  </r>
  <r>
    <s v="Integrated AI"/>
    <x v="3"/>
    <x v="3"/>
    <s v="Automotive Electronics"/>
    <s v="Infotainment"/>
    <s v="Semiconductor Revenue M$"/>
    <x v="2"/>
    <n v="1.1406764667389993"/>
  </r>
  <r>
    <s v="Integrated AI"/>
    <x v="3"/>
    <x v="3"/>
    <s v="Automotive Electronics"/>
    <s v="Infotainment"/>
    <s v="Semiconductor Revenue M$"/>
    <x v="3"/>
    <n v="2.8163894208441707"/>
  </r>
  <r>
    <s v="Integrated AI"/>
    <x v="3"/>
    <x v="3"/>
    <s v="Automotive Electronics"/>
    <s v="Infotainment"/>
    <s v="Semiconductor Revenue M$"/>
    <x v="4"/>
    <n v="7.1473977397217032"/>
  </r>
  <r>
    <s v="Integrated AI"/>
    <x v="3"/>
    <x v="3"/>
    <s v="Automotive Electronics"/>
    <s v="Infotainment"/>
    <s v="Semiconductor Revenue M$"/>
    <x v="5"/>
    <n v="11.14894558109531"/>
  </r>
  <r>
    <s v="Integrated AI"/>
    <x v="3"/>
    <x v="3"/>
    <s v="Automotive Electronics"/>
    <s v="Infotainment"/>
    <s v="Semiconductor Revenue M$"/>
    <x v="6"/>
    <n v="17.761377878419292"/>
  </r>
  <r>
    <s v="Integrated AI"/>
    <x v="3"/>
    <x v="3"/>
    <s v="Automotive Electronics"/>
    <s v="Instrument Cluster"/>
    <s v="Semiconductor Revenue M$"/>
    <x v="0"/>
    <n v="0"/>
  </r>
  <r>
    <s v="Integrated AI"/>
    <x v="3"/>
    <x v="3"/>
    <s v="Automotive Electronics"/>
    <s v="Instrument Cluster"/>
    <s v="Semiconductor Revenue M$"/>
    <x v="1"/>
    <n v="0"/>
  </r>
  <r>
    <s v="Integrated AI"/>
    <x v="3"/>
    <x v="3"/>
    <s v="Automotive Electronics"/>
    <s v="Instrument Cluster"/>
    <s v="Semiconductor Revenue M$"/>
    <x v="2"/>
    <n v="0"/>
  </r>
  <r>
    <s v="Integrated AI"/>
    <x v="3"/>
    <x v="3"/>
    <s v="Automotive Electronics"/>
    <s v="Instrument Cluster"/>
    <s v="Semiconductor Revenue M$"/>
    <x v="3"/>
    <n v="0"/>
  </r>
  <r>
    <s v="Integrated AI"/>
    <x v="3"/>
    <x v="3"/>
    <s v="Automotive Electronics"/>
    <s v="Instrument Cluster"/>
    <s v="Semiconductor Revenue M$"/>
    <x v="4"/>
    <n v="0"/>
  </r>
  <r>
    <s v="Integrated AI"/>
    <x v="3"/>
    <x v="3"/>
    <s v="Automotive Electronics"/>
    <s v="Instrument Cluster"/>
    <s v="Semiconductor Revenue M$"/>
    <x v="5"/>
    <n v="0"/>
  </r>
  <r>
    <s v="Integrated AI"/>
    <x v="3"/>
    <x v="3"/>
    <s v="Automotive Electronics"/>
    <s v="Instrument Cluster"/>
    <s v="Semiconductor Revenue M$"/>
    <x v="6"/>
    <n v="0"/>
  </r>
  <r>
    <s v="Integrated AI"/>
    <x v="3"/>
    <x v="3"/>
    <s v="Automotive Electronics"/>
    <s v="Powertrain"/>
    <s v="Semiconductor Revenue M$"/>
    <x v="0"/>
    <n v="0"/>
  </r>
  <r>
    <s v="Integrated AI"/>
    <x v="3"/>
    <x v="3"/>
    <s v="Automotive Electronics"/>
    <s v="Powertrain"/>
    <s v="Semiconductor Revenue M$"/>
    <x v="1"/>
    <n v="0"/>
  </r>
  <r>
    <s v="Integrated AI"/>
    <x v="3"/>
    <x v="3"/>
    <s v="Automotive Electronics"/>
    <s v="Powertrain"/>
    <s v="Semiconductor Revenue M$"/>
    <x v="2"/>
    <n v="0"/>
  </r>
  <r>
    <s v="Integrated AI"/>
    <x v="3"/>
    <x v="3"/>
    <s v="Automotive Electronics"/>
    <s v="Powertrain"/>
    <s v="Semiconductor Revenue M$"/>
    <x v="3"/>
    <n v="0"/>
  </r>
  <r>
    <s v="Integrated AI"/>
    <x v="3"/>
    <x v="3"/>
    <s v="Automotive Electronics"/>
    <s v="Powertrain"/>
    <s v="Semiconductor Revenue M$"/>
    <x v="4"/>
    <n v="0"/>
  </r>
  <r>
    <s v="Integrated AI"/>
    <x v="3"/>
    <x v="3"/>
    <s v="Automotive Electronics"/>
    <s v="Powertrain"/>
    <s v="Semiconductor Revenue M$"/>
    <x v="5"/>
    <n v="0"/>
  </r>
  <r>
    <s v="Integrated AI"/>
    <x v="3"/>
    <x v="3"/>
    <s v="Automotive Electronics"/>
    <s v="Powertrain"/>
    <s v="Semiconductor Revenue M$"/>
    <x v="6"/>
    <n v="0"/>
  </r>
  <r>
    <s v="Integrated AI"/>
    <x v="3"/>
    <x v="3"/>
    <s v="Automotive Electronics"/>
    <s v="Safety"/>
    <s v="Semiconductor Revenue M$"/>
    <x v="0"/>
    <n v="1.2701515255991147E-4"/>
  </r>
  <r>
    <s v="Integrated AI"/>
    <x v="3"/>
    <x v="3"/>
    <s v="Automotive Electronics"/>
    <s v="Safety"/>
    <s v="Semiconductor Revenue M$"/>
    <x v="1"/>
    <n v="8.4086476764059072E-4"/>
  </r>
  <r>
    <s v="Integrated AI"/>
    <x v="3"/>
    <x v="3"/>
    <s v="Automotive Electronics"/>
    <s v="Safety"/>
    <s v="Semiconductor Revenue M$"/>
    <x v="2"/>
    <n v="4.0955931136931172E-3"/>
  </r>
  <r>
    <s v="Integrated AI"/>
    <x v="3"/>
    <x v="3"/>
    <s v="Automotive Electronics"/>
    <s v="Safety"/>
    <s v="Semiconductor Revenue M$"/>
    <x v="3"/>
    <n v="1.637033311700916E-2"/>
  </r>
  <r>
    <s v="Integrated AI"/>
    <x v="3"/>
    <x v="3"/>
    <s v="Automotive Electronics"/>
    <s v="Safety"/>
    <s v="Semiconductor Revenue M$"/>
    <x v="4"/>
    <n v="6.401542128777718E-2"/>
  </r>
  <r>
    <s v="Integrated AI"/>
    <x v="3"/>
    <x v="3"/>
    <s v="Automotive Electronics"/>
    <s v="Safety"/>
    <s v="Semiconductor Revenue M$"/>
    <x v="5"/>
    <n v="0.10781437255359652"/>
  </r>
  <r>
    <s v="Integrated AI"/>
    <x v="3"/>
    <x v="3"/>
    <s v="Automotive Electronics"/>
    <s v="Safety"/>
    <s v="Semiconductor Revenue M$"/>
    <x v="6"/>
    <n v="0.3455893170043049"/>
  </r>
  <r>
    <s v="Integrated AI"/>
    <x v="3"/>
    <x v="3"/>
    <s v="Automotive Electronics"/>
    <s v="Aftermarket"/>
    <s v="Semiconductor Revenue M$"/>
    <x v="0"/>
    <n v="3.3234744331064235E-4"/>
  </r>
  <r>
    <s v="Integrated AI"/>
    <x v="3"/>
    <x v="3"/>
    <s v="Automotive Electronics"/>
    <s v="Aftermarket"/>
    <s v="Semiconductor Revenue M$"/>
    <x v="1"/>
    <n v="2.2647848793984366E-3"/>
  </r>
  <r>
    <s v="Integrated AI"/>
    <x v="3"/>
    <x v="3"/>
    <s v="Automotive Electronics"/>
    <s v="Aftermarket"/>
    <s v="Semiconductor Revenue M$"/>
    <x v="2"/>
    <n v="1.150479432159956E-2"/>
  </r>
  <r>
    <s v="Integrated AI"/>
    <x v="3"/>
    <x v="3"/>
    <s v="Automotive Electronics"/>
    <s v="Aftermarket"/>
    <s v="Semiconductor Revenue M$"/>
    <x v="3"/>
    <n v="5.4349911549732767E-2"/>
  </r>
  <r>
    <s v="Integrated AI"/>
    <x v="3"/>
    <x v="3"/>
    <s v="Automotive Electronics"/>
    <s v="Aftermarket"/>
    <s v="Semiconductor Revenue M$"/>
    <x v="4"/>
    <n v="0.24248422299575148"/>
  </r>
  <r>
    <s v="Integrated AI"/>
    <x v="3"/>
    <x v="3"/>
    <s v="Automotive Electronics"/>
    <s v="Aftermarket"/>
    <s v="Semiconductor Revenue M$"/>
    <x v="5"/>
    <n v="0.52342681388462742"/>
  </r>
  <r>
    <s v="Integrated AI"/>
    <x v="3"/>
    <x v="3"/>
    <s v="Automotive Electronics"/>
    <s v="Aftermarket"/>
    <s v="Semiconductor Revenue M$"/>
    <x v="6"/>
    <n v="0.89115703704654514"/>
  </r>
  <r>
    <s v="Integrated AI"/>
    <x v="3"/>
    <x v="5"/>
    <s v="Industrial Electronics"/>
    <s v="Commercial Amusement"/>
    <s v="Semiconductor Revenue M$"/>
    <x v="0"/>
    <n v="1.064192387845048E-2"/>
  </r>
  <r>
    <s v="Integrated AI"/>
    <x v="3"/>
    <x v="5"/>
    <s v="Industrial Electronics"/>
    <s v="Commercial Amusement"/>
    <s v="Semiconductor Revenue M$"/>
    <x v="1"/>
    <n v="3.0207972134235213E-2"/>
  </r>
  <r>
    <s v="Integrated AI"/>
    <x v="3"/>
    <x v="5"/>
    <s v="Industrial Electronics"/>
    <s v="Commercial Amusement"/>
    <s v="Semiconductor Revenue M$"/>
    <x v="2"/>
    <n v="9.4562812369127308E-2"/>
  </r>
  <r>
    <s v="Integrated AI"/>
    <x v="3"/>
    <x v="5"/>
    <s v="Industrial Electronics"/>
    <s v="Commercial Amusement"/>
    <s v="Semiconductor Revenue M$"/>
    <x v="3"/>
    <n v="0.2599490873109857"/>
  </r>
  <r>
    <s v="Integrated AI"/>
    <x v="3"/>
    <x v="5"/>
    <s v="Industrial Electronics"/>
    <s v="Commercial Amusement"/>
    <s v="Semiconductor Revenue M$"/>
    <x v="4"/>
    <n v="0.7308137276485247"/>
  </r>
  <r>
    <s v="Integrated AI"/>
    <x v="3"/>
    <x v="5"/>
    <s v="Industrial Electronics"/>
    <s v="Commercial Amusement"/>
    <s v="Semiconductor Revenue M$"/>
    <x v="5"/>
    <n v="1.1949339064995097"/>
  </r>
  <r>
    <s v="Integrated AI"/>
    <x v="3"/>
    <x v="5"/>
    <s v="Industrial Electronics"/>
    <s v="Commercial Amusement"/>
    <s v="Semiconductor Revenue M$"/>
    <x v="6"/>
    <n v="1.9028864761916409"/>
  </r>
  <r>
    <s v="Integrated AI"/>
    <x v="3"/>
    <x v="5"/>
    <s v="Industrial Electronics"/>
    <s v="Automation"/>
    <s v="Semiconductor Revenue M$"/>
    <x v="0"/>
    <n v="0.21498869634982173"/>
  </r>
  <r>
    <s v="Integrated AI"/>
    <x v="3"/>
    <x v="5"/>
    <s v="Industrial Electronics"/>
    <s v="Automation"/>
    <s v="Semiconductor Revenue M$"/>
    <x v="1"/>
    <n v="0.69629084725415158"/>
  </r>
  <r>
    <s v="Integrated AI"/>
    <x v="3"/>
    <x v="5"/>
    <s v="Industrial Electronics"/>
    <s v="Automation"/>
    <s v="Semiconductor Revenue M$"/>
    <x v="2"/>
    <n v="2.2041707887049484"/>
  </r>
  <r>
    <s v="Integrated AI"/>
    <x v="3"/>
    <x v="5"/>
    <s v="Industrial Electronics"/>
    <s v="Automation"/>
    <s v="Semiconductor Revenue M$"/>
    <x v="3"/>
    <n v="6.4899248863556558"/>
  </r>
  <r>
    <s v="Integrated AI"/>
    <x v="3"/>
    <x v="5"/>
    <s v="Industrial Electronics"/>
    <s v="Automation"/>
    <s v="Semiconductor Revenue M$"/>
    <x v="4"/>
    <n v="18.433177232079835"/>
  </r>
  <r>
    <s v="Integrated AI"/>
    <x v="3"/>
    <x v="5"/>
    <s v="Industrial Electronics"/>
    <s v="Automation"/>
    <s v="Semiconductor Revenue M$"/>
    <x v="5"/>
    <n v="31.06220671687506"/>
  </r>
  <r>
    <s v="Integrated AI"/>
    <x v="3"/>
    <x v="5"/>
    <s v="Industrial Electronics"/>
    <s v="Automation"/>
    <s v="Semiconductor Revenue M$"/>
    <x v="6"/>
    <n v="50.045381128334604"/>
  </r>
  <r>
    <s v="Integrated AI"/>
    <x v="3"/>
    <x v="5"/>
    <s v="Industrial Electronics"/>
    <s v="Energy Management"/>
    <s v="Semiconductor Revenue M$"/>
    <x v="0"/>
    <n v="0.11491360812010196"/>
  </r>
  <r>
    <s v="Integrated AI"/>
    <x v="3"/>
    <x v="5"/>
    <s v="Industrial Electronics"/>
    <s v="Energy Management"/>
    <s v="Semiconductor Revenue M$"/>
    <x v="1"/>
    <n v="0.33573582067482316"/>
  </r>
  <r>
    <s v="Integrated AI"/>
    <x v="3"/>
    <x v="5"/>
    <s v="Industrial Electronics"/>
    <s v="Energy Management"/>
    <s v="Semiconductor Revenue M$"/>
    <x v="2"/>
    <n v="1.0421331049895288"/>
  </r>
  <r>
    <s v="Integrated AI"/>
    <x v="3"/>
    <x v="5"/>
    <s v="Industrial Electronics"/>
    <s v="Energy Management"/>
    <s v="Semiconductor Revenue M$"/>
    <x v="3"/>
    <n v="2.9339207713820641"/>
  </r>
  <r>
    <s v="Integrated AI"/>
    <x v="3"/>
    <x v="5"/>
    <s v="Industrial Electronics"/>
    <s v="Energy Management"/>
    <s v="Semiconductor Revenue M$"/>
    <x v="4"/>
    <n v="8.0245424739345168"/>
  </r>
  <r>
    <s v="Integrated AI"/>
    <x v="3"/>
    <x v="5"/>
    <s v="Industrial Electronics"/>
    <s v="Energy Management"/>
    <s v="Semiconductor Revenue M$"/>
    <x v="5"/>
    <n v="12.799494300456587"/>
  </r>
  <r>
    <s v="Integrated AI"/>
    <x v="3"/>
    <x v="5"/>
    <s v="Industrial Electronics"/>
    <s v="Energy Management"/>
    <s v="Semiconductor Revenue M$"/>
    <x v="6"/>
    <n v="19.635267996255703"/>
  </r>
  <r>
    <s v="Integrated AI"/>
    <x v="3"/>
    <x v="5"/>
    <s v="Industrial Electronics"/>
    <s v="Solid-State Lighting"/>
    <s v="Semiconductor Revenue M$"/>
    <x v="0"/>
    <n v="0"/>
  </r>
  <r>
    <s v="Integrated AI"/>
    <x v="3"/>
    <x v="5"/>
    <s v="Industrial Electronics"/>
    <s v="Solid-State Lighting"/>
    <s v="Semiconductor Revenue M$"/>
    <x v="1"/>
    <n v="0"/>
  </r>
  <r>
    <s v="Integrated AI"/>
    <x v="3"/>
    <x v="5"/>
    <s v="Industrial Electronics"/>
    <s v="Solid-State Lighting"/>
    <s v="Semiconductor Revenue M$"/>
    <x v="2"/>
    <n v="0"/>
  </r>
  <r>
    <s v="Integrated AI"/>
    <x v="3"/>
    <x v="5"/>
    <s v="Industrial Electronics"/>
    <s v="Solid-State Lighting"/>
    <s v="Semiconductor Revenue M$"/>
    <x v="3"/>
    <n v="0"/>
  </r>
  <r>
    <s v="Integrated AI"/>
    <x v="3"/>
    <x v="5"/>
    <s v="Industrial Electronics"/>
    <s v="Solid-State Lighting"/>
    <s v="Semiconductor Revenue M$"/>
    <x v="4"/>
    <n v="0"/>
  </r>
  <r>
    <s v="Integrated AI"/>
    <x v="3"/>
    <x v="5"/>
    <s v="Industrial Electronics"/>
    <s v="Solid-State Lighting"/>
    <s v="Semiconductor Revenue M$"/>
    <x v="5"/>
    <n v="0"/>
  </r>
  <r>
    <s v="Integrated AI"/>
    <x v="3"/>
    <x v="5"/>
    <s v="Industrial Electronics"/>
    <s v="Solid-State Lighting"/>
    <s v="Semiconductor Revenue M$"/>
    <x v="6"/>
    <n v="0"/>
  </r>
  <r>
    <s v="Integrated AI"/>
    <x v="3"/>
    <x v="5"/>
    <s v="Industrial Electronics"/>
    <s v="Medical/Healthcare"/>
    <s v="Semiconductor Revenue M$"/>
    <x v="0"/>
    <n v="0.4255419619005506"/>
  </r>
  <r>
    <s v="Integrated AI"/>
    <x v="3"/>
    <x v="5"/>
    <s v="Industrial Electronics"/>
    <s v="Medical/Healthcare"/>
    <s v="Semiconductor Revenue M$"/>
    <x v="1"/>
    <n v="1.1447762865260931"/>
  </r>
  <r>
    <s v="Integrated AI"/>
    <x v="3"/>
    <x v="5"/>
    <s v="Industrial Electronics"/>
    <s v="Medical/Healthcare"/>
    <s v="Semiconductor Revenue M$"/>
    <x v="2"/>
    <n v="3.0590807963025006"/>
  </r>
  <r>
    <s v="Integrated AI"/>
    <x v="3"/>
    <x v="5"/>
    <s v="Industrial Electronics"/>
    <s v="Medical/Healthcare"/>
    <s v="Semiconductor Revenue M$"/>
    <x v="3"/>
    <n v="8.0243968893085231"/>
  </r>
  <r>
    <s v="Integrated AI"/>
    <x v="3"/>
    <x v="5"/>
    <s v="Industrial Electronics"/>
    <s v="Medical/Healthcare"/>
    <s v="Semiconductor Revenue M$"/>
    <x v="4"/>
    <n v="19.171710006803416"/>
  </r>
  <r>
    <s v="Integrated AI"/>
    <x v="3"/>
    <x v="5"/>
    <s v="Industrial Electronics"/>
    <s v="Medical/Healthcare"/>
    <s v="Semiconductor Revenue M$"/>
    <x v="5"/>
    <n v="29.962885375893933"/>
  </r>
  <r>
    <s v="Integrated AI"/>
    <x v="3"/>
    <x v="5"/>
    <s v="Industrial Electronics"/>
    <s v="Medical/Healthcare"/>
    <s v="Semiconductor Revenue M$"/>
    <x v="6"/>
    <n v="41.328854556499678"/>
  </r>
  <r>
    <s v="Integrated AI"/>
    <x v="3"/>
    <x v="5"/>
    <s v="Industrial Electronics"/>
    <s v="Test/Measurement"/>
    <s v="Semiconductor Revenue M$"/>
    <x v="0"/>
    <n v="0.44839947273471892"/>
  </r>
  <r>
    <s v="Integrated AI"/>
    <x v="3"/>
    <x v="5"/>
    <s v="Industrial Electronics"/>
    <s v="Test/Measurement"/>
    <s v="Semiconductor Revenue M$"/>
    <x v="1"/>
    <n v="1.3562184432694635"/>
  </r>
  <r>
    <s v="Integrated AI"/>
    <x v="3"/>
    <x v="5"/>
    <s v="Industrial Electronics"/>
    <s v="Test/Measurement"/>
    <s v="Semiconductor Revenue M$"/>
    <x v="2"/>
    <n v="3.7748360964164833"/>
  </r>
  <r>
    <s v="Integrated AI"/>
    <x v="3"/>
    <x v="5"/>
    <s v="Industrial Electronics"/>
    <s v="Test/Measurement"/>
    <s v="Semiconductor Revenue M$"/>
    <x v="3"/>
    <n v="9.3530314006110924"/>
  </r>
  <r>
    <s v="Integrated AI"/>
    <x v="3"/>
    <x v="5"/>
    <s v="Industrial Electronics"/>
    <s v="Test/Measurement"/>
    <s v="Semiconductor Revenue M$"/>
    <x v="4"/>
    <n v="24.894077066322442"/>
  </r>
  <r>
    <s v="Integrated AI"/>
    <x v="3"/>
    <x v="5"/>
    <s v="Industrial Electronics"/>
    <s v="Test/Measurement"/>
    <s v="Semiconductor Revenue M$"/>
    <x v="5"/>
    <n v="38.268813486061795"/>
  </r>
  <r>
    <s v="Integrated AI"/>
    <x v="3"/>
    <x v="5"/>
    <s v="Industrial Electronics"/>
    <s v="Test/Measurement"/>
    <s v="Semiconductor Revenue M$"/>
    <x v="6"/>
    <n v="58.275892332010962"/>
  </r>
  <r>
    <s v="Integrated AI"/>
    <x v="3"/>
    <x v="5"/>
    <s v="Industrial Electronics"/>
    <s v="Other Security"/>
    <s v="Semiconductor Revenue M$"/>
    <x v="0"/>
    <n v="0.19576637498566013"/>
  </r>
  <r>
    <s v="Integrated AI"/>
    <x v="3"/>
    <x v="5"/>
    <s v="Industrial Electronics"/>
    <s v="Other Security"/>
    <s v="Semiconductor Revenue M$"/>
    <x v="1"/>
    <n v="0.55270269673759753"/>
  </r>
  <r>
    <s v="Integrated AI"/>
    <x v="3"/>
    <x v="5"/>
    <s v="Industrial Electronics"/>
    <s v="Other Security"/>
    <s v="Semiconductor Revenue M$"/>
    <x v="2"/>
    <n v="1.4527729026053211"/>
  </r>
  <r>
    <s v="Integrated AI"/>
    <x v="3"/>
    <x v="5"/>
    <s v="Industrial Electronics"/>
    <s v="Other Security"/>
    <s v="Semiconductor Revenue M$"/>
    <x v="3"/>
    <n v="3.4496443511581614"/>
  </r>
  <r>
    <s v="Integrated AI"/>
    <x v="3"/>
    <x v="5"/>
    <s v="Industrial Electronics"/>
    <s v="Other Security"/>
    <s v="Semiconductor Revenue M$"/>
    <x v="4"/>
    <n v="8.6117199221033172"/>
  </r>
  <r>
    <s v="Integrated AI"/>
    <x v="3"/>
    <x v="5"/>
    <s v="Industrial Electronics"/>
    <s v="Other Security"/>
    <s v="Semiconductor Revenue M$"/>
    <x v="5"/>
    <n v="12.796939231092312"/>
  </r>
  <r>
    <s v="Integrated AI"/>
    <x v="3"/>
    <x v="5"/>
    <s v="Industrial Electronics"/>
    <s v="Other Security"/>
    <s v="Semiconductor Revenue M$"/>
    <x v="6"/>
    <n v="18.430432622218834"/>
  </r>
  <r>
    <s v="Integrated AI"/>
    <x v="3"/>
    <x v="5"/>
    <s v="Industrial Electronics"/>
    <s v="Transportation"/>
    <s v="Semiconductor Revenue M$"/>
    <x v="0"/>
    <n v="8.9772612203740401E-2"/>
  </r>
  <r>
    <s v="Integrated AI"/>
    <x v="3"/>
    <x v="5"/>
    <s v="Industrial Electronics"/>
    <s v="Transportation"/>
    <s v="Semiconductor Revenue M$"/>
    <x v="1"/>
    <n v="0.28239424210773845"/>
  </r>
  <r>
    <s v="Integrated AI"/>
    <x v="3"/>
    <x v="5"/>
    <s v="Industrial Electronics"/>
    <s v="Transportation"/>
    <s v="Semiconductor Revenue M$"/>
    <x v="2"/>
    <n v="0.8631139647598659"/>
  </r>
  <r>
    <s v="Integrated AI"/>
    <x v="3"/>
    <x v="5"/>
    <s v="Industrial Electronics"/>
    <s v="Transportation"/>
    <s v="Semiconductor Revenue M$"/>
    <x v="3"/>
    <n v="2.3258721837875242"/>
  </r>
  <r>
    <s v="Integrated AI"/>
    <x v="3"/>
    <x v="5"/>
    <s v="Industrial Electronics"/>
    <s v="Transportation"/>
    <s v="Semiconductor Revenue M$"/>
    <x v="4"/>
    <n v="6.3035830603827554"/>
  </r>
  <r>
    <s v="Integrated AI"/>
    <x v="3"/>
    <x v="5"/>
    <s v="Industrial Electronics"/>
    <s v="Transportation"/>
    <s v="Semiconductor Revenue M$"/>
    <x v="5"/>
    <n v="10.248280978326287"/>
  </r>
  <r>
    <s v="Integrated AI"/>
    <x v="3"/>
    <x v="5"/>
    <s v="Industrial Electronics"/>
    <s v="Transportation"/>
    <s v="Semiconductor Revenue M$"/>
    <x v="6"/>
    <n v="15.921799185374807"/>
  </r>
  <r>
    <s v="Integrated AI"/>
    <x v="3"/>
    <x v="5"/>
    <s v="Industrial Electronics"/>
    <s v="Other Industrial Electronics"/>
    <s v="Semiconductor Revenue M$"/>
    <x v="0"/>
    <n v="0.92307496426485824"/>
  </r>
  <r>
    <s v="Integrated AI"/>
    <x v="3"/>
    <x v="5"/>
    <s v="Industrial Electronics"/>
    <s v="Other Industrial Electronics"/>
    <s v="Semiconductor Revenue M$"/>
    <x v="1"/>
    <n v="2.5746489775342996"/>
  </r>
  <r>
    <s v="Integrated AI"/>
    <x v="3"/>
    <x v="5"/>
    <s v="Industrial Electronics"/>
    <s v="Other Industrial Electronics"/>
    <s v="Semiconductor Revenue M$"/>
    <x v="2"/>
    <n v="7.0978295929359625"/>
  </r>
  <r>
    <s v="Integrated AI"/>
    <x v="3"/>
    <x v="5"/>
    <s v="Industrial Electronics"/>
    <s v="Other Industrial Electronics"/>
    <s v="Semiconductor Revenue M$"/>
    <x v="3"/>
    <n v="26.530071349757147"/>
  </r>
  <r>
    <s v="Integrated AI"/>
    <x v="3"/>
    <x v="5"/>
    <s v="Industrial Electronics"/>
    <s v="Other Industrial Electronics"/>
    <s v="Semiconductor Revenue M$"/>
    <x v="4"/>
    <n v="54.323159837090053"/>
  </r>
  <r>
    <s v="Integrated AI"/>
    <x v="3"/>
    <x v="5"/>
    <s v="Industrial Electronics"/>
    <s v="Other Industrial Electronics"/>
    <s v="Semiconductor Revenue M$"/>
    <x v="5"/>
    <n v="89.026377032257074"/>
  </r>
  <r>
    <s v="Integrated AI"/>
    <x v="3"/>
    <x v="5"/>
    <s v="Industrial Electronics"/>
    <s v="Other Industrial Electronics"/>
    <s v="Semiconductor Revenue M$"/>
    <x v="6"/>
    <n v="128.79557022861522"/>
  </r>
  <r>
    <s v="Integrated AI"/>
    <x v="3"/>
    <x v="5"/>
    <s v="Industrial Electronics"/>
    <s v="Military/Civil Aerospace Electronics"/>
    <s v="Semiconductor Revenue M$"/>
    <x v="0"/>
    <n v="1.3394229210662008"/>
  </r>
  <r>
    <s v="Integrated AI"/>
    <x v="3"/>
    <x v="5"/>
    <s v="Industrial Electronics"/>
    <s v="Military/Civil Aerospace Electronics"/>
    <s v="Semiconductor Revenue M$"/>
    <x v="1"/>
    <n v="4.5053307991579548"/>
  </r>
  <r>
    <s v="Integrated AI"/>
    <x v="3"/>
    <x v="5"/>
    <s v="Industrial Electronics"/>
    <s v="Military/Civil Aerospace Electronics"/>
    <s v="Semiconductor Revenue M$"/>
    <x v="2"/>
    <n v="12.717640754764215"/>
  </r>
  <r>
    <s v="Integrated AI"/>
    <x v="3"/>
    <x v="5"/>
    <s v="Industrial Electronics"/>
    <s v="Military/Civil Aerospace Electronics"/>
    <s v="Semiconductor Revenue M$"/>
    <x v="3"/>
    <n v="48.194833630790676"/>
  </r>
  <r>
    <s v="Integrated AI"/>
    <x v="3"/>
    <x v="5"/>
    <s v="Industrial Electronics"/>
    <s v="Military/Civil Aerospace Electronics"/>
    <s v="Semiconductor Revenue M$"/>
    <x v="4"/>
    <n v="103.93281308547698"/>
  </r>
  <r>
    <s v="Integrated AI"/>
    <x v="3"/>
    <x v="5"/>
    <s v="Industrial Electronics"/>
    <s v="Military/Civil Aerospace Electronics"/>
    <s v="Semiconductor Revenue M$"/>
    <x v="5"/>
    <n v="176.55416598329333"/>
  </r>
  <r>
    <s v="Integrated AI"/>
    <x v="3"/>
    <x v="5"/>
    <s v="Industrial Electronics"/>
    <s v="Military/Civil Aerospace Electronics"/>
    <s v="Semiconductor Revenue M$"/>
    <x v="6"/>
    <n v="265.19083016286106"/>
  </r>
  <r>
    <s v="Integrated AI"/>
    <x v="4"/>
    <x v="0"/>
    <s v="Compute"/>
    <s v="External Monitor"/>
    <s v="Semiconductor Revenue M$"/>
    <x v="0"/>
    <n v="0"/>
  </r>
  <r>
    <s v="Integrated AI"/>
    <x v="4"/>
    <x v="0"/>
    <s v="Compute"/>
    <s v="External Monitor"/>
    <s v="Semiconductor Revenue M$"/>
    <x v="1"/>
    <n v="0"/>
  </r>
  <r>
    <s v="Integrated AI"/>
    <x v="4"/>
    <x v="0"/>
    <s v="Compute"/>
    <s v="External Monitor"/>
    <s v="Semiconductor Revenue M$"/>
    <x v="2"/>
    <n v="0"/>
  </r>
  <r>
    <s v="Integrated AI"/>
    <x v="4"/>
    <x v="0"/>
    <s v="Compute"/>
    <s v="External Monitor"/>
    <s v="Semiconductor Revenue M$"/>
    <x v="3"/>
    <n v="0"/>
  </r>
  <r>
    <s v="Integrated AI"/>
    <x v="4"/>
    <x v="0"/>
    <s v="Compute"/>
    <s v="External Monitor"/>
    <s v="Semiconductor Revenue M$"/>
    <x v="4"/>
    <n v="0"/>
  </r>
  <r>
    <s v="Integrated AI"/>
    <x v="4"/>
    <x v="0"/>
    <s v="Compute"/>
    <s v="External Monitor"/>
    <s v="Semiconductor Revenue M$"/>
    <x v="5"/>
    <n v="0"/>
  </r>
  <r>
    <s v="Integrated AI"/>
    <x v="4"/>
    <x v="0"/>
    <s v="Compute"/>
    <s v="External Monitor"/>
    <s v="Semiconductor Revenue M$"/>
    <x v="6"/>
    <n v="0"/>
  </r>
  <r>
    <s v="Integrated AI"/>
    <x v="4"/>
    <x v="0"/>
    <s v="PC"/>
    <s v="Graphics Cards"/>
    <s v="Semiconductor Revenue M$"/>
    <x v="0"/>
    <n v="0"/>
  </r>
  <r>
    <s v="Integrated AI"/>
    <x v="4"/>
    <x v="0"/>
    <s v="PC"/>
    <s v="Graphics Cards"/>
    <s v="Semiconductor Revenue M$"/>
    <x v="1"/>
    <n v="0"/>
  </r>
  <r>
    <s v="Integrated AI"/>
    <x v="4"/>
    <x v="0"/>
    <s v="PC"/>
    <s v="Graphics Cards"/>
    <s v="Semiconductor Revenue M$"/>
    <x v="2"/>
    <n v="0"/>
  </r>
  <r>
    <s v="Integrated AI"/>
    <x v="4"/>
    <x v="0"/>
    <s v="PC"/>
    <s v="Graphics Cards"/>
    <s v="Semiconductor Revenue M$"/>
    <x v="3"/>
    <n v="0"/>
  </r>
  <r>
    <s v="Integrated AI"/>
    <x v="4"/>
    <x v="0"/>
    <s v="PC"/>
    <s v="Graphics Cards"/>
    <s v="Semiconductor Revenue M$"/>
    <x v="4"/>
    <n v="0"/>
  </r>
  <r>
    <s v="Integrated AI"/>
    <x v="4"/>
    <x v="0"/>
    <s v="PC"/>
    <s v="Graphics Cards"/>
    <s v="Semiconductor Revenue M$"/>
    <x v="5"/>
    <n v="0"/>
  </r>
  <r>
    <s v="Integrated AI"/>
    <x v="4"/>
    <x v="0"/>
    <s v="PC"/>
    <s v="Graphics Cards"/>
    <s v="Semiconductor Revenue M$"/>
    <x v="6"/>
    <n v="0"/>
  </r>
  <r>
    <s v="Integrated AI"/>
    <x v="4"/>
    <x v="0"/>
    <s v="PC"/>
    <s v="Desk-Based PC"/>
    <s v="Semiconductor Revenue M$"/>
    <x v="0"/>
    <n v="0"/>
  </r>
  <r>
    <s v="Integrated AI"/>
    <x v="4"/>
    <x v="0"/>
    <s v="PC"/>
    <s v="Desk-Based PC"/>
    <s v="Semiconductor Revenue M$"/>
    <x v="1"/>
    <n v="0"/>
  </r>
  <r>
    <s v="Integrated AI"/>
    <x v="4"/>
    <x v="0"/>
    <s v="PC"/>
    <s v="Desk-Based PC"/>
    <s v="Semiconductor Revenue M$"/>
    <x v="2"/>
    <n v="0"/>
  </r>
  <r>
    <s v="Integrated AI"/>
    <x v="4"/>
    <x v="0"/>
    <s v="PC"/>
    <s v="Desk-Based PC"/>
    <s v="Semiconductor Revenue M$"/>
    <x v="3"/>
    <n v="0"/>
  </r>
  <r>
    <s v="Integrated AI"/>
    <x v="4"/>
    <x v="0"/>
    <s v="PC"/>
    <s v="Desk-Based PC"/>
    <s v="Semiconductor Revenue M$"/>
    <x v="4"/>
    <n v="0"/>
  </r>
  <r>
    <s v="Integrated AI"/>
    <x v="4"/>
    <x v="0"/>
    <s v="PC"/>
    <s v="Desk-Based PC"/>
    <s v="Semiconductor Revenue M$"/>
    <x v="5"/>
    <n v="0"/>
  </r>
  <r>
    <s v="Integrated AI"/>
    <x v="4"/>
    <x v="0"/>
    <s v="PC"/>
    <s v="Desk-Based PC"/>
    <s v="Semiconductor Revenue M$"/>
    <x v="6"/>
    <n v="0"/>
  </r>
  <r>
    <s v="Integrated AI"/>
    <x v="4"/>
    <x v="0"/>
    <s v="PC"/>
    <s v="Ultramobile Basic, Tablet"/>
    <s v="Semiconductor Revenue M$"/>
    <x v="0"/>
    <n v="0"/>
  </r>
  <r>
    <s v="Integrated AI"/>
    <x v="4"/>
    <x v="0"/>
    <s v="PC"/>
    <s v="Ultramobile Basic, Tablet"/>
    <s v="Semiconductor Revenue M$"/>
    <x v="1"/>
    <n v="0"/>
  </r>
  <r>
    <s v="Integrated AI"/>
    <x v="4"/>
    <x v="0"/>
    <s v="PC"/>
    <s v="Ultramobile Basic, Tablet"/>
    <s v="Semiconductor Revenue M$"/>
    <x v="2"/>
    <n v="0"/>
  </r>
  <r>
    <s v="Integrated AI"/>
    <x v="4"/>
    <x v="0"/>
    <s v="PC"/>
    <s v="Ultramobile Basic, Tablet"/>
    <s v="Semiconductor Revenue M$"/>
    <x v="3"/>
    <n v="0"/>
  </r>
  <r>
    <s v="Integrated AI"/>
    <x v="4"/>
    <x v="0"/>
    <s v="PC"/>
    <s v="Ultramobile Basic, Tablet"/>
    <s v="Semiconductor Revenue M$"/>
    <x v="4"/>
    <n v="0"/>
  </r>
  <r>
    <s v="Integrated AI"/>
    <x v="4"/>
    <x v="0"/>
    <s v="PC"/>
    <s v="Ultramobile Basic, Tablet"/>
    <s v="Semiconductor Revenue M$"/>
    <x v="5"/>
    <n v="0"/>
  </r>
  <r>
    <s v="Integrated AI"/>
    <x v="4"/>
    <x v="0"/>
    <s v="PC"/>
    <s v="Ultramobile Basic, Tablet"/>
    <s v="Semiconductor Revenue M$"/>
    <x v="6"/>
    <n v="0"/>
  </r>
  <r>
    <s v="Integrated AI"/>
    <x v="4"/>
    <x v="0"/>
    <s v="PC"/>
    <s v="Ultramobile Utility, Tablet"/>
    <s v="Semiconductor Revenue M$"/>
    <x v="0"/>
    <n v="0"/>
  </r>
  <r>
    <s v="Integrated AI"/>
    <x v="4"/>
    <x v="0"/>
    <s v="PC"/>
    <s v="Ultramobile Utility, Tablet"/>
    <s v="Semiconductor Revenue M$"/>
    <x v="1"/>
    <n v="0"/>
  </r>
  <r>
    <s v="Integrated AI"/>
    <x v="4"/>
    <x v="0"/>
    <s v="PC"/>
    <s v="Ultramobile Utility, Tablet"/>
    <s v="Semiconductor Revenue M$"/>
    <x v="2"/>
    <n v="0"/>
  </r>
  <r>
    <s v="Integrated AI"/>
    <x v="4"/>
    <x v="0"/>
    <s v="PC"/>
    <s v="Ultramobile Utility, Tablet"/>
    <s v="Semiconductor Revenue M$"/>
    <x v="3"/>
    <n v="0"/>
  </r>
  <r>
    <s v="Integrated AI"/>
    <x v="4"/>
    <x v="0"/>
    <s v="PC"/>
    <s v="Ultramobile Utility, Tablet"/>
    <s v="Semiconductor Revenue M$"/>
    <x v="4"/>
    <n v="0"/>
  </r>
  <r>
    <s v="Integrated AI"/>
    <x v="4"/>
    <x v="0"/>
    <s v="PC"/>
    <s v="Ultramobile Utility, Tablet"/>
    <s v="Semiconductor Revenue M$"/>
    <x v="5"/>
    <n v="0"/>
  </r>
  <r>
    <s v="Integrated AI"/>
    <x v="4"/>
    <x v="0"/>
    <s v="PC"/>
    <s v="Ultramobile Utility, Tablet"/>
    <s v="Semiconductor Revenue M$"/>
    <x v="6"/>
    <n v="0"/>
  </r>
  <r>
    <s v="Integrated AI"/>
    <x v="4"/>
    <x v="0"/>
    <s v="PC"/>
    <s v="Ultramobile Premium, Tablet"/>
    <s v="Semiconductor Revenue M$"/>
    <x v="0"/>
    <n v="0"/>
  </r>
  <r>
    <s v="Integrated AI"/>
    <x v="4"/>
    <x v="0"/>
    <s v="PC"/>
    <s v="Ultramobile Premium, Tablet"/>
    <s v="Semiconductor Revenue M$"/>
    <x v="1"/>
    <n v="0"/>
  </r>
  <r>
    <s v="Integrated AI"/>
    <x v="4"/>
    <x v="0"/>
    <s v="PC"/>
    <s v="Ultramobile Premium, Tablet"/>
    <s v="Semiconductor Revenue M$"/>
    <x v="2"/>
    <n v="0"/>
  </r>
  <r>
    <s v="Integrated AI"/>
    <x v="4"/>
    <x v="0"/>
    <s v="PC"/>
    <s v="Ultramobile Premium, Tablet"/>
    <s v="Semiconductor Revenue M$"/>
    <x v="3"/>
    <n v="0"/>
  </r>
  <r>
    <s v="Integrated AI"/>
    <x v="4"/>
    <x v="0"/>
    <s v="PC"/>
    <s v="Ultramobile Premium, Tablet"/>
    <s v="Semiconductor Revenue M$"/>
    <x v="4"/>
    <n v="0"/>
  </r>
  <r>
    <s v="Integrated AI"/>
    <x v="4"/>
    <x v="0"/>
    <s v="PC"/>
    <s v="Ultramobile Premium, Tablet"/>
    <s v="Semiconductor Revenue M$"/>
    <x v="5"/>
    <n v="0"/>
  </r>
  <r>
    <s v="Integrated AI"/>
    <x v="4"/>
    <x v="0"/>
    <s v="PC"/>
    <s v="Ultramobile Premium, Tablet"/>
    <s v="Semiconductor Revenue M$"/>
    <x v="6"/>
    <n v="0"/>
  </r>
  <r>
    <s v="Integrated AI"/>
    <x v="4"/>
    <x v="0"/>
    <s v="PC"/>
    <s v="Ultramobile Basic, Clamshell"/>
    <s v="Semiconductor Revenue M$"/>
    <x v="0"/>
    <n v="0"/>
  </r>
  <r>
    <s v="Integrated AI"/>
    <x v="4"/>
    <x v="0"/>
    <s v="PC"/>
    <s v="Ultramobile Basic, Clamshell"/>
    <s v="Semiconductor Revenue M$"/>
    <x v="1"/>
    <n v="0"/>
  </r>
  <r>
    <s v="Integrated AI"/>
    <x v="4"/>
    <x v="0"/>
    <s v="PC"/>
    <s v="Ultramobile Basic, Clamshell"/>
    <s v="Semiconductor Revenue M$"/>
    <x v="2"/>
    <n v="0"/>
  </r>
  <r>
    <s v="Integrated AI"/>
    <x v="4"/>
    <x v="0"/>
    <s v="PC"/>
    <s v="Ultramobile Basic, Clamshell"/>
    <s v="Semiconductor Revenue M$"/>
    <x v="3"/>
    <n v="0"/>
  </r>
  <r>
    <s v="Integrated AI"/>
    <x v="4"/>
    <x v="0"/>
    <s v="PC"/>
    <s v="Ultramobile Basic, Clamshell"/>
    <s v="Semiconductor Revenue M$"/>
    <x v="4"/>
    <n v="0"/>
  </r>
  <r>
    <s v="Integrated AI"/>
    <x v="4"/>
    <x v="0"/>
    <s v="PC"/>
    <s v="Ultramobile Basic, Clamshell"/>
    <s v="Semiconductor Revenue M$"/>
    <x v="5"/>
    <n v="0"/>
  </r>
  <r>
    <s v="Integrated AI"/>
    <x v="4"/>
    <x v="0"/>
    <s v="PC"/>
    <s v="Ultramobile Basic, Clamshell"/>
    <s v="Semiconductor Revenue M$"/>
    <x v="6"/>
    <n v="0"/>
  </r>
  <r>
    <s v="Integrated AI"/>
    <x v="4"/>
    <x v="0"/>
    <s v="PC"/>
    <s v="Ultramobile Premium, Clamshell"/>
    <s v="Semiconductor Revenue M$"/>
    <x v="0"/>
    <n v="0"/>
  </r>
  <r>
    <s v="Integrated AI"/>
    <x v="4"/>
    <x v="0"/>
    <s v="PC"/>
    <s v="Ultramobile Premium, Clamshell"/>
    <s v="Semiconductor Revenue M$"/>
    <x v="1"/>
    <n v="0"/>
  </r>
  <r>
    <s v="Integrated AI"/>
    <x v="4"/>
    <x v="0"/>
    <s v="PC"/>
    <s v="Ultramobile Premium, Clamshell"/>
    <s v="Semiconductor Revenue M$"/>
    <x v="2"/>
    <n v="0"/>
  </r>
  <r>
    <s v="Integrated AI"/>
    <x v="4"/>
    <x v="0"/>
    <s v="PC"/>
    <s v="Ultramobile Premium, Clamshell"/>
    <s v="Semiconductor Revenue M$"/>
    <x v="3"/>
    <n v="0"/>
  </r>
  <r>
    <s v="Integrated AI"/>
    <x v="4"/>
    <x v="0"/>
    <s v="PC"/>
    <s v="Ultramobile Premium, Clamshell"/>
    <s v="Semiconductor Revenue M$"/>
    <x v="4"/>
    <n v="0"/>
  </r>
  <r>
    <s v="Integrated AI"/>
    <x v="4"/>
    <x v="0"/>
    <s v="PC"/>
    <s v="Ultramobile Premium, Clamshell"/>
    <s v="Semiconductor Revenue M$"/>
    <x v="5"/>
    <n v="0"/>
  </r>
  <r>
    <s v="Integrated AI"/>
    <x v="4"/>
    <x v="0"/>
    <s v="PC"/>
    <s v="Ultramobile Premium, Clamshell"/>
    <s v="Semiconductor Revenue M$"/>
    <x v="6"/>
    <n v="0"/>
  </r>
  <r>
    <s v="Integrated AI"/>
    <x v="4"/>
    <x v="0"/>
    <s v="PC"/>
    <s v="Ultramobile Basic, Hybrid"/>
    <s v="Semiconductor Revenue M$"/>
    <x v="0"/>
    <n v="0"/>
  </r>
  <r>
    <s v="Integrated AI"/>
    <x v="4"/>
    <x v="0"/>
    <s v="PC"/>
    <s v="Ultramobile Basic, Hybrid"/>
    <s v="Semiconductor Revenue M$"/>
    <x v="1"/>
    <n v="0"/>
  </r>
  <r>
    <s v="Integrated AI"/>
    <x v="4"/>
    <x v="0"/>
    <s v="PC"/>
    <s v="Ultramobile Basic, Hybrid"/>
    <s v="Semiconductor Revenue M$"/>
    <x v="2"/>
    <n v="0"/>
  </r>
  <r>
    <s v="Integrated AI"/>
    <x v="4"/>
    <x v="0"/>
    <s v="PC"/>
    <s v="Ultramobile Basic, Hybrid"/>
    <s v="Semiconductor Revenue M$"/>
    <x v="3"/>
    <n v="0"/>
  </r>
  <r>
    <s v="Integrated AI"/>
    <x v="4"/>
    <x v="0"/>
    <s v="PC"/>
    <s v="Ultramobile Basic, Hybrid"/>
    <s v="Semiconductor Revenue M$"/>
    <x v="4"/>
    <n v="0"/>
  </r>
  <r>
    <s v="Integrated AI"/>
    <x v="4"/>
    <x v="0"/>
    <s v="PC"/>
    <s v="Ultramobile Basic, Hybrid"/>
    <s v="Semiconductor Revenue M$"/>
    <x v="5"/>
    <n v="0"/>
  </r>
  <r>
    <s v="Integrated AI"/>
    <x v="4"/>
    <x v="0"/>
    <s v="PC"/>
    <s v="Ultramobile Basic, Hybrid"/>
    <s v="Semiconductor Revenue M$"/>
    <x v="6"/>
    <n v="0"/>
  </r>
  <r>
    <s v="Integrated AI"/>
    <x v="4"/>
    <x v="0"/>
    <s v="PC"/>
    <s v="Ultramobile Premium, Hybrid"/>
    <s v="Semiconductor Revenue M$"/>
    <x v="0"/>
    <n v="0"/>
  </r>
  <r>
    <s v="Integrated AI"/>
    <x v="4"/>
    <x v="0"/>
    <s v="PC"/>
    <s v="Ultramobile Premium, Hybrid"/>
    <s v="Semiconductor Revenue M$"/>
    <x v="1"/>
    <n v="0"/>
  </r>
  <r>
    <s v="Integrated AI"/>
    <x v="4"/>
    <x v="0"/>
    <s v="PC"/>
    <s v="Ultramobile Premium, Hybrid"/>
    <s v="Semiconductor Revenue M$"/>
    <x v="2"/>
    <n v="0"/>
  </r>
  <r>
    <s v="Integrated AI"/>
    <x v="4"/>
    <x v="0"/>
    <s v="PC"/>
    <s v="Ultramobile Premium, Hybrid"/>
    <s v="Semiconductor Revenue M$"/>
    <x v="3"/>
    <n v="0"/>
  </r>
  <r>
    <s v="Integrated AI"/>
    <x v="4"/>
    <x v="0"/>
    <s v="PC"/>
    <s v="Ultramobile Premium, Hybrid"/>
    <s v="Semiconductor Revenue M$"/>
    <x v="4"/>
    <n v="0"/>
  </r>
  <r>
    <s v="Integrated AI"/>
    <x v="4"/>
    <x v="0"/>
    <s v="PC"/>
    <s v="Ultramobile Premium, Hybrid"/>
    <s v="Semiconductor Revenue M$"/>
    <x v="5"/>
    <n v="0"/>
  </r>
  <r>
    <s v="Integrated AI"/>
    <x v="4"/>
    <x v="0"/>
    <s v="PC"/>
    <s v="Ultramobile Premium, Hybrid"/>
    <s v="Semiconductor Revenue M$"/>
    <x v="6"/>
    <n v="0"/>
  </r>
  <r>
    <s v="Integrated AI"/>
    <x v="4"/>
    <x v="0"/>
    <s v="PC"/>
    <s v="Notebook"/>
    <s v="Semiconductor Revenue M$"/>
    <x v="0"/>
    <n v="0"/>
  </r>
  <r>
    <s v="Integrated AI"/>
    <x v="4"/>
    <x v="0"/>
    <s v="PC"/>
    <s v="Notebook"/>
    <s v="Semiconductor Revenue M$"/>
    <x v="1"/>
    <n v="0"/>
  </r>
  <r>
    <s v="Integrated AI"/>
    <x v="4"/>
    <x v="0"/>
    <s v="PC"/>
    <s v="Notebook"/>
    <s v="Semiconductor Revenue M$"/>
    <x v="2"/>
    <n v="0"/>
  </r>
  <r>
    <s v="Integrated AI"/>
    <x v="4"/>
    <x v="0"/>
    <s v="PC"/>
    <s v="Notebook"/>
    <s v="Semiconductor Revenue M$"/>
    <x v="3"/>
    <n v="0"/>
  </r>
  <r>
    <s v="Integrated AI"/>
    <x v="4"/>
    <x v="0"/>
    <s v="PC"/>
    <s v="Notebook"/>
    <s v="Semiconductor Revenue M$"/>
    <x v="4"/>
    <n v="0"/>
  </r>
  <r>
    <s v="Integrated AI"/>
    <x v="4"/>
    <x v="0"/>
    <s v="PC"/>
    <s v="Notebook"/>
    <s v="Semiconductor Revenue M$"/>
    <x v="5"/>
    <n v="0"/>
  </r>
  <r>
    <s v="Integrated AI"/>
    <x v="4"/>
    <x v="0"/>
    <s v="PC"/>
    <s v="Notebook"/>
    <s v="Semiconductor Revenue M$"/>
    <x v="6"/>
    <n v="0"/>
  </r>
  <r>
    <s v="Integrated AI"/>
    <x v="4"/>
    <x v="0"/>
    <s v="Compute"/>
    <s v="Printer/Copier"/>
    <s v="Semiconductor Revenue M$"/>
    <x v="0"/>
    <n v="0"/>
  </r>
  <r>
    <s v="Integrated AI"/>
    <x v="4"/>
    <x v="0"/>
    <s v="Compute"/>
    <s v="Printer/Copier"/>
    <s v="Semiconductor Revenue M$"/>
    <x v="1"/>
    <n v="0"/>
  </r>
  <r>
    <s v="Integrated AI"/>
    <x v="4"/>
    <x v="0"/>
    <s v="Compute"/>
    <s v="Printer/Copier"/>
    <s v="Semiconductor Revenue M$"/>
    <x v="2"/>
    <n v="0"/>
  </r>
  <r>
    <s v="Integrated AI"/>
    <x v="4"/>
    <x v="0"/>
    <s v="Compute"/>
    <s v="Printer/Copier"/>
    <s v="Semiconductor Revenue M$"/>
    <x v="3"/>
    <n v="0"/>
  </r>
  <r>
    <s v="Integrated AI"/>
    <x v="4"/>
    <x v="0"/>
    <s v="Compute"/>
    <s v="Printer/Copier"/>
    <s v="Semiconductor Revenue M$"/>
    <x v="4"/>
    <n v="0"/>
  </r>
  <r>
    <s v="Integrated AI"/>
    <x v="4"/>
    <x v="0"/>
    <s v="Compute"/>
    <s v="Printer/Copier"/>
    <s v="Semiconductor Revenue M$"/>
    <x v="5"/>
    <n v="0"/>
  </r>
  <r>
    <s v="Integrated AI"/>
    <x v="4"/>
    <x v="0"/>
    <s v="Compute"/>
    <s v="Printer/Copier"/>
    <s v="Semiconductor Revenue M$"/>
    <x v="6"/>
    <n v="0"/>
  </r>
  <r>
    <s v="Integrated AI"/>
    <x v="4"/>
    <x v="0"/>
    <s v="Compute"/>
    <s v="Flash Cards"/>
    <s v="Semiconductor Revenue M$"/>
    <x v="0"/>
    <n v="0"/>
  </r>
  <r>
    <s v="Integrated AI"/>
    <x v="4"/>
    <x v="0"/>
    <s v="Compute"/>
    <s v="Flash Cards"/>
    <s v="Semiconductor Revenue M$"/>
    <x v="1"/>
    <n v="0"/>
  </r>
  <r>
    <s v="Integrated AI"/>
    <x v="4"/>
    <x v="0"/>
    <s v="Compute"/>
    <s v="Flash Cards"/>
    <s v="Semiconductor Revenue M$"/>
    <x v="2"/>
    <n v="0"/>
  </r>
  <r>
    <s v="Integrated AI"/>
    <x v="4"/>
    <x v="0"/>
    <s v="Compute"/>
    <s v="Flash Cards"/>
    <s v="Semiconductor Revenue M$"/>
    <x v="3"/>
    <n v="0"/>
  </r>
  <r>
    <s v="Integrated AI"/>
    <x v="4"/>
    <x v="0"/>
    <s v="Compute"/>
    <s v="Flash Cards"/>
    <s v="Semiconductor Revenue M$"/>
    <x v="4"/>
    <n v="0"/>
  </r>
  <r>
    <s v="Integrated AI"/>
    <x v="4"/>
    <x v="0"/>
    <s v="Compute"/>
    <s v="Flash Cards"/>
    <s v="Semiconductor Revenue M$"/>
    <x v="5"/>
    <n v="0"/>
  </r>
  <r>
    <s v="Integrated AI"/>
    <x v="4"/>
    <x v="0"/>
    <s v="Compute"/>
    <s v="Flash Cards"/>
    <s v="Semiconductor Revenue M$"/>
    <x v="6"/>
    <n v="0"/>
  </r>
  <r>
    <s v="Integrated AI"/>
    <x v="4"/>
    <x v="0"/>
    <s v="Compute"/>
    <s v="USB Flash Drives"/>
    <s v="Semiconductor Revenue M$"/>
    <x v="0"/>
    <n v="0"/>
  </r>
  <r>
    <s v="Integrated AI"/>
    <x v="4"/>
    <x v="0"/>
    <s v="Compute"/>
    <s v="USB Flash Drives"/>
    <s v="Semiconductor Revenue M$"/>
    <x v="1"/>
    <n v="0"/>
  </r>
  <r>
    <s v="Integrated AI"/>
    <x v="4"/>
    <x v="0"/>
    <s v="Compute"/>
    <s v="USB Flash Drives"/>
    <s v="Semiconductor Revenue M$"/>
    <x v="2"/>
    <n v="0"/>
  </r>
  <r>
    <s v="Integrated AI"/>
    <x v="4"/>
    <x v="0"/>
    <s v="Compute"/>
    <s v="USB Flash Drives"/>
    <s v="Semiconductor Revenue M$"/>
    <x v="3"/>
    <n v="0"/>
  </r>
  <r>
    <s v="Integrated AI"/>
    <x v="4"/>
    <x v="0"/>
    <s v="Compute"/>
    <s v="USB Flash Drives"/>
    <s v="Semiconductor Revenue M$"/>
    <x v="4"/>
    <n v="0"/>
  </r>
  <r>
    <s v="Integrated AI"/>
    <x v="4"/>
    <x v="0"/>
    <s v="Compute"/>
    <s v="USB Flash Drives"/>
    <s v="Semiconductor Revenue M$"/>
    <x v="5"/>
    <n v="0"/>
  </r>
  <r>
    <s v="Integrated AI"/>
    <x v="4"/>
    <x v="0"/>
    <s v="Compute"/>
    <s v="USB Flash Drives"/>
    <s v="Semiconductor Revenue M$"/>
    <x v="6"/>
    <n v="0"/>
  </r>
  <r>
    <s v="Integrated AI"/>
    <x v="4"/>
    <x v="0"/>
    <s v="Servers"/>
    <s v="Server, 4 CPU sockets and over"/>
    <s v="Semiconductor Revenue M$"/>
    <x v="0"/>
    <n v="0"/>
  </r>
  <r>
    <s v="Integrated AI"/>
    <x v="4"/>
    <x v="0"/>
    <s v="Servers"/>
    <s v="Server, 4 CPU sockets and over"/>
    <s v="Semiconductor Revenue M$"/>
    <x v="1"/>
    <n v="0"/>
  </r>
  <r>
    <s v="Integrated AI"/>
    <x v="4"/>
    <x v="0"/>
    <s v="Servers"/>
    <s v="Server, 4 CPU sockets and over"/>
    <s v="Semiconductor Revenue M$"/>
    <x v="2"/>
    <n v="0"/>
  </r>
  <r>
    <s v="Integrated AI"/>
    <x v="4"/>
    <x v="0"/>
    <s v="Servers"/>
    <s v="Server, 4 CPU sockets and over"/>
    <s v="Semiconductor Revenue M$"/>
    <x v="3"/>
    <n v="0"/>
  </r>
  <r>
    <s v="Integrated AI"/>
    <x v="4"/>
    <x v="0"/>
    <s v="Servers"/>
    <s v="Server, 4 CPU sockets and over"/>
    <s v="Semiconductor Revenue M$"/>
    <x v="4"/>
    <n v="0"/>
  </r>
  <r>
    <s v="Integrated AI"/>
    <x v="4"/>
    <x v="0"/>
    <s v="Servers"/>
    <s v="Server, 4 CPU sockets and over"/>
    <s v="Semiconductor Revenue M$"/>
    <x v="5"/>
    <n v="0"/>
  </r>
  <r>
    <s v="Integrated AI"/>
    <x v="4"/>
    <x v="0"/>
    <s v="Servers"/>
    <s v="Server, 4 CPU sockets and over"/>
    <s v="Semiconductor Revenue M$"/>
    <x v="6"/>
    <n v="0"/>
  </r>
  <r>
    <s v="Integrated AI"/>
    <x v="4"/>
    <x v="0"/>
    <s v="Servers"/>
    <s v="Server, 2 CPU socket"/>
    <s v="Semiconductor Revenue M$"/>
    <x v="0"/>
    <n v="0"/>
  </r>
  <r>
    <s v="Integrated AI"/>
    <x v="4"/>
    <x v="0"/>
    <s v="Servers"/>
    <s v="Server, 2 CPU socket"/>
    <s v="Semiconductor Revenue M$"/>
    <x v="1"/>
    <n v="0"/>
  </r>
  <r>
    <s v="Integrated AI"/>
    <x v="4"/>
    <x v="0"/>
    <s v="Servers"/>
    <s v="Server, 2 CPU socket"/>
    <s v="Semiconductor Revenue M$"/>
    <x v="2"/>
    <n v="0"/>
  </r>
  <r>
    <s v="Integrated AI"/>
    <x v="4"/>
    <x v="0"/>
    <s v="Servers"/>
    <s v="Server, 2 CPU socket"/>
    <s v="Semiconductor Revenue M$"/>
    <x v="3"/>
    <n v="0"/>
  </r>
  <r>
    <s v="Integrated AI"/>
    <x v="4"/>
    <x v="0"/>
    <s v="Servers"/>
    <s v="Server, 2 CPU socket"/>
    <s v="Semiconductor Revenue M$"/>
    <x v="4"/>
    <n v="0"/>
  </r>
  <r>
    <s v="Integrated AI"/>
    <x v="4"/>
    <x v="0"/>
    <s v="Servers"/>
    <s v="Server, 2 CPU socket"/>
    <s v="Semiconductor Revenue M$"/>
    <x v="5"/>
    <n v="0"/>
  </r>
  <r>
    <s v="Integrated AI"/>
    <x v="4"/>
    <x v="0"/>
    <s v="Servers"/>
    <s v="Server, 2 CPU socket"/>
    <s v="Semiconductor Revenue M$"/>
    <x v="6"/>
    <n v="0"/>
  </r>
  <r>
    <s v="Integrated AI"/>
    <x v="4"/>
    <x v="0"/>
    <s v="Servers"/>
    <s v="Server, 1 CPU socket"/>
    <s v="Semiconductor Revenue M$"/>
    <x v="0"/>
    <n v="0"/>
  </r>
  <r>
    <s v="Integrated AI"/>
    <x v="4"/>
    <x v="0"/>
    <s v="Servers"/>
    <s v="Server, 1 CPU socket"/>
    <s v="Semiconductor Revenue M$"/>
    <x v="1"/>
    <n v="0"/>
  </r>
  <r>
    <s v="Integrated AI"/>
    <x v="4"/>
    <x v="0"/>
    <s v="Servers"/>
    <s v="Server, 1 CPU socket"/>
    <s v="Semiconductor Revenue M$"/>
    <x v="2"/>
    <n v="0"/>
  </r>
  <r>
    <s v="Integrated AI"/>
    <x v="4"/>
    <x v="0"/>
    <s v="Servers"/>
    <s v="Server, 1 CPU socket"/>
    <s v="Semiconductor Revenue M$"/>
    <x v="3"/>
    <n v="0"/>
  </r>
  <r>
    <s v="Integrated AI"/>
    <x v="4"/>
    <x v="0"/>
    <s v="Servers"/>
    <s v="Server, 1 CPU socket"/>
    <s v="Semiconductor Revenue M$"/>
    <x v="4"/>
    <n v="0"/>
  </r>
  <r>
    <s v="Integrated AI"/>
    <x v="4"/>
    <x v="0"/>
    <s v="Servers"/>
    <s v="Server, 1 CPU socket"/>
    <s v="Semiconductor Revenue M$"/>
    <x v="5"/>
    <n v="0"/>
  </r>
  <r>
    <s v="Integrated AI"/>
    <x v="4"/>
    <x v="0"/>
    <s v="Servers"/>
    <s v="Server, 1 CPU socket"/>
    <s v="Semiconductor Revenue M$"/>
    <x v="6"/>
    <n v="0"/>
  </r>
  <r>
    <s v="Integrated AI"/>
    <x v="4"/>
    <x v="0"/>
    <s v="Compute"/>
    <s v="Smart Cards"/>
    <s v="Semiconductor Revenue M$"/>
    <x v="0"/>
    <n v="0"/>
  </r>
  <r>
    <s v="Integrated AI"/>
    <x v="4"/>
    <x v="0"/>
    <s v="Compute"/>
    <s v="Smart Cards"/>
    <s v="Semiconductor Revenue M$"/>
    <x v="1"/>
    <n v="0"/>
  </r>
  <r>
    <s v="Integrated AI"/>
    <x v="4"/>
    <x v="0"/>
    <s v="Compute"/>
    <s v="Smart Cards"/>
    <s v="Semiconductor Revenue M$"/>
    <x v="2"/>
    <n v="0"/>
  </r>
  <r>
    <s v="Integrated AI"/>
    <x v="4"/>
    <x v="0"/>
    <s v="Compute"/>
    <s v="Smart Cards"/>
    <s v="Semiconductor Revenue M$"/>
    <x v="3"/>
    <n v="0"/>
  </r>
  <r>
    <s v="Integrated AI"/>
    <x v="4"/>
    <x v="0"/>
    <s v="Compute"/>
    <s v="Smart Cards"/>
    <s v="Semiconductor Revenue M$"/>
    <x v="4"/>
    <n v="0"/>
  </r>
  <r>
    <s v="Integrated AI"/>
    <x v="4"/>
    <x v="0"/>
    <s v="Compute"/>
    <s v="Smart Cards"/>
    <s v="Semiconductor Revenue M$"/>
    <x v="5"/>
    <n v="0"/>
  </r>
  <r>
    <s v="Integrated AI"/>
    <x v="4"/>
    <x v="0"/>
    <s v="Compute"/>
    <s v="Smart Cards"/>
    <s v="Semiconductor Revenue M$"/>
    <x v="6"/>
    <n v="0"/>
  </r>
  <r>
    <s v="Integrated AI"/>
    <x v="4"/>
    <x v="0"/>
    <s v="Servers"/>
    <s v="Accelerator Cards"/>
    <s v="Semiconductor Revenue M$"/>
    <x v="0"/>
    <n v="0"/>
  </r>
  <r>
    <s v="Integrated AI"/>
    <x v="4"/>
    <x v="0"/>
    <s v="Servers"/>
    <s v="Accelerator Cards"/>
    <s v="Semiconductor Revenue M$"/>
    <x v="1"/>
    <n v="0"/>
  </r>
  <r>
    <s v="Integrated AI"/>
    <x v="4"/>
    <x v="0"/>
    <s v="Servers"/>
    <s v="Accelerator Cards"/>
    <s v="Semiconductor Revenue M$"/>
    <x v="2"/>
    <n v="0"/>
  </r>
  <r>
    <s v="Integrated AI"/>
    <x v="4"/>
    <x v="0"/>
    <s v="Servers"/>
    <s v="Accelerator Cards"/>
    <s v="Semiconductor Revenue M$"/>
    <x v="3"/>
    <n v="0"/>
  </r>
  <r>
    <s v="Integrated AI"/>
    <x v="4"/>
    <x v="0"/>
    <s v="Servers"/>
    <s v="Accelerator Cards"/>
    <s v="Semiconductor Revenue M$"/>
    <x v="4"/>
    <n v="0"/>
  </r>
  <r>
    <s v="Integrated AI"/>
    <x v="4"/>
    <x v="0"/>
    <s v="Servers"/>
    <s v="Accelerator Cards"/>
    <s v="Semiconductor Revenue M$"/>
    <x v="5"/>
    <n v="0"/>
  </r>
  <r>
    <s v="Integrated AI"/>
    <x v="4"/>
    <x v="0"/>
    <s v="Servers"/>
    <s v="Accelerator Cards"/>
    <s v="Semiconductor Revenue M$"/>
    <x v="6"/>
    <n v="0"/>
  </r>
  <r>
    <s v="Integrated AI"/>
    <x v="4"/>
    <x v="1"/>
    <s v="Storage"/>
    <s v="Solid-State ECB"/>
    <s v="Semiconductor Revenue M$"/>
    <x v="0"/>
    <n v="0"/>
  </r>
  <r>
    <s v="Integrated AI"/>
    <x v="4"/>
    <x v="1"/>
    <s v="Storage"/>
    <s v="Solid-State ECB"/>
    <s v="Semiconductor Revenue M$"/>
    <x v="1"/>
    <n v="0"/>
  </r>
  <r>
    <s v="Integrated AI"/>
    <x v="4"/>
    <x v="1"/>
    <s v="Storage"/>
    <s v="Solid-State ECB"/>
    <s v="Semiconductor Revenue M$"/>
    <x v="2"/>
    <n v="0"/>
  </r>
  <r>
    <s v="Integrated AI"/>
    <x v="4"/>
    <x v="1"/>
    <s v="Storage"/>
    <s v="Solid-State ECB"/>
    <s v="Semiconductor Revenue M$"/>
    <x v="3"/>
    <n v="0"/>
  </r>
  <r>
    <s v="Integrated AI"/>
    <x v="4"/>
    <x v="1"/>
    <s v="Storage"/>
    <s v="Solid-State ECB"/>
    <s v="Semiconductor Revenue M$"/>
    <x v="4"/>
    <n v="0"/>
  </r>
  <r>
    <s v="Integrated AI"/>
    <x v="4"/>
    <x v="1"/>
    <s v="Storage"/>
    <s v="Solid-State ECB"/>
    <s v="Semiconductor Revenue M$"/>
    <x v="5"/>
    <n v="0"/>
  </r>
  <r>
    <s v="Integrated AI"/>
    <x v="4"/>
    <x v="1"/>
    <s v="Storage"/>
    <s v="Solid-State ECB"/>
    <s v="Semiconductor Revenue M$"/>
    <x v="6"/>
    <n v="0"/>
  </r>
  <r>
    <s v="Integrated AI"/>
    <x v="4"/>
    <x v="1"/>
    <s v="Storage"/>
    <s v="Other ECB (HDD/Hybrid)"/>
    <s v="Semiconductor Revenue M$"/>
    <x v="0"/>
    <n v="0"/>
  </r>
  <r>
    <s v="Integrated AI"/>
    <x v="4"/>
    <x v="1"/>
    <s v="Storage"/>
    <s v="Other ECB (HDD/Hybrid)"/>
    <s v="Semiconductor Revenue M$"/>
    <x v="1"/>
    <n v="0"/>
  </r>
  <r>
    <s v="Integrated AI"/>
    <x v="4"/>
    <x v="1"/>
    <s v="Storage"/>
    <s v="Other ECB (HDD/Hybrid)"/>
    <s v="Semiconductor Revenue M$"/>
    <x v="2"/>
    <n v="0"/>
  </r>
  <r>
    <s v="Integrated AI"/>
    <x v="4"/>
    <x v="1"/>
    <s v="Storage"/>
    <s v="Other ECB (HDD/Hybrid)"/>
    <s v="Semiconductor Revenue M$"/>
    <x v="3"/>
    <n v="0"/>
  </r>
  <r>
    <s v="Integrated AI"/>
    <x v="4"/>
    <x v="1"/>
    <s v="Storage"/>
    <s v="Other ECB (HDD/Hybrid)"/>
    <s v="Semiconductor Revenue M$"/>
    <x v="4"/>
    <n v="0"/>
  </r>
  <r>
    <s v="Integrated AI"/>
    <x v="4"/>
    <x v="1"/>
    <s v="Storage"/>
    <s v="Other ECB (HDD/Hybrid)"/>
    <s v="Semiconductor Revenue M$"/>
    <x v="5"/>
    <n v="0"/>
  </r>
  <r>
    <s v="Integrated AI"/>
    <x v="4"/>
    <x v="1"/>
    <s v="Storage"/>
    <s v="Other ECB (HDD/Hybrid)"/>
    <s v="Semiconductor Revenue M$"/>
    <x v="6"/>
    <n v="0"/>
  </r>
  <r>
    <s v="Integrated AI"/>
    <x v="4"/>
    <x v="1"/>
    <s v="Storage"/>
    <s v="Storage Network Infrastructure"/>
    <s v="Semiconductor Revenue M$"/>
    <x v="0"/>
    <n v="0"/>
  </r>
  <r>
    <s v="Integrated AI"/>
    <x v="4"/>
    <x v="1"/>
    <s v="Storage"/>
    <s v="Storage Network Infrastructure"/>
    <s v="Semiconductor Revenue M$"/>
    <x v="1"/>
    <n v="0"/>
  </r>
  <r>
    <s v="Integrated AI"/>
    <x v="4"/>
    <x v="1"/>
    <s v="Storage"/>
    <s v="Storage Network Infrastructure"/>
    <s v="Semiconductor Revenue M$"/>
    <x v="2"/>
    <n v="0"/>
  </r>
  <r>
    <s v="Integrated AI"/>
    <x v="4"/>
    <x v="1"/>
    <s v="Storage"/>
    <s v="Storage Network Infrastructure"/>
    <s v="Semiconductor Revenue M$"/>
    <x v="3"/>
    <n v="0"/>
  </r>
  <r>
    <s v="Integrated AI"/>
    <x v="4"/>
    <x v="1"/>
    <s v="Storage"/>
    <s v="Storage Network Infrastructure"/>
    <s v="Semiconductor Revenue M$"/>
    <x v="4"/>
    <n v="0"/>
  </r>
  <r>
    <s v="Integrated AI"/>
    <x v="4"/>
    <x v="1"/>
    <s v="Storage"/>
    <s v="Storage Network Infrastructure"/>
    <s v="Semiconductor Revenue M$"/>
    <x v="5"/>
    <n v="0"/>
  </r>
  <r>
    <s v="Integrated AI"/>
    <x v="4"/>
    <x v="1"/>
    <s v="Storage"/>
    <s v="Storage Network Infrastructure"/>
    <s v="Semiconductor Revenue M$"/>
    <x v="6"/>
    <n v="0"/>
  </r>
  <r>
    <s v="Integrated AI"/>
    <x v="4"/>
    <x v="1"/>
    <s v="Storage"/>
    <s v="Hard Disk Drive"/>
    <s v="Semiconductor Revenue M$"/>
    <x v="0"/>
    <n v="0"/>
  </r>
  <r>
    <s v="Integrated AI"/>
    <x v="4"/>
    <x v="1"/>
    <s v="Storage"/>
    <s v="Hard Disk Drive"/>
    <s v="Semiconductor Revenue M$"/>
    <x v="1"/>
    <n v="0"/>
  </r>
  <r>
    <s v="Integrated AI"/>
    <x v="4"/>
    <x v="1"/>
    <s v="Storage"/>
    <s v="Hard Disk Drive"/>
    <s v="Semiconductor Revenue M$"/>
    <x v="2"/>
    <n v="0"/>
  </r>
  <r>
    <s v="Integrated AI"/>
    <x v="4"/>
    <x v="1"/>
    <s v="Storage"/>
    <s v="Hard Disk Drive"/>
    <s v="Semiconductor Revenue M$"/>
    <x v="3"/>
    <n v="0"/>
  </r>
  <r>
    <s v="Integrated AI"/>
    <x v="4"/>
    <x v="1"/>
    <s v="Storage"/>
    <s v="Hard Disk Drive"/>
    <s v="Semiconductor Revenue M$"/>
    <x v="4"/>
    <n v="0"/>
  </r>
  <r>
    <s v="Integrated AI"/>
    <x v="4"/>
    <x v="1"/>
    <s v="Storage"/>
    <s v="Hard Disk Drive"/>
    <s v="Semiconductor Revenue M$"/>
    <x v="5"/>
    <n v="0"/>
  </r>
  <r>
    <s v="Integrated AI"/>
    <x v="4"/>
    <x v="1"/>
    <s v="Storage"/>
    <s v="Hard Disk Drive"/>
    <s v="Semiconductor Revenue M$"/>
    <x v="6"/>
    <n v="0"/>
  </r>
  <r>
    <s v="Integrated AI"/>
    <x v="4"/>
    <x v="1"/>
    <s v="Storage"/>
    <s v="Solid-State Drives"/>
    <s v="Semiconductor Revenue M$"/>
    <x v="0"/>
    <n v="0"/>
  </r>
  <r>
    <s v="Integrated AI"/>
    <x v="4"/>
    <x v="1"/>
    <s v="Storage"/>
    <s v="Solid-State Drives"/>
    <s v="Semiconductor Revenue M$"/>
    <x v="1"/>
    <n v="0"/>
  </r>
  <r>
    <s v="Integrated AI"/>
    <x v="4"/>
    <x v="1"/>
    <s v="Storage"/>
    <s v="Solid-State Drives"/>
    <s v="Semiconductor Revenue M$"/>
    <x v="2"/>
    <n v="0"/>
  </r>
  <r>
    <s v="Integrated AI"/>
    <x v="4"/>
    <x v="1"/>
    <s v="Storage"/>
    <s v="Solid-State Drives"/>
    <s v="Semiconductor Revenue M$"/>
    <x v="3"/>
    <n v="0"/>
  </r>
  <r>
    <s v="Integrated AI"/>
    <x v="4"/>
    <x v="1"/>
    <s v="Storage"/>
    <s v="Solid-State Drives"/>
    <s v="Semiconductor Revenue M$"/>
    <x v="4"/>
    <n v="0"/>
  </r>
  <r>
    <s v="Integrated AI"/>
    <x v="4"/>
    <x v="1"/>
    <s v="Storage"/>
    <s v="Solid-State Drives"/>
    <s v="Semiconductor Revenue M$"/>
    <x v="5"/>
    <n v="0"/>
  </r>
  <r>
    <s v="Integrated AI"/>
    <x v="4"/>
    <x v="1"/>
    <s v="Storage"/>
    <s v="Solid-State Drives"/>
    <s v="Semiconductor Revenue M$"/>
    <x v="6"/>
    <n v="0"/>
  </r>
  <r>
    <s v="Integrated AI"/>
    <x v="4"/>
    <x v="1"/>
    <s v="Storage"/>
    <s v="Other Storage Media"/>
    <s v="Semiconductor Revenue M$"/>
    <x v="0"/>
    <n v="0"/>
  </r>
  <r>
    <s v="Integrated AI"/>
    <x v="4"/>
    <x v="1"/>
    <s v="Storage"/>
    <s v="Other Storage Media"/>
    <s v="Semiconductor Revenue M$"/>
    <x v="1"/>
    <n v="0"/>
  </r>
  <r>
    <s v="Integrated AI"/>
    <x v="4"/>
    <x v="1"/>
    <s v="Storage"/>
    <s v="Other Storage Media"/>
    <s v="Semiconductor Revenue M$"/>
    <x v="2"/>
    <n v="0"/>
  </r>
  <r>
    <s v="Integrated AI"/>
    <x v="4"/>
    <x v="1"/>
    <s v="Storage"/>
    <s v="Other Storage Media"/>
    <s v="Semiconductor Revenue M$"/>
    <x v="3"/>
    <n v="0"/>
  </r>
  <r>
    <s v="Integrated AI"/>
    <x v="4"/>
    <x v="1"/>
    <s v="Storage"/>
    <s v="Other Storage Media"/>
    <s v="Semiconductor Revenue M$"/>
    <x v="4"/>
    <n v="0"/>
  </r>
  <r>
    <s v="Integrated AI"/>
    <x v="4"/>
    <x v="1"/>
    <s v="Storage"/>
    <s v="Other Storage Media"/>
    <s v="Semiconductor Revenue M$"/>
    <x v="5"/>
    <n v="0"/>
  </r>
  <r>
    <s v="Integrated AI"/>
    <x v="4"/>
    <x v="1"/>
    <s v="Storage"/>
    <s v="Other Storage Media"/>
    <s v="Semiconductor Revenue M$"/>
    <x v="6"/>
    <n v="0"/>
  </r>
  <r>
    <s v="Integrated AI"/>
    <x v="4"/>
    <x v="1"/>
    <s v="Storage"/>
    <s v="Other Storage Electronics"/>
    <s v="Semiconductor Revenue M$"/>
    <x v="0"/>
    <n v="0"/>
  </r>
  <r>
    <s v="Integrated AI"/>
    <x v="4"/>
    <x v="1"/>
    <s v="Storage"/>
    <s v="Other Storage Electronics"/>
    <s v="Semiconductor Revenue M$"/>
    <x v="1"/>
    <n v="0"/>
  </r>
  <r>
    <s v="Integrated AI"/>
    <x v="4"/>
    <x v="1"/>
    <s v="Storage"/>
    <s v="Other Storage Electronics"/>
    <s v="Semiconductor Revenue M$"/>
    <x v="2"/>
    <n v="0"/>
  </r>
  <r>
    <s v="Integrated AI"/>
    <x v="4"/>
    <x v="1"/>
    <s v="Storage"/>
    <s v="Other Storage Electronics"/>
    <s v="Semiconductor Revenue M$"/>
    <x v="3"/>
    <n v="0"/>
  </r>
  <r>
    <s v="Integrated AI"/>
    <x v="4"/>
    <x v="1"/>
    <s v="Storage"/>
    <s v="Other Storage Electronics"/>
    <s v="Semiconductor Revenue M$"/>
    <x v="4"/>
    <n v="0"/>
  </r>
  <r>
    <s v="Integrated AI"/>
    <x v="4"/>
    <x v="1"/>
    <s v="Storage"/>
    <s v="Other Storage Electronics"/>
    <s v="Semiconductor Revenue M$"/>
    <x v="5"/>
    <n v="0"/>
  </r>
  <r>
    <s v="Integrated AI"/>
    <x v="4"/>
    <x v="1"/>
    <s v="Storage"/>
    <s v="Other Storage Electronics"/>
    <s v="Semiconductor Revenue M$"/>
    <x v="6"/>
    <n v="0"/>
  </r>
  <r>
    <s v="Integrated AI"/>
    <x v="4"/>
    <x v="2"/>
    <s v="Wireless Communications Electronics"/>
    <s v="Utility Traditional Phone"/>
    <s v="Semiconductor Revenue M$"/>
    <x v="0"/>
    <n v="0"/>
  </r>
  <r>
    <s v="Integrated AI"/>
    <x v="4"/>
    <x v="2"/>
    <s v="Wireless Communications Electronics"/>
    <s v="Utility Traditional Phone"/>
    <s v="Semiconductor Revenue M$"/>
    <x v="1"/>
    <n v="0"/>
  </r>
  <r>
    <s v="Integrated AI"/>
    <x v="4"/>
    <x v="2"/>
    <s v="Wireless Communications Electronics"/>
    <s v="Utility Traditional Phone"/>
    <s v="Semiconductor Revenue M$"/>
    <x v="2"/>
    <n v="0"/>
  </r>
  <r>
    <s v="Integrated AI"/>
    <x v="4"/>
    <x v="2"/>
    <s v="Wireless Communications Electronics"/>
    <s v="Utility Traditional Phone"/>
    <s v="Semiconductor Revenue M$"/>
    <x v="3"/>
    <n v="0"/>
  </r>
  <r>
    <s v="Integrated AI"/>
    <x v="4"/>
    <x v="2"/>
    <s v="Wireless Communications Electronics"/>
    <s v="Utility Traditional Phone"/>
    <s v="Semiconductor Revenue M$"/>
    <x v="4"/>
    <n v="0"/>
  </r>
  <r>
    <s v="Integrated AI"/>
    <x v="4"/>
    <x v="2"/>
    <s v="Wireless Communications Electronics"/>
    <s v="Utility Traditional Phone"/>
    <s v="Semiconductor Revenue M$"/>
    <x v="5"/>
    <n v="0"/>
  </r>
  <r>
    <s v="Integrated AI"/>
    <x v="4"/>
    <x v="2"/>
    <s v="Wireless Communications Electronics"/>
    <s v="Utility Traditional Phone"/>
    <s v="Semiconductor Revenue M$"/>
    <x v="6"/>
    <n v="0"/>
  </r>
  <r>
    <s v="Integrated AI"/>
    <x v="4"/>
    <x v="2"/>
    <s v="Wireless Communications Electronics"/>
    <s v="Basic Smartphone"/>
    <s v="Semiconductor Revenue M$"/>
    <x v="0"/>
    <n v="0"/>
  </r>
  <r>
    <s v="Integrated AI"/>
    <x v="4"/>
    <x v="2"/>
    <s v="Wireless Communications Electronics"/>
    <s v="Basic Smartphone"/>
    <s v="Semiconductor Revenue M$"/>
    <x v="1"/>
    <n v="0"/>
  </r>
  <r>
    <s v="Integrated AI"/>
    <x v="4"/>
    <x v="2"/>
    <s v="Wireless Communications Electronics"/>
    <s v="Basic Smartphone"/>
    <s v="Semiconductor Revenue M$"/>
    <x v="2"/>
    <n v="0"/>
  </r>
  <r>
    <s v="Integrated AI"/>
    <x v="4"/>
    <x v="2"/>
    <s v="Wireless Communications Electronics"/>
    <s v="Basic Smartphone"/>
    <s v="Semiconductor Revenue M$"/>
    <x v="3"/>
    <n v="0"/>
  </r>
  <r>
    <s v="Integrated AI"/>
    <x v="4"/>
    <x v="2"/>
    <s v="Wireless Communications Electronics"/>
    <s v="Basic Smartphone"/>
    <s v="Semiconductor Revenue M$"/>
    <x v="4"/>
    <n v="0"/>
  </r>
  <r>
    <s v="Integrated AI"/>
    <x v="4"/>
    <x v="2"/>
    <s v="Wireless Communications Electronics"/>
    <s v="Basic Smartphone"/>
    <s v="Semiconductor Revenue M$"/>
    <x v="5"/>
    <n v="0"/>
  </r>
  <r>
    <s v="Integrated AI"/>
    <x v="4"/>
    <x v="2"/>
    <s v="Wireless Communications Electronics"/>
    <s v="Basic Smartphone"/>
    <s v="Semiconductor Revenue M$"/>
    <x v="6"/>
    <n v="0"/>
  </r>
  <r>
    <s v="Integrated AI"/>
    <x v="4"/>
    <x v="2"/>
    <s v="Wireless Communications Electronics"/>
    <s v="Utility Smartphone"/>
    <s v="Semiconductor Revenue M$"/>
    <x v="0"/>
    <n v="0"/>
  </r>
  <r>
    <s v="Integrated AI"/>
    <x v="4"/>
    <x v="2"/>
    <s v="Wireless Communications Electronics"/>
    <s v="Utility Smartphone"/>
    <s v="Semiconductor Revenue M$"/>
    <x v="1"/>
    <n v="0"/>
  </r>
  <r>
    <s v="Integrated AI"/>
    <x v="4"/>
    <x v="2"/>
    <s v="Wireless Communications Electronics"/>
    <s v="Utility Smartphone"/>
    <s v="Semiconductor Revenue M$"/>
    <x v="2"/>
    <n v="0"/>
  </r>
  <r>
    <s v="Integrated AI"/>
    <x v="4"/>
    <x v="2"/>
    <s v="Wireless Communications Electronics"/>
    <s v="Utility Smartphone"/>
    <s v="Semiconductor Revenue M$"/>
    <x v="3"/>
    <n v="0"/>
  </r>
  <r>
    <s v="Integrated AI"/>
    <x v="4"/>
    <x v="2"/>
    <s v="Wireless Communications Electronics"/>
    <s v="Utility Smartphone"/>
    <s v="Semiconductor Revenue M$"/>
    <x v="4"/>
    <n v="0"/>
  </r>
  <r>
    <s v="Integrated AI"/>
    <x v="4"/>
    <x v="2"/>
    <s v="Wireless Communications Electronics"/>
    <s v="Utility Smartphone"/>
    <s v="Semiconductor Revenue M$"/>
    <x v="5"/>
    <n v="0"/>
  </r>
  <r>
    <s v="Integrated AI"/>
    <x v="4"/>
    <x v="2"/>
    <s v="Wireless Communications Electronics"/>
    <s v="Utility Smartphone"/>
    <s v="Semiconductor Revenue M$"/>
    <x v="6"/>
    <n v="0"/>
  </r>
  <r>
    <s v="Integrated AI"/>
    <x v="4"/>
    <x v="2"/>
    <s v="Wireless Communications Electronics"/>
    <s v="Premium Smartphone"/>
    <s v="Semiconductor Revenue M$"/>
    <x v="0"/>
    <n v="0"/>
  </r>
  <r>
    <s v="Integrated AI"/>
    <x v="4"/>
    <x v="2"/>
    <s v="Wireless Communications Electronics"/>
    <s v="Premium Smartphone"/>
    <s v="Semiconductor Revenue M$"/>
    <x v="1"/>
    <n v="0"/>
  </r>
  <r>
    <s v="Integrated AI"/>
    <x v="4"/>
    <x v="2"/>
    <s v="Wireless Communications Electronics"/>
    <s v="Premium Smartphone"/>
    <s v="Semiconductor Revenue M$"/>
    <x v="2"/>
    <n v="0"/>
  </r>
  <r>
    <s v="Integrated AI"/>
    <x v="4"/>
    <x v="2"/>
    <s v="Wireless Communications Electronics"/>
    <s v="Premium Smartphone"/>
    <s v="Semiconductor Revenue M$"/>
    <x v="3"/>
    <n v="0"/>
  </r>
  <r>
    <s v="Integrated AI"/>
    <x v="4"/>
    <x v="2"/>
    <s v="Wireless Communications Electronics"/>
    <s v="Premium Smartphone"/>
    <s v="Semiconductor Revenue M$"/>
    <x v="4"/>
    <n v="0"/>
  </r>
  <r>
    <s v="Integrated AI"/>
    <x v="4"/>
    <x v="2"/>
    <s v="Wireless Communications Electronics"/>
    <s v="Premium Smartphone"/>
    <s v="Semiconductor Revenue M$"/>
    <x v="5"/>
    <n v="0"/>
  </r>
  <r>
    <s v="Integrated AI"/>
    <x v="4"/>
    <x v="2"/>
    <s v="Wireless Communications Electronics"/>
    <s v="Premium Smartphone"/>
    <s v="Semiconductor Revenue M$"/>
    <x v="6"/>
    <n v="0"/>
  </r>
  <r>
    <s v="Integrated AI"/>
    <x v="4"/>
    <x v="3"/>
    <s v="Automotive Electronics"/>
    <s v="ADAS-ECU (Level-2+/3/4)"/>
    <s v="Semiconductor Revenue M$"/>
    <x v="0"/>
    <n v="0"/>
  </r>
  <r>
    <s v="Integrated AI"/>
    <x v="4"/>
    <x v="3"/>
    <s v="Automotive Electronics"/>
    <s v="ADAS-ECU (Level-2+/3/4)"/>
    <s v="Semiconductor Revenue M$"/>
    <x v="1"/>
    <n v="0"/>
  </r>
  <r>
    <s v="Integrated AI"/>
    <x v="4"/>
    <x v="3"/>
    <s v="Automotive Electronics"/>
    <s v="ADAS-ECU (Level-2+/3/4)"/>
    <s v="Semiconductor Revenue M$"/>
    <x v="2"/>
    <n v="0"/>
  </r>
  <r>
    <s v="Integrated AI"/>
    <x v="4"/>
    <x v="3"/>
    <s v="Automotive Electronics"/>
    <s v="ADAS-ECU (Level-2+/3/4)"/>
    <s v="Semiconductor Revenue M$"/>
    <x v="3"/>
    <n v="0"/>
  </r>
  <r>
    <s v="Integrated AI"/>
    <x v="4"/>
    <x v="3"/>
    <s v="Automotive Electronics"/>
    <s v="ADAS-ECU (Level-2+/3/4)"/>
    <s v="Semiconductor Revenue M$"/>
    <x v="4"/>
    <n v="0"/>
  </r>
  <r>
    <s v="Integrated AI"/>
    <x v="4"/>
    <x v="3"/>
    <s v="Automotive Electronics"/>
    <s v="ADAS-ECU (Level-2+/3/4)"/>
    <s v="Semiconductor Revenue M$"/>
    <x v="5"/>
    <n v="0"/>
  </r>
  <r>
    <s v="Integrated AI"/>
    <x v="4"/>
    <x v="3"/>
    <s v="Automotive Electronics"/>
    <s v="ADAS-ECU (Level-2+/3/4)"/>
    <s v="Semiconductor Revenue M$"/>
    <x v="6"/>
    <n v="0"/>
  </r>
  <r>
    <s v="Integrated AI"/>
    <x v="4"/>
    <x v="2"/>
    <s v="Wireless Communications Electronics"/>
    <s v="Mobile Infrastructure - Base Station Equipment"/>
    <s v="Semiconductor Revenue M$"/>
    <x v="0"/>
    <n v="0"/>
  </r>
  <r>
    <s v="Integrated AI"/>
    <x v="4"/>
    <x v="2"/>
    <s v="Wireless Communications Electronics"/>
    <s v="Mobile Infrastructure - Base Station Equipment"/>
    <s v="Semiconductor Revenue M$"/>
    <x v="1"/>
    <n v="0"/>
  </r>
  <r>
    <s v="Integrated AI"/>
    <x v="4"/>
    <x v="2"/>
    <s v="Wireless Communications Electronics"/>
    <s v="Mobile Infrastructure - Base Station Equipment"/>
    <s v="Semiconductor Revenue M$"/>
    <x v="2"/>
    <n v="0"/>
  </r>
  <r>
    <s v="Integrated AI"/>
    <x v="4"/>
    <x v="2"/>
    <s v="Wireless Communications Electronics"/>
    <s v="Mobile Infrastructure - Base Station Equipment"/>
    <s v="Semiconductor Revenue M$"/>
    <x v="3"/>
    <n v="0"/>
  </r>
  <r>
    <s v="Integrated AI"/>
    <x v="4"/>
    <x v="2"/>
    <s v="Wireless Communications Electronics"/>
    <s v="Mobile Infrastructure - Base Station Equipment"/>
    <s v="Semiconductor Revenue M$"/>
    <x v="4"/>
    <n v="0"/>
  </r>
  <r>
    <s v="Integrated AI"/>
    <x v="4"/>
    <x v="2"/>
    <s v="Wireless Communications Electronics"/>
    <s v="Mobile Infrastructure - Base Station Equipment"/>
    <s v="Semiconductor Revenue M$"/>
    <x v="5"/>
    <n v="0"/>
  </r>
  <r>
    <s v="Integrated AI"/>
    <x v="4"/>
    <x v="2"/>
    <s v="Wireless Communications Electronics"/>
    <s v="Mobile Infrastructure - Base Station Equipment"/>
    <s v="Semiconductor Revenue M$"/>
    <x v="6"/>
    <n v="0"/>
  </r>
  <r>
    <s v="Integrated AI"/>
    <x v="4"/>
    <x v="2"/>
    <s v="Wireless Communications Electronics"/>
    <s v="Wireless LAN Infrastructure"/>
    <s v="Semiconductor Revenue M$"/>
    <x v="0"/>
    <n v="0"/>
  </r>
  <r>
    <s v="Integrated AI"/>
    <x v="4"/>
    <x v="2"/>
    <s v="Wireless Communications Electronics"/>
    <s v="Wireless LAN Infrastructure"/>
    <s v="Semiconductor Revenue M$"/>
    <x v="1"/>
    <n v="0"/>
  </r>
  <r>
    <s v="Integrated AI"/>
    <x v="4"/>
    <x v="2"/>
    <s v="Wireless Communications Electronics"/>
    <s v="Wireless LAN Infrastructure"/>
    <s v="Semiconductor Revenue M$"/>
    <x v="2"/>
    <n v="0"/>
  </r>
  <r>
    <s v="Integrated AI"/>
    <x v="4"/>
    <x v="2"/>
    <s v="Wireless Communications Electronics"/>
    <s v="Wireless LAN Infrastructure"/>
    <s v="Semiconductor Revenue M$"/>
    <x v="3"/>
    <n v="0"/>
  </r>
  <r>
    <s v="Integrated AI"/>
    <x v="4"/>
    <x v="2"/>
    <s v="Wireless Communications Electronics"/>
    <s v="Wireless LAN Infrastructure"/>
    <s v="Semiconductor Revenue M$"/>
    <x v="4"/>
    <n v="0"/>
  </r>
  <r>
    <s v="Integrated AI"/>
    <x v="4"/>
    <x v="2"/>
    <s v="Wireless Communications Electronics"/>
    <s v="Wireless LAN Infrastructure"/>
    <s v="Semiconductor Revenue M$"/>
    <x v="5"/>
    <n v="0"/>
  </r>
  <r>
    <s v="Integrated AI"/>
    <x v="4"/>
    <x v="2"/>
    <s v="Wireless Communications Electronics"/>
    <s v="Wireless LAN Infrastructure"/>
    <s v="Semiconductor Revenue M$"/>
    <x v="6"/>
    <n v="0"/>
  </r>
  <r>
    <s v="Integrated AI"/>
    <x v="4"/>
    <x v="2"/>
    <s v="Wireless Communications Electronics"/>
    <s v="Cellular Modems"/>
    <s v="Semiconductor Revenue M$"/>
    <x v="0"/>
    <n v="0"/>
  </r>
  <r>
    <s v="Integrated AI"/>
    <x v="4"/>
    <x v="2"/>
    <s v="Wireless Communications Electronics"/>
    <s v="Cellular Modems"/>
    <s v="Semiconductor Revenue M$"/>
    <x v="1"/>
    <n v="0"/>
  </r>
  <r>
    <s v="Integrated AI"/>
    <x v="4"/>
    <x v="2"/>
    <s v="Wireless Communications Electronics"/>
    <s v="Cellular Modems"/>
    <s v="Semiconductor Revenue M$"/>
    <x v="2"/>
    <n v="0"/>
  </r>
  <r>
    <s v="Integrated AI"/>
    <x v="4"/>
    <x v="2"/>
    <s v="Wireless Communications Electronics"/>
    <s v="Cellular Modems"/>
    <s v="Semiconductor Revenue M$"/>
    <x v="3"/>
    <n v="0"/>
  </r>
  <r>
    <s v="Integrated AI"/>
    <x v="4"/>
    <x v="2"/>
    <s v="Wireless Communications Electronics"/>
    <s v="Cellular Modems"/>
    <s v="Semiconductor Revenue M$"/>
    <x v="4"/>
    <n v="0"/>
  </r>
  <r>
    <s v="Integrated AI"/>
    <x v="4"/>
    <x v="2"/>
    <s v="Wireless Communications Electronics"/>
    <s v="Cellular Modems"/>
    <s v="Semiconductor Revenue M$"/>
    <x v="5"/>
    <n v="0"/>
  </r>
  <r>
    <s v="Integrated AI"/>
    <x v="4"/>
    <x v="2"/>
    <s v="Wireless Communications Electronics"/>
    <s v="Cellular Modems"/>
    <s v="Semiconductor Revenue M$"/>
    <x v="6"/>
    <n v="0"/>
  </r>
  <r>
    <s v="Integrated AI"/>
    <x v="4"/>
    <x v="2"/>
    <s v="Wireless Communications Electronics"/>
    <s v="Other Wireless Communications Electronics"/>
    <s v="Semiconductor Revenue M$"/>
    <x v="0"/>
    <n v="0"/>
  </r>
  <r>
    <s v="Integrated AI"/>
    <x v="4"/>
    <x v="2"/>
    <s v="Wireless Communications Electronics"/>
    <s v="Other Wireless Communications Electronics"/>
    <s v="Semiconductor Revenue M$"/>
    <x v="1"/>
    <n v="0"/>
  </r>
  <r>
    <s v="Integrated AI"/>
    <x v="4"/>
    <x v="2"/>
    <s v="Wireless Communications Electronics"/>
    <s v="Other Wireless Communications Electronics"/>
    <s v="Semiconductor Revenue M$"/>
    <x v="2"/>
    <n v="0"/>
  </r>
  <r>
    <s v="Integrated AI"/>
    <x v="4"/>
    <x v="2"/>
    <s v="Wireless Communications Electronics"/>
    <s v="Other Wireless Communications Electronics"/>
    <s v="Semiconductor Revenue M$"/>
    <x v="3"/>
    <n v="0"/>
  </r>
  <r>
    <s v="Integrated AI"/>
    <x v="4"/>
    <x v="2"/>
    <s v="Wireless Communications Electronics"/>
    <s v="Other Wireless Communications Electronics"/>
    <s v="Semiconductor Revenue M$"/>
    <x v="4"/>
    <n v="0"/>
  </r>
  <r>
    <s v="Integrated AI"/>
    <x v="4"/>
    <x v="2"/>
    <s v="Wireless Communications Electronics"/>
    <s v="Other Wireless Communications Electronics"/>
    <s v="Semiconductor Revenue M$"/>
    <x v="5"/>
    <n v="0"/>
  </r>
  <r>
    <s v="Integrated AI"/>
    <x v="4"/>
    <x v="2"/>
    <s v="Wireless Communications Electronics"/>
    <s v="Other Wireless Communications Electronics"/>
    <s v="Semiconductor Revenue M$"/>
    <x v="6"/>
    <n v="0"/>
  </r>
  <r>
    <s v="Integrated AI"/>
    <x v="4"/>
    <x v="2"/>
    <s v="Wired Communications Electronics"/>
    <s v="DSL Broadband Access"/>
    <s v="Semiconductor Revenue M$"/>
    <x v="0"/>
    <n v="0"/>
  </r>
  <r>
    <s v="Integrated AI"/>
    <x v="4"/>
    <x v="2"/>
    <s v="Wired Communications Electronics"/>
    <s v="DSL Broadband Access"/>
    <s v="Semiconductor Revenue M$"/>
    <x v="1"/>
    <n v="0"/>
  </r>
  <r>
    <s v="Integrated AI"/>
    <x v="4"/>
    <x v="2"/>
    <s v="Wired Communications Electronics"/>
    <s v="DSL Broadband Access"/>
    <s v="Semiconductor Revenue M$"/>
    <x v="2"/>
    <n v="0"/>
  </r>
  <r>
    <s v="Integrated AI"/>
    <x v="4"/>
    <x v="2"/>
    <s v="Wired Communications Electronics"/>
    <s v="DSL Broadband Access"/>
    <s v="Semiconductor Revenue M$"/>
    <x v="3"/>
    <n v="0"/>
  </r>
  <r>
    <s v="Integrated AI"/>
    <x v="4"/>
    <x v="2"/>
    <s v="Wired Communications Electronics"/>
    <s v="DSL Broadband Access"/>
    <s v="Semiconductor Revenue M$"/>
    <x v="4"/>
    <n v="0"/>
  </r>
  <r>
    <s v="Integrated AI"/>
    <x v="4"/>
    <x v="2"/>
    <s v="Wired Communications Electronics"/>
    <s v="DSL Broadband Access"/>
    <s v="Semiconductor Revenue M$"/>
    <x v="5"/>
    <n v="0"/>
  </r>
  <r>
    <s v="Integrated AI"/>
    <x v="4"/>
    <x v="2"/>
    <s v="Wired Communications Electronics"/>
    <s v="DSL Broadband Access"/>
    <s v="Semiconductor Revenue M$"/>
    <x v="6"/>
    <n v="0"/>
  </r>
  <r>
    <s v="Integrated AI"/>
    <x v="4"/>
    <x v="2"/>
    <s v="Wired Communications Electronics"/>
    <s v="Fiber Broadband Access"/>
    <s v="Semiconductor Revenue M$"/>
    <x v="0"/>
    <n v="0"/>
  </r>
  <r>
    <s v="Integrated AI"/>
    <x v="4"/>
    <x v="2"/>
    <s v="Wired Communications Electronics"/>
    <s v="Fiber Broadband Access"/>
    <s v="Semiconductor Revenue M$"/>
    <x v="1"/>
    <n v="0"/>
  </r>
  <r>
    <s v="Integrated AI"/>
    <x v="4"/>
    <x v="2"/>
    <s v="Wired Communications Electronics"/>
    <s v="Fiber Broadband Access"/>
    <s v="Semiconductor Revenue M$"/>
    <x v="2"/>
    <n v="0"/>
  </r>
  <r>
    <s v="Integrated AI"/>
    <x v="4"/>
    <x v="2"/>
    <s v="Wired Communications Electronics"/>
    <s v="Fiber Broadband Access"/>
    <s v="Semiconductor Revenue M$"/>
    <x v="3"/>
    <n v="0"/>
  </r>
  <r>
    <s v="Integrated AI"/>
    <x v="4"/>
    <x v="2"/>
    <s v="Wired Communications Electronics"/>
    <s v="Fiber Broadband Access"/>
    <s v="Semiconductor Revenue M$"/>
    <x v="4"/>
    <n v="0"/>
  </r>
  <r>
    <s v="Integrated AI"/>
    <x v="4"/>
    <x v="2"/>
    <s v="Wired Communications Electronics"/>
    <s v="Fiber Broadband Access"/>
    <s v="Semiconductor Revenue M$"/>
    <x v="5"/>
    <n v="0"/>
  </r>
  <r>
    <s v="Integrated AI"/>
    <x v="4"/>
    <x v="2"/>
    <s v="Wired Communications Electronics"/>
    <s v="Fiber Broadband Access"/>
    <s v="Semiconductor Revenue M$"/>
    <x v="6"/>
    <n v="0"/>
  </r>
  <r>
    <s v="Integrated AI"/>
    <x v="4"/>
    <x v="2"/>
    <s v="Wired Communications Electronics"/>
    <s v="Other Broadband Access"/>
    <s v="Semiconductor Revenue M$"/>
    <x v="0"/>
    <n v="0"/>
  </r>
  <r>
    <s v="Integrated AI"/>
    <x v="4"/>
    <x v="2"/>
    <s v="Wired Communications Electronics"/>
    <s v="Other Broadband Access"/>
    <s v="Semiconductor Revenue M$"/>
    <x v="1"/>
    <n v="0"/>
  </r>
  <r>
    <s v="Integrated AI"/>
    <x v="4"/>
    <x v="2"/>
    <s v="Wired Communications Electronics"/>
    <s v="Other Broadband Access"/>
    <s v="Semiconductor Revenue M$"/>
    <x v="2"/>
    <n v="0"/>
  </r>
  <r>
    <s v="Integrated AI"/>
    <x v="4"/>
    <x v="2"/>
    <s v="Wired Communications Electronics"/>
    <s v="Other Broadband Access"/>
    <s v="Semiconductor Revenue M$"/>
    <x v="3"/>
    <n v="0"/>
  </r>
  <r>
    <s v="Integrated AI"/>
    <x v="4"/>
    <x v="2"/>
    <s v="Wired Communications Electronics"/>
    <s v="Other Broadband Access"/>
    <s v="Semiconductor Revenue M$"/>
    <x v="4"/>
    <n v="0"/>
  </r>
  <r>
    <s v="Integrated AI"/>
    <x v="4"/>
    <x v="2"/>
    <s v="Wired Communications Electronics"/>
    <s v="Other Broadband Access"/>
    <s v="Semiconductor Revenue M$"/>
    <x v="5"/>
    <n v="0"/>
  </r>
  <r>
    <s v="Integrated AI"/>
    <x v="4"/>
    <x v="2"/>
    <s v="Wired Communications Electronics"/>
    <s v="Other Broadband Access"/>
    <s v="Semiconductor Revenue M$"/>
    <x v="6"/>
    <n v="0"/>
  </r>
  <r>
    <s v="Integrated AI"/>
    <x v="4"/>
    <x v="2"/>
    <s v="Wired Communications Electronics"/>
    <s v="Enterprise LAN"/>
    <s v="Semiconductor Revenue M$"/>
    <x v="0"/>
    <n v="0"/>
  </r>
  <r>
    <s v="Integrated AI"/>
    <x v="4"/>
    <x v="2"/>
    <s v="Wired Communications Electronics"/>
    <s v="Enterprise LAN"/>
    <s v="Semiconductor Revenue M$"/>
    <x v="1"/>
    <n v="0"/>
  </r>
  <r>
    <s v="Integrated AI"/>
    <x v="4"/>
    <x v="2"/>
    <s v="Wired Communications Electronics"/>
    <s v="Enterprise LAN"/>
    <s v="Semiconductor Revenue M$"/>
    <x v="2"/>
    <n v="0"/>
  </r>
  <r>
    <s v="Integrated AI"/>
    <x v="4"/>
    <x v="2"/>
    <s v="Wired Communications Electronics"/>
    <s v="Enterprise LAN"/>
    <s v="Semiconductor Revenue M$"/>
    <x v="3"/>
    <n v="0"/>
  </r>
  <r>
    <s v="Integrated AI"/>
    <x v="4"/>
    <x v="2"/>
    <s v="Wired Communications Electronics"/>
    <s v="Enterprise LAN"/>
    <s v="Semiconductor Revenue M$"/>
    <x v="4"/>
    <n v="0"/>
  </r>
  <r>
    <s v="Integrated AI"/>
    <x v="4"/>
    <x v="2"/>
    <s v="Wired Communications Electronics"/>
    <s v="Enterprise LAN"/>
    <s v="Semiconductor Revenue M$"/>
    <x v="5"/>
    <n v="0"/>
  </r>
  <r>
    <s v="Integrated AI"/>
    <x v="4"/>
    <x v="2"/>
    <s v="Wired Communications Electronics"/>
    <s v="Enterprise LAN"/>
    <s v="Semiconductor Revenue M$"/>
    <x v="6"/>
    <n v="0"/>
  </r>
  <r>
    <s v="Integrated AI"/>
    <x v="4"/>
    <x v="3"/>
    <s v="Automotive Electronics"/>
    <s v="ADAS-ECU (Level-0/1/2)"/>
    <s v="Semiconductor Revenue M$"/>
    <x v="0"/>
    <n v="0"/>
  </r>
  <r>
    <s v="Integrated AI"/>
    <x v="4"/>
    <x v="3"/>
    <s v="Automotive Electronics"/>
    <s v="ADAS-ECU (Level-0/1/2)"/>
    <s v="Semiconductor Revenue M$"/>
    <x v="1"/>
    <n v="0"/>
  </r>
  <r>
    <s v="Integrated AI"/>
    <x v="4"/>
    <x v="3"/>
    <s v="Automotive Electronics"/>
    <s v="ADAS-ECU (Level-0/1/2)"/>
    <s v="Semiconductor Revenue M$"/>
    <x v="2"/>
    <n v="0"/>
  </r>
  <r>
    <s v="Integrated AI"/>
    <x v="4"/>
    <x v="3"/>
    <s v="Automotive Electronics"/>
    <s v="ADAS-ECU (Level-0/1/2)"/>
    <s v="Semiconductor Revenue M$"/>
    <x v="3"/>
    <n v="0"/>
  </r>
  <r>
    <s v="Integrated AI"/>
    <x v="4"/>
    <x v="3"/>
    <s v="Automotive Electronics"/>
    <s v="ADAS-ECU (Level-0/1/2)"/>
    <s v="Semiconductor Revenue M$"/>
    <x v="4"/>
    <n v="0"/>
  </r>
  <r>
    <s v="Integrated AI"/>
    <x v="4"/>
    <x v="3"/>
    <s v="Automotive Electronics"/>
    <s v="ADAS-ECU (Level-0/1/2)"/>
    <s v="Semiconductor Revenue M$"/>
    <x v="5"/>
    <n v="0"/>
  </r>
  <r>
    <s v="Integrated AI"/>
    <x v="4"/>
    <x v="3"/>
    <s v="Automotive Electronics"/>
    <s v="ADAS-ECU (Level-0/1/2)"/>
    <s v="Semiconductor Revenue M$"/>
    <x v="6"/>
    <n v="0"/>
  </r>
  <r>
    <s v="Integrated AI"/>
    <x v="4"/>
    <x v="2"/>
    <s v="Wired Communications Electronics"/>
    <s v="Enterprise WAN"/>
    <s v="Semiconductor Revenue M$"/>
    <x v="0"/>
    <n v="0"/>
  </r>
  <r>
    <s v="Integrated AI"/>
    <x v="4"/>
    <x v="2"/>
    <s v="Wired Communications Electronics"/>
    <s v="Enterprise WAN"/>
    <s v="Semiconductor Revenue M$"/>
    <x v="1"/>
    <n v="0"/>
  </r>
  <r>
    <s v="Integrated AI"/>
    <x v="4"/>
    <x v="2"/>
    <s v="Wired Communications Electronics"/>
    <s v="Enterprise WAN"/>
    <s v="Semiconductor Revenue M$"/>
    <x v="2"/>
    <n v="0"/>
  </r>
  <r>
    <s v="Integrated AI"/>
    <x v="4"/>
    <x v="2"/>
    <s v="Wired Communications Electronics"/>
    <s v="Enterprise WAN"/>
    <s v="Semiconductor Revenue M$"/>
    <x v="3"/>
    <n v="0"/>
  </r>
  <r>
    <s v="Integrated AI"/>
    <x v="4"/>
    <x v="2"/>
    <s v="Wired Communications Electronics"/>
    <s v="Enterprise WAN"/>
    <s v="Semiconductor Revenue M$"/>
    <x v="4"/>
    <n v="0"/>
  </r>
  <r>
    <s v="Integrated AI"/>
    <x v="4"/>
    <x v="2"/>
    <s v="Wired Communications Electronics"/>
    <s v="Enterprise WAN"/>
    <s v="Semiconductor Revenue M$"/>
    <x v="5"/>
    <n v="0"/>
  </r>
  <r>
    <s v="Integrated AI"/>
    <x v="4"/>
    <x v="2"/>
    <s v="Wired Communications Electronics"/>
    <s v="Enterprise WAN"/>
    <s v="Semiconductor Revenue M$"/>
    <x v="6"/>
    <n v="0"/>
  </r>
  <r>
    <s v="Integrated AI"/>
    <x v="4"/>
    <x v="2"/>
    <s v="Wired Communications Electronics"/>
    <s v="Optical Transport"/>
    <s v="Semiconductor Revenue M$"/>
    <x v="0"/>
    <n v="0"/>
  </r>
  <r>
    <s v="Integrated AI"/>
    <x v="4"/>
    <x v="2"/>
    <s v="Wired Communications Electronics"/>
    <s v="Optical Transport"/>
    <s v="Semiconductor Revenue M$"/>
    <x v="1"/>
    <n v="0"/>
  </r>
  <r>
    <s v="Integrated AI"/>
    <x v="4"/>
    <x v="2"/>
    <s v="Wired Communications Electronics"/>
    <s v="Optical Transport"/>
    <s v="Semiconductor Revenue M$"/>
    <x v="2"/>
    <n v="0"/>
  </r>
  <r>
    <s v="Integrated AI"/>
    <x v="4"/>
    <x v="2"/>
    <s v="Wired Communications Electronics"/>
    <s v="Optical Transport"/>
    <s v="Semiconductor Revenue M$"/>
    <x v="3"/>
    <n v="0"/>
  </r>
  <r>
    <s v="Integrated AI"/>
    <x v="4"/>
    <x v="2"/>
    <s v="Wired Communications Electronics"/>
    <s v="Optical Transport"/>
    <s v="Semiconductor Revenue M$"/>
    <x v="4"/>
    <n v="0"/>
  </r>
  <r>
    <s v="Integrated AI"/>
    <x v="4"/>
    <x v="2"/>
    <s v="Wired Communications Electronics"/>
    <s v="Optical Transport"/>
    <s v="Semiconductor Revenue M$"/>
    <x v="5"/>
    <n v="0"/>
  </r>
  <r>
    <s v="Integrated AI"/>
    <x v="4"/>
    <x v="2"/>
    <s v="Wired Communications Electronics"/>
    <s v="Optical Transport"/>
    <s v="Semiconductor Revenue M$"/>
    <x v="6"/>
    <n v="0"/>
  </r>
  <r>
    <s v="Integrated AI"/>
    <x v="4"/>
    <x v="2"/>
    <s v="Wired Communications Electronics"/>
    <s v="Service Provider Routers and Switches"/>
    <s v="Semiconductor Revenue M$"/>
    <x v="0"/>
    <n v="0"/>
  </r>
  <r>
    <s v="Integrated AI"/>
    <x v="4"/>
    <x v="2"/>
    <s v="Wired Communications Electronics"/>
    <s v="Service Provider Routers and Switches"/>
    <s v="Semiconductor Revenue M$"/>
    <x v="1"/>
    <n v="0"/>
  </r>
  <r>
    <s v="Integrated AI"/>
    <x v="4"/>
    <x v="2"/>
    <s v="Wired Communications Electronics"/>
    <s v="Service Provider Routers and Switches"/>
    <s v="Semiconductor Revenue M$"/>
    <x v="2"/>
    <n v="0"/>
  </r>
  <r>
    <s v="Integrated AI"/>
    <x v="4"/>
    <x v="2"/>
    <s v="Wired Communications Electronics"/>
    <s v="Service Provider Routers and Switches"/>
    <s v="Semiconductor Revenue M$"/>
    <x v="3"/>
    <n v="0"/>
  </r>
  <r>
    <s v="Integrated AI"/>
    <x v="4"/>
    <x v="2"/>
    <s v="Wired Communications Electronics"/>
    <s v="Service Provider Routers and Switches"/>
    <s v="Semiconductor Revenue M$"/>
    <x v="4"/>
    <n v="0"/>
  </r>
  <r>
    <s v="Integrated AI"/>
    <x v="4"/>
    <x v="2"/>
    <s v="Wired Communications Electronics"/>
    <s v="Service Provider Routers and Switches"/>
    <s v="Semiconductor Revenue M$"/>
    <x v="5"/>
    <n v="0"/>
  </r>
  <r>
    <s v="Integrated AI"/>
    <x v="4"/>
    <x v="2"/>
    <s v="Wired Communications Electronics"/>
    <s v="Service Provider Routers and Switches"/>
    <s v="Semiconductor Revenue M$"/>
    <x v="6"/>
    <n v="0"/>
  </r>
  <r>
    <s v="Integrated AI"/>
    <x v="4"/>
    <x v="2"/>
    <s v="Wired Communications Electronics"/>
    <s v="Other Wired Communications Electronics"/>
    <s v="Semiconductor Revenue M$"/>
    <x v="0"/>
    <n v="0"/>
  </r>
  <r>
    <s v="Integrated AI"/>
    <x v="4"/>
    <x v="2"/>
    <s v="Wired Communications Electronics"/>
    <s v="Other Wired Communications Electronics"/>
    <s v="Semiconductor Revenue M$"/>
    <x v="1"/>
    <n v="0"/>
  </r>
  <r>
    <s v="Integrated AI"/>
    <x v="4"/>
    <x v="2"/>
    <s v="Wired Communications Electronics"/>
    <s v="Other Wired Communications Electronics"/>
    <s v="Semiconductor Revenue M$"/>
    <x v="2"/>
    <n v="0"/>
  </r>
  <r>
    <s v="Integrated AI"/>
    <x v="4"/>
    <x v="2"/>
    <s v="Wired Communications Electronics"/>
    <s v="Other Wired Communications Electronics"/>
    <s v="Semiconductor Revenue M$"/>
    <x v="3"/>
    <n v="0"/>
  </r>
  <r>
    <s v="Integrated AI"/>
    <x v="4"/>
    <x v="2"/>
    <s v="Wired Communications Electronics"/>
    <s v="Other Wired Communications Electronics"/>
    <s v="Semiconductor Revenue M$"/>
    <x v="4"/>
    <n v="0"/>
  </r>
  <r>
    <s v="Integrated AI"/>
    <x v="4"/>
    <x v="2"/>
    <s v="Wired Communications Electronics"/>
    <s v="Other Wired Communications Electronics"/>
    <s v="Semiconductor Revenue M$"/>
    <x v="5"/>
    <n v="0"/>
  </r>
  <r>
    <s v="Integrated AI"/>
    <x v="4"/>
    <x v="2"/>
    <s v="Wired Communications Electronics"/>
    <s v="Other Wired Communications Electronics"/>
    <s v="Semiconductor Revenue M$"/>
    <x v="6"/>
    <n v="0"/>
  </r>
  <r>
    <s v="Integrated AI"/>
    <x v="4"/>
    <x v="4"/>
    <s v="Consumer Electronics"/>
    <s v="Appliances"/>
    <s v="Semiconductor Revenue M$"/>
    <x v="0"/>
    <n v="0"/>
  </r>
  <r>
    <s v="Integrated AI"/>
    <x v="4"/>
    <x v="4"/>
    <s v="Consumer Electronics"/>
    <s v="Appliances"/>
    <s v="Semiconductor Revenue M$"/>
    <x v="1"/>
    <n v="0"/>
  </r>
  <r>
    <s v="Integrated AI"/>
    <x v="4"/>
    <x v="4"/>
    <s v="Consumer Electronics"/>
    <s v="Appliances"/>
    <s v="Semiconductor Revenue M$"/>
    <x v="2"/>
    <n v="0"/>
  </r>
  <r>
    <s v="Integrated AI"/>
    <x v="4"/>
    <x v="4"/>
    <s v="Consumer Electronics"/>
    <s v="Appliances"/>
    <s v="Semiconductor Revenue M$"/>
    <x v="3"/>
    <n v="0"/>
  </r>
  <r>
    <s v="Integrated AI"/>
    <x v="4"/>
    <x v="4"/>
    <s v="Consumer Electronics"/>
    <s v="Appliances"/>
    <s v="Semiconductor Revenue M$"/>
    <x v="4"/>
    <n v="0"/>
  </r>
  <r>
    <s v="Integrated AI"/>
    <x v="4"/>
    <x v="4"/>
    <s v="Consumer Electronics"/>
    <s v="Appliances"/>
    <s v="Semiconductor Revenue M$"/>
    <x v="5"/>
    <n v="0"/>
  </r>
  <r>
    <s v="Integrated AI"/>
    <x v="4"/>
    <x v="4"/>
    <s v="Consumer Electronics"/>
    <s v="Appliances"/>
    <s v="Semiconductor Revenue M$"/>
    <x v="6"/>
    <n v="0"/>
  </r>
  <r>
    <s v="Integrated AI"/>
    <x v="4"/>
    <x v="4"/>
    <s v="Consumer Electronics"/>
    <s v="Digital Camcorder"/>
    <s v="Semiconductor Revenue M$"/>
    <x v="0"/>
    <n v="0"/>
  </r>
  <r>
    <s v="Integrated AI"/>
    <x v="4"/>
    <x v="4"/>
    <s v="Consumer Electronics"/>
    <s v="Digital Camcorder"/>
    <s v="Semiconductor Revenue M$"/>
    <x v="1"/>
    <n v="0"/>
  </r>
  <r>
    <s v="Integrated AI"/>
    <x v="4"/>
    <x v="4"/>
    <s v="Consumer Electronics"/>
    <s v="Digital Camcorder"/>
    <s v="Semiconductor Revenue M$"/>
    <x v="2"/>
    <n v="0"/>
  </r>
  <r>
    <s v="Integrated AI"/>
    <x v="4"/>
    <x v="4"/>
    <s v="Consumer Electronics"/>
    <s v="Digital Camcorder"/>
    <s v="Semiconductor Revenue M$"/>
    <x v="3"/>
    <n v="0"/>
  </r>
  <r>
    <s v="Integrated AI"/>
    <x v="4"/>
    <x v="4"/>
    <s v="Consumer Electronics"/>
    <s v="Digital Camcorder"/>
    <s v="Semiconductor Revenue M$"/>
    <x v="4"/>
    <n v="0"/>
  </r>
  <r>
    <s v="Integrated AI"/>
    <x v="4"/>
    <x v="4"/>
    <s v="Consumer Electronics"/>
    <s v="Digital Camcorder"/>
    <s v="Semiconductor Revenue M$"/>
    <x v="5"/>
    <n v="0"/>
  </r>
  <r>
    <s v="Integrated AI"/>
    <x v="4"/>
    <x v="4"/>
    <s v="Consumer Electronics"/>
    <s v="Digital Camcorder"/>
    <s v="Semiconductor Revenue M$"/>
    <x v="6"/>
    <n v="0"/>
  </r>
  <r>
    <s v="Integrated AI"/>
    <x v="4"/>
    <x v="4"/>
    <s v="Consumer Electronics"/>
    <s v="Digital Set-Top Box, Cable"/>
    <s v="Semiconductor Revenue M$"/>
    <x v="0"/>
    <n v="0"/>
  </r>
  <r>
    <s v="Integrated AI"/>
    <x v="4"/>
    <x v="4"/>
    <s v="Consumer Electronics"/>
    <s v="Digital Set-Top Box, Cable"/>
    <s v="Semiconductor Revenue M$"/>
    <x v="1"/>
    <n v="0"/>
  </r>
  <r>
    <s v="Integrated AI"/>
    <x v="4"/>
    <x v="4"/>
    <s v="Consumer Electronics"/>
    <s v="Digital Set-Top Box, Cable"/>
    <s v="Semiconductor Revenue M$"/>
    <x v="2"/>
    <n v="0"/>
  </r>
  <r>
    <s v="Integrated AI"/>
    <x v="4"/>
    <x v="4"/>
    <s v="Consumer Electronics"/>
    <s v="Digital Set-Top Box, Cable"/>
    <s v="Semiconductor Revenue M$"/>
    <x v="3"/>
    <n v="0"/>
  </r>
  <r>
    <s v="Integrated AI"/>
    <x v="4"/>
    <x v="4"/>
    <s v="Consumer Electronics"/>
    <s v="Digital Set-Top Box, Cable"/>
    <s v="Semiconductor Revenue M$"/>
    <x v="4"/>
    <n v="0"/>
  </r>
  <r>
    <s v="Integrated AI"/>
    <x v="4"/>
    <x v="4"/>
    <s v="Consumer Electronics"/>
    <s v="Digital Set-Top Box, Cable"/>
    <s v="Semiconductor Revenue M$"/>
    <x v="5"/>
    <n v="0"/>
  </r>
  <r>
    <s v="Integrated AI"/>
    <x v="4"/>
    <x v="4"/>
    <s v="Consumer Electronics"/>
    <s v="Digital Set-Top Box, Cable"/>
    <s v="Semiconductor Revenue M$"/>
    <x v="6"/>
    <n v="0"/>
  </r>
  <r>
    <s v="Integrated AI"/>
    <x v="4"/>
    <x v="4"/>
    <s v="Consumer Electronics"/>
    <s v="Digital Set-Top Box, Satellite"/>
    <s v="Semiconductor Revenue M$"/>
    <x v="0"/>
    <n v="0"/>
  </r>
  <r>
    <s v="Integrated AI"/>
    <x v="4"/>
    <x v="4"/>
    <s v="Consumer Electronics"/>
    <s v="Digital Set-Top Box, Satellite"/>
    <s v="Semiconductor Revenue M$"/>
    <x v="1"/>
    <n v="0"/>
  </r>
  <r>
    <s v="Integrated AI"/>
    <x v="4"/>
    <x v="4"/>
    <s v="Consumer Electronics"/>
    <s v="Digital Set-Top Box, Satellite"/>
    <s v="Semiconductor Revenue M$"/>
    <x v="2"/>
    <n v="0"/>
  </r>
  <r>
    <s v="Integrated AI"/>
    <x v="4"/>
    <x v="4"/>
    <s v="Consumer Electronics"/>
    <s v="Digital Set-Top Box, Satellite"/>
    <s v="Semiconductor Revenue M$"/>
    <x v="3"/>
    <n v="0"/>
  </r>
  <r>
    <s v="Integrated AI"/>
    <x v="4"/>
    <x v="4"/>
    <s v="Consumer Electronics"/>
    <s v="Digital Set-Top Box, Satellite"/>
    <s v="Semiconductor Revenue M$"/>
    <x v="4"/>
    <n v="0"/>
  </r>
  <r>
    <s v="Integrated AI"/>
    <x v="4"/>
    <x v="4"/>
    <s v="Consumer Electronics"/>
    <s v="Digital Set-Top Box, Satellite"/>
    <s v="Semiconductor Revenue M$"/>
    <x v="5"/>
    <n v="0"/>
  </r>
  <r>
    <s v="Integrated AI"/>
    <x v="4"/>
    <x v="4"/>
    <s v="Consumer Electronics"/>
    <s v="Digital Set-Top Box, Satellite"/>
    <s v="Semiconductor Revenue M$"/>
    <x v="6"/>
    <n v="0"/>
  </r>
  <r>
    <s v="Integrated AI"/>
    <x v="4"/>
    <x v="4"/>
    <s v="Consumer Electronics"/>
    <s v="Digital Set-Top Box, Terrestrial"/>
    <s v="Semiconductor Revenue M$"/>
    <x v="0"/>
    <n v="0"/>
  </r>
  <r>
    <s v="Integrated AI"/>
    <x v="4"/>
    <x v="4"/>
    <s v="Consumer Electronics"/>
    <s v="Digital Set-Top Box, Terrestrial"/>
    <s v="Semiconductor Revenue M$"/>
    <x v="1"/>
    <n v="0"/>
  </r>
  <r>
    <s v="Integrated AI"/>
    <x v="4"/>
    <x v="4"/>
    <s v="Consumer Electronics"/>
    <s v="Digital Set-Top Box, Terrestrial"/>
    <s v="Semiconductor Revenue M$"/>
    <x v="2"/>
    <n v="0"/>
  </r>
  <r>
    <s v="Integrated AI"/>
    <x v="4"/>
    <x v="4"/>
    <s v="Consumer Electronics"/>
    <s v="Digital Set-Top Box, Terrestrial"/>
    <s v="Semiconductor Revenue M$"/>
    <x v="3"/>
    <n v="0"/>
  </r>
  <r>
    <s v="Integrated AI"/>
    <x v="4"/>
    <x v="4"/>
    <s v="Consumer Electronics"/>
    <s v="Digital Set-Top Box, Terrestrial"/>
    <s v="Semiconductor Revenue M$"/>
    <x v="4"/>
    <n v="0"/>
  </r>
  <r>
    <s v="Integrated AI"/>
    <x v="4"/>
    <x v="4"/>
    <s v="Consumer Electronics"/>
    <s v="Digital Set-Top Box, Terrestrial"/>
    <s v="Semiconductor Revenue M$"/>
    <x v="5"/>
    <n v="0"/>
  </r>
  <r>
    <s v="Integrated AI"/>
    <x v="4"/>
    <x v="4"/>
    <s v="Consumer Electronics"/>
    <s v="Digital Set-Top Box, Terrestrial"/>
    <s v="Semiconductor Revenue M$"/>
    <x v="6"/>
    <n v="0"/>
  </r>
  <r>
    <s v="Integrated AI"/>
    <x v="4"/>
    <x v="4"/>
    <s v="Consumer Electronics"/>
    <s v="Digital Set-Top Box, IP/Other"/>
    <s v="Semiconductor Revenue M$"/>
    <x v="0"/>
    <n v="0"/>
  </r>
  <r>
    <s v="Integrated AI"/>
    <x v="4"/>
    <x v="4"/>
    <s v="Consumer Electronics"/>
    <s v="Digital Set-Top Box, IP/Other"/>
    <s v="Semiconductor Revenue M$"/>
    <x v="1"/>
    <n v="0"/>
  </r>
  <r>
    <s v="Integrated AI"/>
    <x v="4"/>
    <x v="4"/>
    <s v="Consumer Electronics"/>
    <s v="Digital Set-Top Box, IP/Other"/>
    <s v="Semiconductor Revenue M$"/>
    <x v="2"/>
    <n v="0"/>
  </r>
  <r>
    <s v="Integrated AI"/>
    <x v="4"/>
    <x v="4"/>
    <s v="Consumer Electronics"/>
    <s v="Digital Set-Top Box, IP/Other"/>
    <s v="Semiconductor Revenue M$"/>
    <x v="3"/>
    <n v="0"/>
  </r>
  <r>
    <s v="Integrated AI"/>
    <x v="4"/>
    <x v="4"/>
    <s v="Consumer Electronics"/>
    <s v="Digital Set-Top Box, IP/Other"/>
    <s v="Semiconductor Revenue M$"/>
    <x v="4"/>
    <n v="0"/>
  </r>
  <r>
    <s v="Integrated AI"/>
    <x v="4"/>
    <x v="4"/>
    <s v="Consumer Electronics"/>
    <s v="Digital Set-Top Box, IP/Other"/>
    <s v="Semiconductor Revenue M$"/>
    <x v="5"/>
    <n v="0"/>
  </r>
  <r>
    <s v="Integrated AI"/>
    <x v="4"/>
    <x v="4"/>
    <s v="Consumer Electronics"/>
    <s v="Digital Set-Top Box, IP/Other"/>
    <s v="Semiconductor Revenue M$"/>
    <x v="6"/>
    <n v="0"/>
  </r>
  <r>
    <s v="Integrated AI"/>
    <x v="4"/>
    <x v="4"/>
    <s v="Consumer Electronics"/>
    <s v="Digital Still Camera"/>
    <s v="Semiconductor Revenue M$"/>
    <x v="0"/>
    <n v="0"/>
  </r>
  <r>
    <s v="Integrated AI"/>
    <x v="4"/>
    <x v="4"/>
    <s v="Consumer Electronics"/>
    <s v="Digital Still Camera"/>
    <s v="Semiconductor Revenue M$"/>
    <x v="1"/>
    <n v="0"/>
  </r>
  <r>
    <s v="Integrated AI"/>
    <x v="4"/>
    <x v="4"/>
    <s v="Consumer Electronics"/>
    <s v="Digital Still Camera"/>
    <s v="Semiconductor Revenue M$"/>
    <x v="2"/>
    <n v="0"/>
  </r>
  <r>
    <s v="Integrated AI"/>
    <x v="4"/>
    <x v="4"/>
    <s v="Consumer Electronics"/>
    <s v="Digital Still Camera"/>
    <s v="Semiconductor Revenue M$"/>
    <x v="3"/>
    <n v="0"/>
  </r>
  <r>
    <s v="Integrated AI"/>
    <x v="4"/>
    <x v="4"/>
    <s v="Consumer Electronics"/>
    <s v="Digital Still Camera"/>
    <s v="Semiconductor Revenue M$"/>
    <x v="4"/>
    <n v="0"/>
  </r>
  <r>
    <s v="Integrated AI"/>
    <x v="4"/>
    <x v="4"/>
    <s v="Consumer Electronics"/>
    <s v="Digital Still Camera"/>
    <s v="Semiconductor Revenue M$"/>
    <x v="5"/>
    <n v="0"/>
  </r>
  <r>
    <s v="Integrated AI"/>
    <x v="4"/>
    <x v="4"/>
    <s v="Consumer Electronics"/>
    <s v="Digital Still Camera"/>
    <s v="Semiconductor Revenue M$"/>
    <x v="6"/>
    <n v="0"/>
  </r>
  <r>
    <s v="Integrated AI"/>
    <x v="4"/>
    <x v="5"/>
    <s v="Industrial Electronics"/>
    <s v="Agriculture"/>
    <s v="Semiconductor Revenue M$"/>
    <x v="0"/>
    <n v="0"/>
  </r>
  <r>
    <s v="Integrated AI"/>
    <x v="4"/>
    <x v="5"/>
    <s v="Industrial Electronics"/>
    <s v="Agriculture"/>
    <s v="Semiconductor Revenue M$"/>
    <x v="1"/>
    <n v="0"/>
  </r>
  <r>
    <s v="Integrated AI"/>
    <x v="4"/>
    <x v="5"/>
    <s v="Industrial Electronics"/>
    <s v="Agriculture"/>
    <s v="Semiconductor Revenue M$"/>
    <x v="2"/>
    <n v="0"/>
  </r>
  <r>
    <s v="Integrated AI"/>
    <x v="4"/>
    <x v="5"/>
    <s v="Industrial Electronics"/>
    <s v="Agriculture"/>
    <s v="Semiconductor Revenue M$"/>
    <x v="3"/>
    <n v="0"/>
  </r>
  <r>
    <s v="Integrated AI"/>
    <x v="4"/>
    <x v="5"/>
    <s v="Industrial Electronics"/>
    <s v="Agriculture"/>
    <s v="Semiconductor Revenue M$"/>
    <x v="4"/>
    <n v="0"/>
  </r>
  <r>
    <s v="Integrated AI"/>
    <x v="4"/>
    <x v="5"/>
    <s v="Industrial Electronics"/>
    <s v="Agriculture"/>
    <s v="Semiconductor Revenue M$"/>
    <x v="5"/>
    <n v="0"/>
  </r>
  <r>
    <s v="Integrated AI"/>
    <x v="4"/>
    <x v="5"/>
    <s v="Industrial Electronics"/>
    <s v="Agriculture"/>
    <s v="Semiconductor Revenue M$"/>
    <x v="6"/>
    <n v="0"/>
  </r>
  <r>
    <s v="Integrated AI"/>
    <x v="4"/>
    <x v="3"/>
    <s v="Automotive Electronics"/>
    <s v="Automotive HPC"/>
    <s v="Semiconductor Revenue M$"/>
    <x v="0"/>
    <n v="0"/>
  </r>
  <r>
    <s v="Integrated AI"/>
    <x v="4"/>
    <x v="3"/>
    <s v="Automotive Electronics"/>
    <s v="Automotive HPC"/>
    <s v="Semiconductor Revenue M$"/>
    <x v="1"/>
    <n v="0"/>
  </r>
  <r>
    <s v="Integrated AI"/>
    <x v="4"/>
    <x v="3"/>
    <s v="Automotive Electronics"/>
    <s v="Automotive HPC"/>
    <s v="Semiconductor Revenue M$"/>
    <x v="2"/>
    <n v="0"/>
  </r>
  <r>
    <s v="Integrated AI"/>
    <x v="4"/>
    <x v="3"/>
    <s v="Automotive Electronics"/>
    <s v="Automotive HPC"/>
    <s v="Semiconductor Revenue M$"/>
    <x v="3"/>
    <n v="0"/>
  </r>
  <r>
    <s v="Integrated AI"/>
    <x v="4"/>
    <x v="3"/>
    <s v="Automotive Electronics"/>
    <s v="Automotive HPC"/>
    <s v="Semiconductor Revenue M$"/>
    <x v="4"/>
    <n v="0"/>
  </r>
  <r>
    <s v="Integrated AI"/>
    <x v="4"/>
    <x v="3"/>
    <s v="Automotive Electronics"/>
    <s v="Automotive HPC"/>
    <s v="Semiconductor Revenue M$"/>
    <x v="5"/>
    <n v="0"/>
  </r>
  <r>
    <s v="Integrated AI"/>
    <x v="4"/>
    <x v="3"/>
    <s v="Automotive Electronics"/>
    <s v="Automotive HPC"/>
    <s v="Semiconductor Revenue M$"/>
    <x v="6"/>
    <n v="0"/>
  </r>
  <r>
    <s v="Integrated AI"/>
    <x v="4"/>
    <x v="5"/>
    <s v="Industrial Electronics"/>
    <s v="Surveillance"/>
    <s v="Semiconductor Revenue M$"/>
    <x v="0"/>
    <n v="0"/>
  </r>
  <r>
    <s v="Integrated AI"/>
    <x v="4"/>
    <x v="5"/>
    <s v="Industrial Electronics"/>
    <s v="Surveillance"/>
    <s v="Semiconductor Revenue M$"/>
    <x v="1"/>
    <n v="0"/>
  </r>
  <r>
    <s v="Integrated AI"/>
    <x v="4"/>
    <x v="5"/>
    <s v="Industrial Electronics"/>
    <s v="Surveillance"/>
    <s v="Semiconductor Revenue M$"/>
    <x v="2"/>
    <n v="0"/>
  </r>
  <r>
    <s v="Integrated AI"/>
    <x v="4"/>
    <x v="5"/>
    <s v="Industrial Electronics"/>
    <s v="Surveillance"/>
    <s v="Semiconductor Revenue M$"/>
    <x v="3"/>
    <n v="0"/>
  </r>
  <r>
    <s v="Integrated AI"/>
    <x v="4"/>
    <x v="5"/>
    <s v="Industrial Electronics"/>
    <s v="Surveillance"/>
    <s v="Semiconductor Revenue M$"/>
    <x v="4"/>
    <n v="0"/>
  </r>
  <r>
    <s v="Integrated AI"/>
    <x v="4"/>
    <x v="5"/>
    <s v="Industrial Electronics"/>
    <s v="Surveillance"/>
    <s v="Semiconductor Revenue M$"/>
    <x v="5"/>
    <n v="0"/>
  </r>
  <r>
    <s v="Integrated AI"/>
    <x v="4"/>
    <x v="5"/>
    <s v="Industrial Electronics"/>
    <s v="Surveillance"/>
    <s v="Semiconductor Revenue M$"/>
    <x v="6"/>
    <n v="0"/>
  </r>
  <r>
    <s v="Integrated AI"/>
    <x v="4"/>
    <x v="4"/>
    <s v="Consumer Electronics"/>
    <s v="Portable Media Players"/>
    <s v="Semiconductor Revenue M$"/>
    <x v="0"/>
    <n v="0"/>
  </r>
  <r>
    <s v="Integrated AI"/>
    <x v="4"/>
    <x v="4"/>
    <s v="Consumer Electronics"/>
    <s v="Portable Media Players"/>
    <s v="Semiconductor Revenue M$"/>
    <x v="1"/>
    <n v="0"/>
  </r>
  <r>
    <s v="Integrated AI"/>
    <x v="4"/>
    <x v="4"/>
    <s v="Consumer Electronics"/>
    <s v="Portable Media Players"/>
    <s v="Semiconductor Revenue M$"/>
    <x v="2"/>
    <n v="0"/>
  </r>
  <r>
    <s v="Integrated AI"/>
    <x v="4"/>
    <x v="4"/>
    <s v="Consumer Electronics"/>
    <s v="Portable Media Players"/>
    <s v="Semiconductor Revenue M$"/>
    <x v="3"/>
    <n v="0"/>
  </r>
  <r>
    <s v="Integrated AI"/>
    <x v="4"/>
    <x v="4"/>
    <s v="Consumer Electronics"/>
    <s v="Portable Media Players"/>
    <s v="Semiconductor Revenue M$"/>
    <x v="4"/>
    <n v="0"/>
  </r>
  <r>
    <s v="Integrated AI"/>
    <x v="4"/>
    <x v="4"/>
    <s v="Consumer Electronics"/>
    <s v="Portable Media Players"/>
    <s v="Semiconductor Revenue M$"/>
    <x v="5"/>
    <n v="0"/>
  </r>
  <r>
    <s v="Integrated AI"/>
    <x v="4"/>
    <x v="4"/>
    <s v="Consumer Electronics"/>
    <s v="Portable Media Players"/>
    <s v="Semiconductor Revenue M$"/>
    <x v="6"/>
    <n v="0"/>
  </r>
  <r>
    <s v="Integrated AI"/>
    <x v="4"/>
    <x v="4"/>
    <s v="Consumer Electronics"/>
    <s v="Smart Speakers"/>
    <s v="Semiconductor Revenue M$"/>
    <x v="0"/>
    <n v="0"/>
  </r>
  <r>
    <s v="Integrated AI"/>
    <x v="4"/>
    <x v="4"/>
    <s v="Consumer Electronics"/>
    <s v="Smart Speakers"/>
    <s v="Semiconductor Revenue M$"/>
    <x v="1"/>
    <n v="0"/>
  </r>
  <r>
    <s v="Integrated AI"/>
    <x v="4"/>
    <x v="4"/>
    <s v="Consumer Electronics"/>
    <s v="Smart Speakers"/>
    <s v="Semiconductor Revenue M$"/>
    <x v="2"/>
    <n v="0"/>
  </r>
  <r>
    <s v="Integrated AI"/>
    <x v="4"/>
    <x v="4"/>
    <s v="Consumer Electronics"/>
    <s v="Smart Speakers"/>
    <s v="Semiconductor Revenue M$"/>
    <x v="3"/>
    <n v="0"/>
  </r>
  <r>
    <s v="Integrated AI"/>
    <x v="4"/>
    <x v="4"/>
    <s v="Consumer Electronics"/>
    <s v="Smart Speakers"/>
    <s v="Semiconductor Revenue M$"/>
    <x v="4"/>
    <n v="0"/>
  </r>
  <r>
    <s v="Integrated AI"/>
    <x v="4"/>
    <x v="4"/>
    <s v="Consumer Electronics"/>
    <s v="Smart Speakers"/>
    <s v="Semiconductor Revenue M$"/>
    <x v="5"/>
    <n v="0"/>
  </r>
  <r>
    <s v="Integrated AI"/>
    <x v="4"/>
    <x v="4"/>
    <s v="Consumer Electronics"/>
    <s v="Smart Speakers"/>
    <s v="Semiconductor Revenue M$"/>
    <x v="6"/>
    <n v="0"/>
  </r>
  <r>
    <s v="Integrated AI"/>
    <x v="4"/>
    <x v="4"/>
    <s v="Consumer Electronics"/>
    <s v="TV, Standard"/>
    <s v="Semiconductor Revenue M$"/>
    <x v="0"/>
    <n v="0"/>
  </r>
  <r>
    <s v="Integrated AI"/>
    <x v="4"/>
    <x v="4"/>
    <s v="Consumer Electronics"/>
    <s v="TV, Standard"/>
    <s v="Semiconductor Revenue M$"/>
    <x v="1"/>
    <n v="0"/>
  </r>
  <r>
    <s v="Integrated AI"/>
    <x v="4"/>
    <x v="4"/>
    <s v="Consumer Electronics"/>
    <s v="TV, Standard"/>
    <s v="Semiconductor Revenue M$"/>
    <x v="2"/>
    <n v="0"/>
  </r>
  <r>
    <s v="Integrated AI"/>
    <x v="4"/>
    <x v="4"/>
    <s v="Consumer Electronics"/>
    <s v="TV, Standard"/>
    <s v="Semiconductor Revenue M$"/>
    <x v="3"/>
    <n v="0"/>
  </r>
  <r>
    <s v="Integrated AI"/>
    <x v="4"/>
    <x v="4"/>
    <s v="Consumer Electronics"/>
    <s v="TV, Standard"/>
    <s v="Semiconductor Revenue M$"/>
    <x v="4"/>
    <n v="0"/>
  </r>
  <r>
    <s v="Integrated AI"/>
    <x v="4"/>
    <x v="4"/>
    <s v="Consumer Electronics"/>
    <s v="TV, Standard"/>
    <s v="Semiconductor Revenue M$"/>
    <x v="5"/>
    <n v="0"/>
  </r>
  <r>
    <s v="Integrated AI"/>
    <x v="4"/>
    <x v="4"/>
    <s v="Consumer Electronics"/>
    <s v="TV, Standard"/>
    <s v="Semiconductor Revenue M$"/>
    <x v="6"/>
    <n v="0"/>
  </r>
  <r>
    <s v="Integrated AI"/>
    <x v="4"/>
    <x v="4"/>
    <s v="Consumer Electronics"/>
    <s v="TV, Smart"/>
    <s v="Semiconductor Revenue M$"/>
    <x v="0"/>
    <n v="0"/>
  </r>
  <r>
    <s v="Integrated AI"/>
    <x v="4"/>
    <x v="4"/>
    <s v="Consumer Electronics"/>
    <s v="TV, Smart"/>
    <s v="Semiconductor Revenue M$"/>
    <x v="1"/>
    <n v="0"/>
  </r>
  <r>
    <s v="Integrated AI"/>
    <x v="4"/>
    <x v="4"/>
    <s v="Consumer Electronics"/>
    <s v="TV, Smart"/>
    <s v="Semiconductor Revenue M$"/>
    <x v="2"/>
    <n v="0"/>
  </r>
  <r>
    <s v="Integrated AI"/>
    <x v="4"/>
    <x v="4"/>
    <s v="Consumer Electronics"/>
    <s v="TV, Smart"/>
    <s v="Semiconductor Revenue M$"/>
    <x v="3"/>
    <n v="0"/>
  </r>
  <r>
    <s v="Integrated AI"/>
    <x v="4"/>
    <x v="4"/>
    <s v="Consumer Electronics"/>
    <s v="TV, Smart"/>
    <s v="Semiconductor Revenue M$"/>
    <x v="4"/>
    <n v="0"/>
  </r>
  <r>
    <s v="Integrated AI"/>
    <x v="4"/>
    <x v="4"/>
    <s v="Consumer Electronics"/>
    <s v="TV, Smart"/>
    <s v="Semiconductor Revenue M$"/>
    <x v="5"/>
    <n v="0"/>
  </r>
  <r>
    <s v="Integrated AI"/>
    <x v="4"/>
    <x v="4"/>
    <s v="Consumer Electronics"/>
    <s v="TV, Smart"/>
    <s v="Semiconductor Revenue M$"/>
    <x v="6"/>
    <n v="0"/>
  </r>
  <r>
    <s v="Integrated AI"/>
    <x v="4"/>
    <x v="4"/>
    <s v="Consumer Electronics"/>
    <s v="Video Game Consoles"/>
    <s v="Semiconductor Revenue M$"/>
    <x v="0"/>
    <n v="0"/>
  </r>
  <r>
    <s v="Integrated AI"/>
    <x v="4"/>
    <x v="4"/>
    <s v="Consumer Electronics"/>
    <s v="Video Game Consoles"/>
    <s v="Semiconductor Revenue M$"/>
    <x v="1"/>
    <n v="0"/>
  </r>
  <r>
    <s v="Integrated AI"/>
    <x v="4"/>
    <x v="4"/>
    <s v="Consumer Electronics"/>
    <s v="Video Game Consoles"/>
    <s v="Semiconductor Revenue M$"/>
    <x v="2"/>
    <n v="0"/>
  </r>
  <r>
    <s v="Integrated AI"/>
    <x v="4"/>
    <x v="4"/>
    <s v="Consumer Electronics"/>
    <s v="Video Game Consoles"/>
    <s v="Semiconductor Revenue M$"/>
    <x v="3"/>
    <n v="0"/>
  </r>
  <r>
    <s v="Integrated AI"/>
    <x v="4"/>
    <x v="4"/>
    <s v="Consumer Electronics"/>
    <s v="Video Game Consoles"/>
    <s v="Semiconductor Revenue M$"/>
    <x v="4"/>
    <n v="0"/>
  </r>
  <r>
    <s v="Integrated AI"/>
    <x v="4"/>
    <x v="4"/>
    <s v="Consumer Electronics"/>
    <s v="Video Game Consoles"/>
    <s v="Semiconductor Revenue M$"/>
    <x v="5"/>
    <n v="0"/>
  </r>
  <r>
    <s v="Integrated AI"/>
    <x v="4"/>
    <x v="4"/>
    <s v="Consumer Electronics"/>
    <s v="Video Game Consoles"/>
    <s v="Semiconductor Revenue M$"/>
    <x v="6"/>
    <n v="0"/>
  </r>
  <r>
    <s v="Integrated AI"/>
    <x v="4"/>
    <x v="4"/>
    <s v="Consumer Electronics"/>
    <s v="Video Game Handhelds"/>
    <s v="Semiconductor Revenue M$"/>
    <x v="0"/>
    <n v="0"/>
  </r>
  <r>
    <s v="Integrated AI"/>
    <x v="4"/>
    <x v="4"/>
    <s v="Consumer Electronics"/>
    <s v="Video Game Handhelds"/>
    <s v="Semiconductor Revenue M$"/>
    <x v="1"/>
    <n v="0"/>
  </r>
  <r>
    <s v="Integrated AI"/>
    <x v="4"/>
    <x v="4"/>
    <s v="Consumer Electronics"/>
    <s v="Video Game Handhelds"/>
    <s v="Semiconductor Revenue M$"/>
    <x v="2"/>
    <n v="0"/>
  </r>
  <r>
    <s v="Integrated AI"/>
    <x v="4"/>
    <x v="4"/>
    <s v="Consumer Electronics"/>
    <s v="Video Game Handhelds"/>
    <s v="Semiconductor Revenue M$"/>
    <x v="3"/>
    <n v="0"/>
  </r>
  <r>
    <s v="Integrated AI"/>
    <x v="4"/>
    <x v="4"/>
    <s v="Consumer Electronics"/>
    <s v="Video Game Handhelds"/>
    <s v="Semiconductor Revenue M$"/>
    <x v="4"/>
    <n v="0"/>
  </r>
  <r>
    <s v="Integrated AI"/>
    <x v="4"/>
    <x v="4"/>
    <s v="Consumer Electronics"/>
    <s v="Video Game Handhelds"/>
    <s v="Semiconductor Revenue M$"/>
    <x v="5"/>
    <n v="0"/>
  </r>
  <r>
    <s v="Integrated AI"/>
    <x v="4"/>
    <x v="4"/>
    <s v="Consumer Electronics"/>
    <s v="Video Game Handhelds"/>
    <s v="Semiconductor Revenue M$"/>
    <x v="6"/>
    <n v="0"/>
  </r>
  <r>
    <s v="Integrated AI"/>
    <x v="4"/>
    <x v="4"/>
    <s v="Consumer Electronics"/>
    <s v="Wristbands"/>
    <s v="Semiconductor Revenue M$"/>
    <x v="0"/>
    <n v="0"/>
  </r>
  <r>
    <s v="Integrated AI"/>
    <x v="4"/>
    <x v="4"/>
    <s v="Consumer Electronics"/>
    <s v="Wristbands"/>
    <s v="Semiconductor Revenue M$"/>
    <x v="1"/>
    <n v="0"/>
  </r>
  <r>
    <s v="Integrated AI"/>
    <x v="4"/>
    <x v="4"/>
    <s v="Consumer Electronics"/>
    <s v="Wristbands"/>
    <s v="Semiconductor Revenue M$"/>
    <x v="2"/>
    <n v="0"/>
  </r>
  <r>
    <s v="Integrated AI"/>
    <x v="4"/>
    <x v="4"/>
    <s v="Consumer Electronics"/>
    <s v="Wristbands"/>
    <s v="Semiconductor Revenue M$"/>
    <x v="3"/>
    <n v="0"/>
  </r>
  <r>
    <s v="Integrated AI"/>
    <x v="4"/>
    <x v="4"/>
    <s v="Consumer Electronics"/>
    <s v="Wristbands"/>
    <s v="Semiconductor Revenue M$"/>
    <x v="4"/>
    <n v="0"/>
  </r>
  <r>
    <s v="Integrated AI"/>
    <x v="4"/>
    <x v="4"/>
    <s v="Consumer Electronics"/>
    <s v="Wristbands"/>
    <s v="Semiconductor Revenue M$"/>
    <x v="5"/>
    <n v="0"/>
  </r>
  <r>
    <s v="Integrated AI"/>
    <x v="4"/>
    <x v="4"/>
    <s v="Consumer Electronics"/>
    <s v="Wristbands"/>
    <s v="Semiconductor Revenue M$"/>
    <x v="6"/>
    <n v="0"/>
  </r>
  <r>
    <s v="Integrated AI"/>
    <x v="4"/>
    <x v="4"/>
    <s v="Consumer Electronics"/>
    <s v="Head Mounted Display"/>
    <s v="Semiconductor Revenue M$"/>
    <x v="0"/>
    <n v="0"/>
  </r>
  <r>
    <s v="Integrated AI"/>
    <x v="4"/>
    <x v="4"/>
    <s v="Consumer Electronics"/>
    <s v="Head Mounted Display"/>
    <s v="Semiconductor Revenue M$"/>
    <x v="1"/>
    <n v="0"/>
  </r>
  <r>
    <s v="Integrated AI"/>
    <x v="4"/>
    <x v="4"/>
    <s v="Consumer Electronics"/>
    <s v="Head Mounted Display"/>
    <s v="Semiconductor Revenue M$"/>
    <x v="2"/>
    <n v="0"/>
  </r>
  <r>
    <s v="Integrated AI"/>
    <x v="4"/>
    <x v="4"/>
    <s v="Consumer Electronics"/>
    <s v="Head Mounted Display"/>
    <s v="Semiconductor Revenue M$"/>
    <x v="3"/>
    <n v="0"/>
  </r>
  <r>
    <s v="Integrated AI"/>
    <x v="4"/>
    <x v="4"/>
    <s v="Consumer Electronics"/>
    <s v="Head Mounted Display"/>
    <s v="Semiconductor Revenue M$"/>
    <x v="4"/>
    <n v="0"/>
  </r>
  <r>
    <s v="Integrated AI"/>
    <x v="4"/>
    <x v="4"/>
    <s v="Consumer Electronics"/>
    <s v="Head Mounted Display"/>
    <s v="Semiconductor Revenue M$"/>
    <x v="5"/>
    <n v="0"/>
  </r>
  <r>
    <s v="Integrated AI"/>
    <x v="4"/>
    <x v="4"/>
    <s v="Consumer Electronics"/>
    <s v="Head Mounted Display"/>
    <s v="Semiconductor Revenue M$"/>
    <x v="6"/>
    <n v="0"/>
  </r>
  <r>
    <s v="Integrated AI"/>
    <x v="4"/>
    <x v="4"/>
    <s v="Consumer Electronics"/>
    <s v="Smart Watches"/>
    <s v="Semiconductor Revenue M$"/>
    <x v="0"/>
    <n v="0"/>
  </r>
  <r>
    <s v="Integrated AI"/>
    <x v="4"/>
    <x v="4"/>
    <s v="Consumer Electronics"/>
    <s v="Smart Watches"/>
    <s v="Semiconductor Revenue M$"/>
    <x v="1"/>
    <n v="0"/>
  </r>
  <r>
    <s v="Integrated AI"/>
    <x v="4"/>
    <x v="4"/>
    <s v="Consumer Electronics"/>
    <s v="Smart Watches"/>
    <s v="Semiconductor Revenue M$"/>
    <x v="2"/>
    <n v="0"/>
  </r>
  <r>
    <s v="Integrated AI"/>
    <x v="4"/>
    <x v="4"/>
    <s v="Consumer Electronics"/>
    <s v="Smart Watches"/>
    <s v="Semiconductor Revenue M$"/>
    <x v="3"/>
    <n v="0"/>
  </r>
  <r>
    <s v="Integrated AI"/>
    <x v="4"/>
    <x v="4"/>
    <s v="Consumer Electronics"/>
    <s v="Smart Watches"/>
    <s v="Semiconductor Revenue M$"/>
    <x v="4"/>
    <n v="0"/>
  </r>
  <r>
    <s v="Integrated AI"/>
    <x v="4"/>
    <x v="4"/>
    <s v="Consumer Electronics"/>
    <s v="Smart Watches"/>
    <s v="Semiconductor Revenue M$"/>
    <x v="5"/>
    <n v="0"/>
  </r>
  <r>
    <s v="Integrated AI"/>
    <x v="4"/>
    <x v="4"/>
    <s v="Consumer Electronics"/>
    <s v="Smart Watches"/>
    <s v="Semiconductor Revenue M$"/>
    <x v="6"/>
    <n v="0"/>
  </r>
  <r>
    <s v="Integrated AI"/>
    <x v="4"/>
    <x v="4"/>
    <s v="Consumer Electronics"/>
    <s v="Sports Watches"/>
    <s v="Semiconductor Revenue M$"/>
    <x v="0"/>
    <n v="0"/>
  </r>
  <r>
    <s v="Integrated AI"/>
    <x v="4"/>
    <x v="4"/>
    <s v="Consumer Electronics"/>
    <s v="Sports Watches"/>
    <s v="Semiconductor Revenue M$"/>
    <x v="1"/>
    <n v="0"/>
  </r>
  <r>
    <s v="Integrated AI"/>
    <x v="4"/>
    <x v="4"/>
    <s v="Consumer Electronics"/>
    <s v="Sports Watches"/>
    <s v="Semiconductor Revenue M$"/>
    <x v="2"/>
    <n v="0"/>
  </r>
  <r>
    <s v="Integrated AI"/>
    <x v="4"/>
    <x v="4"/>
    <s v="Consumer Electronics"/>
    <s v="Sports Watches"/>
    <s v="Semiconductor Revenue M$"/>
    <x v="3"/>
    <n v="0"/>
  </r>
  <r>
    <s v="Integrated AI"/>
    <x v="4"/>
    <x v="4"/>
    <s v="Consumer Electronics"/>
    <s v="Sports Watches"/>
    <s v="Semiconductor Revenue M$"/>
    <x v="4"/>
    <n v="0"/>
  </r>
  <r>
    <s v="Integrated AI"/>
    <x v="4"/>
    <x v="4"/>
    <s v="Consumer Electronics"/>
    <s v="Sports Watches"/>
    <s v="Semiconductor Revenue M$"/>
    <x v="5"/>
    <n v="0"/>
  </r>
  <r>
    <s v="Integrated AI"/>
    <x v="4"/>
    <x v="4"/>
    <s v="Consumer Electronics"/>
    <s v="Sports Watches"/>
    <s v="Semiconductor Revenue M$"/>
    <x v="6"/>
    <n v="0"/>
  </r>
  <r>
    <s v="Integrated AI"/>
    <x v="4"/>
    <x v="4"/>
    <s v="Consumer Electronics"/>
    <s v="Other Consumer Electronics"/>
    <s v="Semiconductor Revenue M$"/>
    <x v="0"/>
    <n v="0"/>
  </r>
  <r>
    <s v="Integrated AI"/>
    <x v="4"/>
    <x v="4"/>
    <s v="Consumer Electronics"/>
    <s v="Other Consumer Electronics"/>
    <s v="Semiconductor Revenue M$"/>
    <x v="1"/>
    <n v="0"/>
  </r>
  <r>
    <s v="Integrated AI"/>
    <x v="4"/>
    <x v="4"/>
    <s v="Consumer Electronics"/>
    <s v="Other Consumer Electronics"/>
    <s v="Semiconductor Revenue M$"/>
    <x v="2"/>
    <n v="0"/>
  </r>
  <r>
    <s v="Integrated AI"/>
    <x v="4"/>
    <x v="4"/>
    <s v="Consumer Electronics"/>
    <s v="Other Consumer Electronics"/>
    <s v="Semiconductor Revenue M$"/>
    <x v="3"/>
    <n v="0"/>
  </r>
  <r>
    <s v="Integrated AI"/>
    <x v="4"/>
    <x v="4"/>
    <s v="Consumer Electronics"/>
    <s v="Other Consumer Electronics"/>
    <s v="Semiconductor Revenue M$"/>
    <x v="4"/>
    <n v="0"/>
  </r>
  <r>
    <s v="Integrated AI"/>
    <x v="4"/>
    <x v="4"/>
    <s v="Consumer Electronics"/>
    <s v="Other Consumer Electronics"/>
    <s v="Semiconductor Revenue M$"/>
    <x v="5"/>
    <n v="0"/>
  </r>
  <r>
    <s v="Integrated AI"/>
    <x v="4"/>
    <x v="4"/>
    <s v="Consumer Electronics"/>
    <s v="Other Consumer Electronics"/>
    <s v="Semiconductor Revenue M$"/>
    <x v="6"/>
    <n v="0"/>
  </r>
  <r>
    <s v="Integrated AI"/>
    <x v="4"/>
    <x v="3"/>
    <s v="Automotive Electronics"/>
    <s v="ADAS-Sensors and Connectivity"/>
    <s v="Semiconductor Revenue M$"/>
    <x v="0"/>
    <n v="0"/>
  </r>
  <r>
    <s v="Integrated AI"/>
    <x v="4"/>
    <x v="3"/>
    <s v="Automotive Electronics"/>
    <s v="ADAS-Sensors and Connectivity"/>
    <s v="Semiconductor Revenue M$"/>
    <x v="1"/>
    <n v="0"/>
  </r>
  <r>
    <s v="Integrated AI"/>
    <x v="4"/>
    <x v="3"/>
    <s v="Automotive Electronics"/>
    <s v="ADAS-Sensors and Connectivity"/>
    <s v="Semiconductor Revenue M$"/>
    <x v="2"/>
    <n v="0"/>
  </r>
  <r>
    <s v="Integrated AI"/>
    <x v="4"/>
    <x v="3"/>
    <s v="Automotive Electronics"/>
    <s v="ADAS-Sensors and Connectivity"/>
    <s v="Semiconductor Revenue M$"/>
    <x v="3"/>
    <n v="0"/>
  </r>
  <r>
    <s v="Integrated AI"/>
    <x v="4"/>
    <x v="3"/>
    <s v="Automotive Electronics"/>
    <s v="ADAS-Sensors and Connectivity"/>
    <s v="Semiconductor Revenue M$"/>
    <x v="4"/>
    <n v="0"/>
  </r>
  <r>
    <s v="Integrated AI"/>
    <x v="4"/>
    <x v="3"/>
    <s v="Automotive Electronics"/>
    <s v="ADAS-Sensors and Connectivity"/>
    <s v="Semiconductor Revenue M$"/>
    <x v="5"/>
    <n v="0"/>
  </r>
  <r>
    <s v="Integrated AI"/>
    <x v="4"/>
    <x v="3"/>
    <s v="Automotive Electronics"/>
    <s v="ADAS-Sensors and Connectivity"/>
    <s v="Semiconductor Revenue M$"/>
    <x v="6"/>
    <n v="0"/>
  </r>
  <r>
    <s v="Integrated AI"/>
    <x v="4"/>
    <x v="3"/>
    <s v="Automotive Electronics"/>
    <s v="Body"/>
    <s v="Semiconductor Revenue M$"/>
    <x v="0"/>
    <n v="0"/>
  </r>
  <r>
    <s v="Integrated AI"/>
    <x v="4"/>
    <x v="3"/>
    <s v="Automotive Electronics"/>
    <s v="Body"/>
    <s v="Semiconductor Revenue M$"/>
    <x v="1"/>
    <n v="0"/>
  </r>
  <r>
    <s v="Integrated AI"/>
    <x v="4"/>
    <x v="3"/>
    <s v="Automotive Electronics"/>
    <s v="Body"/>
    <s v="Semiconductor Revenue M$"/>
    <x v="2"/>
    <n v="0"/>
  </r>
  <r>
    <s v="Integrated AI"/>
    <x v="4"/>
    <x v="3"/>
    <s v="Automotive Electronics"/>
    <s v="Body"/>
    <s v="Semiconductor Revenue M$"/>
    <x v="3"/>
    <n v="0"/>
  </r>
  <r>
    <s v="Integrated AI"/>
    <x v="4"/>
    <x v="3"/>
    <s v="Automotive Electronics"/>
    <s v="Body"/>
    <s v="Semiconductor Revenue M$"/>
    <x v="4"/>
    <n v="0"/>
  </r>
  <r>
    <s v="Integrated AI"/>
    <x v="4"/>
    <x v="3"/>
    <s v="Automotive Electronics"/>
    <s v="Body"/>
    <s v="Semiconductor Revenue M$"/>
    <x v="5"/>
    <n v="0"/>
  </r>
  <r>
    <s v="Integrated AI"/>
    <x v="4"/>
    <x v="3"/>
    <s v="Automotive Electronics"/>
    <s v="Body"/>
    <s v="Semiconductor Revenue M$"/>
    <x v="6"/>
    <n v="0"/>
  </r>
  <r>
    <s v="Integrated AI"/>
    <x v="4"/>
    <x v="3"/>
    <s v="Automotive Electronics"/>
    <s v="Chassis"/>
    <s v="Semiconductor Revenue M$"/>
    <x v="0"/>
    <n v="0"/>
  </r>
  <r>
    <s v="Integrated AI"/>
    <x v="4"/>
    <x v="3"/>
    <s v="Automotive Electronics"/>
    <s v="Chassis"/>
    <s v="Semiconductor Revenue M$"/>
    <x v="1"/>
    <n v="0"/>
  </r>
  <r>
    <s v="Integrated AI"/>
    <x v="4"/>
    <x v="3"/>
    <s v="Automotive Electronics"/>
    <s v="Chassis"/>
    <s v="Semiconductor Revenue M$"/>
    <x v="2"/>
    <n v="0"/>
  </r>
  <r>
    <s v="Integrated AI"/>
    <x v="4"/>
    <x v="3"/>
    <s v="Automotive Electronics"/>
    <s v="Chassis"/>
    <s v="Semiconductor Revenue M$"/>
    <x v="3"/>
    <n v="0"/>
  </r>
  <r>
    <s v="Integrated AI"/>
    <x v="4"/>
    <x v="3"/>
    <s v="Automotive Electronics"/>
    <s v="Chassis"/>
    <s v="Semiconductor Revenue M$"/>
    <x v="4"/>
    <n v="0"/>
  </r>
  <r>
    <s v="Integrated AI"/>
    <x v="4"/>
    <x v="3"/>
    <s v="Automotive Electronics"/>
    <s v="Chassis"/>
    <s v="Semiconductor Revenue M$"/>
    <x v="5"/>
    <n v="0"/>
  </r>
  <r>
    <s v="Integrated AI"/>
    <x v="4"/>
    <x v="3"/>
    <s v="Automotive Electronics"/>
    <s v="Chassis"/>
    <s v="Semiconductor Revenue M$"/>
    <x v="6"/>
    <n v="0"/>
  </r>
  <r>
    <s v="Integrated AI"/>
    <x v="4"/>
    <x v="3"/>
    <s v="Automotive Electronics"/>
    <s v="EV/HEV"/>
    <s v="Semiconductor Revenue M$"/>
    <x v="0"/>
    <n v="0"/>
  </r>
  <r>
    <s v="Integrated AI"/>
    <x v="4"/>
    <x v="3"/>
    <s v="Automotive Electronics"/>
    <s v="EV/HEV"/>
    <s v="Semiconductor Revenue M$"/>
    <x v="1"/>
    <n v="0"/>
  </r>
  <r>
    <s v="Integrated AI"/>
    <x v="4"/>
    <x v="3"/>
    <s v="Automotive Electronics"/>
    <s v="EV/HEV"/>
    <s v="Semiconductor Revenue M$"/>
    <x v="2"/>
    <n v="0"/>
  </r>
  <r>
    <s v="Integrated AI"/>
    <x v="4"/>
    <x v="3"/>
    <s v="Automotive Electronics"/>
    <s v="EV/HEV"/>
    <s v="Semiconductor Revenue M$"/>
    <x v="3"/>
    <n v="0"/>
  </r>
  <r>
    <s v="Integrated AI"/>
    <x v="4"/>
    <x v="3"/>
    <s v="Automotive Electronics"/>
    <s v="EV/HEV"/>
    <s v="Semiconductor Revenue M$"/>
    <x v="4"/>
    <n v="0"/>
  </r>
  <r>
    <s v="Integrated AI"/>
    <x v="4"/>
    <x v="3"/>
    <s v="Automotive Electronics"/>
    <s v="EV/HEV"/>
    <s v="Semiconductor Revenue M$"/>
    <x v="5"/>
    <n v="0"/>
  </r>
  <r>
    <s v="Integrated AI"/>
    <x v="4"/>
    <x v="3"/>
    <s v="Automotive Electronics"/>
    <s v="EV/HEV"/>
    <s v="Semiconductor Revenue M$"/>
    <x v="6"/>
    <n v="0"/>
  </r>
  <r>
    <s v="Integrated AI"/>
    <x v="4"/>
    <x v="3"/>
    <s v="Automotive Electronics"/>
    <s v="Infotainment"/>
    <s v="Semiconductor Revenue M$"/>
    <x v="0"/>
    <n v="0"/>
  </r>
  <r>
    <s v="Integrated AI"/>
    <x v="4"/>
    <x v="3"/>
    <s v="Automotive Electronics"/>
    <s v="Infotainment"/>
    <s v="Semiconductor Revenue M$"/>
    <x v="1"/>
    <n v="0"/>
  </r>
  <r>
    <s v="Integrated AI"/>
    <x v="4"/>
    <x v="3"/>
    <s v="Automotive Electronics"/>
    <s v="Infotainment"/>
    <s v="Semiconductor Revenue M$"/>
    <x v="2"/>
    <n v="0"/>
  </r>
  <r>
    <s v="Integrated AI"/>
    <x v="4"/>
    <x v="3"/>
    <s v="Automotive Electronics"/>
    <s v="Infotainment"/>
    <s v="Semiconductor Revenue M$"/>
    <x v="3"/>
    <n v="0"/>
  </r>
  <r>
    <s v="Integrated AI"/>
    <x v="4"/>
    <x v="3"/>
    <s v="Automotive Electronics"/>
    <s v="Infotainment"/>
    <s v="Semiconductor Revenue M$"/>
    <x v="4"/>
    <n v="0"/>
  </r>
  <r>
    <s v="Integrated AI"/>
    <x v="4"/>
    <x v="3"/>
    <s v="Automotive Electronics"/>
    <s v="Infotainment"/>
    <s v="Semiconductor Revenue M$"/>
    <x v="5"/>
    <n v="0"/>
  </r>
  <r>
    <s v="Integrated AI"/>
    <x v="4"/>
    <x v="3"/>
    <s v="Automotive Electronics"/>
    <s v="Infotainment"/>
    <s v="Semiconductor Revenue M$"/>
    <x v="6"/>
    <n v="0"/>
  </r>
  <r>
    <s v="Integrated AI"/>
    <x v="4"/>
    <x v="3"/>
    <s v="Automotive Electronics"/>
    <s v="Instrument Cluster"/>
    <s v="Semiconductor Revenue M$"/>
    <x v="0"/>
    <n v="0"/>
  </r>
  <r>
    <s v="Integrated AI"/>
    <x v="4"/>
    <x v="3"/>
    <s v="Automotive Electronics"/>
    <s v="Instrument Cluster"/>
    <s v="Semiconductor Revenue M$"/>
    <x v="1"/>
    <n v="0"/>
  </r>
  <r>
    <s v="Integrated AI"/>
    <x v="4"/>
    <x v="3"/>
    <s v="Automotive Electronics"/>
    <s v="Instrument Cluster"/>
    <s v="Semiconductor Revenue M$"/>
    <x v="2"/>
    <n v="0"/>
  </r>
  <r>
    <s v="Integrated AI"/>
    <x v="4"/>
    <x v="3"/>
    <s v="Automotive Electronics"/>
    <s v="Instrument Cluster"/>
    <s v="Semiconductor Revenue M$"/>
    <x v="3"/>
    <n v="0"/>
  </r>
  <r>
    <s v="Integrated AI"/>
    <x v="4"/>
    <x v="3"/>
    <s v="Automotive Electronics"/>
    <s v="Instrument Cluster"/>
    <s v="Semiconductor Revenue M$"/>
    <x v="4"/>
    <n v="0"/>
  </r>
  <r>
    <s v="Integrated AI"/>
    <x v="4"/>
    <x v="3"/>
    <s v="Automotive Electronics"/>
    <s v="Instrument Cluster"/>
    <s v="Semiconductor Revenue M$"/>
    <x v="5"/>
    <n v="0"/>
  </r>
  <r>
    <s v="Integrated AI"/>
    <x v="4"/>
    <x v="3"/>
    <s v="Automotive Electronics"/>
    <s v="Instrument Cluster"/>
    <s v="Semiconductor Revenue M$"/>
    <x v="6"/>
    <n v="0"/>
  </r>
  <r>
    <s v="Integrated AI"/>
    <x v="4"/>
    <x v="3"/>
    <s v="Automotive Electronics"/>
    <s v="Powertrain"/>
    <s v="Semiconductor Revenue M$"/>
    <x v="0"/>
    <n v="0"/>
  </r>
  <r>
    <s v="Integrated AI"/>
    <x v="4"/>
    <x v="3"/>
    <s v="Automotive Electronics"/>
    <s v="Powertrain"/>
    <s v="Semiconductor Revenue M$"/>
    <x v="1"/>
    <n v="0"/>
  </r>
  <r>
    <s v="Integrated AI"/>
    <x v="4"/>
    <x v="3"/>
    <s v="Automotive Electronics"/>
    <s v="Powertrain"/>
    <s v="Semiconductor Revenue M$"/>
    <x v="2"/>
    <n v="0"/>
  </r>
  <r>
    <s v="Integrated AI"/>
    <x v="4"/>
    <x v="3"/>
    <s v="Automotive Electronics"/>
    <s v="Powertrain"/>
    <s v="Semiconductor Revenue M$"/>
    <x v="3"/>
    <n v="0"/>
  </r>
  <r>
    <s v="Integrated AI"/>
    <x v="4"/>
    <x v="3"/>
    <s v="Automotive Electronics"/>
    <s v="Powertrain"/>
    <s v="Semiconductor Revenue M$"/>
    <x v="4"/>
    <n v="0"/>
  </r>
  <r>
    <s v="Integrated AI"/>
    <x v="4"/>
    <x v="3"/>
    <s v="Automotive Electronics"/>
    <s v="Powertrain"/>
    <s v="Semiconductor Revenue M$"/>
    <x v="5"/>
    <n v="0"/>
  </r>
  <r>
    <s v="Integrated AI"/>
    <x v="4"/>
    <x v="3"/>
    <s v="Automotive Electronics"/>
    <s v="Powertrain"/>
    <s v="Semiconductor Revenue M$"/>
    <x v="6"/>
    <n v="0"/>
  </r>
  <r>
    <s v="Integrated AI"/>
    <x v="4"/>
    <x v="3"/>
    <s v="Automotive Electronics"/>
    <s v="Safety"/>
    <s v="Semiconductor Revenue M$"/>
    <x v="0"/>
    <n v="0"/>
  </r>
  <r>
    <s v="Integrated AI"/>
    <x v="4"/>
    <x v="3"/>
    <s v="Automotive Electronics"/>
    <s v="Safety"/>
    <s v="Semiconductor Revenue M$"/>
    <x v="1"/>
    <n v="0"/>
  </r>
  <r>
    <s v="Integrated AI"/>
    <x v="4"/>
    <x v="3"/>
    <s v="Automotive Electronics"/>
    <s v="Safety"/>
    <s v="Semiconductor Revenue M$"/>
    <x v="2"/>
    <n v="0"/>
  </r>
  <r>
    <s v="Integrated AI"/>
    <x v="4"/>
    <x v="3"/>
    <s v="Automotive Electronics"/>
    <s v="Safety"/>
    <s v="Semiconductor Revenue M$"/>
    <x v="3"/>
    <n v="0"/>
  </r>
  <r>
    <s v="Integrated AI"/>
    <x v="4"/>
    <x v="3"/>
    <s v="Automotive Electronics"/>
    <s v="Safety"/>
    <s v="Semiconductor Revenue M$"/>
    <x v="4"/>
    <n v="0"/>
  </r>
  <r>
    <s v="Integrated AI"/>
    <x v="4"/>
    <x v="3"/>
    <s v="Automotive Electronics"/>
    <s v="Safety"/>
    <s v="Semiconductor Revenue M$"/>
    <x v="5"/>
    <n v="0"/>
  </r>
  <r>
    <s v="Integrated AI"/>
    <x v="4"/>
    <x v="3"/>
    <s v="Automotive Electronics"/>
    <s v="Safety"/>
    <s v="Semiconductor Revenue M$"/>
    <x v="6"/>
    <n v="0"/>
  </r>
  <r>
    <s v="Integrated AI"/>
    <x v="4"/>
    <x v="3"/>
    <s v="Automotive Electronics"/>
    <s v="Aftermarket"/>
    <s v="Semiconductor Revenue M$"/>
    <x v="0"/>
    <n v="0"/>
  </r>
  <r>
    <s v="Integrated AI"/>
    <x v="4"/>
    <x v="3"/>
    <s v="Automotive Electronics"/>
    <s v="Aftermarket"/>
    <s v="Semiconductor Revenue M$"/>
    <x v="1"/>
    <n v="0"/>
  </r>
  <r>
    <s v="Integrated AI"/>
    <x v="4"/>
    <x v="3"/>
    <s v="Automotive Electronics"/>
    <s v="Aftermarket"/>
    <s v="Semiconductor Revenue M$"/>
    <x v="2"/>
    <n v="0"/>
  </r>
  <r>
    <s v="Integrated AI"/>
    <x v="4"/>
    <x v="3"/>
    <s v="Automotive Electronics"/>
    <s v="Aftermarket"/>
    <s v="Semiconductor Revenue M$"/>
    <x v="3"/>
    <n v="0"/>
  </r>
  <r>
    <s v="Integrated AI"/>
    <x v="4"/>
    <x v="3"/>
    <s v="Automotive Electronics"/>
    <s v="Aftermarket"/>
    <s v="Semiconductor Revenue M$"/>
    <x v="4"/>
    <n v="0"/>
  </r>
  <r>
    <s v="Integrated AI"/>
    <x v="4"/>
    <x v="3"/>
    <s v="Automotive Electronics"/>
    <s v="Aftermarket"/>
    <s v="Semiconductor Revenue M$"/>
    <x v="5"/>
    <n v="0"/>
  </r>
  <r>
    <s v="Integrated AI"/>
    <x v="4"/>
    <x v="3"/>
    <s v="Automotive Electronics"/>
    <s v="Aftermarket"/>
    <s v="Semiconductor Revenue M$"/>
    <x v="6"/>
    <n v="0"/>
  </r>
  <r>
    <s v="Integrated AI"/>
    <x v="4"/>
    <x v="5"/>
    <s v="Industrial Electronics"/>
    <s v="Commercial Amusement"/>
    <s v="Semiconductor Revenue M$"/>
    <x v="0"/>
    <n v="0"/>
  </r>
  <r>
    <s v="Integrated AI"/>
    <x v="4"/>
    <x v="5"/>
    <s v="Industrial Electronics"/>
    <s v="Commercial Amusement"/>
    <s v="Semiconductor Revenue M$"/>
    <x v="1"/>
    <n v="0"/>
  </r>
  <r>
    <s v="Integrated AI"/>
    <x v="4"/>
    <x v="5"/>
    <s v="Industrial Electronics"/>
    <s v="Commercial Amusement"/>
    <s v="Semiconductor Revenue M$"/>
    <x v="2"/>
    <n v="0"/>
  </r>
  <r>
    <s v="Integrated AI"/>
    <x v="4"/>
    <x v="5"/>
    <s v="Industrial Electronics"/>
    <s v="Commercial Amusement"/>
    <s v="Semiconductor Revenue M$"/>
    <x v="3"/>
    <n v="0"/>
  </r>
  <r>
    <s v="Integrated AI"/>
    <x v="4"/>
    <x v="5"/>
    <s v="Industrial Electronics"/>
    <s v="Commercial Amusement"/>
    <s v="Semiconductor Revenue M$"/>
    <x v="4"/>
    <n v="0"/>
  </r>
  <r>
    <s v="Integrated AI"/>
    <x v="4"/>
    <x v="5"/>
    <s v="Industrial Electronics"/>
    <s v="Commercial Amusement"/>
    <s v="Semiconductor Revenue M$"/>
    <x v="5"/>
    <n v="0"/>
  </r>
  <r>
    <s v="Integrated AI"/>
    <x v="4"/>
    <x v="5"/>
    <s v="Industrial Electronics"/>
    <s v="Commercial Amusement"/>
    <s v="Semiconductor Revenue M$"/>
    <x v="6"/>
    <n v="0"/>
  </r>
  <r>
    <s v="Integrated AI"/>
    <x v="4"/>
    <x v="5"/>
    <s v="Industrial Electronics"/>
    <s v="Automation"/>
    <s v="Semiconductor Revenue M$"/>
    <x v="0"/>
    <n v="0"/>
  </r>
  <r>
    <s v="Integrated AI"/>
    <x v="4"/>
    <x v="5"/>
    <s v="Industrial Electronics"/>
    <s v="Automation"/>
    <s v="Semiconductor Revenue M$"/>
    <x v="1"/>
    <n v="0"/>
  </r>
  <r>
    <s v="Integrated AI"/>
    <x v="4"/>
    <x v="5"/>
    <s v="Industrial Electronics"/>
    <s v="Automation"/>
    <s v="Semiconductor Revenue M$"/>
    <x v="2"/>
    <n v="0"/>
  </r>
  <r>
    <s v="Integrated AI"/>
    <x v="4"/>
    <x v="5"/>
    <s v="Industrial Electronics"/>
    <s v="Automation"/>
    <s v="Semiconductor Revenue M$"/>
    <x v="3"/>
    <n v="0"/>
  </r>
  <r>
    <s v="Integrated AI"/>
    <x v="4"/>
    <x v="5"/>
    <s v="Industrial Electronics"/>
    <s v="Automation"/>
    <s v="Semiconductor Revenue M$"/>
    <x v="4"/>
    <n v="0"/>
  </r>
  <r>
    <s v="Integrated AI"/>
    <x v="4"/>
    <x v="5"/>
    <s v="Industrial Electronics"/>
    <s v="Automation"/>
    <s v="Semiconductor Revenue M$"/>
    <x v="5"/>
    <n v="0"/>
  </r>
  <r>
    <s v="Integrated AI"/>
    <x v="4"/>
    <x v="5"/>
    <s v="Industrial Electronics"/>
    <s v="Automation"/>
    <s v="Semiconductor Revenue M$"/>
    <x v="6"/>
    <n v="0"/>
  </r>
  <r>
    <s v="Integrated AI"/>
    <x v="4"/>
    <x v="5"/>
    <s v="Industrial Electronics"/>
    <s v="Energy Management"/>
    <s v="Semiconductor Revenue M$"/>
    <x v="0"/>
    <n v="0"/>
  </r>
  <r>
    <s v="Integrated AI"/>
    <x v="4"/>
    <x v="5"/>
    <s v="Industrial Electronics"/>
    <s v="Energy Management"/>
    <s v="Semiconductor Revenue M$"/>
    <x v="1"/>
    <n v="0"/>
  </r>
  <r>
    <s v="Integrated AI"/>
    <x v="4"/>
    <x v="5"/>
    <s v="Industrial Electronics"/>
    <s v="Energy Management"/>
    <s v="Semiconductor Revenue M$"/>
    <x v="2"/>
    <n v="0"/>
  </r>
  <r>
    <s v="Integrated AI"/>
    <x v="4"/>
    <x v="5"/>
    <s v="Industrial Electronics"/>
    <s v="Energy Management"/>
    <s v="Semiconductor Revenue M$"/>
    <x v="3"/>
    <n v="0"/>
  </r>
  <r>
    <s v="Integrated AI"/>
    <x v="4"/>
    <x v="5"/>
    <s v="Industrial Electronics"/>
    <s v="Energy Management"/>
    <s v="Semiconductor Revenue M$"/>
    <x v="4"/>
    <n v="0"/>
  </r>
  <r>
    <s v="Integrated AI"/>
    <x v="4"/>
    <x v="5"/>
    <s v="Industrial Electronics"/>
    <s v="Energy Management"/>
    <s v="Semiconductor Revenue M$"/>
    <x v="5"/>
    <n v="0"/>
  </r>
  <r>
    <s v="Integrated AI"/>
    <x v="4"/>
    <x v="5"/>
    <s v="Industrial Electronics"/>
    <s v="Energy Management"/>
    <s v="Semiconductor Revenue M$"/>
    <x v="6"/>
    <n v="0"/>
  </r>
  <r>
    <s v="Integrated AI"/>
    <x v="4"/>
    <x v="5"/>
    <s v="Industrial Electronics"/>
    <s v="Solid-State Lighting"/>
    <s v="Semiconductor Revenue M$"/>
    <x v="0"/>
    <n v="0"/>
  </r>
  <r>
    <s v="Integrated AI"/>
    <x v="4"/>
    <x v="5"/>
    <s v="Industrial Electronics"/>
    <s v="Solid-State Lighting"/>
    <s v="Semiconductor Revenue M$"/>
    <x v="1"/>
    <n v="0"/>
  </r>
  <r>
    <s v="Integrated AI"/>
    <x v="4"/>
    <x v="5"/>
    <s v="Industrial Electronics"/>
    <s v="Solid-State Lighting"/>
    <s v="Semiconductor Revenue M$"/>
    <x v="2"/>
    <n v="0"/>
  </r>
  <r>
    <s v="Integrated AI"/>
    <x v="4"/>
    <x v="5"/>
    <s v="Industrial Electronics"/>
    <s v="Solid-State Lighting"/>
    <s v="Semiconductor Revenue M$"/>
    <x v="3"/>
    <n v="0"/>
  </r>
  <r>
    <s v="Integrated AI"/>
    <x v="4"/>
    <x v="5"/>
    <s v="Industrial Electronics"/>
    <s v="Solid-State Lighting"/>
    <s v="Semiconductor Revenue M$"/>
    <x v="4"/>
    <n v="0"/>
  </r>
  <r>
    <s v="Integrated AI"/>
    <x v="4"/>
    <x v="5"/>
    <s v="Industrial Electronics"/>
    <s v="Solid-State Lighting"/>
    <s v="Semiconductor Revenue M$"/>
    <x v="5"/>
    <n v="0"/>
  </r>
  <r>
    <s v="Integrated AI"/>
    <x v="4"/>
    <x v="5"/>
    <s v="Industrial Electronics"/>
    <s v="Solid-State Lighting"/>
    <s v="Semiconductor Revenue M$"/>
    <x v="6"/>
    <n v="0"/>
  </r>
  <r>
    <s v="Integrated AI"/>
    <x v="4"/>
    <x v="5"/>
    <s v="Industrial Electronics"/>
    <s v="Medical/Healthcare"/>
    <s v="Semiconductor Revenue M$"/>
    <x v="0"/>
    <n v="0"/>
  </r>
  <r>
    <s v="Integrated AI"/>
    <x v="4"/>
    <x v="5"/>
    <s v="Industrial Electronics"/>
    <s v="Medical/Healthcare"/>
    <s v="Semiconductor Revenue M$"/>
    <x v="1"/>
    <n v="0"/>
  </r>
  <r>
    <s v="Integrated AI"/>
    <x v="4"/>
    <x v="5"/>
    <s v="Industrial Electronics"/>
    <s v="Medical/Healthcare"/>
    <s v="Semiconductor Revenue M$"/>
    <x v="2"/>
    <n v="0"/>
  </r>
  <r>
    <s v="Integrated AI"/>
    <x v="4"/>
    <x v="5"/>
    <s v="Industrial Electronics"/>
    <s v="Medical/Healthcare"/>
    <s v="Semiconductor Revenue M$"/>
    <x v="3"/>
    <n v="0"/>
  </r>
  <r>
    <s v="Integrated AI"/>
    <x v="4"/>
    <x v="5"/>
    <s v="Industrial Electronics"/>
    <s v="Medical/Healthcare"/>
    <s v="Semiconductor Revenue M$"/>
    <x v="4"/>
    <n v="0"/>
  </r>
  <r>
    <s v="Integrated AI"/>
    <x v="4"/>
    <x v="5"/>
    <s v="Industrial Electronics"/>
    <s v="Medical/Healthcare"/>
    <s v="Semiconductor Revenue M$"/>
    <x v="5"/>
    <n v="0"/>
  </r>
  <r>
    <s v="Integrated AI"/>
    <x v="4"/>
    <x v="5"/>
    <s v="Industrial Electronics"/>
    <s v="Medical/Healthcare"/>
    <s v="Semiconductor Revenue M$"/>
    <x v="6"/>
    <n v="0"/>
  </r>
  <r>
    <s v="Integrated AI"/>
    <x v="4"/>
    <x v="5"/>
    <s v="Industrial Electronics"/>
    <s v="Test/Measurement"/>
    <s v="Semiconductor Revenue M$"/>
    <x v="0"/>
    <n v="0"/>
  </r>
  <r>
    <s v="Integrated AI"/>
    <x v="4"/>
    <x v="5"/>
    <s v="Industrial Electronics"/>
    <s v="Test/Measurement"/>
    <s v="Semiconductor Revenue M$"/>
    <x v="1"/>
    <n v="0"/>
  </r>
  <r>
    <s v="Integrated AI"/>
    <x v="4"/>
    <x v="5"/>
    <s v="Industrial Electronics"/>
    <s v="Test/Measurement"/>
    <s v="Semiconductor Revenue M$"/>
    <x v="2"/>
    <n v="0"/>
  </r>
  <r>
    <s v="Integrated AI"/>
    <x v="4"/>
    <x v="5"/>
    <s v="Industrial Electronics"/>
    <s v="Test/Measurement"/>
    <s v="Semiconductor Revenue M$"/>
    <x v="3"/>
    <n v="0"/>
  </r>
  <r>
    <s v="Integrated AI"/>
    <x v="4"/>
    <x v="5"/>
    <s v="Industrial Electronics"/>
    <s v="Test/Measurement"/>
    <s v="Semiconductor Revenue M$"/>
    <x v="4"/>
    <n v="0"/>
  </r>
  <r>
    <s v="Integrated AI"/>
    <x v="4"/>
    <x v="5"/>
    <s v="Industrial Electronics"/>
    <s v="Test/Measurement"/>
    <s v="Semiconductor Revenue M$"/>
    <x v="5"/>
    <n v="0"/>
  </r>
  <r>
    <s v="Integrated AI"/>
    <x v="4"/>
    <x v="5"/>
    <s v="Industrial Electronics"/>
    <s v="Test/Measurement"/>
    <s v="Semiconductor Revenue M$"/>
    <x v="6"/>
    <n v="0"/>
  </r>
  <r>
    <s v="Integrated AI"/>
    <x v="4"/>
    <x v="5"/>
    <s v="Industrial Electronics"/>
    <s v="Other Security"/>
    <s v="Semiconductor Revenue M$"/>
    <x v="0"/>
    <n v="0"/>
  </r>
  <r>
    <s v="Integrated AI"/>
    <x v="4"/>
    <x v="5"/>
    <s v="Industrial Electronics"/>
    <s v="Other Security"/>
    <s v="Semiconductor Revenue M$"/>
    <x v="1"/>
    <n v="0"/>
  </r>
  <r>
    <s v="Integrated AI"/>
    <x v="4"/>
    <x v="5"/>
    <s v="Industrial Electronics"/>
    <s v="Other Security"/>
    <s v="Semiconductor Revenue M$"/>
    <x v="2"/>
    <n v="0"/>
  </r>
  <r>
    <s v="Integrated AI"/>
    <x v="4"/>
    <x v="5"/>
    <s v="Industrial Electronics"/>
    <s v="Other Security"/>
    <s v="Semiconductor Revenue M$"/>
    <x v="3"/>
    <n v="0"/>
  </r>
  <r>
    <s v="Integrated AI"/>
    <x v="4"/>
    <x v="5"/>
    <s v="Industrial Electronics"/>
    <s v="Other Security"/>
    <s v="Semiconductor Revenue M$"/>
    <x v="4"/>
    <n v="0"/>
  </r>
  <r>
    <s v="Integrated AI"/>
    <x v="4"/>
    <x v="5"/>
    <s v="Industrial Electronics"/>
    <s v="Other Security"/>
    <s v="Semiconductor Revenue M$"/>
    <x v="5"/>
    <n v="0"/>
  </r>
  <r>
    <s v="Integrated AI"/>
    <x v="4"/>
    <x v="5"/>
    <s v="Industrial Electronics"/>
    <s v="Other Security"/>
    <s v="Semiconductor Revenue M$"/>
    <x v="6"/>
    <n v="0"/>
  </r>
  <r>
    <s v="Integrated AI"/>
    <x v="4"/>
    <x v="5"/>
    <s v="Industrial Electronics"/>
    <s v="Transportation"/>
    <s v="Semiconductor Revenue M$"/>
    <x v="0"/>
    <n v="0"/>
  </r>
  <r>
    <s v="Integrated AI"/>
    <x v="4"/>
    <x v="5"/>
    <s v="Industrial Electronics"/>
    <s v="Transportation"/>
    <s v="Semiconductor Revenue M$"/>
    <x v="1"/>
    <n v="0"/>
  </r>
  <r>
    <s v="Integrated AI"/>
    <x v="4"/>
    <x v="5"/>
    <s v="Industrial Electronics"/>
    <s v="Transportation"/>
    <s v="Semiconductor Revenue M$"/>
    <x v="2"/>
    <n v="0"/>
  </r>
  <r>
    <s v="Integrated AI"/>
    <x v="4"/>
    <x v="5"/>
    <s v="Industrial Electronics"/>
    <s v="Transportation"/>
    <s v="Semiconductor Revenue M$"/>
    <x v="3"/>
    <n v="0"/>
  </r>
  <r>
    <s v="Integrated AI"/>
    <x v="4"/>
    <x v="5"/>
    <s v="Industrial Electronics"/>
    <s v="Transportation"/>
    <s v="Semiconductor Revenue M$"/>
    <x v="4"/>
    <n v="0"/>
  </r>
  <r>
    <s v="Integrated AI"/>
    <x v="4"/>
    <x v="5"/>
    <s v="Industrial Electronics"/>
    <s v="Transportation"/>
    <s v="Semiconductor Revenue M$"/>
    <x v="5"/>
    <n v="0"/>
  </r>
  <r>
    <s v="Integrated AI"/>
    <x v="4"/>
    <x v="5"/>
    <s v="Industrial Electronics"/>
    <s v="Transportation"/>
    <s v="Semiconductor Revenue M$"/>
    <x v="6"/>
    <n v="0"/>
  </r>
  <r>
    <s v="Integrated AI"/>
    <x v="4"/>
    <x v="5"/>
    <s v="Industrial Electronics"/>
    <s v="Other Industrial Electronics"/>
    <s v="Semiconductor Revenue M$"/>
    <x v="0"/>
    <n v="0"/>
  </r>
  <r>
    <s v="Integrated AI"/>
    <x v="4"/>
    <x v="5"/>
    <s v="Industrial Electronics"/>
    <s v="Other Industrial Electronics"/>
    <s v="Semiconductor Revenue M$"/>
    <x v="1"/>
    <n v="0"/>
  </r>
  <r>
    <s v="Integrated AI"/>
    <x v="4"/>
    <x v="5"/>
    <s v="Industrial Electronics"/>
    <s v="Other Industrial Electronics"/>
    <s v="Semiconductor Revenue M$"/>
    <x v="2"/>
    <n v="0"/>
  </r>
  <r>
    <s v="Integrated AI"/>
    <x v="4"/>
    <x v="5"/>
    <s v="Industrial Electronics"/>
    <s v="Other Industrial Electronics"/>
    <s v="Semiconductor Revenue M$"/>
    <x v="3"/>
    <n v="0"/>
  </r>
  <r>
    <s v="Integrated AI"/>
    <x v="4"/>
    <x v="5"/>
    <s v="Industrial Electronics"/>
    <s v="Other Industrial Electronics"/>
    <s v="Semiconductor Revenue M$"/>
    <x v="4"/>
    <n v="0"/>
  </r>
  <r>
    <s v="Integrated AI"/>
    <x v="4"/>
    <x v="5"/>
    <s v="Industrial Electronics"/>
    <s v="Other Industrial Electronics"/>
    <s v="Semiconductor Revenue M$"/>
    <x v="5"/>
    <n v="0"/>
  </r>
  <r>
    <s v="Integrated AI"/>
    <x v="4"/>
    <x v="5"/>
    <s v="Industrial Electronics"/>
    <s v="Other Industrial Electronics"/>
    <s v="Semiconductor Revenue M$"/>
    <x v="6"/>
    <n v="0"/>
  </r>
  <r>
    <s v="Integrated AI"/>
    <x v="4"/>
    <x v="5"/>
    <s v="Industrial Electronics"/>
    <s v="Military/Civil Aerospace Electronics"/>
    <s v="Semiconductor Revenue M$"/>
    <x v="0"/>
    <n v="0"/>
  </r>
  <r>
    <s v="Integrated AI"/>
    <x v="4"/>
    <x v="5"/>
    <s v="Industrial Electronics"/>
    <s v="Military/Civil Aerospace Electronics"/>
    <s v="Semiconductor Revenue M$"/>
    <x v="1"/>
    <n v="0"/>
  </r>
  <r>
    <s v="Integrated AI"/>
    <x v="4"/>
    <x v="5"/>
    <s v="Industrial Electronics"/>
    <s v="Military/Civil Aerospace Electronics"/>
    <s v="Semiconductor Revenue M$"/>
    <x v="2"/>
    <n v="0"/>
  </r>
  <r>
    <s v="Integrated AI"/>
    <x v="4"/>
    <x v="5"/>
    <s v="Industrial Electronics"/>
    <s v="Military/Civil Aerospace Electronics"/>
    <s v="Semiconductor Revenue M$"/>
    <x v="3"/>
    <n v="0"/>
  </r>
  <r>
    <s v="Integrated AI"/>
    <x v="4"/>
    <x v="5"/>
    <s v="Industrial Electronics"/>
    <s v="Military/Civil Aerospace Electronics"/>
    <s v="Semiconductor Revenue M$"/>
    <x v="4"/>
    <n v="0"/>
  </r>
  <r>
    <s v="Integrated AI"/>
    <x v="4"/>
    <x v="5"/>
    <s v="Industrial Electronics"/>
    <s v="Military/Civil Aerospace Electronics"/>
    <s v="Semiconductor Revenue M$"/>
    <x v="5"/>
    <n v="0"/>
  </r>
  <r>
    <s v="Integrated AI"/>
    <x v="4"/>
    <x v="5"/>
    <s v="Industrial Electronics"/>
    <s v="Military/Civil Aerospace Electronics"/>
    <s v="Semiconductor Revenue M$"/>
    <x v="6"/>
    <n v="0"/>
  </r>
  <r>
    <s v="Integrated AI"/>
    <x v="5"/>
    <x v="0"/>
    <s v="Compute"/>
    <s v="External Monitor"/>
    <s v="Semiconductor Revenue M$"/>
    <x v="0"/>
    <n v="0"/>
  </r>
  <r>
    <s v="Integrated AI"/>
    <x v="5"/>
    <x v="0"/>
    <s v="Compute"/>
    <s v="External Monitor"/>
    <s v="Semiconductor Revenue M$"/>
    <x v="1"/>
    <n v="0"/>
  </r>
  <r>
    <s v="Integrated AI"/>
    <x v="5"/>
    <x v="0"/>
    <s v="Compute"/>
    <s v="External Monitor"/>
    <s v="Semiconductor Revenue M$"/>
    <x v="2"/>
    <n v="0"/>
  </r>
  <r>
    <s v="Integrated AI"/>
    <x v="5"/>
    <x v="0"/>
    <s v="Compute"/>
    <s v="External Monitor"/>
    <s v="Semiconductor Revenue M$"/>
    <x v="3"/>
    <n v="0"/>
  </r>
  <r>
    <s v="Integrated AI"/>
    <x v="5"/>
    <x v="0"/>
    <s v="Compute"/>
    <s v="External Monitor"/>
    <s v="Semiconductor Revenue M$"/>
    <x v="4"/>
    <n v="0"/>
  </r>
  <r>
    <s v="Integrated AI"/>
    <x v="5"/>
    <x v="0"/>
    <s v="Compute"/>
    <s v="External Monitor"/>
    <s v="Semiconductor Revenue M$"/>
    <x v="5"/>
    <n v="0"/>
  </r>
  <r>
    <s v="Integrated AI"/>
    <x v="5"/>
    <x v="0"/>
    <s v="Compute"/>
    <s v="External Monitor"/>
    <s v="Semiconductor Revenue M$"/>
    <x v="6"/>
    <n v="0"/>
  </r>
  <r>
    <s v="Integrated AI"/>
    <x v="5"/>
    <x v="0"/>
    <s v="PC"/>
    <s v="Graphics Cards"/>
    <s v="Semiconductor Revenue M$"/>
    <x v="0"/>
    <n v="0"/>
  </r>
  <r>
    <s v="Integrated AI"/>
    <x v="5"/>
    <x v="0"/>
    <s v="PC"/>
    <s v="Graphics Cards"/>
    <s v="Semiconductor Revenue M$"/>
    <x v="1"/>
    <n v="0"/>
  </r>
  <r>
    <s v="Integrated AI"/>
    <x v="5"/>
    <x v="0"/>
    <s v="PC"/>
    <s v="Graphics Cards"/>
    <s v="Semiconductor Revenue M$"/>
    <x v="2"/>
    <n v="0"/>
  </r>
  <r>
    <s v="Integrated AI"/>
    <x v="5"/>
    <x v="0"/>
    <s v="PC"/>
    <s v="Graphics Cards"/>
    <s v="Semiconductor Revenue M$"/>
    <x v="3"/>
    <n v="0"/>
  </r>
  <r>
    <s v="Integrated AI"/>
    <x v="5"/>
    <x v="0"/>
    <s v="PC"/>
    <s v="Graphics Cards"/>
    <s v="Semiconductor Revenue M$"/>
    <x v="4"/>
    <n v="0"/>
  </r>
  <r>
    <s v="Integrated AI"/>
    <x v="5"/>
    <x v="0"/>
    <s v="PC"/>
    <s v="Graphics Cards"/>
    <s v="Semiconductor Revenue M$"/>
    <x v="5"/>
    <n v="0"/>
  </r>
  <r>
    <s v="Integrated AI"/>
    <x v="5"/>
    <x v="0"/>
    <s v="PC"/>
    <s v="Graphics Cards"/>
    <s v="Semiconductor Revenue M$"/>
    <x v="6"/>
    <n v="0"/>
  </r>
  <r>
    <s v="Integrated AI"/>
    <x v="5"/>
    <x v="0"/>
    <s v="PC"/>
    <s v="Desk-Based PC"/>
    <s v="Semiconductor Revenue M$"/>
    <x v="0"/>
    <n v="0"/>
  </r>
  <r>
    <s v="Integrated AI"/>
    <x v="5"/>
    <x v="0"/>
    <s v="PC"/>
    <s v="Desk-Based PC"/>
    <s v="Semiconductor Revenue M$"/>
    <x v="1"/>
    <n v="0"/>
  </r>
  <r>
    <s v="Integrated AI"/>
    <x v="5"/>
    <x v="0"/>
    <s v="PC"/>
    <s v="Desk-Based PC"/>
    <s v="Semiconductor Revenue M$"/>
    <x v="2"/>
    <n v="0"/>
  </r>
  <r>
    <s v="Integrated AI"/>
    <x v="5"/>
    <x v="0"/>
    <s v="PC"/>
    <s v="Desk-Based PC"/>
    <s v="Semiconductor Revenue M$"/>
    <x v="3"/>
    <n v="0"/>
  </r>
  <r>
    <s v="Integrated AI"/>
    <x v="5"/>
    <x v="0"/>
    <s v="PC"/>
    <s v="Desk-Based PC"/>
    <s v="Semiconductor Revenue M$"/>
    <x v="4"/>
    <n v="0"/>
  </r>
  <r>
    <s v="Integrated AI"/>
    <x v="5"/>
    <x v="0"/>
    <s v="PC"/>
    <s v="Desk-Based PC"/>
    <s v="Semiconductor Revenue M$"/>
    <x v="5"/>
    <n v="0"/>
  </r>
  <r>
    <s v="Integrated AI"/>
    <x v="5"/>
    <x v="0"/>
    <s v="PC"/>
    <s v="Desk-Based PC"/>
    <s v="Semiconductor Revenue M$"/>
    <x v="6"/>
    <n v="0"/>
  </r>
  <r>
    <s v="Integrated AI"/>
    <x v="5"/>
    <x v="0"/>
    <s v="PC"/>
    <s v="Ultramobile Basic, Tablet"/>
    <s v="Semiconductor Revenue M$"/>
    <x v="0"/>
    <n v="0"/>
  </r>
  <r>
    <s v="Integrated AI"/>
    <x v="5"/>
    <x v="0"/>
    <s v="PC"/>
    <s v="Ultramobile Basic, Tablet"/>
    <s v="Semiconductor Revenue M$"/>
    <x v="1"/>
    <n v="0"/>
  </r>
  <r>
    <s v="Integrated AI"/>
    <x v="5"/>
    <x v="0"/>
    <s v="PC"/>
    <s v="Ultramobile Basic, Tablet"/>
    <s v="Semiconductor Revenue M$"/>
    <x v="2"/>
    <n v="0"/>
  </r>
  <r>
    <s v="Integrated AI"/>
    <x v="5"/>
    <x v="0"/>
    <s v="PC"/>
    <s v="Ultramobile Basic, Tablet"/>
    <s v="Semiconductor Revenue M$"/>
    <x v="3"/>
    <n v="0"/>
  </r>
  <r>
    <s v="Integrated AI"/>
    <x v="5"/>
    <x v="0"/>
    <s v="PC"/>
    <s v="Ultramobile Basic, Tablet"/>
    <s v="Semiconductor Revenue M$"/>
    <x v="4"/>
    <n v="0"/>
  </r>
  <r>
    <s v="Integrated AI"/>
    <x v="5"/>
    <x v="0"/>
    <s v="PC"/>
    <s v="Ultramobile Basic, Tablet"/>
    <s v="Semiconductor Revenue M$"/>
    <x v="5"/>
    <n v="0"/>
  </r>
  <r>
    <s v="Integrated AI"/>
    <x v="5"/>
    <x v="0"/>
    <s v="PC"/>
    <s v="Ultramobile Basic, Tablet"/>
    <s v="Semiconductor Revenue M$"/>
    <x v="6"/>
    <n v="0"/>
  </r>
  <r>
    <s v="Integrated AI"/>
    <x v="5"/>
    <x v="0"/>
    <s v="PC"/>
    <s v="Ultramobile Utility, Tablet"/>
    <s v="Semiconductor Revenue M$"/>
    <x v="0"/>
    <n v="0"/>
  </r>
  <r>
    <s v="Integrated AI"/>
    <x v="5"/>
    <x v="0"/>
    <s v="PC"/>
    <s v="Ultramobile Utility, Tablet"/>
    <s v="Semiconductor Revenue M$"/>
    <x v="1"/>
    <n v="0"/>
  </r>
  <r>
    <s v="Integrated AI"/>
    <x v="5"/>
    <x v="0"/>
    <s v="PC"/>
    <s v="Ultramobile Utility, Tablet"/>
    <s v="Semiconductor Revenue M$"/>
    <x v="2"/>
    <n v="0"/>
  </r>
  <r>
    <s v="Integrated AI"/>
    <x v="5"/>
    <x v="0"/>
    <s v="PC"/>
    <s v="Ultramobile Utility, Tablet"/>
    <s v="Semiconductor Revenue M$"/>
    <x v="3"/>
    <n v="0"/>
  </r>
  <r>
    <s v="Integrated AI"/>
    <x v="5"/>
    <x v="0"/>
    <s v="PC"/>
    <s v="Ultramobile Utility, Tablet"/>
    <s v="Semiconductor Revenue M$"/>
    <x v="4"/>
    <n v="0"/>
  </r>
  <r>
    <s v="Integrated AI"/>
    <x v="5"/>
    <x v="0"/>
    <s v="PC"/>
    <s v="Ultramobile Utility, Tablet"/>
    <s v="Semiconductor Revenue M$"/>
    <x v="5"/>
    <n v="0"/>
  </r>
  <r>
    <s v="Integrated AI"/>
    <x v="5"/>
    <x v="0"/>
    <s v="PC"/>
    <s v="Ultramobile Utility, Tablet"/>
    <s v="Semiconductor Revenue M$"/>
    <x v="6"/>
    <n v="0"/>
  </r>
  <r>
    <s v="Integrated AI"/>
    <x v="5"/>
    <x v="0"/>
    <s v="PC"/>
    <s v="Ultramobile Premium, Tablet"/>
    <s v="Semiconductor Revenue M$"/>
    <x v="0"/>
    <n v="0"/>
  </r>
  <r>
    <s v="Integrated AI"/>
    <x v="5"/>
    <x v="0"/>
    <s v="PC"/>
    <s v="Ultramobile Premium, Tablet"/>
    <s v="Semiconductor Revenue M$"/>
    <x v="1"/>
    <n v="0"/>
  </r>
  <r>
    <s v="Integrated AI"/>
    <x v="5"/>
    <x v="0"/>
    <s v="PC"/>
    <s v="Ultramobile Premium, Tablet"/>
    <s v="Semiconductor Revenue M$"/>
    <x v="2"/>
    <n v="0"/>
  </r>
  <r>
    <s v="Integrated AI"/>
    <x v="5"/>
    <x v="0"/>
    <s v="PC"/>
    <s v="Ultramobile Premium, Tablet"/>
    <s v="Semiconductor Revenue M$"/>
    <x v="3"/>
    <n v="0"/>
  </r>
  <r>
    <s v="Integrated AI"/>
    <x v="5"/>
    <x v="0"/>
    <s v="PC"/>
    <s v="Ultramobile Premium, Tablet"/>
    <s v="Semiconductor Revenue M$"/>
    <x v="4"/>
    <n v="0"/>
  </r>
  <r>
    <s v="Integrated AI"/>
    <x v="5"/>
    <x v="0"/>
    <s v="PC"/>
    <s v="Ultramobile Premium, Tablet"/>
    <s v="Semiconductor Revenue M$"/>
    <x v="5"/>
    <n v="0"/>
  </r>
  <r>
    <s v="Integrated AI"/>
    <x v="5"/>
    <x v="0"/>
    <s v="PC"/>
    <s v="Ultramobile Premium, Tablet"/>
    <s v="Semiconductor Revenue M$"/>
    <x v="6"/>
    <n v="0"/>
  </r>
  <r>
    <s v="Integrated AI"/>
    <x v="5"/>
    <x v="0"/>
    <s v="PC"/>
    <s v="Ultramobile Basic, Clamshell"/>
    <s v="Semiconductor Revenue M$"/>
    <x v="0"/>
    <n v="0"/>
  </r>
  <r>
    <s v="Integrated AI"/>
    <x v="5"/>
    <x v="0"/>
    <s v="PC"/>
    <s v="Ultramobile Basic, Clamshell"/>
    <s v="Semiconductor Revenue M$"/>
    <x v="1"/>
    <n v="0"/>
  </r>
  <r>
    <s v="Integrated AI"/>
    <x v="5"/>
    <x v="0"/>
    <s v="PC"/>
    <s v="Ultramobile Basic, Clamshell"/>
    <s v="Semiconductor Revenue M$"/>
    <x v="2"/>
    <n v="0"/>
  </r>
  <r>
    <s v="Integrated AI"/>
    <x v="5"/>
    <x v="0"/>
    <s v="PC"/>
    <s v="Ultramobile Basic, Clamshell"/>
    <s v="Semiconductor Revenue M$"/>
    <x v="3"/>
    <n v="0"/>
  </r>
  <r>
    <s v="Integrated AI"/>
    <x v="5"/>
    <x v="0"/>
    <s v="PC"/>
    <s v="Ultramobile Basic, Clamshell"/>
    <s v="Semiconductor Revenue M$"/>
    <x v="4"/>
    <n v="0"/>
  </r>
  <r>
    <s v="Integrated AI"/>
    <x v="5"/>
    <x v="0"/>
    <s v="PC"/>
    <s v="Ultramobile Basic, Clamshell"/>
    <s v="Semiconductor Revenue M$"/>
    <x v="5"/>
    <n v="0"/>
  </r>
  <r>
    <s v="Integrated AI"/>
    <x v="5"/>
    <x v="0"/>
    <s v="PC"/>
    <s v="Ultramobile Basic, Clamshell"/>
    <s v="Semiconductor Revenue M$"/>
    <x v="6"/>
    <n v="0"/>
  </r>
  <r>
    <s v="Integrated AI"/>
    <x v="5"/>
    <x v="0"/>
    <s v="PC"/>
    <s v="Ultramobile Premium, Clamshell"/>
    <s v="Semiconductor Revenue M$"/>
    <x v="0"/>
    <n v="0"/>
  </r>
  <r>
    <s v="Integrated AI"/>
    <x v="5"/>
    <x v="0"/>
    <s v="PC"/>
    <s v="Ultramobile Premium, Clamshell"/>
    <s v="Semiconductor Revenue M$"/>
    <x v="1"/>
    <n v="0"/>
  </r>
  <r>
    <s v="Integrated AI"/>
    <x v="5"/>
    <x v="0"/>
    <s v="PC"/>
    <s v="Ultramobile Premium, Clamshell"/>
    <s v="Semiconductor Revenue M$"/>
    <x v="2"/>
    <n v="0"/>
  </r>
  <r>
    <s v="Integrated AI"/>
    <x v="5"/>
    <x v="0"/>
    <s v="PC"/>
    <s v="Ultramobile Premium, Clamshell"/>
    <s v="Semiconductor Revenue M$"/>
    <x v="3"/>
    <n v="0"/>
  </r>
  <r>
    <s v="Integrated AI"/>
    <x v="5"/>
    <x v="0"/>
    <s v="PC"/>
    <s v="Ultramobile Premium, Clamshell"/>
    <s v="Semiconductor Revenue M$"/>
    <x v="4"/>
    <n v="0"/>
  </r>
  <r>
    <s v="Integrated AI"/>
    <x v="5"/>
    <x v="0"/>
    <s v="PC"/>
    <s v="Ultramobile Premium, Clamshell"/>
    <s v="Semiconductor Revenue M$"/>
    <x v="5"/>
    <n v="0"/>
  </r>
  <r>
    <s v="Integrated AI"/>
    <x v="5"/>
    <x v="0"/>
    <s v="PC"/>
    <s v="Ultramobile Premium, Clamshell"/>
    <s v="Semiconductor Revenue M$"/>
    <x v="6"/>
    <n v="0"/>
  </r>
  <r>
    <s v="Integrated AI"/>
    <x v="5"/>
    <x v="0"/>
    <s v="PC"/>
    <s v="Ultramobile Basic, Hybrid"/>
    <s v="Semiconductor Revenue M$"/>
    <x v="0"/>
    <n v="0"/>
  </r>
  <r>
    <s v="Integrated AI"/>
    <x v="5"/>
    <x v="0"/>
    <s v="PC"/>
    <s v="Ultramobile Basic, Hybrid"/>
    <s v="Semiconductor Revenue M$"/>
    <x v="1"/>
    <n v="0"/>
  </r>
  <r>
    <s v="Integrated AI"/>
    <x v="5"/>
    <x v="0"/>
    <s v="PC"/>
    <s v="Ultramobile Basic, Hybrid"/>
    <s v="Semiconductor Revenue M$"/>
    <x v="2"/>
    <n v="0"/>
  </r>
  <r>
    <s v="Integrated AI"/>
    <x v="5"/>
    <x v="0"/>
    <s v="PC"/>
    <s v="Ultramobile Basic, Hybrid"/>
    <s v="Semiconductor Revenue M$"/>
    <x v="3"/>
    <n v="0"/>
  </r>
  <r>
    <s v="Integrated AI"/>
    <x v="5"/>
    <x v="0"/>
    <s v="PC"/>
    <s v="Ultramobile Basic, Hybrid"/>
    <s v="Semiconductor Revenue M$"/>
    <x v="4"/>
    <n v="0"/>
  </r>
  <r>
    <s v="Integrated AI"/>
    <x v="5"/>
    <x v="0"/>
    <s v="PC"/>
    <s v="Ultramobile Basic, Hybrid"/>
    <s v="Semiconductor Revenue M$"/>
    <x v="5"/>
    <n v="0"/>
  </r>
  <r>
    <s v="Integrated AI"/>
    <x v="5"/>
    <x v="0"/>
    <s v="PC"/>
    <s v="Ultramobile Basic, Hybrid"/>
    <s v="Semiconductor Revenue M$"/>
    <x v="6"/>
    <n v="0"/>
  </r>
  <r>
    <s v="Integrated AI"/>
    <x v="5"/>
    <x v="0"/>
    <s v="PC"/>
    <s v="Ultramobile Premium, Hybrid"/>
    <s v="Semiconductor Revenue M$"/>
    <x v="0"/>
    <n v="0"/>
  </r>
  <r>
    <s v="Integrated AI"/>
    <x v="5"/>
    <x v="0"/>
    <s v="PC"/>
    <s v="Ultramobile Premium, Hybrid"/>
    <s v="Semiconductor Revenue M$"/>
    <x v="1"/>
    <n v="0"/>
  </r>
  <r>
    <s v="Integrated AI"/>
    <x v="5"/>
    <x v="0"/>
    <s v="PC"/>
    <s v="Ultramobile Premium, Hybrid"/>
    <s v="Semiconductor Revenue M$"/>
    <x v="2"/>
    <n v="0"/>
  </r>
  <r>
    <s v="Integrated AI"/>
    <x v="5"/>
    <x v="0"/>
    <s v="PC"/>
    <s v="Ultramobile Premium, Hybrid"/>
    <s v="Semiconductor Revenue M$"/>
    <x v="3"/>
    <n v="0"/>
  </r>
  <r>
    <s v="Integrated AI"/>
    <x v="5"/>
    <x v="0"/>
    <s v="PC"/>
    <s v="Ultramobile Premium, Hybrid"/>
    <s v="Semiconductor Revenue M$"/>
    <x v="4"/>
    <n v="0"/>
  </r>
  <r>
    <s v="Integrated AI"/>
    <x v="5"/>
    <x v="0"/>
    <s v="PC"/>
    <s v="Ultramobile Premium, Hybrid"/>
    <s v="Semiconductor Revenue M$"/>
    <x v="5"/>
    <n v="0"/>
  </r>
  <r>
    <s v="Integrated AI"/>
    <x v="5"/>
    <x v="0"/>
    <s v="PC"/>
    <s v="Ultramobile Premium, Hybrid"/>
    <s v="Semiconductor Revenue M$"/>
    <x v="6"/>
    <n v="0"/>
  </r>
  <r>
    <s v="Integrated AI"/>
    <x v="5"/>
    <x v="0"/>
    <s v="PC"/>
    <s v="Notebook"/>
    <s v="Semiconductor Revenue M$"/>
    <x v="0"/>
    <n v="0"/>
  </r>
  <r>
    <s v="Integrated AI"/>
    <x v="5"/>
    <x v="0"/>
    <s v="PC"/>
    <s v="Notebook"/>
    <s v="Semiconductor Revenue M$"/>
    <x v="1"/>
    <n v="0"/>
  </r>
  <r>
    <s v="Integrated AI"/>
    <x v="5"/>
    <x v="0"/>
    <s v="PC"/>
    <s v="Notebook"/>
    <s v="Semiconductor Revenue M$"/>
    <x v="2"/>
    <n v="0"/>
  </r>
  <r>
    <s v="Integrated AI"/>
    <x v="5"/>
    <x v="0"/>
    <s v="PC"/>
    <s v="Notebook"/>
    <s v="Semiconductor Revenue M$"/>
    <x v="3"/>
    <n v="0"/>
  </r>
  <r>
    <s v="Integrated AI"/>
    <x v="5"/>
    <x v="0"/>
    <s v="PC"/>
    <s v="Notebook"/>
    <s v="Semiconductor Revenue M$"/>
    <x v="4"/>
    <n v="0"/>
  </r>
  <r>
    <s v="Integrated AI"/>
    <x v="5"/>
    <x v="0"/>
    <s v="PC"/>
    <s v="Notebook"/>
    <s v="Semiconductor Revenue M$"/>
    <x v="5"/>
    <n v="0"/>
  </r>
  <r>
    <s v="Integrated AI"/>
    <x v="5"/>
    <x v="0"/>
    <s v="PC"/>
    <s v="Notebook"/>
    <s v="Semiconductor Revenue M$"/>
    <x v="6"/>
    <n v="0"/>
  </r>
  <r>
    <s v="Integrated AI"/>
    <x v="5"/>
    <x v="0"/>
    <s v="Compute"/>
    <s v="Printer/Copier"/>
    <s v="Semiconductor Revenue M$"/>
    <x v="0"/>
    <n v="0"/>
  </r>
  <r>
    <s v="Integrated AI"/>
    <x v="5"/>
    <x v="0"/>
    <s v="Compute"/>
    <s v="Printer/Copier"/>
    <s v="Semiconductor Revenue M$"/>
    <x v="1"/>
    <n v="0"/>
  </r>
  <r>
    <s v="Integrated AI"/>
    <x v="5"/>
    <x v="0"/>
    <s v="Compute"/>
    <s v="Printer/Copier"/>
    <s v="Semiconductor Revenue M$"/>
    <x v="2"/>
    <n v="0"/>
  </r>
  <r>
    <s v="Integrated AI"/>
    <x v="5"/>
    <x v="0"/>
    <s v="Compute"/>
    <s v="Printer/Copier"/>
    <s v="Semiconductor Revenue M$"/>
    <x v="3"/>
    <n v="0"/>
  </r>
  <r>
    <s v="Integrated AI"/>
    <x v="5"/>
    <x v="0"/>
    <s v="Compute"/>
    <s v="Printer/Copier"/>
    <s v="Semiconductor Revenue M$"/>
    <x v="4"/>
    <n v="0"/>
  </r>
  <r>
    <s v="Integrated AI"/>
    <x v="5"/>
    <x v="0"/>
    <s v="Compute"/>
    <s v="Printer/Copier"/>
    <s v="Semiconductor Revenue M$"/>
    <x v="5"/>
    <n v="0"/>
  </r>
  <r>
    <s v="Integrated AI"/>
    <x v="5"/>
    <x v="0"/>
    <s v="Compute"/>
    <s v="Printer/Copier"/>
    <s v="Semiconductor Revenue M$"/>
    <x v="6"/>
    <n v="0"/>
  </r>
  <r>
    <s v="Integrated AI"/>
    <x v="5"/>
    <x v="0"/>
    <s v="Compute"/>
    <s v="Flash Cards"/>
    <s v="Semiconductor Revenue M$"/>
    <x v="0"/>
    <n v="0"/>
  </r>
  <r>
    <s v="Integrated AI"/>
    <x v="5"/>
    <x v="0"/>
    <s v="Compute"/>
    <s v="Flash Cards"/>
    <s v="Semiconductor Revenue M$"/>
    <x v="1"/>
    <n v="0"/>
  </r>
  <r>
    <s v="Integrated AI"/>
    <x v="5"/>
    <x v="0"/>
    <s v="Compute"/>
    <s v="Flash Cards"/>
    <s v="Semiconductor Revenue M$"/>
    <x v="2"/>
    <n v="0"/>
  </r>
  <r>
    <s v="Integrated AI"/>
    <x v="5"/>
    <x v="0"/>
    <s v="Compute"/>
    <s v="Flash Cards"/>
    <s v="Semiconductor Revenue M$"/>
    <x v="3"/>
    <n v="0"/>
  </r>
  <r>
    <s v="Integrated AI"/>
    <x v="5"/>
    <x v="0"/>
    <s v="Compute"/>
    <s v="Flash Cards"/>
    <s v="Semiconductor Revenue M$"/>
    <x v="4"/>
    <n v="0"/>
  </r>
  <r>
    <s v="Integrated AI"/>
    <x v="5"/>
    <x v="0"/>
    <s v="Compute"/>
    <s v="Flash Cards"/>
    <s v="Semiconductor Revenue M$"/>
    <x v="5"/>
    <n v="0"/>
  </r>
  <r>
    <s v="Integrated AI"/>
    <x v="5"/>
    <x v="0"/>
    <s v="Compute"/>
    <s v="Flash Cards"/>
    <s v="Semiconductor Revenue M$"/>
    <x v="6"/>
    <n v="0"/>
  </r>
  <r>
    <s v="Integrated AI"/>
    <x v="5"/>
    <x v="0"/>
    <s v="Compute"/>
    <s v="USB Flash Drives"/>
    <s v="Semiconductor Revenue M$"/>
    <x v="0"/>
    <n v="0"/>
  </r>
  <r>
    <s v="Integrated AI"/>
    <x v="5"/>
    <x v="0"/>
    <s v="Compute"/>
    <s v="USB Flash Drives"/>
    <s v="Semiconductor Revenue M$"/>
    <x v="1"/>
    <n v="0"/>
  </r>
  <r>
    <s v="Integrated AI"/>
    <x v="5"/>
    <x v="0"/>
    <s v="Compute"/>
    <s v="USB Flash Drives"/>
    <s v="Semiconductor Revenue M$"/>
    <x v="2"/>
    <n v="0"/>
  </r>
  <r>
    <s v="Integrated AI"/>
    <x v="5"/>
    <x v="0"/>
    <s v="Compute"/>
    <s v="USB Flash Drives"/>
    <s v="Semiconductor Revenue M$"/>
    <x v="3"/>
    <n v="0"/>
  </r>
  <r>
    <s v="Integrated AI"/>
    <x v="5"/>
    <x v="0"/>
    <s v="Compute"/>
    <s v="USB Flash Drives"/>
    <s v="Semiconductor Revenue M$"/>
    <x v="4"/>
    <n v="0"/>
  </r>
  <r>
    <s v="Integrated AI"/>
    <x v="5"/>
    <x v="0"/>
    <s v="Compute"/>
    <s v="USB Flash Drives"/>
    <s v="Semiconductor Revenue M$"/>
    <x v="5"/>
    <n v="0"/>
  </r>
  <r>
    <s v="Integrated AI"/>
    <x v="5"/>
    <x v="0"/>
    <s v="Compute"/>
    <s v="USB Flash Drives"/>
    <s v="Semiconductor Revenue M$"/>
    <x v="6"/>
    <n v="0"/>
  </r>
  <r>
    <s v="Integrated AI"/>
    <x v="5"/>
    <x v="0"/>
    <s v="Servers"/>
    <s v="Server, 4 CPU sockets and over"/>
    <s v="Semiconductor Revenue M$"/>
    <x v="0"/>
    <n v="0"/>
  </r>
  <r>
    <s v="Integrated AI"/>
    <x v="5"/>
    <x v="0"/>
    <s v="Servers"/>
    <s v="Server, 4 CPU sockets and over"/>
    <s v="Semiconductor Revenue M$"/>
    <x v="1"/>
    <n v="0"/>
  </r>
  <r>
    <s v="Integrated AI"/>
    <x v="5"/>
    <x v="0"/>
    <s v="Servers"/>
    <s v="Server, 4 CPU sockets and over"/>
    <s v="Semiconductor Revenue M$"/>
    <x v="2"/>
    <n v="0"/>
  </r>
  <r>
    <s v="Integrated AI"/>
    <x v="5"/>
    <x v="0"/>
    <s v="Servers"/>
    <s v="Server, 4 CPU sockets and over"/>
    <s v="Semiconductor Revenue M$"/>
    <x v="3"/>
    <n v="0"/>
  </r>
  <r>
    <s v="Integrated AI"/>
    <x v="5"/>
    <x v="0"/>
    <s v="Servers"/>
    <s v="Server, 4 CPU sockets and over"/>
    <s v="Semiconductor Revenue M$"/>
    <x v="4"/>
    <n v="0"/>
  </r>
  <r>
    <s v="Integrated AI"/>
    <x v="5"/>
    <x v="0"/>
    <s v="Servers"/>
    <s v="Server, 4 CPU sockets and over"/>
    <s v="Semiconductor Revenue M$"/>
    <x v="5"/>
    <n v="0"/>
  </r>
  <r>
    <s v="Integrated AI"/>
    <x v="5"/>
    <x v="0"/>
    <s v="Servers"/>
    <s v="Server, 4 CPU sockets and over"/>
    <s v="Semiconductor Revenue M$"/>
    <x v="6"/>
    <n v="0"/>
  </r>
  <r>
    <s v="Integrated AI"/>
    <x v="5"/>
    <x v="0"/>
    <s v="Servers"/>
    <s v="Server, 2 CPU socket"/>
    <s v="Semiconductor Revenue M$"/>
    <x v="0"/>
    <n v="0"/>
  </r>
  <r>
    <s v="Integrated AI"/>
    <x v="5"/>
    <x v="0"/>
    <s v="Servers"/>
    <s v="Server, 2 CPU socket"/>
    <s v="Semiconductor Revenue M$"/>
    <x v="1"/>
    <n v="0"/>
  </r>
  <r>
    <s v="Integrated AI"/>
    <x v="5"/>
    <x v="0"/>
    <s v="Servers"/>
    <s v="Server, 2 CPU socket"/>
    <s v="Semiconductor Revenue M$"/>
    <x v="2"/>
    <n v="0"/>
  </r>
  <r>
    <s v="Integrated AI"/>
    <x v="5"/>
    <x v="0"/>
    <s v="Servers"/>
    <s v="Server, 2 CPU socket"/>
    <s v="Semiconductor Revenue M$"/>
    <x v="3"/>
    <n v="0"/>
  </r>
  <r>
    <s v="Integrated AI"/>
    <x v="5"/>
    <x v="0"/>
    <s v="Servers"/>
    <s v="Server, 2 CPU socket"/>
    <s v="Semiconductor Revenue M$"/>
    <x v="4"/>
    <n v="0"/>
  </r>
  <r>
    <s v="Integrated AI"/>
    <x v="5"/>
    <x v="0"/>
    <s v="Servers"/>
    <s v="Server, 2 CPU socket"/>
    <s v="Semiconductor Revenue M$"/>
    <x v="5"/>
    <n v="0"/>
  </r>
  <r>
    <s v="Integrated AI"/>
    <x v="5"/>
    <x v="0"/>
    <s v="Servers"/>
    <s v="Server, 2 CPU socket"/>
    <s v="Semiconductor Revenue M$"/>
    <x v="6"/>
    <n v="0"/>
  </r>
  <r>
    <s v="Integrated AI"/>
    <x v="5"/>
    <x v="0"/>
    <s v="Servers"/>
    <s v="Server, 1 CPU socket"/>
    <s v="Semiconductor Revenue M$"/>
    <x v="0"/>
    <n v="0"/>
  </r>
  <r>
    <s v="Integrated AI"/>
    <x v="5"/>
    <x v="0"/>
    <s v="Servers"/>
    <s v="Server, 1 CPU socket"/>
    <s v="Semiconductor Revenue M$"/>
    <x v="1"/>
    <n v="0"/>
  </r>
  <r>
    <s v="Integrated AI"/>
    <x v="5"/>
    <x v="0"/>
    <s v="Servers"/>
    <s v="Server, 1 CPU socket"/>
    <s v="Semiconductor Revenue M$"/>
    <x v="2"/>
    <n v="0"/>
  </r>
  <r>
    <s v="Integrated AI"/>
    <x v="5"/>
    <x v="0"/>
    <s v="Servers"/>
    <s v="Server, 1 CPU socket"/>
    <s v="Semiconductor Revenue M$"/>
    <x v="3"/>
    <n v="0"/>
  </r>
  <r>
    <s v="Integrated AI"/>
    <x v="5"/>
    <x v="0"/>
    <s v="Servers"/>
    <s v="Server, 1 CPU socket"/>
    <s v="Semiconductor Revenue M$"/>
    <x v="4"/>
    <n v="0"/>
  </r>
  <r>
    <s v="Integrated AI"/>
    <x v="5"/>
    <x v="0"/>
    <s v="Servers"/>
    <s v="Server, 1 CPU socket"/>
    <s v="Semiconductor Revenue M$"/>
    <x v="5"/>
    <n v="0"/>
  </r>
  <r>
    <s v="Integrated AI"/>
    <x v="5"/>
    <x v="0"/>
    <s v="Servers"/>
    <s v="Server, 1 CPU socket"/>
    <s v="Semiconductor Revenue M$"/>
    <x v="6"/>
    <n v="0"/>
  </r>
  <r>
    <s v="Integrated AI"/>
    <x v="5"/>
    <x v="0"/>
    <s v="Compute"/>
    <s v="Smart Cards"/>
    <s v="Semiconductor Revenue M$"/>
    <x v="0"/>
    <n v="0"/>
  </r>
  <r>
    <s v="Integrated AI"/>
    <x v="5"/>
    <x v="0"/>
    <s v="Compute"/>
    <s v="Smart Cards"/>
    <s v="Semiconductor Revenue M$"/>
    <x v="1"/>
    <n v="0"/>
  </r>
  <r>
    <s v="Integrated AI"/>
    <x v="5"/>
    <x v="0"/>
    <s v="Compute"/>
    <s v="Smart Cards"/>
    <s v="Semiconductor Revenue M$"/>
    <x v="2"/>
    <n v="0"/>
  </r>
  <r>
    <s v="Integrated AI"/>
    <x v="5"/>
    <x v="0"/>
    <s v="Compute"/>
    <s v="Smart Cards"/>
    <s v="Semiconductor Revenue M$"/>
    <x v="3"/>
    <n v="0"/>
  </r>
  <r>
    <s v="Integrated AI"/>
    <x v="5"/>
    <x v="0"/>
    <s v="Compute"/>
    <s v="Smart Cards"/>
    <s v="Semiconductor Revenue M$"/>
    <x v="4"/>
    <n v="0"/>
  </r>
  <r>
    <s v="Integrated AI"/>
    <x v="5"/>
    <x v="0"/>
    <s v="Compute"/>
    <s v="Smart Cards"/>
    <s v="Semiconductor Revenue M$"/>
    <x v="5"/>
    <n v="0"/>
  </r>
  <r>
    <s v="Integrated AI"/>
    <x v="5"/>
    <x v="0"/>
    <s v="Compute"/>
    <s v="Smart Cards"/>
    <s v="Semiconductor Revenue M$"/>
    <x v="6"/>
    <n v="0"/>
  </r>
  <r>
    <s v="Integrated AI"/>
    <x v="5"/>
    <x v="0"/>
    <s v="Servers"/>
    <s v="Accelerator Cards"/>
    <s v="Semiconductor Revenue M$"/>
    <x v="0"/>
    <n v="0"/>
  </r>
  <r>
    <s v="Integrated AI"/>
    <x v="5"/>
    <x v="0"/>
    <s v="Servers"/>
    <s v="Accelerator Cards"/>
    <s v="Semiconductor Revenue M$"/>
    <x v="1"/>
    <n v="0"/>
  </r>
  <r>
    <s v="Integrated AI"/>
    <x v="5"/>
    <x v="0"/>
    <s v="Servers"/>
    <s v="Accelerator Cards"/>
    <s v="Semiconductor Revenue M$"/>
    <x v="2"/>
    <n v="0"/>
  </r>
  <r>
    <s v="Integrated AI"/>
    <x v="5"/>
    <x v="0"/>
    <s v="Servers"/>
    <s v="Accelerator Cards"/>
    <s v="Semiconductor Revenue M$"/>
    <x v="3"/>
    <n v="0"/>
  </r>
  <r>
    <s v="Integrated AI"/>
    <x v="5"/>
    <x v="0"/>
    <s v="Servers"/>
    <s v="Accelerator Cards"/>
    <s v="Semiconductor Revenue M$"/>
    <x v="4"/>
    <n v="0"/>
  </r>
  <r>
    <s v="Integrated AI"/>
    <x v="5"/>
    <x v="0"/>
    <s v="Servers"/>
    <s v="Accelerator Cards"/>
    <s v="Semiconductor Revenue M$"/>
    <x v="5"/>
    <n v="0"/>
  </r>
  <r>
    <s v="Integrated AI"/>
    <x v="5"/>
    <x v="0"/>
    <s v="Servers"/>
    <s v="Accelerator Cards"/>
    <s v="Semiconductor Revenue M$"/>
    <x v="6"/>
    <n v="0"/>
  </r>
  <r>
    <s v="Integrated AI"/>
    <x v="5"/>
    <x v="1"/>
    <s v="Storage"/>
    <s v="Solid-State ECB"/>
    <s v="Semiconductor Revenue M$"/>
    <x v="0"/>
    <n v="2.8075312836765463E-6"/>
  </r>
  <r>
    <s v="Integrated AI"/>
    <x v="5"/>
    <x v="1"/>
    <s v="Storage"/>
    <s v="Solid-State ECB"/>
    <s v="Semiconductor Revenue M$"/>
    <x v="1"/>
    <n v="2.5746700057033393E-6"/>
  </r>
  <r>
    <s v="Integrated AI"/>
    <x v="5"/>
    <x v="1"/>
    <s v="Storage"/>
    <s v="Solid-State ECB"/>
    <s v="Semiconductor Revenue M$"/>
    <x v="2"/>
    <n v="5.7380708977101346E-6"/>
  </r>
  <r>
    <s v="Integrated AI"/>
    <x v="5"/>
    <x v="1"/>
    <s v="Storage"/>
    <s v="Solid-State ECB"/>
    <s v="Semiconductor Revenue M$"/>
    <x v="3"/>
    <n v="1.1513331312928748E-5"/>
  </r>
  <r>
    <s v="Integrated AI"/>
    <x v="5"/>
    <x v="1"/>
    <s v="Storage"/>
    <s v="Solid-State ECB"/>
    <s v="Semiconductor Revenue M$"/>
    <x v="4"/>
    <n v="2.5886740158624887E-5"/>
  </r>
  <r>
    <s v="Integrated AI"/>
    <x v="5"/>
    <x v="1"/>
    <s v="Storage"/>
    <s v="Solid-State ECB"/>
    <s v="Semiconductor Revenue M$"/>
    <x v="5"/>
    <n v="4.9743032488492617E-5"/>
  </r>
  <r>
    <s v="Integrated AI"/>
    <x v="5"/>
    <x v="1"/>
    <s v="Storage"/>
    <s v="Solid-State ECB"/>
    <s v="Semiconductor Revenue M$"/>
    <x v="6"/>
    <n v="9.497430962803159E-5"/>
  </r>
  <r>
    <s v="Integrated AI"/>
    <x v="5"/>
    <x v="1"/>
    <s v="Storage"/>
    <s v="Other ECB (HDD/Hybrid)"/>
    <s v="Semiconductor Revenue M$"/>
    <x v="0"/>
    <n v="1.6858373757431228E-5"/>
  </r>
  <r>
    <s v="Integrated AI"/>
    <x v="5"/>
    <x v="1"/>
    <s v="Storage"/>
    <s v="Other ECB (HDD/Hybrid)"/>
    <s v="Semiconductor Revenue M$"/>
    <x v="1"/>
    <n v="1.4593706875962724E-5"/>
  </r>
  <r>
    <s v="Integrated AI"/>
    <x v="5"/>
    <x v="1"/>
    <s v="Storage"/>
    <s v="Other ECB (HDD/Hybrid)"/>
    <s v="Semiconductor Revenue M$"/>
    <x v="2"/>
    <n v="2.9522031648778812E-5"/>
  </r>
  <r>
    <s v="Integrated AI"/>
    <x v="5"/>
    <x v="1"/>
    <s v="Storage"/>
    <s v="Other ECB (HDD/Hybrid)"/>
    <s v="Semiconductor Revenue M$"/>
    <x v="3"/>
    <n v="5.4954179057175319E-5"/>
  </r>
  <r>
    <s v="Integrated AI"/>
    <x v="5"/>
    <x v="1"/>
    <s v="Storage"/>
    <s v="Other ECB (HDD/Hybrid)"/>
    <s v="Semiconductor Revenue M$"/>
    <x v="4"/>
    <n v="1.170521167673901E-4"/>
  </r>
  <r>
    <s v="Integrated AI"/>
    <x v="5"/>
    <x v="1"/>
    <s v="Storage"/>
    <s v="Other ECB (HDD/Hybrid)"/>
    <s v="Semiconductor Revenue M$"/>
    <x v="5"/>
    <n v="2.2045611367264606E-4"/>
  </r>
  <r>
    <s v="Integrated AI"/>
    <x v="5"/>
    <x v="1"/>
    <s v="Storage"/>
    <s v="Other ECB (HDD/Hybrid)"/>
    <s v="Semiconductor Revenue M$"/>
    <x v="6"/>
    <n v="4.0985212703787489E-4"/>
  </r>
  <r>
    <s v="Integrated AI"/>
    <x v="5"/>
    <x v="1"/>
    <s v="Storage"/>
    <s v="Storage Network Infrastructure"/>
    <s v="Semiconductor Revenue M$"/>
    <x v="0"/>
    <n v="1.3232320355381974E-4"/>
  </r>
  <r>
    <s v="Integrated AI"/>
    <x v="5"/>
    <x v="1"/>
    <s v="Storage"/>
    <s v="Storage Network Infrastructure"/>
    <s v="Semiconductor Revenue M$"/>
    <x v="1"/>
    <n v="1.1774632689296255E-4"/>
  </r>
  <r>
    <s v="Integrated AI"/>
    <x v="5"/>
    <x v="1"/>
    <s v="Storage"/>
    <s v="Storage Network Infrastructure"/>
    <s v="Semiconductor Revenue M$"/>
    <x v="2"/>
    <n v="2.3892169091850807E-4"/>
  </r>
  <r>
    <s v="Integrated AI"/>
    <x v="5"/>
    <x v="1"/>
    <s v="Storage"/>
    <s v="Storage Network Infrastructure"/>
    <s v="Semiconductor Revenue M$"/>
    <x v="3"/>
    <n v="4.4277818029467037E-4"/>
  </r>
  <r>
    <s v="Integrated AI"/>
    <x v="5"/>
    <x v="1"/>
    <s v="Storage"/>
    <s v="Storage Network Infrastructure"/>
    <s v="Semiconductor Revenue M$"/>
    <x v="4"/>
    <n v="9.3191235447906873E-4"/>
  </r>
  <r>
    <s v="Integrated AI"/>
    <x v="5"/>
    <x v="1"/>
    <s v="Storage"/>
    <s v="Storage Network Infrastructure"/>
    <s v="Semiconductor Revenue M$"/>
    <x v="5"/>
    <n v="1.7181654935034493E-3"/>
  </r>
  <r>
    <s v="Integrated AI"/>
    <x v="5"/>
    <x v="1"/>
    <s v="Storage"/>
    <s v="Storage Network Infrastructure"/>
    <s v="Semiconductor Revenue M$"/>
    <x v="6"/>
    <n v="3.1109626176320398E-3"/>
  </r>
  <r>
    <s v="Integrated AI"/>
    <x v="5"/>
    <x v="1"/>
    <s v="Storage"/>
    <s v="Hard Disk Drive"/>
    <s v="Semiconductor Revenue M$"/>
    <x v="0"/>
    <n v="0"/>
  </r>
  <r>
    <s v="Integrated AI"/>
    <x v="5"/>
    <x v="1"/>
    <s v="Storage"/>
    <s v="Hard Disk Drive"/>
    <s v="Semiconductor Revenue M$"/>
    <x v="1"/>
    <n v="0"/>
  </r>
  <r>
    <s v="Integrated AI"/>
    <x v="5"/>
    <x v="1"/>
    <s v="Storage"/>
    <s v="Hard Disk Drive"/>
    <s v="Semiconductor Revenue M$"/>
    <x v="2"/>
    <n v="0"/>
  </r>
  <r>
    <s v="Integrated AI"/>
    <x v="5"/>
    <x v="1"/>
    <s v="Storage"/>
    <s v="Hard Disk Drive"/>
    <s v="Semiconductor Revenue M$"/>
    <x v="3"/>
    <n v="0"/>
  </r>
  <r>
    <s v="Integrated AI"/>
    <x v="5"/>
    <x v="1"/>
    <s v="Storage"/>
    <s v="Hard Disk Drive"/>
    <s v="Semiconductor Revenue M$"/>
    <x v="4"/>
    <n v="0"/>
  </r>
  <r>
    <s v="Integrated AI"/>
    <x v="5"/>
    <x v="1"/>
    <s v="Storage"/>
    <s v="Hard Disk Drive"/>
    <s v="Semiconductor Revenue M$"/>
    <x v="5"/>
    <n v="0"/>
  </r>
  <r>
    <s v="Integrated AI"/>
    <x v="5"/>
    <x v="1"/>
    <s v="Storage"/>
    <s v="Hard Disk Drive"/>
    <s v="Semiconductor Revenue M$"/>
    <x v="6"/>
    <n v="0"/>
  </r>
  <r>
    <s v="Integrated AI"/>
    <x v="5"/>
    <x v="1"/>
    <s v="Storage"/>
    <s v="Solid-State Drives"/>
    <s v="Semiconductor Revenue M$"/>
    <x v="0"/>
    <n v="0"/>
  </r>
  <r>
    <s v="Integrated AI"/>
    <x v="5"/>
    <x v="1"/>
    <s v="Storage"/>
    <s v="Solid-State Drives"/>
    <s v="Semiconductor Revenue M$"/>
    <x v="1"/>
    <n v="0"/>
  </r>
  <r>
    <s v="Integrated AI"/>
    <x v="5"/>
    <x v="1"/>
    <s v="Storage"/>
    <s v="Solid-State Drives"/>
    <s v="Semiconductor Revenue M$"/>
    <x v="2"/>
    <n v="0"/>
  </r>
  <r>
    <s v="Integrated AI"/>
    <x v="5"/>
    <x v="1"/>
    <s v="Storage"/>
    <s v="Solid-State Drives"/>
    <s v="Semiconductor Revenue M$"/>
    <x v="3"/>
    <n v="0"/>
  </r>
  <r>
    <s v="Integrated AI"/>
    <x v="5"/>
    <x v="1"/>
    <s v="Storage"/>
    <s v="Solid-State Drives"/>
    <s v="Semiconductor Revenue M$"/>
    <x v="4"/>
    <n v="0"/>
  </r>
  <r>
    <s v="Integrated AI"/>
    <x v="5"/>
    <x v="1"/>
    <s v="Storage"/>
    <s v="Solid-State Drives"/>
    <s v="Semiconductor Revenue M$"/>
    <x v="5"/>
    <n v="0"/>
  </r>
  <r>
    <s v="Integrated AI"/>
    <x v="5"/>
    <x v="1"/>
    <s v="Storage"/>
    <s v="Solid-State Drives"/>
    <s v="Semiconductor Revenue M$"/>
    <x v="6"/>
    <n v="0"/>
  </r>
  <r>
    <s v="Integrated AI"/>
    <x v="5"/>
    <x v="1"/>
    <s v="Storage"/>
    <s v="Other Storage Media"/>
    <s v="Semiconductor Revenue M$"/>
    <x v="0"/>
    <n v="0"/>
  </r>
  <r>
    <s v="Integrated AI"/>
    <x v="5"/>
    <x v="1"/>
    <s v="Storage"/>
    <s v="Other Storage Media"/>
    <s v="Semiconductor Revenue M$"/>
    <x v="1"/>
    <n v="0"/>
  </r>
  <r>
    <s v="Integrated AI"/>
    <x v="5"/>
    <x v="1"/>
    <s v="Storage"/>
    <s v="Other Storage Media"/>
    <s v="Semiconductor Revenue M$"/>
    <x v="2"/>
    <n v="0"/>
  </r>
  <r>
    <s v="Integrated AI"/>
    <x v="5"/>
    <x v="1"/>
    <s v="Storage"/>
    <s v="Other Storage Media"/>
    <s v="Semiconductor Revenue M$"/>
    <x v="3"/>
    <n v="0"/>
  </r>
  <r>
    <s v="Integrated AI"/>
    <x v="5"/>
    <x v="1"/>
    <s v="Storage"/>
    <s v="Other Storage Media"/>
    <s v="Semiconductor Revenue M$"/>
    <x v="4"/>
    <n v="0"/>
  </r>
  <r>
    <s v="Integrated AI"/>
    <x v="5"/>
    <x v="1"/>
    <s v="Storage"/>
    <s v="Other Storage Media"/>
    <s v="Semiconductor Revenue M$"/>
    <x v="5"/>
    <n v="0"/>
  </r>
  <r>
    <s v="Integrated AI"/>
    <x v="5"/>
    <x v="1"/>
    <s v="Storage"/>
    <s v="Other Storage Media"/>
    <s v="Semiconductor Revenue M$"/>
    <x v="6"/>
    <n v="0"/>
  </r>
  <r>
    <s v="Integrated AI"/>
    <x v="5"/>
    <x v="1"/>
    <s v="Storage"/>
    <s v="Other Storage Electronics"/>
    <s v="Semiconductor Revenue M$"/>
    <x v="0"/>
    <n v="3.2046199460721836E-5"/>
  </r>
  <r>
    <s v="Integrated AI"/>
    <x v="5"/>
    <x v="1"/>
    <s v="Storage"/>
    <s v="Other Storage Electronics"/>
    <s v="Semiconductor Revenue M$"/>
    <x v="1"/>
    <n v="7.9053193041159111E-5"/>
  </r>
  <r>
    <s v="Integrated AI"/>
    <x v="5"/>
    <x v="1"/>
    <s v="Storage"/>
    <s v="Other Storage Electronics"/>
    <s v="Semiconductor Revenue M$"/>
    <x v="2"/>
    <n v="1.0093326276407939E-4"/>
  </r>
  <r>
    <s v="Integrated AI"/>
    <x v="5"/>
    <x v="1"/>
    <s v="Storage"/>
    <s v="Other Storage Electronics"/>
    <s v="Semiconductor Revenue M$"/>
    <x v="3"/>
    <n v="1.9536544988217478E-4"/>
  </r>
  <r>
    <s v="Integrated AI"/>
    <x v="5"/>
    <x v="1"/>
    <s v="Storage"/>
    <s v="Other Storage Electronics"/>
    <s v="Semiconductor Revenue M$"/>
    <x v="4"/>
    <n v="4.0361103656979532E-4"/>
  </r>
  <r>
    <s v="Integrated AI"/>
    <x v="5"/>
    <x v="1"/>
    <s v="Storage"/>
    <s v="Other Storage Electronics"/>
    <s v="Semiconductor Revenue M$"/>
    <x v="5"/>
    <n v="7.6920960710694943E-4"/>
  </r>
  <r>
    <s v="Integrated AI"/>
    <x v="5"/>
    <x v="1"/>
    <s v="Storage"/>
    <s v="Other Storage Electronics"/>
    <s v="Semiconductor Revenue M$"/>
    <x v="6"/>
    <n v="1.3781430621712762E-3"/>
  </r>
  <r>
    <s v="Integrated AI"/>
    <x v="5"/>
    <x v="2"/>
    <s v="Wireless Communications Electronics"/>
    <s v="Utility Traditional Phone"/>
    <s v="Semiconductor Revenue M$"/>
    <x v="0"/>
    <n v="0"/>
  </r>
  <r>
    <s v="Integrated AI"/>
    <x v="5"/>
    <x v="2"/>
    <s v="Wireless Communications Electronics"/>
    <s v="Utility Traditional Phone"/>
    <s v="Semiconductor Revenue M$"/>
    <x v="1"/>
    <n v="0"/>
  </r>
  <r>
    <s v="Integrated AI"/>
    <x v="5"/>
    <x v="2"/>
    <s v="Wireless Communications Electronics"/>
    <s v="Utility Traditional Phone"/>
    <s v="Semiconductor Revenue M$"/>
    <x v="2"/>
    <n v="0"/>
  </r>
  <r>
    <s v="Integrated AI"/>
    <x v="5"/>
    <x v="2"/>
    <s v="Wireless Communications Electronics"/>
    <s v="Utility Traditional Phone"/>
    <s v="Semiconductor Revenue M$"/>
    <x v="3"/>
    <n v="0"/>
  </r>
  <r>
    <s v="Integrated AI"/>
    <x v="5"/>
    <x v="2"/>
    <s v="Wireless Communications Electronics"/>
    <s v="Utility Traditional Phone"/>
    <s v="Semiconductor Revenue M$"/>
    <x v="4"/>
    <n v="0"/>
  </r>
  <r>
    <s v="Integrated AI"/>
    <x v="5"/>
    <x v="2"/>
    <s v="Wireless Communications Electronics"/>
    <s v="Utility Traditional Phone"/>
    <s v="Semiconductor Revenue M$"/>
    <x v="5"/>
    <n v="0"/>
  </r>
  <r>
    <s v="Integrated AI"/>
    <x v="5"/>
    <x v="2"/>
    <s v="Wireless Communications Electronics"/>
    <s v="Utility Traditional Phone"/>
    <s v="Semiconductor Revenue M$"/>
    <x v="6"/>
    <n v="0"/>
  </r>
  <r>
    <s v="Integrated AI"/>
    <x v="5"/>
    <x v="2"/>
    <s v="Wireless Communications Electronics"/>
    <s v="Basic Smartphone"/>
    <s v="Semiconductor Revenue M$"/>
    <x v="0"/>
    <n v="0"/>
  </r>
  <r>
    <s v="Integrated AI"/>
    <x v="5"/>
    <x v="2"/>
    <s v="Wireless Communications Electronics"/>
    <s v="Basic Smartphone"/>
    <s v="Semiconductor Revenue M$"/>
    <x v="1"/>
    <n v="0"/>
  </r>
  <r>
    <s v="Integrated AI"/>
    <x v="5"/>
    <x v="2"/>
    <s v="Wireless Communications Electronics"/>
    <s v="Basic Smartphone"/>
    <s v="Semiconductor Revenue M$"/>
    <x v="2"/>
    <n v="0"/>
  </r>
  <r>
    <s v="Integrated AI"/>
    <x v="5"/>
    <x v="2"/>
    <s v="Wireless Communications Electronics"/>
    <s v="Basic Smartphone"/>
    <s v="Semiconductor Revenue M$"/>
    <x v="3"/>
    <n v="0"/>
  </r>
  <r>
    <s v="Integrated AI"/>
    <x v="5"/>
    <x v="2"/>
    <s v="Wireless Communications Electronics"/>
    <s v="Basic Smartphone"/>
    <s v="Semiconductor Revenue M$"/>
    <x v="4"/>
    <n v="0"/>
  </r>
  <r>
    <s v="Integrated AI"/>
    <x v="5"/>
    <x v="2"/>
    <s v="Wireless Communications Electronics"/>
    <s v="Basic Smartphone"/>
    <s v="Semiconductor Revenue M$"/>
    <x v="5"/>
    <n v="0"/>
  </r>
  <r>
    <s v="Integrated AI"/>
    <x v="5"/>
    <x v="2"/>
    <s v="Wireless Communications Electronics"/>
    <s v="Basic Smartphone"/>
    <s v="Semiconductor Revenue M$"/>
    <x v="6"/>
    <n v="0"/>
  </r>
  <r>
    <s v="Integrated AI"/>
    <x v="5"/>
    <x v="2"/>
    <s v="Wireless Communications Electronics"/>
    <s v="Utility Smartphone"/>
    <s v="Semiconductor Revenue M$"/>
    <x v="0"/>
    <n v="0"/>
  </r>
  <r>
    <s v="Integrated AI"/>
    <x v="5"/>
    <x v="2"/>
    <s v="Wireless Communications Electronics"/>
    <s v="Utility Smartphone"/>
    <s v="Semiconductor Revenue M$"/>
    <x v="1"/>
    <n v="0"/>
  </r>
  <r>
    <s v="Integrated AI"/>
    <x v="5"/>
    <x v="2"/>
    <s v="Wireless Communications Electronics"/>
    <s v="Utility Smartphone"/>
    <s v="Semiconductor Revenue M$"/>
    <x v="2"/>
    <n v="0"/>
  </r>
  <r>
    <s v="Integrated AI"/>
    <x v="5"/>
    <x v="2"/>
    <s v="Wireless Communications Electronics"/>
    <s v="Utility Smartphone"/>
    <s v="Semiconductor Revenue M$"/>
    <x v="3"/>
    <n v="0"/>
  </r>
  <r>
    <s v="Integrated AI"/>
    <x v="5"/>
    <x v="2"/>
    <s v="Wireless Communications Electronics"/>
    <s v="Utility Smartphone"/>
    <s v="Semiconductor Revenue M$"/>
    <x v="4"/>
    <n v="0"/>
  </r>
  <r>
    <s v="Integrated AI"/>
    <x v="5"/>
    <x v="2"/>
    <s v="Wireless Communications Electronics"/>
    <s v="Utility Smartphone"/>
    <s v="Semiconductor Revenue M$"/>
    <x v="5"/>
    <n v="0"/>
  </r>
  <r>
    <s v="Integrated AI"/>
    <x v="5"/>
    <x v="2"/>
    <s v="Wireless Communications Electronics"/>
    <s v="Utility Smartphone"/>
    <s v="Semiconductor Revenue M$"/>
    <x v="6"/>
    <n v="0"/>
  </r>
  <r>
    <s v="Integrated AI"/>
    <x v="5"/>
    <x v="2"/>
    <s v="Wireless Communications Electronics"/>
    <s v="Premium Smartphone"/>
    <s v="Semiconductor Revenue M$"/>
    <x v="0"/>
    <n v="0"/>
  </r>
  <r>
    <s v="Integrated AI"/>
    <x v="5"/>
    <x v="2"/>
    <s v="Wireless Communications Electronics"/>
    <s v="Premium Smartphone"/>
    <s v="Semiconductor Revenue M$"/>
    <x v="1"/>
    <n v="0"/>
  </r>
  <r>
    <s v="Integrated AI"/>
    <x v="5"/>
    <x v="2"/>
    <s v="Wireless Communications Electronics"/>
    <s v="Premium Smartphone"/>
    <s v="Semiconductor Revenue M$"/>
    <x v="2"/>
    <n v="0"/>
  </r>
  <r>
    <s v="Integrated AI"/>
    <x v="5"/>
    <x v="2"/>
    <s v="Wireless Communications Electronics"/>
    <s v="Premium Smartphone"/>
    <s v="Semiconductor Revenue M$"/>
    <x v="3"/>
    <n v="0"/>
  </r>
  <r>
    <s v="Integrated AI"/>
    <x v="5"/>
    <x v="2"/>
    <s v="Wireless Communications Electronics"/>
    <s v="Premium Smartphone"/>
    <s v="Semiconductor Revenue M$"/>
    <x v="4"/>
    <n v="0"/>
  </r>
  <r>
    <s v="Integrated AI"/>
    <x v="5"/>
    <x v="2"/>
    <s v="Wireless Communications Electronics"/>
    <s v="Premium Smartphone"/>
    <s v="Semiconductor Revenue M$"/>
    <x v="5"/>
    <n v="0"/>
  </r>
  <r>
    <s v="Integrated AI"/>
    <x v="5"/>
    <x v="2"/>
    <s v="Wireless Communications Electronics"/>
    <s v="Premium Smartphone"/>
    <s v="Semiconductor Revenue M$"/>
    <x v="6"/>
    <n v="0"/>
  </r>
  <r>
    <s v="Integrated AI"/>
    <x v="5"/>
    <x v="3"/>
    <s v="Automotive Electronics"/>
    <s v="ADAS-ECU (Level-2+/3/4)"/>
    <s v="Semiconductor Revenue M$"/>
    <x v="0"/>
    <n v="0.22749528473274552"/>
  </r>
  <r>
    <s v="Integrated AI"/>
    <x v="5"/>
    <x v="3"/>
    <s v="Automotive Electronics"/>
    <s v="ADAS-ECU (Level-2+/3/4)"/>
    <s v="Semiconductor Revenue M$"/>
    <x v="1"/>
    <n v="0.91432170386352052"/>
  </r>
  <r>
    <s v="Integrated AI"/>
    <x v="5"/>
    <x v="3"/>
    <s v="Automotive Electronics"/>
    <s v="ADAS-ECU (Level-2+/3/4)"/>
    <s v="Semiconductor Revenue M$"/>
    <x v="2"/>
    <n v="3.4820296062399181"/>
  </r>
  <r>
    <s v="Integrated AI"/>
    <x v="5"/>
    <x v="3"/>
    <s v="Automotive Electronics"/>
    <s v="ADAS-ECU (Level-2+/3/4)"/>
    <s v="Semiconductor Revenue M$"/>
    <x v="3"/>
    <n v="9.272821079916989"/>
  </r>
  <r>
    <s v="Integrated AI"/>
    <x v="5"/>
    <x v="3"/>
    <s v="Automotive Electronics"/>
    <s v="ADAS-ECU (Level-2+/3/4)"/>
    <s v="Semiconductor Revenue M$"/>
    <x v="4"/>
    <n v="11.406793749305502"/>
  </r>
  <r>
    <s v="Integrated AI"/>
    <x v="5"/>
    <x v="3"/>
    <s v="Automotive Electronics"/>
    <s v="ADAS-ECU (Level-2+/3/4)"/>
    <s v="Semiconductor Revenue M$"/>
    <x v="5"/>
    <n v="18.846288384248052"/>
  </r>
  <r>
    <s v="Integrated AI"/>
    <x v="5"/>
    <x v="3"/>
    <s v="Automotive Electronics"/>
    <s v="ADAS-ECU (Level-2+/3/4)"/>
    <s v="Semiconductor Revenue M$"/>
    <x v="6"/>
    <n v="27.335988550962742"/>
  </r>
  <r>
    <s v="Integrated AI"/>
    <x v="5"/>
    <x v="2"/>
    <s v="Wireless Communications Electronics"/>
    <s v="Mobile Infrastructure - Base Station Equipment"/>
    <s v="Semiconductor Revenue M$"/>
    <x v="0"/>
    <n v="2.6651438525438402E-3"/>
  </r>
  <r>
    <s v="Integrated AI"/>
    <x v="5"/>
    <x v="2"/>
    <s v="Wireless Communications Electronics"/>
    <s v="Mobile Infrastructure - Base Station Equipment"/>
    <s v="Semiconductor Revenue M$"/>
    <x v="1"/>
    <n v="1.0291281895432935E-2"/>
  </r>
  <r>
    <s v="Integrated AI"/>
    <x v="5"/>
    <x v="2"/>
    <s v="Wireless Communications Electronics"/>
    <s v="Mobile Infrastructure - Base Station Equipment"/>
    <s v="Semiconductor Revenue M$"/>
    <x v="2"/>
    <n v="3.3233414988894594E-2"/>
  </r>
  <r>
    <s v="Integrated AI"/>
    <x v="5"/>
    <x v="2"/>
    <s v="Wireless Communications Electronics"/>
    <s v="Mobile Infrastructure - Base Station Equipment"/>
    <s v="Semiconductor Revenue M$"/>
    <x v="3"/>
    <n v="0.11472537875622871"/>
  </r>
  <r>
    <s v="Integrated AI"/>
    <x v="5"/>
    <x v="2"/>
    <s v="Wireless Communications Electronics"/>
    <s v="Mobile Infrastructure - Base Station Equipment"/>
    <s v="Semiconductor Revenue M$"/>
    <x v="4"/>
    <n v="0.39285318516576823"/>
  </r>
  <r>
    <s v="Integrated AI"/>
    <x v="5"/>
    <x v="2"/>
    <s v="Wireless Communications Electronics"/>
    <s v="Mobile Infrastructure - Base Station Equipment"/>
    <s v="Semiconductor Revenue M$"/>
    <x v="5"/>
    <n v="1.0320563877239859"/>
  </r>
  <r>
    <s v="Integrated AI"/>
    <x v="5"/>
    <x v="2"/>
    <s v="Wireless Communications Electronics"/>
    <s v="Mobile Infrastructure - Base Station Equipment"/>
    <s v="Semiconductor Revenue M$"/>
    <x v="6"/>
    <n v="2.690689084014759"/>
  </r>
  <r>
    <s v="Integrated AI"/>
    <x v="5"/>
    <x v="2"/>
    <s v="Wireless Communications Electronics"/>
    <s v="Wireless LAN Infrastructure"/>
    <s v="Semiconductor Revenue M$"/>
    <x v="0"/>
    <n v="1.7419787076646547E-3"/>
  </r>
  <r>
    <s v="Integrated AI"/>
    <x v="5"/>
    <x v="2"/>
    <s v="Wireless Communications Electronics"/>
    <s v="Wireless LAN Infrastructure"/>
    <s v="Semiconductor Revenue M$"/>
    <x v="1"/>
    <n v="7.3304596024511342E-3"/>
  </r>
  <r>
    <s v="Integrated AI"/>
    <x v="5"/>
    <x v="2"/>
    <s v="Wireless Communications Electronics"/>
    <s v="Wireless LAN Infrastructure"/>
    <s v="Semiconductor Revenue M$"/>
    <x v="2"/>
    <n v="2.4225124631208822E-2"/>
  </r>
  <r>
    <s v="Integrated AI"/>
    <x v="5"/>
    <x v="2"/>
    <s v="Wireless Communications Electronics"/>
    <s v="Wireless LAN Infrastructure"/>
    <s v="Semiconductor Revenue M$"/>
    <x v="3"/>
    <n v="7.2279810566401245E-2"/>
  </r>
  <r>
    <s v="Integrated AI"/>
    <x v="5"/>
    <x v="2"/>
    <s v="Wireless Communications Electronics"/>
    <s v="Wireless LAN Infrastructure"/>
    <s v="Semiconductor Revenue M$"/>
    <x v="4"/>
    <n v="0.22844603049719242"/>
  </r>
  <r>
    <s v="Integrated AI"/>
    <x v="5"/>
    <x v="2"/>
    <s v="Wireless Communications Electronics"/>
    <s v="Wireless LAN Infrastructure"/>
    <s v="Semiconductor Revenue M$"/>
    <x v="5"/>
    <n v="0.58950443546216047"/>
  </r>
  <r>
    <s v="Integrated AI"/>
    <x v="5"/>
    <x v="2"/>
    <s v="Wireless Communications Electronics"/>
    <s v="Wireless LAN Infrastructure"/>
    <s v="Semiconductor Revenue M$"/>
    <x v="6"/>
    <n v="1.5427134942977048"/>
  </r>
  <r>
    <s v="Integrated AI"/>
    <x v="5"/>
    <x v="2"/>
    <s v="Wireless Communications Electronics"/>
    <s v="Cellular Modems"/>
    <s v="Semiconductor Revenue M$"/>
    <x v="0"/>
    <n v="2.8480467804272943E-4"/>
  </r>
  <r>
    <s v="Integrated AI"/>
    <x v="5"/>
    <x v="2"/>
    <s v="Wireless Communications Electronics"/>
    <s v="Cellular Modems"/>
    <s v="Semiconductor Revenue M$"/>
    <x v="1"/>
    <n v="1.1064686780484457E-3"/>
  </r>
  <r>
    <s v="Integrated AI"/>
    <x v="5"/>
    <x v="2"/>
    <s v="Wireless Communications Electronics"/>
    <s v="Cellular Modems"/>
    <s v="Semiconductor Revenue M$"/>
    <x v="2"/>
    <n v="3.6177170918194872E-3"/>
  </r>
  <r>
    <s v="Integrated AI"/>
    <x v="5"/>
    <x v="2"/>
    <s v="Wireless Communications Electronics"/>
    <s v="Cellular Modems"/>
    <s v="Semiconductor Revenue M$"/>
    <x v="3"/>
    <n v="1.1057179811080351E-2"/>
  </r>
  <r>
    <s v="Integrated AI"/>
    <x v="5"/>
    <x v="2"/>
    <s v="Wireless Communications Electronics"/>
    <s v="Cellular Modems"/>
    <s v="Semiconductor Revenue M$"/>
    <x v="4"/>
    <n v="3.579916941682737E-2"/>
  </r>
  <r>
    <s v="Integrated AI"/>
    <x v="5"/>
    <x v="2"/>
    <s v="Wireless Communications Electronics"/>
    <s v="Cellular Modems"/>
    <s v="Semiconductor Revenue M$"/>
    <x v="5"/>
    <n v="9.255431984916139E-2"/>
  </r>
  <r>
    <s v="Integrated AI"/>
    <x v="5"/>
    <x v="2"/>
    <s v="Wireless Communications Electronics"/>
    <s v="Cellular Modems"/>
    <s v="Semiconductor Revenue M$"/>
    <x v="6"/>
    <n v="0.22358452854934716"/>
  </r>
  <r>
    <s v="Integrated AI"/>
    <x v="5"/>
    <x v="2"/>
    <s v="Wireless Communications Electronics"/>
    <s v="Other Wireless Communications Electronics"/>
    <s v="Semiconductor Revenue M$"/>
    <x v="0"/>
    <n v="7.0826701345710315E-3"/>
  </r>
  <r>
    <s v="Integrated AI"/>
    <x v="5"/>
    <x v="2"/>
    <s v="Wireless Communications Electronics"/>
    <s v="Other Wireless Communications Electronics"/>
    <s v="Semiconductor Revenue M$"/>
    <x v="1"/>
    <n v="2.7188838046002056E-2"/>
  </r>
  <r>
    <s v="Integrated AI"/>
    <x v="5"/>
    <x v="2"/>
    <s v="Wireless Communications Electronics"/>
    <s v="Other Wireless Communications Electronics"/>
    <s v="Semiconductor Revenue M$"/>
    <x v="2"/>
    <n v="8.5443563900882438E-2"/>
  </r>
  <r>
    <s v="Integrated AI"/>
    <x v="5"/>
    <x v="2"/>
    <s v="Wireless Communications Electronics"/>
    <s v="Other Wireless Communications Electronics"/>
    <s v="Semiconductor Revenue M$"/>
    <x v="3"/>
    <n v="0.25345331670173837"/>
  </r>
  <r>
    <s v="Integrated AI"/>
    <x v="5"/>
    <x v="2"/>
    <s v="Wireless Communications Electronics"/>
    <s v="Other Wireless Communications Electronics"/>
    <s v="Semiconductor Revenue M$"/>
    <x v="4"/>
    <n v="0.81284696985711391"/>
  </r>
  <r>
    <s v="Integrated AI"/>
    <x v="5"/>
    <x v="2"/>
    <s v="Wireless Communications Electronics"/>
    <s v="Other Wireless Communications Electronics"/>
    <s v="Semiconductor Revenue M$"/>
    <x v="5"/>
    <n v="2.0876711257613922"/>
  </r>
  <r>
    <s v="Integrated AI"/>
    <x v="5"/>
    <x v="2"/>
    <s v="Wireless Communications Electronics"/>
    <s v="Other Wireless Communications Electronics"/>
    <s v="Semiconductor Revenue M$"/>
    <x v="6"/>
    <n v="5.2026989283361038"/>
  </r>
  <r>
    <s v="Integrated AI"/>
    <x v="5"/>
    <x v="2"/>
    <s v="Wired Communications Electronics"/>
    <s v="DSL Broadband Access"/>
    <s v="Semiconductor Revenue M$"/>
    <x v="0"/>
    <n v="3.4343018150370684E-2"/>
  </r>
  <r>
    <s v="Integrated AI"/>
    <x v="5"/>
    <x v="2"/>
    <s v="Wired Communications Electronics"/>
    <s v="DSL Broadband Access"/>
    <s v="Semiconductor Revenue M$"/>
    <x v="1"/>
    <n v="7.3833226374767344E-2"/>
  </r>
  <r>
    <s v="Integrated AI"/>
    <x v="5"/>
    <x v="2"/>
    <s v="Wired Communications Electronics"/>
    <s v="DSL Broadband Access"/>
    <s v="Semiconductor Revenue M$"/>
    <x v="2"/>
    <n v="0.13433148629869138"/>
  </r>
  <r>
    <s v="Integrated AI"/>
    <x v="5"/>
    <x v="2"/>
    <s v="Wired Communications Electronics"/>
    <s v="DSL Broadband Access"/>
    <s v="Semiconductor Revenue M$"/>
    <x v="3"/>
    <n v="0.23833417361937742"/>
  </r>
  <r>
    <s v="Integrated AI"/>
    <x v="5"/>
    <x v="2"/>
    <s v="Wired Communications Electronics"/>
    <s v="DSL Broadband Access"/>
    <s v="Semiconductor Revenue M$"/>
    <x v="4"/>
    <n v="0.45365206592756468"/>
  </r>
  <r>
    <s v="Integrated AI"/>
    <x v="5"/>
    <x v="2"/>
    <s v="Wired Communications Electronics"/>
    <s v="DSL Broadband Access"/>
    <s v="Semiconductor Revenue M$"/>
    <x v="5"/>
    <n v="0.75088859759907223"/>
  </r>
  <r>
    <s v="Integrated AI"/>
    <x v="5"/>
    <x v="2"/>
    <s v="Wired Communications Electronics"/>
    <s v="DSL Broadband Access"/>
    <s v="Semiconductor Revenue M$"/>
    <x v="6"/>
    <n v="1.2545881681577942"/>
  </r>
  <r>
    <s v="Integrated AI"/>
    <x v="5"/>
    <x v="2"/>
    <s v="Wired Communications Electronics"/>
    <s v="Fiber Broadband Access"/>
    <s v="Semiconductor Revenue M$"/>
    <x v="0"/>
    <n v="8.595297114156606E-3"/>
  </r>
  <r>
    <s v="Integrated AI"/>
    <x v="5"/>
    <x v="2"/>
    <s v="Wired Communications Electronics"/>
    <s v="Fiber Broadband Access"/>
    <s v="Semiconductor Revenue M$"/>
    <x v="1"/>
    <n v="1.8748966857281828E-2"/>
  </r>
  <r>
    <s v="Integrated AI"/>
    <x v="5"/>
    <x v="2"/>
    <s v="Wired Communications Electronics"/>
    <s v="Fiber Broadband Access"/>
    <s v="Semiconductor Revenue M$"/>
    <x v="2"/>
    <n v="3.4224320260315744E-2"/>
  </r>
  <r>
    <s v="Integrated AI"/>
    <x v="5"/>
    <x v="2"/>
    <s v="Wired Communications Electronics"/>
    <s v="Fiber Broadband Access"/>
    <s v="Semiconductor Revenue M$"/>
    <x v="3"/>
    <n v="6.0567609612208279E-2"/>
  </r>
  <r>
    <s v="Integrated AI"/>
    <x v="5"/>
    <x v="2"/>
    <s v="Wired Communications Electronics"/>
    <s v="Fiber Broadband Access"/>
    <s v="Semiconductor Revenue M$"/>
    <x v="4"/>
    <n v="0.11549644783480904"/>
  </r>
  <r>
    <s v="Integrated AI"/>
    <x v="5"/>
    <x v="2"/>
    <s v="Wired Communications Electronics"/>
    <s v="Fiber Broadband Access"/>
    <s v="Semiconductor Revenue M$"/>
    <x v="5"/>
    <n v="0.19348109325518084"/>
  </r>
  <r>
    <s v="Integrated AI"/>
    <x v="5"/>
    <x v="2"/>
    <s v="Wired Communications Electronics"/>
    <s v="Fiber Broadband Access"/>
    <s v="Semiconductor Revenue M$"/>
    <x v="6"/>
    <n v="0.31994631845166166"/>
  </r>
  <r>
    <s v="Integrated AI"/>
    <x v="5"/>
    <x v="2"/>
    <s v="Wired Communications Electronics"/>
    <s v="Other Broadband Access"/>
    <s v="Semiconductor Revenue M$"/>
    <x v="0"/>
    <n v="3.1945740680456216E-3"/>
  </r>
  <r>
    <s v="Integrated AI"/>
    <x v="5"/>
    <x v="2"/>
    <s v="Wired Communications Electronics"/>
    <s v="Other Broadband Access"/>
    <s v="Semiconductor Revenue M$"/>
    <x v="1"/>
    <n v="6.7132969210711548E-3"/>
  </r>
  <r>
    <s v="Integrated AI"/>
    <x v="5"/>
    <x v="2"/>
    <s v="Wired Communications Electronics"/>
    <s v="Other Broadband Access"/>
    <s v="Semiconductor Revenue M$"/>
    <x v="2"/>
    <n v="1.16994564061261E-2"/>
  </r>
  <r>
    <s v="Integrated AI"/>
    <x v="5"/>
    <x v="2"/>
    <s v="Wired Communications Electronics"/>
    <s v="Other Broadband Access"/>
    <s v="Semiconductor Revenue M$"/>
    <x v="3"/>
    <n v="2.0107761809795881E-2"/>
  </r>
  <r>
    <s v="Integrated AI"/>
    <x v="5"/>
    <x v="2"/>
    <s v="Wired Communications Electronics"/>
    <s v="Other Broadband Access"/>
    <s v="Semiconductor Revenue M$"/>
    <x v="4"/>
    <n v="3.7686535030386256E-2"/>
  </r>
  <r>
    <s v="Integrated AI"/>
    <x v="5"/>
    <x v="2"/>
    <s v="Wired Communications Electronics"/>
    <s v="Other Broadband Access"/>
    <s v="Semiconductor Revenue M$"/>
    <x v="5"/>
    <n v="6.2819359256198443E-2"/>
  </r>
  <r>
    <s v="Integrated AI"/>
    <x v="5"/>
    <x v="2"/>
    <s v="Wired Communications Electronics"/>
    <s v="Other Broadband Access"/>
    <s v="Semiconductor Revenue M$"/>
    <x v="6"/>
    <n v="0.10539819349602168"/>
  </r>
  <r>
    <s v="Integrated AI"/>
    <x v="5"/>
    <x v="2"/>
    <s v="Wired Communications Electronics"/>
    <s v="Enterprise LAN"/>
    <s v="Semiconductor Revenue M$"/>
    <x v="0"/>
    <n v="4.9159273749687135E-2"/>
  </r>
  <r>
    <s v="Integrated AI"/>
    <x v="5"/>
    <x v="2"/>
    <s v="Wired Communications Electronics"/>
    <s v="Enterprise LAN"/>
    <s v="Semiconductor Revenue M$"/>
    <x v="1"/>
    <n v="0.11059173064351444"/>
  </r>
  <r>
    <s v="Integrated AI"/>
    <x v="5"/>
    <x v="2"/>
    <s v="Wired Communications Electronics"/>
    <s v="Enterprise LAN"/>
    <s v="Semiconductor Revenue M$"/>
    <x v="2"/>
    <n v="0.20044425382883826"/>
  </r>
  <r>
    <s v="Integrated AI"/>
    <x v="5"/>
    <x v="2"/>
    <s v="Wired Communications Electronics"/>
    <s v="Enterprise LAN"/>
    <s v="Semiconductor Revenue M$"/>
    <x v="3"/>
    <n v="0.35434611668342331"/>
  </r>
  <r>
    <s v="Integrated AI"/>
    <x v="5"/>
    <x v="2"/>
    <s v="Wired Communications Electronics"/>
    <s v="Enterprise LAN"/>
    <s v="Semiconductor Revenue M$"/>
    <x v="4"/>
    <n v="0.67547165010168031"/>
  </r>
  <r>
    <s v="Integrated AI"/>
    <x v="5"/>
    <x v="2"/>
    <s v="Wired Communications Electronics"/>
    <s v="Enterprise LAN"/>
    <s v="Semiconductor Revenue M$"/>
    <x v="5"/>
    <n v="1.1185091535669569"/>
  </r>
  <r>
    <s v="Integrated AI"/>
    <x v="5"/>
    <x v="2"/>
    <s v="Wired Communications Electronics"/>
    <s v="Enterprise LAN"/>
    <s v="Semiconductor Revenue M$"/>
    <x v="6"/>
    <n v="1.8289975073699454"/>
  </r>
  <r>
    <s v="Integrated AI"/>
    <x v="5"/>
    <x v="3"/>
    <s v="Automotive Electronics"/>
    <s v="ADAS-ECU (Level-0/1/2)"/>
    <s v="Semiconductor Revenue M$"/>
    <x v="0"/>
    <n v="1.3660696421131802"/>
  </r>
  <r>
    <s v="Integrated AI"/>
    <x v="5"/>
    <x v="3"/>
    <s v="Automotive Electronics"/>
    <s v="ADAS-ECU (Level-0/1/2)"/>
    <s v="Semiconductor Revenue M$"/>
    <x v="1"/>
    <n v="3.4876150008975593"/>
  </r>
  <r>
    <s v="Integrated AI"/>
    <x v="5"/>
    <x v="3"/>
    <s v="Automotive Electronics"/>
    <s v="ADAS-ECU (Level-0/1/2)"/>
    <s v="Semiconductor Revenue M$"/>
    <x v="2"/>
    <n v="8.7229676146653219"/>
  </r>
  <r>
    <s v="Integrated AI"/>
    <x v="5"/>
    <x v="3"/>
    <s v="Automotive Electronics"/>
    <s v="ADAS-ECU (Level-0/1/2)"/>
    <s v="Semiconductor Revenue M$"/>
    <x v="3"/>
    <n v="17.047162221675944"/>
  </r>
  <r>
    <s v="Integrated AI"/>
    <x v="5"/>
    <x v="3"/>
    <s v="Automotive Electronics"/>
    <s v="ADAS-ECU (Level-0/1/2)"/>
    <s v="Semiconductor Revenue M$"/>
    <x v="4"/>
    <n v="21.081658140468122"/>
  </r>
  <r>
    <s v="Integrated AI"/>
    <x v="5"/>
    <x v="3"/>
    <s v="Automotive Electronics"/>
    <s v="ADAS-ECU (Level-0/1/2)"/>
    <s v="Semiconductor Revenue M$"/>
    <x v="5"/>
    <n v="36.170592598812789"/>
  </r>
  <r>
    <s v="Integrated AI"/>
    <x v="5"/>
    <x v="3"/>
    <s v="Automotive Electronics"/>
    <s v="ADAS-ECU (Level-0/1/2)"/>
    <s v="Semiconductor Revenue M$"/>
    <x v="6"/>
    <n v="60.593955891564853"/>
  </r>
  <r>
    <s v="Integrated AI"/>
    <x v="5"/>
    <x v="2"/>
    <s v="Wired Communications Electronics"/>
    <s v="Enterprise WAN"/>
    <s v="Semiconductor Revenue M$"/>
    <x v="0"/>
    <n v="5.5007230879819694E-2"/>
  </r>
  <r>
    <s v="Integrated AI"/>
    <x v="5"/>
    <x v="2"/>
    <s v="Wired Communications Electronics"/>
    <s v="Enterprise WAN"/>
    <s v="Semiconductor Revenue M$"/>
    <x v="1"/>
    <n v="0.12429334193682962"/>
  </r>
  <r>
    <s v="Integrated AI"/>
    <x v="5"/>
    <x v="2"/>
    <s v="Wired Communications Electronics"/>
    <s v="Enterprise WAN"/>
    <s v="Semiconductor Revenue M$"/>
    <x v="2"/>
    <n v="0.23755648660067469"/>
  </r>
  <r>
    <s v="Integrated AI"/>
    <x v="5"/>
    <x v="2"/>
    <s v="Wired Communications Electronics"/>
    <s v="Enterprise WAN"/>
    <s v="Semiconductor Revenue M$"/>
    <x v="3"/>
    <n v="0.43185755588091507"/>
  </r>
  <r>
    <s v="Integrated AI"/>
    <x v="5"/>
    <x v="2"/>
    <s v="Wired Communications Electronics"/>
    <s v="Enterprise WAN"/>
    <s v="Semiconductor Revenue M$"/>
    <x v="4"/>
    <n v="0.84574163759463383"/>
  </r>
  <r>
    <s v="Integrated AI"/>
    <x v="5"/>
    <x v="2"/>
    <s v="Wired Communications Electronics"/>
    <s v="Enterprise WAN"/>
    <s v="Semiconductor Revenue M$"/>
    <x v="5"/>
    <n v="1.4312056163090163"/>
  </r>
  <r>
    <s v="Integrated AI"/>
    <x v="5"/>
    <x v="2"/>
    <s v="Wired Communications Electronics"/>
    <s v="Enterprise WAN"/>
    <s v="Semiconductor Revenue M$"/>
    <x v="6"/>
    <n v="2.3926122166428838"/>
  </r>
  <r>
    <s v="Integrated AI"/>
    <x v="5"/>
    <x v="2"/>
    <s v="Wired Communications Electronics"/>
    <s v="Optical Transport"/>
    <s v="Semiconductor Revenue M$"/>
    <x v="0"/>
    <n v="1.8789086608347865E-2"/>
  </r>
  <r>
    <s v="Integrated AI"/>
    <x v="5"/>
    <x v="2"/>
    <s v="Wired Communications Electronics"/>
    <s v="Optical Transport"/>
    <s v="Semiconductor Revenue M$"/>
    <x v="1"/>
    <n v="4.1894755381895715E-2"/>
  </r>
  <r>
    <s v="Integrated AI"/>
    <x v="5"/>
    <x v="2"/>
    <s v="Wired Communications Electronics"/>
    <s v="Optical Transport"/>
    <s v="Semiconductor Revenue M$"/>
    <x v="2"/>
    <n v="7.9591763613327648E-2"/>
  </r>
  <r>
    <s v="Integrated AI"/>
    <x v="5"/>
    <x v="2"/>
    <s v="Wired Communications Electronics"/>
    <s v="Optical Transport"/>
    <s v="Semiconductor Revenue M$"/>
    <x v="3"/>
    <n v="0.1465901836740251"/>
  </r>
  <r>
    <s v="Integrated AI"/>
    <x v="5"/>
    <x v="2"/>
    <s v="Wired Communications Electronics"/>
    <s v="Optical Transport"/>
    <s v="Semiconductor Revenue M$"/>
    <x v="4"/>
    <n v="0.28510507398452811"/>
  </r>
  <r>
    <s v="Integrated AI"/>
    <x v="5"/>
    <x v="2"/>
    <s v="Wired Communications Electronics"/>
    <s v="Optical Transport"/>
    <s v="Semiconductor Revenue M$"/>
    <x v="5"/>
    <n v="0.48137111646274783"/>
  </r>
  <r>
    <s v="Integrated AI"/>
    <x v="5"/>
    <x v="2"/>
    <s v="Wired Communications Electronics"/>
    <s v="Optical Transport"/>
    <s v="Semiconductor Revenue M$"/>
    <x v="6"/>
    <n v="0.80787511468188755"/>
  </r>
  <r>
    <s v="Integrated AI"/>
    <x v="5"/>
    <x v="2"/>
    <s v="Wired Communications Electronics"/>
    <s v="Service Provider Routers and Switches"/>
    <s v="Semiconductor Revenue M$"/>
    <x v="0"/>
    <n v="2.7446344053537575E-2"/>
  </r>
  <r>
    <s v="Integrated AI"/>
    <x v="5"/>
    <x v="2"/>
    <s v="Wired Communications Electronics"/>
    <s v="Service Provider Routers and Switches"/>
    <s v="Semiconductor Revenue M$"/>
    <x v="1"/>
    <n v="6.1199058211685635E-2"/>
  </r>
  <r>
    <s v="Integrated AI"/>
    <x v="5"/>
    <x v="2"/>
    <s v="Wired Communications Electronics"/>
    <s v="Service Provider Routers and Switches"/>
    <s v="Semiconductor Revenue M$"/>
    <x v="2"/>
    <n v="0.11447538664694454"/>
  </r>
  <r>
    <s v="Integrated AI"/>
    <x v="5"/>
    <x v="2"/>
    <s v="Wired Communications Electronics"/>
    <s v="Service Provider Routers and Switches"/>
    <s v="Semiconductor Revenue M$"/>
    <x v="3"/>
    <n v="0.20674414939036476"/>
  </r>
  <r>
    <s v="Integrated AI"/>
    <x v="5"/>
    <x v="2"/>
    <s v="Wired Communications Electronics"/>
    <s v="Service Provider Routers and Switches"/>
    <s v="Semiconductor Revenue M$"/>
    <x v="4"/>
    <n v="0.40084447095278236"/>
  </r>
  <r>
    <s v="Integrated AI"/>
    <x v="5"/>
    <x v="2"/>
    <s v="Wired Communications Electronics"/>
    <s v="Service Provider Routers and Switches"/>
    <s v="Semiconductor Revenue M$"/>
    <x v="5"/>
    <n v="0.67530278155054324"/>
  </r>
  <r>
    <s v="Integrated AI"/>
    <x v="5"/>
    <x v="2"/>
    <s v="Wired Communications Electronics"/>
    <s v="Service Provider Routers and Switches"/>
    <s v="Semiconductor Revenue M$"/>
    <x v="6"/>
    <n v="1.1187677784231191"/>
  </r>
  <r>
    <s v="Integrated AI"/>
    <x v="5"/>
    <x v="2"/>
    <s v="Wired Communications Electronics"/>
    <s v="Other Wired Communications Electronics"/>
    <s v="Semiconductor Revenue M$"/>
    <x v="0"/>
    <n v="0.12612885612391422"/>
  </r>
  <r>
    <s v="Integrated AI"/>
    <x v="5"/>
    <x v="2"/>
    <s v="Wired Communications Electronics"/>
    <s v="Other Wired Communications Electronics"/>
    <s v="Semiconductor Revenue M$"/>
    <x v="1"/>
    <n v="0.24388795280911441"/>
  </r>
  <r>
    <s v="Integrated AI"/>
    <x v="5"/>
    <x v="2"/>
    <s v="Wired Communications Electronics"/>
    <s v="Other Wired Communications Electronics"/>
    <s v="Semiconductor Revenue M$"/>
    <x v="2"/>
    <n v="0.43719721699113812"/>
  </r>
  <r>
    <s v="Integrated AI"/>
    <x v="5"/>
    <x v="2"/>
    <s v="Wired Communications Electronics"/>
    <s v="Other Wired Communications Electronics"/>
    <s v="Semiconductor Revenue M$"/>
    <x v="3"/>
    <n v="0.72969004245258884"/>
  </r>
  <r>
    <s v="Integrated AI"/>
    <x v="5"/>
    <x v="2"/>
    <s v="Wired Communications Electronics"/>
    <s v="Other Wired Communications Electronics"/>
    <s v="Semiconductor Revenue M$"/>
    <x v="4"/>
    <n v="1.3279875363108644"/>
  </r>
  <r>
    <s v="Integrated AI"/>
    <x v="5"/>
    <x v="2"/>
    <s v="Wired Communications Electronics"/>
    <s v="Other Wired Communications Electronics"/>
    <s v="Semiconductor Revenue M$"/>
    <x v="5"/>
    <n v="2.1370165947906266"/>
  </r>
  <r>
    <s v="Integrated AI"/>
    <x v="5"/>
    <x v="2"/>
    <s v="Wired Communications Electronics"/>
    <s v="Other Wired Communications Electronics"/>
    <s v="Semiconductor Revenue M$"/>
    <x v="6"/>
    <n v="3.3609459705630296"/>
  </r>
  <r>
    <s v="Integrated AI"/>
    <x v="5"/>
    <x v="4"/>
    <s v="Consumer Electronics"/>
    <s v="Appliances"/>
    <s v="Semiconductor Revenue M$"/>
    <x v="0"/>
    <n v="0.87415215191513218"/>
  </r>
  <r>
    <s v="Integrated AI"/>
    <x v="5"/>
    <x v="4"/>
    <s v="Consumer Electronics"/>
    <s v="Appliances"/>
    <s v="Semiconductor Revenue M$"/>
    <x v="1"/>
    <n v="2.548098372011951"/>
  </r>
  <r>
    <s v="Integrated AI"/>
    <x v="5"/>
    <x v="4"/>
    <s v="Consumer Electronics"/>
    <s v="Appliances"/>
    <s v="Semiconductor Revenue M$"/>
    <x v="2"/>
    <n v="4.9250439563768129"/>
  </r>
  <r>
    <s v="Integrated AI"/>
    <x v="5"/>
    <x v="4"/>
    <s v="Consumer Electronics"/>
    <s v="Appliances"/>
    <s v="Semiconductor Revenue M$"/>
    <x v="3"/>
    <n v="9.5681858406590088"/>
  </r>
  <r>
    <s v="Integrated AI"/>
    <x v="5"/>
    <x v="4"/>
    <s v="Consumer Electronics"/>
    <s v="Appliances"/>
    <s v="Semiconductor Revenue M$"/>
    <x v="4"/>
    <n v="16.409561922999373"/>
  </r>
  <r>
    <s v="Integrated AI"/>
    <x v="5"/>
    <x v="4"/>
    <s v="Consumer Electronics"/>
    <s v="Appliances"/>
    <s v="Semiconductor Revenue M$"/>
    <x v="5"/>
    <n v="31.098368714048473"/>
  </r>
  <r>
    <s v="Integrated AI"/>
    <x v="5"/>
    <x v="4"/>
    <s v="Consumer Electronics"/>
    <s v="Appliances"/>
    <s v="Semiconductor Revenue M$"/>
    <x v="6"/>
    <n v="57.842941122655489"/>
  </r>
  <r>
    <s v="Integrated AI"/>
    <x v="5"/>
    <x v="4"/>
    <s v="Consumer Electronics"/>
    <s v="Digital Camcorder"/>
    <s v="Semiconductor Revenue M$"/>
    <x v="0"/>
    <n v="0"/>
  </r>
  <r>
    <s v="Integrated AI"/>
    <x v="5"/>
    <x v="4"/>
    <s v="Consumer Electronics"/>
    <s v="Digital Camcorder"/>
    <s v="Semiconductor Revenue M$"/>
    <x v="1"/>
    <n v="0"/>
  </r>
  <r>
    <s v="Integrated AI"/>
    <x v="5"/>
    <x v="4"/>
    <s v="Consumer Electronics"/>
    <s v="Digital Camcorder"/>
    <s v="Semiconductor Revenue M$"/>
    <x v="2"/>
    <n v="0"/>
  </r>
  <r>
    <s v="Integrated AI"/>
    <x v="5"/>
    <x v="4"/>
    <s v="Consumer Electronics"/>
    <s v="Digital Camcorder"/>
    <s v="Semiconductor Revenue M$"/>
    <x v="3"/>
    <n v="0"/>
  </r>
  <r>
    <s v="Integrated AI"/>
    <x v="5"/>
    <x v="4"/>
    <s v="Consumer Electronics"/>
    <s v="Digital Camcorder"/>
    <s v="Semiconductor Revenue M$"/>
    <x v="4"/>
    <n v="0"/>
  </r>
  <r>
    <s v="Integrated AI"/>
    <x v="5"/>
    <x v="4"/>
    <s v="Consumer Electronics"/>
    <s v="Digital Camcorder"/>
    <s v="Semiconductor Revenue M$"/>
    <x v="5"/>
    <n v="0"/>
  </r>
  <r>
    <s v="Integrated AI"/>
    <x v="5"/>
    <x v="4"/>
    <s v="Consumer Electronics"/>
    <s v="Digital Camcorder"/>
    <s v="Semiconductor Revenue M$"/>
    <x v="6"/>
    <n v="0"/>
  </r>
  <r>
    <s v="Integrated AI"/>
    <x v="5"/>
    <x v="4"/>
    <s v="Consumer Electronics"/>
    <s v="Digital Set-Top Box, Cable"/>
    <s v="Semiconductor Revenue M$"/>
    <x v="0"/>
    <n v="0"/>
  </r>
  <r>
    <s v="Integrated AI"/>
    <x v="5"/>
    <x v="4"/>
    <s v="Consumer Electronics"/>
    <s v="Digital Set-Top Box, Cable"/>
    <s v="Semiconductor Revenue M$"/>
    <x v="1"/>
    <n v="0"/>
  </r>
  <r>
    <s v="Integrated AI"/>
    <x v="5"/>
    <x v="4"/>
    <s v="Consumer Electronics"/>
    <s v="Digital Set-Top Box, Cable"/>
    <s v="Semiconductor Revenue M$"/>
    <x v="2"/>
    <n v="0"/>
  </r>
  <r>
    <s v="Integrated AI"/>
    <x v="5"/>
    <x v="4"/>
    <s v="Consumer Electronics"/>
    <s v="Digital Set-Top Box, Cable"/>
    <s v="Semiconductor Revenue M$"/>
    <x v="3"/>
    <n v="0"/>
  </r>
  <r>
    <s v="Integrated AI"/>
    <x v="5"/>
    <x v="4"/>
    <s v="Consumer Electronics"/>
    <s v="Digital Set-Top Box, Cable"/>
    <s v="Semiconductor Revenue M$"/>
    <x v="4"/>
    <n v="0"/>
  </r>
  <r>
    <s v="Integrated AI"/>
    <x v="5"/>
    <x v="4"/>
    <s v="Consumer Electronics"/>
    <s v="Digital Set-Top Box, Cable"/>
    <s v="Semiconductor Revenue M$"/>
    <x v="5"/>
    <n v="0"/>
  </r>
  <r>
    <s v="Integrated AI"/>
    <x v="5"/>
    <x v="4"/>
    <s v="Consumer Electronics"/>
    <s v="Digital Set-Top Box, Cable"/>
    <s v="Semiconductor Revenue M$"/>
    <x v="6"/>
    <n v="0"/>
  </r>
  <r>
    <s v="Integrated AI"/>
    <x v="5"/>
    <x v="4"/>
    <s v="Consumer Electronics"/>
    <s v="Digital Set-Top Box, Satellite"/>
    <s v="Semiconductor Revenue M$"/>
    <x v="0"/>
    <n v="0"/>
  </r>
  <r>
    <s v="Integrated AI"/>
    <x v="5"/>
    <x v="4"/>
    <s v="Consumer Electronics"/>
    <s v="Digital Set-Top Box, Satellite"/>
    <s v="Semiconductor Revenue M$"/>
    <x v="1"/>
    <n v="0"/>
  </r>
  <r>
    <s v="Integrated AI"/>
    <x v="5"/>
    <x v="4"/>
    <s v="Consumer Electronics"/>
    <s v="Digital Set-Top Box, Satellite"/>
    <s v="Semiconductor Revenue M$"/>
    <x v="2"/>
    <n v="0"/>
  </r>
  <r>
    <s v="Integrated AI"/>
    <x v="5"/>
    <x v="4"/>
    <s v="Consumer Electronics"/>
    <s v="Digital Set-Top Box, Satellite"/>
    <s v="Semiconductor Revenue M$"/>
    <x v="3"/>
    <n v="0"/>
  </r>
  <r>
    <s v="Integrated AI"/>
    <x v="5"/>
    <x v="4"/>
    <s v="Consumer Electronics"/>
    <s v="Digital Set-Top Box, Satellite"/>
    <s v="Semiconductor Revenue M$"/>
    <x v="4"/>
    <n v="0"/>
  </r>
  <r>
    <s v="Integrated AI"/>
    <x v="5"/>
    <x v="4"/>
    <s v="Consumer Electronics"/>
    <s v="Digital Set-Top Box, Satellite"/>
    <s v="Semiconductor Revenue M$"/>
    <x v="5"/>
    <n v="0"/>
  </r>
  <r>
    <s v="Integrated AI"/>
    <x v="5"/>
    <x v="4"/>
    <s v="Consumer Electronics"/>
    <s v="Digital Set-Top Box, Satellite"/>
    <s v="Semiconductor Revenue M$"/>
    <x v="6"/>
    <n v="0"/>
  </r>
  <r>
    <s v="Integrated AI"/>
    <x v="5"/>
    <x v="4"/>
    <s v="Consumer Electronics"/>
    <s v="Digital Set-Top Box, Terrestrial"/>
    <s v="Semiconductor Revenue M$"/>
    <x v="0"/>
    <n v="0"/>
  </r>
  <r>
    <s v="Integrated AI"/>
    <x v="5"/>
    <x v="4"/>
    <s v="Consumer Electronics"/>
    <s v="Digital Set-Top Box, Terrestrial"/>
    <s v="Semiconductor Revenue M$"/>
    <x v="1"/>
    <n v="0"/>
  </r>
  <r>
    <s v="Integrated AI"/>
    <x v="5"/>
    <x v="4"/>
    <s v="Consumer Electronics"/>
    <s v="Digital Set-Top Box, Terrestrial"/>
    <s v="Semiconductor Revenue M$"/>
    <x v="2"/>
    <n v="0"/>
  </r>
  <r>
    <s v="Integrated AI"/>
    <x v="5"/>
    <x v="4"/>
    <s v="Consumer Electronics"/>
    <s v="Digital Set-Top Box, Terrestrial"/>
    <s v="Semiconductor Revenue M$"/>
    <x v="3"/>
    <n v="0"/>
  </r>
  <r>
    <s v="Integrated AI"/>
    <x v="5"/>
    <x v="4"/>
    <s v="Consumer Electronics"/>
    <s v="Digital Set-Top Box, Terrestrial"/>
    <s v="Semiconductor Revenue M$"/>
    <x v="4"/>
    <n v="0"/>
  </r>
  <r>
    <s v="Integrated AI"/>
    <x v="5"/>
    <x v="4"/>
    <s v="Consumer Electronics"/>
    <s v="Digital Set-Top Box, Terrestrial"/>
    <s v="Semiconductor Revenue M$"/>
    <x v="5"/>
    <n v="0"/>
  </r>
  <r>
    <s v="Integrated AI"/>
    <x v="5"/>
    <x v="4"/>
    <s v="Consumer Electronics"/>
    <s v="Digital Set-Top Box, Terrestrial"/>
    <s v="Semiconductor Revenue M$"/>
    <x v="6"/>
    <n v="0"/>
  </r>
  <r>
    <s v="Integrated AI"/>
    <x v="5"/>
    <x v="4"/>
    <s v="Consumer Electronics"/>
    <s v="Digital Set-Top Box, IP/Other"/>
    <s v="Semiconductor Revenue M$"/>
    <x v="0"/>
    <n v="0"/>
  </r>
  <r>
    <s v="Integrated AI"/>
    <x v="5"/>
    <x v="4"/>
    <s v="Consumer Electronics"/>
    <s v="Digital Set-Top Box, IP/Other"/>
    <s v="Semiconductor Revenue M$"/>
    <x v="1"/>
    <n v="0"/>
  </r>
  <r>
    <s v="Integrated AI"/>
    <x v="5"/>
    <x v="4"/>
    <s v="Consumer Electronics"/>
    <s v="Digital Set-Top Box, IP/Other"/>
    <s v="Semiconductor Revenue M$"/>
    <x v="2"/>
    <n v="0"/>
  </r>
  <r>
    <s v="Integrated AI"/>
    <x v="5"/>
    <x v="4"/>
    <s v="Consumer Electronics"/>
    <s v="Digital Set-Top Box, IP/Other"/>
    <s v="Semiconductor Revenue M$"/>
    <x v="3"/>
    <n v="0"/>
  </r>
  <r>
    <s v="Integrated AI"/>
    <x v="5"/>
    <x v="4"/>
    <s v="Consumer Electronics"/>
    <s v="Digital Set-Top Box, IP/Other"/>
    <s v="Semiconductor Revenue M$"/>
    <x v="4"/>
    <n v="0"/>
  </r>
  <r>
    <s v="Integrated AI"/>
    <x v="5"/>
    <x v="4"/>
    <s v="Consumer Electronics"/>
    <s v="Digital Set-Top Box, IP/Other"/>
    <s v="Semiconductor Revenue M$"/>
    <x v="5"/>
    <n v="0"/>
  </r>
  <r>
    <s v="Integrated AI"/>
    <x v="5"/>
    <x v="4"/>
    <s v="Consumer Electronics"/>
    <s v="Digital Set-Top Box, IP/Other"/>
    <s v="Semiconductor Revenue M$"/>
    <x v="6"/>
    <n v="0"/>
  </r>
  <r>
    <s v="Integrated AI"/>
    <x v="5"/>
    <x v="4"/>
    <s v="Consumer Electronics"/>
    <s v="Digital Still Camera"/>
    <s v="Semiconductor Revenue M$"/>
    <x v="0"/>
    <n v="0"/>
  </r>
  <r>
    <s v="Integrated AI"/>
    <x v="5"/>
    <x v="4"/>
    <s v="Consumer Electronics"/>
    <s v="Digital Still Camera"/>
    <s v="Semiconductor Revenue M$"/>
    <x v="1"/>
    <n v="0"/>
  </r>
  <r>
    <s v="Integrated AI"/>
    <x v="5"/>
    <x v="4"/>
    <s v="Consumer Electronics"/>
    <s v="Digital Still Camera"/>
    <s v="Semiconductor Revenue M$"/>
    <x v="2"/>
    <n v="0"/>
  </r>
  <r>
    <s v="Integrated AI"/>
    <x v="5"/>
    <x v="4"/>
    <s v="Consumer Electronics"/>
    <s v="Digital Still Camera"/>
    <s v="Semiconductor Revenue M$"/>
    <x v="3"/>
    <n v="0"/>
  </r>
  <r>
    <s v="Integrated AI"/>
    <x v="5"/>
    <x v="4"/>
    <s v="Consumer Electronics"/>
    <s v="Digital Still Camera"/>
    <s v="Semiconductor Revenue M$"/>
    <x v="4"/>
    <n v="0"/>
  </r>
  <r>
    <s v="Integrated AI"/>
    <x v="5"/>
    <x v="4"/>
    <s v="Consumer Electronics"/>
    <s v="Digital Still Camera"/>
    <s v="Semiconductor Revenue M$"/>
    <x v="5"/>
    <n v="0"/>
  </r>
  <r>
    <s v="Integrated AI"/>
    <x v="5"/>
    <x v="4"/>
    <s v="Consumer Electronics"/>
    <s v="Digital Still Camera"/>
    <s v="Semiconductor Revenue M$"/>
    <x v="6"/>
    <n v="0"/>
  </r>
  <r>
    <s v="Integrated AI"/>
    <x v="5"/>
    <x v="5"/>
    <s v="Industrial Electronics"/>
    <s v="Agriculture"/>
    <s v="Semiconductor Revenue M$"/>
    <x v="0"/>
    <n v="0.15094191304912558"/>
  </r>
  <r>
    <s v="Integrated AI"/>
    <x v="5"/>
    <x v="5"/>
    <s v="Industrial Electronics"/>
    <s v="Agriculture"/>
    <s v="Semiconductor Revenue M$"/>
    <x v="1"/>
    <n v="0.36095741040680374"/>
  </r>
  <r>
    <s v="Integrated AI"/>
    <x v="5"/>
    <x v="5"/>
    <s v="Industrial Electronics"/>
    <s v="Agriculture"/>
    <s v="Semiconductor Revenue M$"/>
    <x v="2"/>
    <n v="0.99224239405888182"/>
  </r>
  <r>
    <s v="Integrated AI"/>
    <x v="5"/>
    <x v="5"/>
    <s v="Industrial Electronics"/>
    <s v="Agriculture"/>
    <s v="Semiconductor Revenue M$"/>
    <x v="3"/>
    <n v="2.2508214094222914"/>
  </r>
  <r>
    <s v="Integrated AI"/>
    <x v="5"/>
    <x v="5"/>
    <s v="Industrial Electronics"/>
    <s v="Agriculture"/>
    <s v="Semiconductor Revenue M$"/>
    <x v="4"/>
    <n v="3.0626795724572267"/>
  </r>
  <r>
    <s v="Integrated AI"/>
    <x v="5"/>
    <x v="5"/>
    <s v="Industrial Electronics"/>
    <s v="Agriculture"/>
    <s v="Semiconductor Revenue M$"/>
    <x v="5"/>
    <n v="5.1964697161782727"/>
  </r>
  <r>
    <s v="Integrated AI"/>
    <x v="5"/>
    <x v="5"/>
    <s v="Industrial Electronics"/>
    <s v="Agriculture"/>
    <s v="Semiconductor Revenue M$"/>
    <x v="6"/>
    <n v="7.2242077313008028"/>
  </r>
  <r>
    <s v="Integrated AI"/>
    <x v="5"/>
    <x v="3"/>
    <s v="Automotive Electronics"/>
    <s v="Automotive HPC"/>
    <s v="Semiconductor Revenue M$"/>
    <x v="0"/>
    <n v="0"/>
  </r>
  <r>
    <s v="Integrated AI"/>
    <x v="5"/>
    <x v="3"/>
    <s v="Automotive Electronics"/>
    <s v="Automotive HPC"/>
    <s v="Semiconductor Revenue M$"/>
    <x v="1"/>
    <n v="0"/>
  </r>
  <r>
    <s v="Integrated AI"/>
    <x v="5"/>
    <x v="3"/>
    <s v="Automotive Electronics"/>
    <s v="Automotive HPC"/>
    <s v="Semiconductor Revenue M$"/>
    <x v="2"/>
    <n v="0"/>
  </r>
  <r>
    <s v="Integrated AI"/>
    <x v="5"/>
    <x v="3"/>
    <s v="Automotive Electronics"/>
    <s v="Automotive HPC"/>
    <s v="Semiconductor Revenue M$"/>
    <x v="3"/>
    <n v="0"/>
  </r>
  <r>
    <s v="Integrated AI"/>
    <x v="5"/>
    <x v="3"/>
    <s v="Automotive Electronics"/>
    <s v="Automotive HPC"/>
    <s v="Semiconductor Revenue M$"/>
    <x v="4"/>
    <n v="0"/>
  </r>
  <r>
    <s v="Integrated AI"/>
    <x v="5"/>
    <x v="3"/>
    <s v="Automotive Electronics"/>
    <s v="Automotive HPC"/>
    <s v="Semiconductor Revenue M$"/>
    <x v="5"/>
    <n v="0"/>
  </r>
  <r>
    <s v="Integrated AI"/>
    <x v="5"/>
    <x v="3"/>
    <s v="Automotive Electronics"/>
    <s v="Automotive HPC"/>
    <s v="Semiconductor Revenue M$"/>
    <x v="6"/>
    <n v="0"/>
  </r>
  <r>
    <s v="Integrated AI"/>
    <x v="5"/>
    <x v="5"/>
    <s v="Industrial Electronics"/>
    <s v="Surveillance"/>
    <s v="Semiconductor Revenue M$"/>
    <x v="0"/>
    <n v="0.25041436124319111"/>
  </r>
  <r>
    <s v="Integrated AI"/>
    <x v="5"/>
    <x v="5"/>
    <s v="Industrial Electronics"/>
    <s v="Surveillance"/>
    <s v="Semiconductor Revenue M$"/>
    <x v="1"/>
    <n v="0.79556624043605995"/>
  </r>
  <r>
    <s v="Integrated AI"/>
    <x v="5"/>
    <x v="5"/>
    <s v="Industrial Electronics"/>
    <s v="Surveillance"/>
    <s v="Semiconductor Revenue M$"/>
    <x v="2"/>
    <n v="1.9582842471004023"/>
  </r>
  <r>
    <s v="Integrated AI"/>
    <x v="5"/>
    <x v="5"/>
    <s v="Industrial Electronics"/>
    <s v="Surveillance"/>
    <s v="Semiconductor Revenue M$"/>
    <x v="3"/>
    <n v="4.9337467503769767"/>
  </r>
  <r>
    <s v="Integrated AI"/>
    <x v="5"/>
    <x v="5"/>
    <s v="Industrial Electronics"/>
    <s v="Surveillance"/>
    <s v="Semiconductor Revenue M$"/>
    <x v="4"/>
    <n v="6.7463333763473443"/>
  </r>
  <r>
    <s v="Integrated AI"/>
    <x v="5"/>
    <x v="5"/>
    <s v="Industrial Electronics"/>
    <s v="Surveillance"/>
    <s v="Semiconductor Revenue M$"/>
    <x v="5"/>
    <n v="11.55614587224925"/>
  </r>
  <r>
    <s v="Integrated AI"/>
    <x v="5"/>
    <x v="5"/>
    <s v="Industrial Electronics"/>
    <s v="Surveillance"/>
    <s v="Semiconductor Revenue M$"/>
    <x v="6"/>
    <n v="15.452289990603504"/>
  </r>
  <r>
    <s v="Integrated AI"/>
    <x v="5"/>
    <x v="4"/>
    <s v="Consumer Electronics"/>
    <s v="Portable Media Players"/>
    <s v="Semiconductor Revenue M$"/>
    <x v="0"/>
    <n v="0"/>
  </r>
  <r>
    <s v="Integrated AI"/>
    <x v="5"/>
    <x v="4"/>
    <s v="Consumer Electronics"/>
    <s v="Portable Media Players"/>
    <s v="Semiconductor Revenue M$"/>
    <x v="1"/>
    <n v="0"/>
  </r>
  <r>
    <s v="Integrated AI"/>
    <x v="5"/>
    <x v="4"/>
    <s v="Consumer Electronics"/>
    <s v="Portable Media Players"/>
    <s v="Semiconductor Revenue M$"/>
    <x v="2"/>
    <n v="0"/>
  </r>
  <r>
    <s v="Integrated AI"/>
    <x v="5"/>
    <x v="4"/>
    <s v="Consumer Electronics"/>
    <s v="Portable Media Players"/>
    <s v="Semiconductor Revenue M$"/>
    <x v="3"/>
    <n v="0"/>
  </r>
  <r>
    <s v="Integrated AI"/>
    <x v="5"/>
    <x v="4"/>
    <s v="Consumer Electronics"/>
    <s v="Portable Media Players"/>
    <s v="Semiconductor Revenue M$"/>
    <x v="4"/>
    <n v="0"/>
  </r>
  <r>
    <s v="Integrated AI"/>
    <x v="5"/>
    <x v="4"/>
    <s v="Consumer Electronics"/>
    <s v="Portable Media Players"/>
    <s v="Semiconductor Revenue M$"/>
    <x v="5"/>
    <n v="0"/>
  </r>
  <r>
    <s v="Integrated AI"/>
    <x v="5"/>
    <x v="4"/>
    <s v="Consumer Electronics"/>
    <s v="Portable Media Players"/>
    <s v="Semiconductor Revenue M$"/>
    <x v="6"/>
    <n v="0"/>
  </r>
  <r>
    <s v="Integrated AI"/>
    <x v="5"/>
    <x v="4"/>
    <s v="Consumer Electronics"/>
    <s v="Smart Speakers"/>
    <s v="Semiconductor Revenue M$"/>
    <x v="0"/>
    <n v="0"/>
  </r>
  <r>
    <s v="Integrated AI"/>
    <x v="5"/>
    <x v="4"/>
    <s v="Consumer Electronics"/>
    <s v="Smart Speakers"/>
    <s v="Semiconductor Revenue M$"/>
    <x v="1"/>
    <n v="0"/>
  </r>
  <r>
    <s v="Integrated AI"/>
    <x v="5"/>
    <x v="4"/>
    <s v="Consumer Electronics"/>
    <s v="Smart Speakers"/>
    <s v="Semiconductor Revenue M$"/>
    <x v="2"/>
    <n v="0"/>
  </r>
  <r>
    <s v="Integrated AI"/>
    <x v="5"/>
    <x v="4"/>
    <s v="Consumer Electronics"/>
    <s v="Smart Speakers"/>
    <s v="Semiconductor Revenue M$"/>
    <x v="3"/>
    <n v="0"/>
  </r>
  <r>
    <s v="Integrated AI"/>
    <x v="5"/>
    <x v="4"/>
    <s v="Consumer Electronics"/>
    <s v="Smart Speakers"/>
    <s v="Semiconductor Revenue M$"/>
    <x v="4"/>
    <n v="0"/>
  </r>
  <r>
    <s v="Integrated AI"/>
    <x v="5"/>
    <x v="4"/>
    <s v="Consumer Electronics"/>
    <s v="Smart Speakers"/>
    <s v="Semiconductor Revenue M$"/>
    <x v="5"/>
    <n v="0"/>
  </r>
  <r>
    <s v="Integrated AI"/>
    <x v="5"/>
    <x v="4"/>
    <s v="Consumer Electronics"/>
    <s v="Smart Speakers"/>
    <s v="Semiconductor Revenue M$"/>
    <x v="6"/>
    <n v="0"/>
  </r>
  <r>
    <s v="Integrated AI"/>
    <x v="5"/>
    <x v="4"/>
    <s v="Consumer Electronics"/>
    <s v="TV, Standard"/>
    <s v="Semiconductor Revenue M$"/>
    <x v="0"/>
    <n v="0"/>
  </r>
  <r>
    <s v="Integrated AI"/>
    <x v="5"/>
    <x v="4"/>
    <s v="Consumer Electronics"/>
    <s v="TV, Standard"/>
    <s v="Semiconductor Revenue M$"/>
    <x v="1"/>
    <n v="0"/>
  </r>
  <r>
    <s v="Integrated AI"/>
    <x v="5"/>
    <x v="4"/>
    <s v="Consumer Electronics"/>
    <s v="TV, Standard"/>
    <s v="Semiconductor Revenue M$"/>
    <x v="2"/>
    <n v="0"/>
  </r>
  <r>
    <s v="Integrated AI"/>
    <x v="5"/>
    <x v="4"/>
    <s v="Consumer Electronics"/>
    <s v="TV, Standard"/>
    <s v="Semiconductor Revenue M$"/>
    <x v="3"/>
    <n v="0"/>
  </r>
  <r>
    <s v="Integrated AI"/>
    <x v="5"/>
    <x v="4"/>
    <s v="Consumer Electronics"/>
    <s v="TV, Standard"/>
    <s v="Semiconductor Revenue M$"/>
    <x v="4"/>
    <n v="0"/>
  </r>
  <r>
    <s v="Integrated AI"/>
    <x v="5"/>
    <x v="4"/>
    <s v="Consumer Electronics"/>
    <s v="TV, Standard"/>
    <s v="Semiconductor Revenue M$"/>
    <x v="5"/>
    <n v="0"/>
  </r>
  <r>
    <s v="Integrated AI"/>
    <x v="5"/>
    <x v="4"/>
    <s v="Consumer Electronics"/>
    <s v="TV, Standard"/>
    <s v="Semiconductor Revenue M$"/>
    <x v="6"/>
    <n v="0"/>
  </r>
  <r>
    <s v="Integrated AI"/>
    <x v="5"/>
    <x v="4"/>
    <s v="Consumer Electronics"/>
    <s v="TV, Smart"/>
    <s v="Semiconductor Revenue M$"/>
    <x v="0"/>
    <n v="9.2059602138720442E-3"/>
  </r>
  <r>
    <s v="Integrated AI"/>
    <x v="5"/>
    <x v="4"/>
    <s v="Consumer Electronics"/>
    <s v="TV, Smart"/>
    <s v="Semiconductor Revenue M$"/>
    <x v="1"/>
    <n v="3.767765728428215E-2"/>
  </r>
  <r>
    <s v="Integrated AI"/>
    <x v="5"/>
    <x v="4"/>
    <s v="Consumer Electronics"/>
    <s v="TV, Smart"/>
    <s v="Semiconductor Revenue M$"/>
    <x v="2"/>
    <n v="0.11535700251789856"/>
  </r>
  <r>
    <s v="Integrated AI"/>
    <x v="5"/>
    <x v="4"/>
    <s v="Consumer Electronics"/>
    <s v="TV, Smart"/>
    <s v="Semiconductor Revenue M$"/>
    <x v="3"/>
    <n v="0.342566704503525"/>
  </r>
  <r>
    <s v="Integrated AI"/>
    <x v="5"/>
    <x v="4"/>
    <s v="Consumer Electronics"/>
    <s v="TV, Smart"/>
    <s v="Semiconductor Revenue M$"/>
    <x v="4"/>
    <n v="1.0726684169220435"/>
  </r>
  <r>
    <s v="Integrated AI"/>
    <x v="5"/>
    <x v="4"/>
    <s v="Consumer Electronics"/>
    <s v="TV, Smart"/>
    <s v="Semiconductor Revenue M$"/>
    <x v="5"/>
    <n v="2.7332368397043401"/>
  </r>
  <r>
    <s v="Integrated AI"/>
    <x v="5"/>
    <x v="4"/>
    <s v="Consumer Electronics"/>
    <s v="TV, Smart"/>
    <s v="Semiconductor Revenue M$"/>
    <x v="6"/>
    <n v="6.771714216585039"/>
  </r>
  <r>
    <s v="Integrated AI"/>
    <x v="5"/>
    <x v="4"/>
    <s v="Consumer Electronics"/>
    <s v="Video Game Consoles"/>
    <s v="Semiconductor Revenue M$"/>
    <x v="0"/>
    <n v="0.12141285237023994"/>
  </r>
  <r>
    <s v="Integrated AI"/>
    <x v="5"/>
    <x v="4"/>
    <s v="Consumer Electronics"/>
    <s v="Video Game Consoles"/>
    <s v="Semiconductor Revenue M$"/>
    <x v="1"/>
    <n v="0.3042039818765247"/>
  </r>
  <r>
    <s v="Integrated AI"/>
    <x v="5"/>
    <x v="4"/>
    <s v="Consumer Electronics"/>
    <s v="Video Game Consoles"/>
    <s v="Semiconductor Revenue M$"/>
    <x v="2"/>
    <n v="0.54711436194360663"/>
  </r>
  <r>
    <s v="Integrated AI"/>
    <x v="5"/>
    <x v="4"/>
    <s v="Consumer Electronics"/>
    <s v="Video Game Consoles"/>
    <s v="Semiconductor Revenue M$"/>
    <x v="3"/>
    <n v="0.83689208990820463"/>
  </r>
  <r>
    <s v="Integrated AI"/>
    <x v="5"/>
    <x v="4"/>
    <s v="Consumer Electronics"/>
    <s v="Video Game Consoles"/>
    <s v="Semiconductor Revenue M$"/>
    <x v="4"/>
    <n v="0.97169884135636475"/>
  </r>
  <r>
    <s v="Integrated AI"/>
    <x v="5"/>
    <x v="4"/>
    <s v="Consumer Electronics"/>
    <s v="Video Game Consoles"/>
    <s v="Semiconductor Revenue M$"/>
    <x v="5"/>
    <n v="1.2881449181777915"/>
  </r>
  <r>
    <s v="Integrated AI"/>
    <x v="5"/>
    <x v="4"/>
    <s v="Consumer Electronics"/>
    <s v="Video Game Consoles"/>
    <s v="Semiconductor Revenue M$"/>
    <x v="6"/>
    <n v="1.8202270985114815"/>
  </r>
  <r>
    <s v="Integrated AI"/>
    <x v="5"/>
    <x v="4"/>
    <s v="Consumer Electronics"/>
    <s v="Video Game Handhelds"/>
    <s v="Semiconductor Revenue M$"/>
    <x v="0"/>
    <n v="5.4239311516900103E-3"/>
  </r>
  <r>
    <s v="Integrated AI"/>
    <x v="5"/>
    <x v="4"/>
    <s v="Consumer Electronics"/>
    <s v="Video Game Handhelds"/>
    <s v="Semiconductor Revenue M$"/>
    <x v="1"/>
    <n v="8.7242685363766777E-3"/>
  </r>
  <r>
    <s v="Integrated AI"/>
    <x v="5"/>
    <x v="4"/>
    <s v="Consumer Electronics"/>
    <s v="Video Game Handhelds"/>
    <s v="Semiconductor Revenue M$"/>
    <x v="2"/>
    <n v="2.0315681396963211E-2"/>
  </r>
  <r>
    <s v="Integrated AI"/>
    <x v="5"/>
    <x v="4"/>
    <s v="Consumer Electronics"/>
    <s v="Video Game Handhelds"/>
    <s v="Semiconductor Revenue M$"/>
    <x v="3"/>
    <n v="4.6235331729703746E-2"/>
  </r>
  <r>
    <s v="Integrated AI"/>
    <x v="5"/>
    <x v="4"/>
    <s v="Consumer Electronics"/>
    <s v="Video Game Handhelds"/>
    <s v="Semiconductor Revenue M$"/>
    <x v="4"/>
    <n v="7.4663707583863884E-2"/>
  </r>
  <r>
    <s v="Integrated AI"/>
    <x v="5"/>
    <x v="4"/>
    <s v="Consumer Electronics"/>
    <s v="Video Game Handhelds"/>
    <s v="Semiconductor Revenue M$"/>
    <x v="5"/>
    <n v="0.26678894194212327"/>
  </r>
  <r>
    <s v="Integrated AI"/>
    <x v="5"/>
    <x v="4"/>
    <s v="Consumer Electronics"/>
    <s v="Video Game Handhelds"/>
    <s v="Semiconductor Revenue M$"/>
    <x v="6"/>
    <n v="0.71132814354097174"/>
  </r>
  <r>
    <s v="Integrated AI"/>
    <x v="5"/>
    <x v="4"/>
    <s v="Consumer Electronics"/>
    <s v="Wristbands"/>
    <s v="Semiconductor Revenue M$"/>
    <x v="0"/>
    <n v="2.6715227168979419E-5"/>
  </r>
  <r>
    <s v="Integrated AI"/>
    <x v="5"/>
    <x v="4"/>
    <s v="Consumer Electronics"/>
    <s v="Wristbands"/>
    <s v="Semiconductor Revenue M$"/>
    <x v="1"/>
    <n v="1.2219422272702679E-4"/>
  </r>
  <r>
    <s v="Integrated AI"/>
    <x v="5"/>
    <x v="4"/>
    <s v="Consumer Electronics"/>
    <s v="Wristbands"/>
    <s v="Semiconductor Revenue M$"/>
    <x v="2"/>
    <n v="3.1715339568988573E-4"/>
  </r>
  <r>
    <s v="Integrated AI"/>
    <x v="5"/>
    <x v="4"/>
    <s v="Consumer Electronics"/>
    <s v="Wristbands"/>
    <s v="Semiconductor Revenue M$"/>
    <x v="3"/>
    <n v="9.328185938116268E-4"/>
  </r>
  <r>
    <s v="Integrated AI"/>
    <x v="5"/>
    <x v="4"/>
    <s v="Consumer Electronics"/>
    <s v="Wristbands"/>
    <s v="Semiconductor Revenue M$"/>
    <x v="4"/>
    <n v="2.6567671724840049E-3"/>
  </r>
  <r>
    <s v="Integrated AI"/>
    <x v="5"/>
    <x v="4"/>
    <s v="Consumer Electronics"/>
    <s v="Wristbands"/>
    <s v="Semiconductor Revenue M$"/>
    <x v="5"/>
    <n v="6.2586103865413245E-3"/>
  </r>
  <r>
    <s v="Integrated AI"/>
    <x v="5"/>
    <x v="4"/>
    <s v="Consumer Electronics"/>
    <s v="Wristbands"/>
    <s v="Semiconductor Revenue M$"/>
    <x v="6"/>
    <n v="1.4451766548068958E-2"/>
  </r>
  <r>
    <s v="Integrated AI"/>
    <x v="5"/>
    <x v="4"/>
    <s v="Consumer Electronics"/>
    <s v="Head Mounted Display"/>
    <s v="Semiconductor Revenue M$"/>
    <x v="0"/>
    <n v="1.3813496880595475E-3"/>
  </r>
  <r>
    <s v="Integrated AI"/>
    <x v="5"/>
    <x v="4"/>
    <s v="Consumer Electronics"/>
    <s v="Head Mounted Display"/>
    <s v="Semiconductor Revenue M$"/>
    <x v="1"/>
    <n v="8.8989802053543489E-3"/>
  </r>
  <r>
    <s v="Integrated AI"/>
    <x v="5"/>
    <x v="4"/>
    <s v="Consumer Electronics"/>
    <s v="Head Mounted Display"/>
    <s v="Semiconductor Revenue M$"/>
    <x v="2"/>
    <n v="3.4894399110035765E-2"/>
  </r>
  <r>
    <s v="Integrated AI"/>
    <x v="5"/>
    <x v="4"/>
    <s v="Consumer Electronics"/>
    <s v="Head Mounted Display"/>
    <s v="Semiconductor Revenue M$"/>
    <x v="3"/>
    <n v="9.8634273437297859E-2"/>
  </r>
  <r>
    <s v="Integrated AI"/>
    <x v="5"/>
    <x v="4"/>
    <s v="Consumer Electronics"/>
    <s v="Head Mounted Display"/>
    <s v="Semiconductor Revenue M$"/>
    <x v="4"/>
    <n v="0.32041534274904926"/>
  </r>
  <r>
    <s v="Integrated AI"/>
    <x v="5"/>
    <x v="4"/>
    <s v="Consumer Electronics"/>
    <s v="Head Mounted Display"/>
    <s v="Semiconductor Revenue M$"/>
    <x v="5"/>
    <n v="0.94389722416598942"/>
  </r>
  <r>
    <s v="Integrated AI"/>
    <x v="5"/>
    <x v="4"/>
    <s v="Consumer Electronics"/>
    <s v="Head Mounted Display"/>
    <s v="Semiconductor Revenue M$"/>
    <x v="6"/>
    <n v="2.4692144461455983"/>
  </r>
  <r>
    <s v="Integrated AI"/>
    <x v="5"/>
    <x v="4"/>
    <s v="Consumer Electronics"/>
    <s v="Smart Watches"/>
    <s v="Semiconductor Revenue M$"/>
    <x v="0"/>
    <n v="6.8973398649180223E-3"/>
  </r>
  <r>
    <s v="Integrated AI"/>
    <x v="5"/>
    <x v="4"/>
    <s v="Consumer Electronics"/>
    <s v="Smart Watches"/>
    <s v="Semiconductor Revenue M$"/>
    <x v="1"/>
    <n v="3.4432483380716868E-2"/>
  </r>
  <r>
    <s v="Integrated AI"/>
    <x v="5"/>
    <x v="4"/>
    <s v="Consumer Electronics"/>
    <s v="Smart Watches"/>
    <s v="Semiconductor Revenue M$"/>
    <x v="2"/>
    <n v="0.12066615309538613"/>
  </r>
  <r>
    <s v="Integrated AI"/>
    <x v="5"/>
    <x v="4"/>
    <s v="Consumer Electronics"/>
    <s v="Smart Watches"/>
    <s v="Semiconductor Revenue M$"/>
    <x v="3"/>
    <n v="0.40540608704388204"/>
  </r>
  <r>
    <s v="Integrated AI"/>
    <x v="5"/>
    <x v="4"/>
    <s v="Consumer Electronics"/>
    <s v="Smart Watches"/>
    <s v="Semiconductor Revenue M$"/>
    <x v="4"/>
    <n v="1.380692866767532"/>
  </r>
  <r>
    <s v="Integrated AI"/>
    <x v="5"/>
    <x v="4"/>
    <s v="Consumer Electronics"/>
    <s v="Smart Watches"/>
    <s v="Semiconductor Revenue M$"/>
    <x v="5"/>
    <n v="3.864672587997493"/>
  </r>
  <r>
    <s v="Integrated AI"/>
    <x v="5"/>
    <x v="4"/>
    <s v="Consumer Electronics"/>
    <s v="Smart Watches"/>
    <s v="Semiconductor Revenue M$"/>
    <x v="6"/>
    <n v="9.6333541856228688"/>
  </r>
  <r>
    <s v="Integrated AI"/>
    <x v="5"/>
    <x v="4"/>
    <s v="Consumer Electronics"/>
    <s v="Sports Watches"/>
    <s v="Semiconductor Revenue M$"/>
    <x v="0"/>
    <n v="4.692121193123829E-3"/>
  </r>
  <r>
    <s v="Integrated AI"/>
    <x v="5"/>
    <x v="4"/>
    <s v="Consumer Electronics"/>
    <s v="Sports Watches"/>
    <s v="Semiconductor Revenue M$"/>
    <x v="1"/>
    <n v="1.8407676327943372E-2"/>
  </r>
  <r>
    <s v="Integrated AI"/>
    <x v="5"/>
    <x v="4"/>
    <s v="Consumer Electronics"/>
    <s v="Sports Watches"/>
    <s v="Semiconductor Revenue M$"/>
    <x v="2"/>
    <n v="5.2841969877898576E-2"/>
  </r>
  <r>
    <s v="Integrated AI"/>
    <x v="5"/>
    <x v="4"/>
    <s v="Consumer Electronics"/>
    <s v="Sports Watches"/>
    <s v="Semiconductor Revenue M$"/>
    <x v="3"/>
    <n v="0.14999594418243009"/>
  </r>
  <r>
    <s v="Integrated AI"/>
    <x v="5"/>
    <x v="4"/>
    <s v="Consumer Electronics"/>
    <s v="Sports Watches"/>
    <s v="Semiconductor Revenue M$"/>
    <x v="4"/>
    <n v="0.45819110826846693"/>
  </r>
  <r>
    <s v="Integrated AI"/>
    <x v="5"/>
    <x v="4"/>
    <s v="Consumer Electronics"/>
    <s v="Sports Watches"/>
    <s v="Semiconductor Revenue M$"/>
    <x v="5"/>
    <n v="1.2137341373717878"/>
  </r>
  <r>
    <s v="Integrated AI"/>
    <x v="5"/>
    <x v="4"/>
    <s v="Consumer Electronics"/>
    <s v="Sports Watches"/>
    <s v="Semiconductor Revenue M$"/>
    <x v="6"/>
    <n v="2.8580352790739605"/>
  </r>
  <r>
    <s v="Integrated AI"/>
    <x v="5"/>
    <x v="4"/>
    <s v="Consumer Electronics"/>
    <s v="Other Consumer Electronics"/>
    <s v="Semiconductor Revenue M$"/>
    <x v="0"/>
    <n v="2.0675285498906542"/>
  </r>
  <r>
    <s v="Integrated AI"/>
    <x v="5"/>
    <x v="4"/>
    <s v="Consumer Electronics"/>
    <s v="Other Consumer Electronics"/>
    <s v="Semiconductor Revenue M$"/>
    <x v="1"/>
    <n v="6.2067810477056335"/>
  </r>
  <r>
    <s v="Integrated AI"/>
    <x v="5"/>
    <x v="4"/>
    <s v="Consumer Electronics"/>
    <s v="Other Consumer Electronics"/>
    <s v="Semiconductor Revenue M$"/>
    <x v="2"/>
    <n v="12.57418031456899"/>
  </r>
  <r>
    <s v="Integrated AI"/>
    <x v="5"/>
    <x v="4"/>
    <s v="Consumer Electronics"/>
    <s v="Other Consumer Electronics"/>
    <s v="Semiconductor Revenue M$"/>
    <x v="3"/>
    <n v="28.795076016754628"/>
  </r>
  <r>
    <s v="Integrated AI"/>
    <x v="5"/>
    <x v="4"/>
    <s v="Consumer Electronics"/>
    <s v="Other Consumer Electronics"/>
    <s v="Semiconductor Revenue M$"/>
    <x v="4"/>
    <n v="51.35958763564156"/>
  </r>
  <r>
    <s v="Integrated AI"/>
    <x v="5"/>
    <x v="4"/>
    <s v="Consumer Electronics"/>
    <s v="Other Consumer Electronics"/>
    <s v="Semiconductor Revenue M$"/>
    <x v="5"/>
    <n v="99.056920231212118"/>
  </r>
  <r>
    <s v="Integrated AI"/>
    <x v="5"/>
    <x v="4"/>
    <s v="Consumer Electronics"/>
    <s v="Other Consumer Electronics"/>
    <s v="Semiconductor Revenue M$"/>
    <x v="6"/>
    <n v="198.2760193067073"/>
  </r>
  <r>
    <s v="Integrated AI"/>
    <x v="5"/>
    <x v="3"/>
    <s v="Automotive Electronics"/>
    <s v="ADAS-Sensors and Connectivity"/>
    <s v="Semiconductor Revenue M$"/>
    <x v="0"/>
    <n v="0"/>
  </r>
  <r>
    <s v="Integrated AI"/>
    <x v="5"/>
    <x v="3"/>
    <s v="Automotive Electronics"/>
    <s v="ADAS-Sensors and Connectivity"/>
    <s v="Semiconductor Revenue M$"/>
    <x v="1"/>
    <n v="0"/>
  </r>
  <r>
    <s v="Integrated AI"/>
    <x v="5"/>
    <x v="3"/>
    <s v="Automotive Electronics"/>
    <s v="ADAS-Sensors and Connectivity"/>
    <s v="Semiconductor Revenue M$"/>
    <x v="2"/>
    <n v="0"/>
  </r>
  <r>
    <s v="Integrated AI"/>
    <x v="5"/>
    <x v="3"/>
    <s v="Automotive Electronics"/>
    <s v="ADAS-Sensors and Connectivity"/>
    <s v="Semiconductor Revenue M$"/>
    <x v="3"/>
    <n v="0"/>
  </r>
  <r>
    <s v="Integrated AI"/>
    <x v="5"/>
    <x v="3"/>
    <s v="Automotive Electronics"/>
    <s v="ADAS-Sensors and Connectivity"/>
    <s v="Semiconductor Revenue M$"/>
    <x v="4"/>
    <n v="0"/>
  </r>
  <r>
    <s v="Integrated AI"/>
    <x v="5"/>
    <x v="3"/>
    <s v="Automotive Electronics"/>
    <s v="ADAS-Sensors and Connectivity"/>
    <s v="Semiconductor Revenue M$"/>
    <x v="5"/>
    <n v="0"/>
  </r>
  <r>
    <s v="Integrated AI"/>
    <x v="5"/>
    <x v="3"/>
    <s v="Automotive Electronics"/>
    <s v="ADAS-Sensors and Connectivity"/>
    <s v="Semiconductor Revenue M$"/>
    <x v="6"/>
    <n v="0"/>
  </r>
  <r>
    <s v="Integrated AI"/>
    <x v="5"/>
    <x v="3"/>
    <s v="Automotive Electronics"/>
    <s v="Body"/>
    <s v="Semiconductor Revenue M$"/>
    <x v="0"/>
    <n v="0.46423994260227441"/>
  </r>
  <r>
    <s v="Integrated AI"/>
    <x v="5"/>
    <x v="3"/>
    <s v="Automotive Electronics"/>
    <s v="Body"/>
    <s v="Semiconductor Revenue M$"/>
    <x v="1"/>
    <n v="1.0200330462943441"/>
  </r>
  <r>
    <s v="Integrated AI"/>
    <x v="5"/>
    <x v="3"/>
    <s v="Automotive Electronics"/>
    <s v="Body"/>
    <s v="Semiconductor Revenue M$"/>
    <x v="2"/>
    <n v="1.8944160770370417"/>
  </r>
  <r>
    <s v="Integrated AI"/>
    <x v="5"/>
    <x v="3"/>
    <s v="Automotive Electronics"/>
    <s v="Body"/>
    <s v="Semiconductor Revenue M$"/>
    <x v="3"/>
    <n v="3.2278676241586259"/>
  </r>
  <r>
    <s v="Integrated AI"/>
    <x v="5"/>
    <x v="3"/>
    <s v="Automotive Electronics"/>
    <s v="Body"/>
    <s v="Semiconductor Revenue M$"/>
    <x v="4"/>
    <n v="3.7120672877102594"/>
  </r>
  <r>
    <s v="Integrated AI"/>
    <x v="5"/>
    <x v="3"/>
    <s v="Automotive Electronics"/>
    <s v="Body"/>
    <s v="Semiconductor Revenue M$"/>
    <x v="5"/>
    <n v="4.5936363418461585"/>
  </r>
  <r>
    <s v="Integrated AI"/>
    <x v="5"/>
    <x v="3"/>
    <s v="Automotive Electronics"/>
    <s v="Body"/>
    <s v="Semiconductor Revenue M$"/>
    <x v="6"/>
    <n v="4.2910739266025884"/>
  </r>
  <r>
    <s v="Integrated AI"/>
    <x v="5"/>
    <x v="3"/>
    <s v="Automotive Electronics"/>
    <s v="Chassis"/>
    <s v="Semiconductor Revenue M$"/>
    <x v="0"/>
    <n v="0"/>
  </r>
  <r>
    <s v="Integrated AI"/>
    <x v="5"/>
    <x v="3"/>
    <s v="Automotive Electronics"/>
    <s v="Chassis"/>
    <s v="Semiconductor Revenue M$"/>
    <x v="1"/>
    <n v="0"/>
  </r>
  <r>
    <s v="Integrated AI"/>
    <x v="5"/>
    <x v="3"/>
    <s v="Automotive Electronics"/>
    <s v="Chassis"/>
    <s v="Semiconductor Revenue M$"/>
    <x v="2"/>
    <n v="0"/>
  </r>
  <r>
    <s v="Integrated AI"/>
    <x v="5"/>
    <x v="3"/>
    <s v="Automotive Electronics"/>
    <s v="Chassis"/>
    <s v="Semiconductor Revenue M$"/>
    <x v="3"/>
    <n v="0"/>
  </r>
  <r>
    <s v="Integrated AI"/>
    <x v="5"/>
    <x v="3"/>
    <s v="Automotive Electronics"/>
    <s v="Chassis"/>
    <s v="Semiconductor Revenue M$"/>
    <x v="4"/>
    <n v="0"/>
  </r>
  <r>
    <s v="Integrated AI"/>
    <x v="5"/>
    <x v="3"/>
    <s v="Automotive Electronics"/>
    <s v="Chassis"/>
    <s v="Semiconductor Revenue M$"/>
    <x v="5"/>
    <n v="0"/>
  </r>
  <r>
    <s v="Integrated AI"/>
    <x v="5"/>
    <x v="3"/>
    <s v="Automotive Electronics"/>
    <s v="Chassis"/>
    <s v="Semiconductor Revenue M$"/>
    <x v="6"/>
    <n v="0"/>
  </r>
  <r>
    <s v="Integrated AI"/>
    <x v="5"/>
    <x v="3"/>
    <s v="Automotive Electronics"/>
    <s v="EV/HEV"/>
    <s v="Semiconductor Revenue M$"/>
    <x v="0"/>
    <n v="0.38363336616072119"/>
  </r>
  <r>
    <s v="Integrated AI"/>
    <x v="5"/>
    <x v="3"/>
    <s v="Automotive Electronics"/>
    <s v="EV/HEV"/>
    <s v="Semiconductor Revenue M$"/>
    <x v="1"/>
    <n v="1.1174593880065415"/>
  </r>
  <r>
    <s v="Integrated AI"/>
    <x v="5"/>
    <x v="3"/>
    <s v="Automotive Electronics"/>
    <s v="EV/HEV"/>
    <s v="Semiconductor Revenue M$"/>
    <x v="2"/>
    <n v="2.6541763832324663"/>
  </r>
  <r>
    <s v="Integrated AI"/>
    <x v="5"/>
    <x v="3"/>
    <s v="Automotive Electronics"/>
    <s v="EV/HEV"/>
    <s v="Semiconductor Revenue M$"/>
    <x v="3"/>
    <n v="5.2388678994496649"/>
  </r>
  <r>
    <s v="Integrated AI"/>
    <x v="5"/>
    <x v="3"/>
    <s v="Automotive Electronics"/>
    <s v="EV/HEV"/>
    <s v="Semiconductor Revenue M$"/>
    <x v="4"/>
    <n v="5.8506524715128094"/>
  </r>
  <r>
    <s v="Integrated AI"/>
    <x v="5"/>
    <x v="3"/>
    <s v="Automotive Electronics"/>
    <s v="EV/HEV"/>
    <s v="Semiconductor Revenue M$"/>
    <x v="5"/>
    <n v="7.1679029385866198"/>
  </r>
  <r>
    <s v="Integrated AI"/>
    <x v="5"/>
    <x v="3"/>
    <s v="Automotive Electronics"/>
    <s v="EV/HEV"/>
    <s v="Semiconductor Revenue M$"/>
    <x v="6"/>
    <n v="7.5907432563871371"/>
  </r>
  <r>
    <s v="Integrated AI"/>
    <x v="5"/>
    <x v="3"/>
    <s v="Automotive Electronics"/>
    <s v="Infotainment"/>
    <s v="Semiconductor Revenue M$"/>
    <x v="0"/>
    <n v="0.24881832541710416"/>
  </r>
  <r>
    <s v="Integrated AI"/>
    <x v="5"/>
    <x v="3"/>
    <s v="Automotive Electronics"/>
    <s v="Infotainment"/>
    <s v="Semiconductor Revenue M$"/>
    <x v="1"/>
    <n v="0.62163776550619909"/>
  </r>
  <r>
    <s v="Integrated AI"/>
    <x v="5"/>
    <x v="3"/>
    <s v="Automotive Electronics"/>
    <s v="Infotainment"/>
    <s v="Semiconductor Revenue M$"/>
    <x v="2"/>
    <n v="1.27407565987055"/>
  </r>
  <r>
    <s v="Integrated AI"/>
    <x v="5"/>
    <x v="3"/>
    <s v="Automotive Electronics"/>
    <s v="Infotainment"/>
    <s v="Semiconductor Revenue M$"/>
    <x v="3"/>
    <n v="2.0583367264526609"/>
  </r>
  <r>
    <s v="Integrated AI"/>
    <x v="5"/>
    <x v="3"/>
    <s v="Automotive Electronics"/>
    <s v="Infotainment"/>
    <s v="Semiconductor Revenue M$"/>
    <x v="4"/>
    <n v="2.5591057907120716"/>
  </r>
  <r>
    <s v="Integrated AI"/>
    <x v="5"/>
    <x v="3"/>
    <s v="Automotive Electronics"/>
    <s v="Infotainment"/>
    <s v="Semiconductor Revenue M$"/>
    <x v="5"/>
    <n v="3.4658575760305492"/>
  </r>
  <r>
    <s v="Integrated AI"/>
    <x v="5"/>
    <x v="3"/>
    <s v="Automotive Electronics"/>
    <s v="Infotainment"/>
    <s v="Semiconductor Revenue M$"/>
    <x v="6"/>
    <n v="4.137274518156425"/>
  </r>
  <r>
    <s v="Integrated AI"/>
    <x v="5"/>
    <x v="3"/>
    <s v="Automotive Electronics"/>
    <s v="Instrument Cluster"/>
    <s v="Semiconductor Revenue M$"/>
    <x v="0"/>
    <n v="0.64603687175689295"/>
  </r>
  <r>
    <s v="Integrated AI"/>
    <x v="5"/>
    <x v="3"/>
    <s v="Automotive Electronics"/>
    <s v="Instrument Cluster"/>
    <s v="Semiconductor Revenue M$"/>
    <x v="1"/>
    <n v="1.4915756621472651"/>
  </r>
  <r>
    <s v="Integrated AI"/>
    <x v="5"/>
    <x v="3"/>
    <s v="Automotive Electronics"/>
    <s v="Instrument Cluster"/>
    <s v="Semiconductor Revenue M$"/>
    <x v="2"/>
    <n v="3.1473469338027011"/>
  </r>
  <r>
    <s v="Integrated AI"/>
    <x v="5"/>
    <x v="3"/>
    <s v="Automotive Electronics"/>
    <s v="Instrument Cluster"/>
    <s v="Semiconductor Revenue M$"/>
    <x v="3"/>
    <n v="5.5759133251142705"/>
  </r>
  <r>
    <s v="Integrated AI"/>
    <x v="5"/>
    <x v="3"/>
    <s v="Automotive Electronics"/>
    <s v="Instrument Cluster"/>
    <s v="Semiconductor Revenue M$"/>
    <x v="4"/>
    <n v="7.4829195138186222"/>
  </r>
  <r>
    <s v="Integrated AI"/>
    <x v="5"/>
    <x v="3"/>
    <s v="Automotive Electronics"/>
    <s v="Instrument Cluster"/>
    <s v="Semiconductor Revenue M$"/>
    <x v="5"/>
    <n v="10.994338233665754"/>
  </r>
  <r>
    <s v="Integrated AI"/>
    <x v="5"/>
    <x v="3"/>
    <s v="Automotive Electronics"/>
    <s v="Instrument Cluster"/>
    <s v="Semiconductor Revenue M$"/>
    <x v="6"/>
    <n v="17.029221626924016"/>
  </r>
  <r>
    <s v="Integrated AI"/>
    <x v="5"/>
    <x v="3"/>
    <s v="Automotive Electronics"/>
    <s v="Powertrain"/>
    <s v="Semiconductor Revenue M$"/>
    <x v="0"/>
    <n v="3.2129354556257637"/>
  </r>
  <r>
    <s v="Integrated AI"/>
    <x v="5"/>
    <x v="3"/>
    <s v="Automotive Electronics"/>
    <s v="Powertrain"/>
    <s v="Semiconductor Revenue M$"/>
    <x v="1"/>
    <n v="6.4872198722828136"/>
  </r>
  <r>
    <s v="Integrated AI"/>
    <x v="5"/>
    <x v="3"/>
    <s v="Automotive Electronics"/>
    <s v="Powertrain"/>
    <s v="Semiconductor Revenue M$"/>
    <x v="2"/>
    <n v="11.618447593354976"/>
  </r>
  <r>
    <s v="Integrated AI"/>
    <x v="5"/>
    <x v="3"/>
    <s v="Automotive Electronics"/>
    <s v="Powertrain"/>
    <s v="Semiconductor Revenue M$"/>
    <x v="3"/>
    <n v="17.260017179642041"/>
  </r>
  <r>
    <s v="Integrated AI"/>
    <x v="5"/>
    <x v="3"/>
    <s v="Automotive Electronics"/>
    <s v="Powertrain"/>
    <s v="Semiconductor Revenue M$"/>
    <x v="4"/>
    <n v="18.845675218927621"/>
  </r>
  <r>
    <s v="Integrated AI"/>
    <x v="5"/>
    <x v="3"/>
    <s v="Automotive Electronics"/>
    <s v="Powertrain"/>
    <s v="Semiconductor Revenue M$"/>
    <x v="5"/>
    <n v="23.663684406053928"/>
  </r>
  <r>
    <s v="Integrated AI"/>
    <x v="5"/>
    <x v="3"/>
    <s v="Automotive Electronics"/>
    <s v="Powertrain"/>
    <s v="Semiconductor Revenue M$"/>
    <x v="6"/>
    <n v="28.313513797747333"/>
  </r>
  <r>
    <s v="Integrated AI"/>
    <x v="5"/>
    <x v="3"/>
    <s v="Automotive Electronics"/>
    <s v="Safety"/>
    <s v="Semiconductor Revenue M$"/>
    <x v="0"/>
    <n v="1.09671958242718"/>
  </r>
  <r>
    <s v="Integrated AI"/>
    <x v="5"/>
    <x v="3"/>
    <s v="Automotive Electronics"/>
    <s v="Safety"/>
    <s v="Semiconductor Revenue M$"/>
    <x v="1"/>
    <n v="2.5083247080769082"/>
  </r>
  <r>
    <s v="Integrated AI"/>
    <x v="5"/>
    <x v="3"/>
    <s v="Automotive Electronics"/>
    <s v="Safety"/>
    <s v="Semiconductor Revenue M$"/>
    <x v="2"/>
    <n v="4.8130715934681589"/>
  </r>
  <r>
    <s v="Integrated AI"/>
    <x v="5"/>
    <x v="3"/>
    <s v="Automotive Electronics"/>
    <s v="Safety"/>
    <s v="Semiconductor Revenue M$"/>
    <x v="3"/>
    <n v="6.8117239200302961"/>
  </r>
  <r>
    <s v="Integrated AI"/>
    <x v="5"/>
    <x v="3"/>
    <s v="Automotive Electronics"/>
    <s v="Safety"/>
    <s v="Semiconductor Revenue M$"/>
    <x v="4"/>
    <n v="7.9192038265662372"/>
  </r>
  <r>
    <s v="Integrated AI"/>
    <x v="5"/>
    <x v="3"/>
    <s v="Automotive Electronics"/>
    <s v="Safety"/>
    <s v="Semiconductor Revenue M$"/>
    <x v="5"/>
    <n v="10.440304319598509"/>
  </r>
  <r>
    <s v="Integrated AI"/>
    <x v="5"/>
    <x v="3"/>
    <s v="Automotive Electronics"/>
    <s v="Safety"/>
    <s v="Semiconductor Revenue M$"/>
    <x v="6"/>
    <n v="11.904985716606989"/>
  </r>
  <r>
    <s v="Integrated AI"/>
    <x v="5"/>
    <x v="3"/>
    <s v="Automotive Electronics"/>
    <s v="Aftermarket"/>
    <s v="Semiconductor Revenue M$"/>
    <x v="0"/>
    <n v="7.0504244058984727E-2"/>
  </r>
  <r>
    <s v="Integrated AI"/>
    <x v="5"/>
    <x v="3"/>
    <s v="Automotive Electronics"/>
    <s v="Aftermarket"/>
    <s v="Semiconductor Revenue M$"/>
    <x v="1"/>
    <n v="0.16630166823756784"/>
  </r>
  <r>
    <s v="Integrated AI"/>
    <x v="5"/>
    <x v="3"/>
    <s v="Automotive Electronics"/>
    <s v="Aftermarket"/>
    <s v="Semiconductor Revenue M$"/>
    <x v="2"/>
    <n v="0.31945374583006836"/>
  </r>
  <r>
    <s v="Integrated AI"/>
    <x v="5"/>
    <x v="3"/>
    <s v="Automotive Electronics"/>
    <s v="Aftermarket"/>
    <s v="Semiconductor Revenue M$"/>
    <x v="3"/>
    <n v="0.538429940327245"/>
  </r>
  <r>
    <s v="Integrated AI"/>
    <x v="5"/>
    <x v="3"/>
    <s v="Automotive Electronics"/>
    <s v="Aftermarket"/>
    <s v="Semiconductor Revenue M$"/>
    <x v="4"/>
    <n v="0.6575171390694825"/>
  </r>
  <r>
    <s v="Integrated AI"/>
    <x v="5"/>
    <x v="3"/>
    <s v="Automotive Electronics"/>
    <s v="Aftermarket"/>
    <s v="Semiconductor Revenue M$"/>
    <x v="5"/>
    <n v="1.0092861402229272"/>
  </r>
  <r>
    <s v="Integrated AI"/>
    <x v="5"/>
    <x v="3"/>
    <s v="Automotive Electronics"/>
    <s v="Aftermarket"/>
    <s v="Semiconductor Revenue M$"/>
    <x v="6"/>
    <n v="1.3978649725369394"/>
  </r>
  <r>
    <s v="Integrated AI"/>
    <x v="5"/>
    <x v="5"/>
    <s v="Industrial Electronics"/>
    <s v="Commercial Amusement"/>
    <s v="Semiconductor Revenue M$"/>
    <x v="0"/>
    <n v="4.1117396505139375E-2"/>
  </r>
  <r>
    <s v="Integrated AI"/>
    <x v="5"/>
    <x v="5"/>
    <s v="Industrial Electronics"/>
    <s v="Commercial Amusement"/>
    <s v="Semiconductor Revenue M$"/>
    <x v="1"/>
    <n v="9.8527045840935704E-2"/>
  </r>
  <r>
    <s v="Integrated AI"/>
    <x v="5"/>
    <x v="5"/>
    <s v="Industrial Electronics"/>
    <s v="Commercial Amusement"/>
    <s v="Semiconductor Revenue M$"/>
    <x v="2"/>
    <n v="0.220611594672663"/>
  </r>
  <r>
    <s v="Integrated AI"/>
    <x v="5"/>
    <x v="5"/>
    <s v="Industrial Electronics"/>
    <s v="Commercial Amusement"/>
    <s v="Semiconductor Revenue M$"/>
    <x v="3"/>
    <n v="0.44750836193092886"/>
  </r>
  <r>
    <s v="Integrated AI"/>
    <x v="5"/>
    <x v="5"/>
    <s v="Industrial Electronics"/>
    <s v="Commercial Amusement"/>
    <s v="Semiconductor Revenue M$"/>
    <x v="4"/>
    <n v="0.7288988256590947"/>
  </r>
  <r>
    <s v="Integrated AI"/>
    <x v="5"/>
    <x v="5"/>
    <s v="Industrial Electronics"/>
    <s v="Commercial Amusement"/>
    <s v="Semiconductor Revenue M$"/>
    <x v="5"/>
    <n v="1.3155807897533613"/>
  </r>
  <r>
    <s v="Integrated AI"/>
    <x v="5"/>
    <x v="5"/>
    <s v="Industrial Electronics"/>
    <s v="Commercial Amusement"/>
    <s v="Semiconductor Revenue M$"/>
    <x v="6"/>
    <n v="1.8010395825264744"/>
  </r>
  <r>
    <s v="Integrated AI"/>
    <x v="5"/>
    <x v="5"/>
    <s v="Industrial Electronics"/>
    <s v="Automation"/>
    <s v="Semiconductor Revenue M$"/>
    <x v="0"/>
    <n v="1.3615071513837655"/>
  </r>
  <r>
    <s v="Integrated AI"/>
    <x v="5"/>
    <x v="5"/>
    <s v="Industrial Electronics"/>
    <s v="Automation"/>
    <s v="Semiconductor Revenue M$"/>
    <x v="1"/>
    <n v="3.5478232571943655"/>
  </r>
  <r>
    <s v="Integrated AI"/>
    <x v="5"/>
    <x v="5"/>
    <s v="Industrial Electronics"/>
    <s v="Automation"/>
    <s v="Semiconductor Revenue M$"/>
    <x v="2"/>
    <n v="7.8315203929541157"/>
  </r>
  <r>
    <s v="Integrated AI"/>
    <x v="5"/>
    <x v="5"/>
    <s v="Industrial Electronics"/>
    <s v="Automation"/>
    <s v="Semiconductor Revenue M$"/>
    <x v="3"/>
    <n v="16.144909463466384"/>
  </r>
  <r>
    <s v="Integrated AI"/>
    <x v="5"/>
    <x v="5"/>
    <s v="Industrial Electronics"/>
    <s v="Automation"/>
    <s v="Semiconductor Revenue M$"/>
    <x v="4"/>
    <n v="19.802067674024464"/>
  </r>
  <r>
    <s v="Integrated AI"/>
    <x v="5"/>
    <x v="5"/>
    <s v="Industrial Electronics"/>
    <s v="Automation"/>
    <s v="Semiconductor Revenue M$"/>
    <x v="5"/>
    <n v="32.134072753176149"/>
  </r>
  <r>
    <s v="Integrated AI"/>
    <x v="5"/>
    <x v="5"/>
    <s v="Industrial Electronics"/>
    <s v="Automation"/>
    <s v="Semiconductor Revenue M$"/>
    <x v="6"/>
    <n v="46.569296119033879"/>
  </r>
  <r>
    <s v="Integrated AI"/>
    <x v="5"/>
    <x v="5"/>
    <s v="Industrial Electronics"/>
    <s v="Energy Management"/>
    <s v="Semiconductor Revenue M$"/>
    <x v="0"/>
    <n v="0.78455629221417522"/>
  </r>
  <r>
    <s v="Integrated AI"/>
    <x v="5"/>
    <x v="5"/>
    <s v="Industrial Electronics"/>
    <s v="Energy Management"/>
    <s v="Semiconductor Revenue M$"/>
    <x v="1"/>
    <n v="1.8295991851805655"/>
  </r>
  <r>
    <s v="Integrated AI"/>
    <x v="5"/>
    <x v="5"/>
    <s v="Industrial Electronics"/>
    <s v="Energy Management"/>
    <s v="Semiconductor Revenue M$"/>
    <x v="2"/>
    <n v="3.5352066498320536"/>
  </r>
  <r>
    <s v="Integrated AI"/>
    <x v="5"/>
    <x v="5"/>
    <s v="Industrial Electronics"/>
    <s v="Energy Management"/>
    <s v="Semiconductor Revenue M$"/>
    <x v="3"/>
    <n v="6.655621366754656"/>
  </r>
  <r>
    <s v="Integrated AI"/>
    <x v="5"/>
    <x v="5"/>
    <s v="Industrial Electronics"/>
    <s v="Energy Management"/>
    <s v="Semiconductor Revenue M$"/>
    <x v="4"/>
    <n v="8.74923423089745"/>
  </r>
  <r>
    <s v="Integrated AI"/>
    <x v="5"/>
    <x v="5"/>
    <s v="Industrial Electronics"/>
    <s v="Energy Management"/>
    <s v="Semiconductor Revenue M$"/>
    <x v="5"/>
    <n v="14.364877555830695"/>
  </r>
  <r>
    <s v="Integrated AI"/>
    <x v="5"/>
    <x v="5"/>
    <s v="Industrial Electronics"/>
    <s v="Energy Management"/>
    <s v="Semiconductor Revenue M$"/>
    <x v="6"/>
    <n v="21.293694641487729"/>
  </r>
  <r>
    <s v="Integrated AI"/>
    <x v="5"/>
    <x v="5"/>
    <s v="Industrial Electronics"/>
    <s v="Solid-State Lighting"/>
    <s v="Semiconductor Revenue M$"/>
    <x v="0"/>
    <n v="0.15460496297050866"/>
  </r>
  <r>
    <s v="Integrated AI"/>
    <x v="5"/>
    <x v="5"/>
    <s v="Industrial Electronics"/>
    <s v="Solid-State Lighting"/>
    <s v="Semiconductor Revenue M$"/>
    <x v="1"/>
    <n v="0.45955298733089844"/>
  </r>
  <r>
    <s v="Integrated AI"/>
    <x v="5"/>
    <x v="5"/>
    <s v="Industrial Electronics"/>
    <s v="Solid-State Lighting"/>
    <s v="Semiconductor Revenue M$"/>
    <x v="2"/>
    <n v="0.92546676187937527"/>
  </r>
  <r>
    <s v="Integrated AI"/>
    <x v="5"/>
    <x v="5"/>
    <s v="Industrial Electronics"/>
    <s v="Solid-State Lighting"/>
    <s v="Semiconductor Revenue M$"/>
    <x v="3"/>
    <n v="1.760249507361733"/>
  </r>
  <r>
    <s v="Integrated AI"/>
    <x v="5"/>
    <x v="5"/>
    <s v="Industrial Electronics"/>
    <s v="Solid-State Lighting"/>
    <s v="Semiconductor Revenue M$"/>
    <x v="4"/>
    <n v="2.0901121109885636"/>
  </r>
  <r>
    <s v="Integrated AI"/>
    <x v="5"/>
    <x v="5"/>
    <s v="Industrial Electronics"/>
    <s v="Solid-State Lighting"/>
    <s v="Semiconductor Revenue M$"/>
    <x v="5"/>
    <n v="3.4994806194631254"/>
  </r>
  <r>
    <s v="Integrated AI"/>
    <x v="5"/>
    <x v="5"/>
    <s v="Industrial Electronics"/>
    <s v="Solid-State Lighting"/>
    <s v="Semiconductor Revenue M$"/>
    <x v="6"/>
    <n v="5.6527489662423971"/>
  </r>
  <r>
    <s v="Integrated AI"/>
    <x v="5"/>
    <x v="5"/>
    <s v="Industrial Electronics"/>
    <s v="Medical/Healthcare"/>
    <s v="Semiconductor Revenue M$"/>
    <x v="0"/>
    <n v="0.80230730002825534"/>
  </r>
  <r>
    <s v="Integrated AI"/>
    <x v="5"/>
    <x v="5"/>
    <s v="Industrial Electronics"/>
    <s v="Medical/Healthcare"/>
    <s v="Semiconductor Revenue M$"/>
    <x v="1"/>
    <n v="1.8308443474755911"/>
  </r>
  <r>
    <s v="Integrated AI"/>
    <x v="5"/>
    <x v="5"/>
    <s v="Industrial Electronics"/>
    <s v="Medical/Healthcare"/>
    <s v="Semiconductor Revenue M$"/>
    <x v="2"/>
    <n v="3.7006748607111062"/>
  </r>
  <r>
    <s v="Integrated AI"/>
    <x v="5"/>
    <x v="5"/>
    <s v="Industrial Electronics"/>
    <s v="Medical/Healthcare"/>
    <s v="Semiconductor Revenue M$"/>
    <x v="3"/>
    <n v="7.3338767296145386"/>
  </r>
  <r>
    <s v="Integrated AI"/>
    <x v="5"/>
    <x v="5"/>
    <s v="Industrial Electronics"/>
    <s v="Medical/Healthcare"/>
    <s v="Semiconductor Revenue M$"/>
    <x v="4"/>
    <n v="8.5362313139778152"/>
  </r>
  <r>
    <s v="Integrated AI"/>
    <x v="5"/>
    <x v="5"/>
    <s v="Industrial Electronics"/>
    <s v="Medical/Healthcare"/>
    <s v="Semiconductor Revenue M$"/>
    <x v="5"/>
    <n v="13.491713028981849"/>
  </r>
  <r>
    <s v="Integrated AI"/>
    <x v="5"/>
    <x v="5"/>
    <s v="Industrial Electronics"/>
    <s v="Medical/Healthcare"/>
    <s v="Semiconductor Revenue M$"/>
    <x v="6"/>
    <n v="19.076397225601536"/>
  </r>
  <r>
    <s v="Integrated AI"/>
    <x v="5"/>
    <x v="5"/>
    <s v="Industrial Electronics"/>
    <s v="Test/Measurement"/>
    <s v="Semiconductor Revenue M$"/>
    <x v="0"/>
    <n v="0.16453460505607728"/>
  </r>
  <r>
    <s v="Integrated AI"/>
    <x v="5"/>
    <x v="5"/>
    <s v="Industrial Electronics"/>
    <s v="Test/Measurement"/>
    <s v="Semiconductor Revenue M$"/>
    <x v="1"/>
    <n v="0.43101994459565307"/>
  </r>
  <r>
    <s v="Integrated AI"/>
    <x v="5"/>
    <x v="5"/>
    <s v="Industrial Electronics"/>
    <s v="Test/Measurement"/>
    <s v="Semiconductor Revenue M$"/>
    <x v="2"/>
    <n v="0.87955390814311862"/>
  </r>
  <r>
    <s v="Integrated AI"/>
    <x v="5"/>
    <x v="5"/>
    <s v="Industrial Electronics"/>
    <s v="Test/Measurement"/>
    <s v="Semiconductor Revenue M$"/>
    <x v="3"/>
    <n v="1.6359292751607908"/>
  </r>
  <r>
    <s v="Integrated AI"/>
    <x v="5"/>
    <x v="5"/>
    <s v="Industrial Electronics"/>
    <s v="Test/Measurement"/>
    <s v="Semiconductor Revenue M$"/>
    <x v="4"/>
    <n v="1.9775782538124516"/>
  </r>
  <r>
    <s v="Integrated AI"/>
    <x v="5"/>
    <x v="5"/>
    <s v="Industrial Electronics"/>
    <s v="Test/Measurement"/>
    <s v="Semiconductor Revenue M$"/>
    <x v="5"/>
    <n v="3.1038095117021318"/>
  </r>
  <r>
    <s v="Integrated AI"/>
    <x v="5"/>
    <x v="5"/>
    <s v="Industrial Electronics"/>
    <s v="Test/Measurement"/>
    <s v="Semiconductor Revenue M$"/>
    <x v="6"/>
    <n v="4.7339412947793926"/>
  </r>
  <r>
    <s v="Integrated AI"/>
    <x v="5"/>
    <x v="5"/>
    <s v="Industrial Electronics"/>
    <s v="Other Security"/>
    <s v="Semiconductor Revenue M$"/>
    <x v="0"/>
    <n v="1.5276241857478774"/>
  </r>
  <r>
    <s v="Integrated AI"/>
    <x v="5"/>
    <x v="5"/>
    <s v="Industrial Electronics"/>
    <s v="Other Security"/>
    <s v="Semiconductor Revenue M$"/>
    <x v="1"/>
    <n v="4.9425201572259425"/>
  </r>
  <r>
    <s v="Integrated AI"/>
    <x v="5"/>
    <x v="5"/>
    <s v="Industrial Electronics"/>
    <s v="Other Security"/>
    <s v="Semiconductor Revenue M$"/>
    <x v="2"/>
    <n v="13.598971173592531"/>
  </r>
  <r>
    <s v="Integrated AI"/>
    <x v="5"/>
    <x v="5"/>
    <s v="Industrial Electronics"/>
    <s v="Other Security"/>
    <s v="Semiconductor Revenue M$"/>
    <x v="3"/>
    <n v="31.929580173631816"/>
  </r>
  <r>
    <s v="Integrated AI"/>
    <x v="5"/>
    <x v="5"/>
    <s v="Industrial Electronics"/>
    <s v="Other Security"/>
    <s v="Semiconductor Revenue M$"/>
    <x v="4"/>
    <n v="43.010419665957691"/>
  </r>
  <r>
    <s v="Integrated AI"/>
    <x v="5"/>
    <x v="5"/>
    <s v="Industrial Electronics"/>
    <s v="Other Security"/>
    <s v="Semiconductor Revenue M$"/>
    <x v="5"/>
    <n v="64.406269428164023"/>
  </r>
  <r>
    <s v="Integrated AI"/>
    <x v="5"/>
    <x v="5"/>
    <s v="Industrial Electronics"/>
    <s v="Other Security"/>
    <s v="Semiconductor Revenue M$"/>
    <x v="6"/>
    <n v="82.375254448190574"/>
  </r>
  <r>
    <s v="Integrated AI"/>
    <x v="5"/>
    <x v="5"/>
    <s v="Industrial Electronics"/>
    <s v="Transportation"/>
    <s v="Semiconductor Revenue M$"/>
    <x v="0"/>
    <n v="0.8167670054224726"/>
  </r>
  <r>
    <s v="Integrated AI"/>
    <x v="5"/>
    <x v="5"/>
    <s v="Industrial Electronics"/>
    <s v="Transportation"/>
    <s v="Semiconductor Revenue M$"/>
    <x v="1"/>
    <n v="2.5619342837498422"/>
  </r>
  <r>
    <s v="Integrated AI"/>
    <x v="5"/>
    <x v="5"/>
    <s v="Industrial Electronics"/>
    <s v="Transportation"/>
    <s v="Semiconductor Revenue M$"/>
    <x v="2"/>
    <n v="5.0523254769805792"/>
  </r>
  <r>
    <s v="Integrated AI"/>
    <x v="5"/>
    <x v="5"/>
    <s v="Industrial Electronics"/>
    <s v="Transportation"/>
    <s v="Semiconductor Revenue M$"/>
    <x v="3"/>
    <n v="9.4832476645812172"/>
  </r>
  <r>
    <s v="Integrated AI"/>
    <x v="5"/>
    <x v="5"/>
    <s v="Industrial Electronics"/>
    <s v="Transportation"/>
    <s v="Semiconductor Revenue M$"/>
    <x v="4"/>
    <n v="11.652246014035928"/>
  </r>
  <r>
    <s v="Integrated AI"/>
    <x v="5"/>
    <x v="5"/>
    <s v="Industrial Electronics"/>
    <s v="Transportation"/>
    <s v="Semiconductor Revenue M$"/>
    <x v="5"/>
    <n v="19.511194829341026"/>
  </r>
  <r>
    <s v="Integrated AI"/>
    <x v="5"/>
    <x v="5"/>
    <s v="Industrial Electronics"/>
    <s v="Transportation"/>
    <s v="Semiconductor Revenue M$"/>
    <x v="6"/>
    <n v="29.924541383601149"/>
  </r>
  <r>
    <s v="Integrated AI"/>
    <x v="5"/>
    <x v="5"/>
    <s v="Industrial Electronics"/>
    <s v="Other Industrial Electronics"/>
    <s v="Semiconductor Revenue M$"/>
    <x v="0"/>
    <n v="1.6819527632950608"/>
  </r>
  <r>
    <s v="Integrated AI"/>
    <x v="5"/>
    <x v="5"/>
    <s v="Industrial Electronics"/>
    <s v="Other Industrial Electronics"/>
    <s v="Semiconductor Revenue M$"/>
    <x v="1"/>
    <n v="3.8720115080620463"/>
  </r>
  <r>
    <s v="Integrated AI"/>
    <x v="5"/>
    <x v="5"/>
    <s v="Industrial Electronics"/>
    <s v="Other Industrial Electronics"/>
    <s v="Semiconductor Revenue M$"/>
    <x v="2"/>
    <n v="8.7720288471362267"/>
  </r>
  <r>
    <s v="Integrated AI"/>
    <x v="5"/>
    <x v="5"/>
    <s v="Industrial Electronics"/>
    <s v="Other Industrial Electronics"/>
    <s v="Semiconductor Revenue M$"/>
    <x v="3"/>
    <n v="17.786146893297065"/>
  </r>
  <r>
    <s v="Integrated AI"/>
    <x v="5"/>
    <x v="5"/>
    <s v="Industrial Electronics"/>
    <s v="Other Industrial Electronics"/>
    <s v="Semiconductor Revenue M$"/>
    <x v="4"/>
    <n v="19.78538044997601"/>
  </r>
  <r>
    <s v="Integrated AI"/>
    <x v="5"/>
    <x v="5"/>
    <s v="Industrial Electronics"/>
    <s v="Other Industrial Electronics"/>
    <s v="Semiconductor Revenue M$"/>
    <x v="5"/>
    <n v="30.384813776904288"/>
  </r>
  <r>
    <s v="Integrated AI"/>
    <x v="5"/>
    <x v="5"/>
    <s v="Industrial Electronics"/>
    <s v="Other Industrial Electronics"/>
    <s v="Semiconductor Revenue M$"/>
    <x v="6"/>
    <n v="44.178018278882021"/>
  </r>
  <r>
    <s v="Integrated AI"/>
    <x v="5"/>
    <x v="5"/>
    <s v="Industrial Electronics"/>
    <s v="Military/Civil Aerospace Electronics"/>
    <s v="Semiconductor Revenue M$"/>
    <x v="0"/>
    <n v="5.6582724664745697E-2"/>
  </r>
  <r>
    <s v="Integrated AI"/>
    <x v="5"/>
    <x v="5"/>
    <s v="Industrial Electronics"/>
    <s v="Military/Civil Aerospace Electronics"/>
    <s v="Semiconductor Revenue M$"/>
    <x v="1"/>
    <n v="0.13401387849049465"/>
  </r>
  <r>
    <s v="Integrated AI"/>
    <x v="5"/>
    <x v="5"/>
    <s v="Industrial Electronics"/>
    <s v="Military/Civil Aerospace Electronics"/>
    <s v="Semiconductor Revenue M$"/>
    <x v="2"/>
    <n v="0.2770175715127951"/>
  </r>
  <r>
    <s v="Integrated AI"/>
    <x v="5"/>
    <x v="5"/>
    <s v="Industrial Electronics"/>
    <s v="Military/Civil Aerospace Electronics"/>
    <s v="Semiconductor Revenue M$"/>
    <x v="3"/>
    <n v="0.48062634611708854"/>
  </r>
  <r>
    <s v="Integrated AI"/>
    <x v="5"/>
    <x v="5"/>
    <s v="Industrial Electronics"/>
    <s v="Military/Civil Aerospace Electronics"/>
    <s v="Semiconductor Revenue M$"/>
    <x v="4"/>
    <n v="0.55843707512063734"/>
  </r>
  <r>
    <s v="Integrated AI"/>
    <x v="5"/>
    <x v="5"/>
    <s v="Industrial Electronics"/>
    <s v="Military/Civil Aerospace Electronics"/>
    <s v="Semiconductor Revenue M$"/>
    <x v="5"/>
    <n v="0.91594527282379901"/>
  </r>
  <r>
    <s v="Integrated AI"/>
    <x v="5"/>
    <x v="5"/>
    <s v="Industrial Electronics"/>
    <s v="Military/Civil Aerospace Electronics"/>
    <s v="Semiconductor Revenue M$"/>
    <x v="6"/>
    <n v="1.4135928047197774"/>
  </r>
  <r>
    <s v="Integrated AI"/>
    <x v="6"/>
    <x v="0"/>
    <s v="Compute"/>
    <s v="External Monitor"/>
    <s v="Semiconductor Revenue M$"/>
    <x v="0"/>
    <n v="0"/>
  </r>
  <r>
    <s v="Integrated AI"/>
    <x v="6"/>
    <x v="0"/>
    <s v="Compute"/>
    <s v="External Monitor"/>
    <s v="Semiconductor Revenue M$"/>
    <x v="1"/>
    <n v="0"/>
  </r>
  <r>
    <s v="Integrated AI"/>
    <x v="6"/>
    <x v="0"/>
    <s v="Compute"/>
    <s v="External Monitor"/>
    <s v="Semiconductor Revenue M$"/>
    <x v="2"/>
    <n v="0"/>
  </r>
  <r>
    <s v="Integrated AI"/>
    <x v="6"/>
    <x v="0"/>
    <s v="Compute"/>
    <s v="External Monitor"/>
    <s v="Semiconductor Revenue M$"/>
    <x v="3"/>
    <n v="0"/>
  </r>
  <r>
    <s v="Integrated AI"/>
    <x v="6"/>
    <x v="0"/>
    <s v="Compute"/>
    <s v="External Monitor"/>
    <s v="Semiconductor Revenue M$"/>
    <x v="4"/>
    <n v="0"/>
  </r>
  <r>
    <s v="Integrated AI"/>
    <x v="6"/>
    <x v="0"/>
    <s v="Compute"/>
    <s v="External Monitor"/>
    <s v="Semiconductor Revenue M$"/>
    <x v="5"/>
    <n v="0"/>
  </r>
  <r>
    <s v="Integrated AI"/>
    <x v="6"/>
    <x v="0"/>
    <s v="Compute"/>
    <s v="External Monitor"/>
    <s v="Semiconductor Revenue M$"/>
    <x v="6"/>
    <n v="0"/>
  </r>
  <r>
    <s v="Integrated AI"/>
    <x v="6"/>
    <x v="0"/>
    <s v="PC"/>
    <s v="Graphics Cards"/>
    <s v="Semiconductor Revenue M$"/>
    <x v="0"/>
    <n v="0"/>
  </r>
  <r>
    <s v="Integrated AI"/>
    <x v="6"/>
    <x v="0"/>
    <s v="PC"/>
    <s v="Graphics Cards"/>
    <s v="Semiconductor Revenue M$"/>
    <x v="1"/>
    <n v="0"/>
  </r>
  <r>
    <s v="Integrated AI"/>
    <x v="6"/>
    <x v="0"/>
    <s v="PC"/>
    <s v="Graphics Cards"/>
    <s v="Semiconductor Revenue M$"/>
    <x v="2"/>
    <n v="0"/>
  </r>
  <r>
    <s v="Integrated AI"/>
    <x v="6"/>
    <x v="0"/>
    <s v="PC"/>
    <s v="Graphics Cards"/>
    <s v="Semiconductor Revenue M$"/>
    <x v="3"/>
    <n v="0"/>
  </r>
  <r>
    <s v="Integrated AI"/>
    <x v="6"/>
    <x v="0"/>
    <s v="PC"/>
    <s v="Graphics Cards"/>
    <s v="Semiconductor Revenue M$"/>
    <x v="4"/>
    <n v="0"/>
  </r>
  <r>
    <s v="Integrated AI"/>
    <x v="6"/>
    <x v="0"/>
    <s v="PC"/>
    <s v="Graphics Cards"/>
    <s v="Semiconductor Revenue M$"/>
    <x v="5"/>
    <n v="0"/>
  </r>
  <r>
    <s v="Integrated AI"/>
    <x v="6"/>
    <x v="0"/>
    <s v="PC"/>
    <s v="Graphics Cards"/>
    <s v="Semiconductor Revenue M$"/>
    <x v="6"/>
    <n v="0"/>
  </r>
  <r>
    <s v="Integrated AI"/>
    <x v="6"/>
    <x v="0"/>
    <s v="PC"/>
    <s v="Desk-Based PC"/>
    <s v="Semiconductor Revenue M$"/>
    <x v="0"/>
    <n v="0"/>
  </r>
  <r>
    <s v="Integrated AI"/>
    <x v="6"/>
    <x v="0"/>
    <s v="PC"/>
    <s v="Desk-Based PC"/>
    <s v="Semiconductor Revenue M$"/>
    <x v="1"/>
    <n v="0"/>
  </r>
  <r>
    <s v="Integrated AI"/>
    <x v="6"/>
    <x v="0"/>
    <s v="PC"/>
    <s v="Desk-Based PC"/>
    <s v="Semiconductor Revenue M$"/>
    <x v="2"/>
    <n v="0"/>
  </r>
  <r>
    <s v="Integrated AI"/>
    <x v="6"/>
    <x v="0"/>
    <s v="PC"/>
    <s v="Desk-Based PC"/>
    <s v="Semiconductor Revenue M$"/>
    <x v="3"/>
    <n v="0"/>
  </r>
  <r>
    <s v="Integrated AI"/>
    <x v="6"/>
    <x v="0"/>
    <s v="PC"/>
    <s v="Desk-Based PC"/>
    <s v="Semiconductor Revenue M$"/>
    <x v="4"/>
    <n v="0"/>
  </r>
  <r>
    <s v="Integrated AI"/>
    <x v="6"/>
    <x v="0"/>
    <s v="PC"/>
    <s v="Desk-Based PC"/>
    <s v="Semiconductor Revenue M$"/>
    <x v="5"/>
    <n v="0"/>
  </r>
  <r>
    <s v="Integrated AI"/>
    <x v="6"/>
    <x v="0"/>
    <s v="PC"/>
    <s v="Desk-Based PC"/>
    <s v="Semiconductor Revenue M$"/>
    <x v="6"/>
    <n v="0"/>
  </r>
  <r>
    <s v="Integrated AI"/>
    <x v="6"/>
    <x v="0"/>
    <s v="PC"/>
    <s v="Ultramobile Basic, Tablet"/>
    <s v="Semiconductor Revenue M$"/>
    <x v="0"/>
    <n v="163.45910028793227"/>
  </r>
  <r>
    <s v="Integrated AI"/>
    <x v="6"/>
    <x v="0"/>
    <s v="PC"/>
    <s v="Ultramobile Basic, Tablet"/>
    <s v="Semiconductor Revenue M$"/>
    <x v="1"/>
    <n v="198.82995889892126"/>
  </r>
  <r>
    <s v="Integrated AI"/>
    <x v="6"/>
    <x v="0"/>
    <s v="PC"/>
    <s v="Ultramobile Basic, Tablet"/>
    <s v="Semiconductor Revenue M$"/>
    <x v="2"/>
    <n v="281.59138323286078"/>
  </r>
  <r>
    <s v="Integrated AI"/>
    <x v="6"/>
    <x v="0"/>
    <s v="PC"/>
    <s v="Ultramobile Basic, Tablet"/>
    <s v="Semiconductor Revenue M$"/>
    <x v="3"/>
    <n v="297.51226217365729"/>
  </r>
  <r>
    <s v="Integrated AI"/>
    <x v="6"/>
    <x v="0"/>
    <s v="PC"/>
    <s v="Ultramobile Basic, Tablet"/>
    <s v="Semiconductor Revenue M$"/>
    <x v="4"/>
    <n v="322.89794076974675"/>
  </r>
  <r>
    <s v="Integrated AI"/>
    <x v="6"/>
    <x v="0"/>
    <s v="PC"/>
    <s v="Ultramobile Basic, Tablet"/>
    <s v="Semiconductor Revenue M$"/>
    <x v="5"/>
    <n v="358.88349273758837"/>
  </r>
  <r>
    <s v="Integrated AI"/>
    <x v="6"/>
    <x v="0"/>
    <s v="PC"/>
    <s v="Ultramobile Basic, Tablet"/>
    <s v="Semiconductor Revenue M$"/>
    <x v="6"/>
    <n v="393.48984775303154"/>
  </r>
  <r>
    <s v="Integrated AI"/>
    <x v="6"/>
    <x v="0"/>
    <s v="PC"/>
    <s v="Ultramobile Utility, Tablet"/>
    <s v="Semiconductor Revenue M$"/>
    <x v="0"/>
    <n v="2.4450940353867266E-3"/>
  </r>
  <r>
    <s v="Integrated AI"/>
    <x v="6"/>
    <x v="0"/>
    <s v="PC"/>
    <s v="Ultramobile Utility, Tablet"/>
    <s v="Semiconductor Revenue M$"/>
    <x v="1"/>
    <n v="6.8274291400012704E-3"/>
  </r>
  <r>
    <s v="Integrated AI"/>
    <x v="6"/>
    <x v="0"/>
    <s v="PC"/>
    <s v="Ultramobile Utility, Tablet"/>
    <s v="Semiconductor Revenue M$"/>
    <x v="2"/>
    <n v="2.611089604613814E-2"/>
  </r>
  <r>
    <s v="Integrated AI"/>
    <x v="6"/>
    <x v="0"/>
    <s v="PC"/>
    <s v="Ultramobile Utility, Tablet"/>
    <s v="Semiconductor Revenue M$"/>
    <x v="3"/>
    <n v="8.3684191995540905E-2"/>
  </r>
  <r>
    <s v="Integrated AI"/>
    <x v="6"/>
    <x v="0"/>
    <s v="PC"/>
    <s v="Ultramobile Utility, Tablet"/>
    <s v="Semiconductor Revenue M$"/>
    <x v="4"/>
    <n v="0.29108361071838823"/>
  </r>
  <r>
    <s v="Integrated AI"/>
    <x v="6"/>
    <x v="0"/>
    <s v="PC"/>
    <s v="Ultramobile Utility, Tablet"/>
    <s v="Semiconductor Revenue M$"/>
    <x v="5"/>
    <n v="0.34114584861068692"/>
  </r>
  <r>
    <s v="Integrated AI"/>
    <x v="6"/>
    <x v="0"/>
    <s v="PC"/>
    <s v="Ultramobile Utility, Tablet"/>
    <s v="Semiconductor Revenue M$"/>
    <x v="6"/>
    <n v="0.42532688194467383"/>
  </r>
  <r>
    <s v="Integrated AI"/>
    <x v="6"/>
    <x v="0"/>
    <s v="PC"/>
    <s v="Ultramobile Premium, Tablet"/>
    <s v="Semiconductor Revenue M$"/>
    <x v="0"/>
    <n v="0"/>
  </r>
  <r>
    <s v="Integrated AI"/>
    <x v="6"/>
    <x v="0"/>
    <s v="PC"/>
    <s v="Ultramobile Premium, Tablet"/>
    <s v="Semiconductor Revenue M$"/>
    <x v="1"/>
    <n v="0"/>
  </r>
  <r>
    <s v="Integrated AI"/>
    <x v="6"/>
    <x v="0"/>
    <s v="PC"/>
    <s v="Ultramobile Premium, Tablet"/>
    <s v="Semiconductor Revenue M$"/>
    <x v="2"/>
    <n v="0"/>
  </r>
  <r>
    <s v="Integrated AI"/>
    <x v="6"/>
    <x v="0"/>
    <s v="PC"/>
    <s v="Ultramobile Premium, Tablet"/>
    <s v="Semiconductor Revenue M$"/>
    <x v="3"/>
    <n v="0"/>
  </r>
  <r>
    <s v="Integrated AI"/>
    <x v="6"/>
    <x v="0"/>
    <s v="PC"/>
    <s v="Ultramobile Premium, Tablet"/>
    <s v="Semiconductor Revenue M$"/>
    <x v="4"/>
    <n v="0"/>
  </r>
  <r>
    <s v="Integrated AI"/>
    <x v="6"/>
    <x v="0"/>
    <s v="PC"/>
    <s v="Ultramobile Premium, Tablet"/>
    <s v="Semiconductor Revenue M$"/>
    <x v="5"/>
    <n v="0"/>
  </r>
  <r>
    <s v="Integrated AI"/>
    <x v="6"/>
    <x v="0"/>
    <s v="PC"/>
    <s v="Ultramobile Premium, Tablet"/>
    <s v="Semiconductor Revenue M$"/>
    <x v="6"/>
    <n v="0"/>
  </r>
  <r>
    <s v="Integrated AI"/>
    <x v="6"/>
    <x v="0"/>
    <s v="PC"/>
    <s v="Ultramobile Basic, Clamshell"/>
    <s v="Semiconductor Revenue M$"/>
    <x v="0"/>
    <n v="8.5729510126587583E-3"/>
  </r>
  <r>
    <s v="Integrated AI"/>
    <x v="6"/>
    <x v="0"/>
    <s v="PC"/>
    <s v="Ultramobile Basic, Clamshell"/>
    <s v="Semiconductor Revenue M$"/>
    <x v="1"/>
    <n v="5.4755990937592522E-2"/>
  </r>
  <r>
    <s v="Integrated AI"/>
    <x v="6"/>
    <x v="0"/>
    <s v="PC"/>
    <s v="Ultramobile Basic, Clamshell"/>
    <s v="Semiconductor Revenue M$"/>
    <x v="2"/>
    <n v="0.24665458603014578"/>
  </r>
  <r>
    <s v="Integrated AI"/>
    <x v="6"/>
    <x v="0"/>
    <s v="PC"/>
    <s v="Ultramobile Basic, Clamshell"/>
    <s v="Semiconductor Revenue M$"/>
    <x v="3"/>
    <n v="1.1723704209861598"/>
  </r>
  <r>
    <s v="Integrated AI"/>
    <x v="6"/>
    <x v="0"/>
    <s v="PC"/>
    <s v="Ultramobile Basic, Clamshell"/>
    <s v="Semiconductor Revenue M$"/>
    <x v="4"/>
    <n v="5.0424573556664631"/>
  </r>
  <r>
    <s v="Integrated AI"/>
    <x v="6"/>
    <x v="0"/>
    <s v="PC"/>
    <s v="Ultramobile Basic, Clamshell"/>
    <s v="Semiconductor Revenue M$"/>
    <x v="5"/>
    <n v="6.6993767805752444"/>
  </r>
  <r>
    <s v="Integrated AI"/>
    <x v="6"/>
    <x v="0"/>
    <s v="PC"/>
    <s v="Ultramobile Basic, Clamshell"/>
    <s v="Semiconductor Revenue M$"/>
    <x v="6"/>
    <n v="10.772413347088875"/>
  </r>
  <r>
    <s v="Integrated AI"/>
    <x v="6"/>
    <x v="0"/>
    <s v="PC"/>
    <s v="Ultramobile Premium, Clamshell"/>
    <s v="Semiconductor Revenue M$"/>
    <x v="0"/>
    <n v="0"/>
  </r>
  <r>
    <s v="Integrated AI"/>
    <x v="6"/>
    <x v="0"/>
    <s v="PC"/>
    <s v="Ultramobile Premium, Clamshell"/>
    <s v="Semiconductor Revenue M$"/>
    <x v="1"/>
    <n v="0"/>
  </r>
  <r>
    <s v="Integrated AI"/>
    <x v="6"/>
    <x v="0"/>
    <s v="PC"/>
    <s v="Ultramobile Premium, Clamshell"/>
    <s v="Semiconductor Revenue M$"/>
    <x v="2"/>
    <n v="0"/>
  </r>
  <r>
    <s v="Integrated AI"/>
    <x v="6"/>
    <x v="0"/>
    <s v="PC"/>
    <s v="Ultramobile Premium, Clamshell"/>
    <s v="Semiconductor Revenue M$"/>
    <x v="3"/>
    <n v="0"/>
  </r>
  <r>
    <s v="Integrated AI"/>
    <x v="6"/>
    <x v="0"/>
    <s v="PC"/>
    <s v="Ultramobile Premium, Clamshell"/>
    <s v="Semiconductor Revenue M$"/>
    <x v="4"/>
    <n v="0"/>
  </r>
  <r>
    <s v="Integrated AI"/>
    <x v="6"/>
    <x v="0"/>
    <s v="PC"/>
    <s v="Ultramobile Premium, Clamshell"/>
    <s v="Semiconductor Revenue M$"/>
    <x v="5"/>
    <n v="0"/>
  </r>
  <r>
    <s v="Integrated AI"/>
    <x v="6"/>
    <x v="0"/>
    <s v="PC"/>
    <s v="Ultramobile Premium, Clamshell"/>
    <s v="Semiconductor Revenue M$"/>
    <x v="6"/>
    <n v="0"/>
  </r>
  <r>
    <s v="Integrated AI"/>
    <x v="6"/>
    <x v="0"/>
    <s v="PC"/>
    <s v="Ultramobile Basic, Hybrid"/>
    <s v="Semiconductor Revenue M$"/>
    <x v="0"/>
    <n v="0"/>
  </r>
  <r>
    <s v="Integrated AI"/>
    <x v="6"/>
    <x v="0"/>
    <s v="PC"/>
    <s v="Ultramobile Basic, Hybrid"/>
    <s v="Semiconductor Revenue M$"/>
    <x v="1"/>
    <n v="0"/>
  </r>
  <r>
    <s v="Integrated AI"/>
    <x v="6"/>
    <x v="0"/>
    <s v="PC"/>
    <s v="Ultramobile Basic, Hybrid"/>
    <s v="Semiconductor Revenue M$"/>
    <x v="2"/>
    <n v="0"/>
  </r>
  <r>
    <s v="Integrated AI"/>
    <x v="6"/>
    <x v="0"/>
    <s v="PC"/>
    <s v="Ultramobile Basic, Hybrid"/>
    <s v="Semiconductor Revenue M$"/>
    <x v="3"/>
    <n v="0"/>
  </r>
  <r>
    <s v="Integrated AI"/>
    <x v="6"/>
    <x v="0"/>
    <s v="PC"/>
    <s v="Ultramobile Basic, Hybrid"/>
    <s v="Semiconductor Revenue M$"/>
    <x v="4"/>
    <n v="0"/>
  </r>
  <r>
    <s v="Integrated AI"/>
    <x v="6"/>
    <x v="0"/>
    <s v="PC"/>
    <s v="Ultramobile Basic, Hybrid"/>
    <s v="Semiconductor Revenue M$"/>
    <x v="5"/>
    <n v="0"/>
  </r>
  <r>
    <s v="Integrated AI"/>
    <x v="6"/>
    <x v="0"/>
    <s v="PC"/>
    <s v="Ultramobile Basic, Hybrid"/>
    <s v="Semiconductor Revenue M$"/>
    <x v="6"/>
    <n v="0"/>
  </r>
  <r>
    <s v="Integrated AI"/>
    <x v="6"/>
    <x v="0"/>
    <s v="PC"/>
    <s v="Ultramobile Premium, Hybrid"/>
    <s v="Semiconductor Revenue M$"/>
    <x v="0"/>
    <n v="0"/>
  </r>
  <r>
    <s v="Integrated AI"/>
    <x v="6"/>
    <x v="0"/>
    <s v="PC"/>
    <s v="Ultramobile Premium, Hybrid"/>
    <s v="Semiconductor Revenue M$"/>
    <x v="1"/>
    <n v="0"/>
  </r>
  <r>
    <s v="Integrated AI"/>
    <x v="6"/>
    <x v="0"/>
    <s v="PC"/>
    <s v="Ultramobile Premium, Hybrid"/>
    <s v="Semiconductor Revenue M$"/>
    <x v="2"/>
    <n v="0"/>
  </r>
  <r>
    <s v="Integrated AI"/>
    <x v="6"/>
    <x v="0"/>
    <s v="PC"/>
    <s v="Ultramobile Premium, Hybrid"/>
    <s v="Semiconductor Revenue M$"/>
    <x v="3"/>
    <n v="0"/>
  </r>
  <r>
    <s v="Integrated AI"/>
    <x v="6"/>
    <x v="0"/>
    <s v="PC"/>
    <s v="Ultramobile Premium, Hybrid"/>
    <s v="Semiconductor Revenue M$"/>
    <x v="4"/>
    <n v="0"/>
  </r>
  <r>
    <s v="Integrated AI"/>
    <x v="6"/>
    <x v="0"/>
    <s v="PC"/>
    <s v="Ultramobile Premium, Hybrid"/>
    <s v="Semiconductor Revenue M$"/>
    <x v="5"/>
    <n v="0"/>
  </r>
  <r>
    <s v="Integrated AI"/>
    <x v="6"/>
    <x v="0"/>
    <s v="PC"/>
    <s v="Ultramobile Premium, Hybrid"/>
    <s v="Semiconductor Revenue M$"/>
    <x v="6"/>
    <n v="0"/>
  </r>
  <r>
    <s v="Integrated AI"/>
    <x v="6"/>
    <x v="0"/>
    <s v="PC"/>
    <s v="Notebook"/>
    <s v="Semiconductor Revenue M$"/>
    <x v="0"/>
    <n v="0"/>
  </r>
  <r>
    <s v="Integrated AI"/>
    <x v="6"/>
    <x v="0"/>
    <s v="PC"/>
    <s v="Notebook"/>
    <s v="Semiconductor Revenue M$"/>
    <x v="1"/>
    <n v="0"/>
  </r>
  <r>
    <s v="Integrated AI"/>
    <x v="6"/>
    <x v="0"/>
    <s v="PC"/>
    <s v="Notebook"/>
    <s v="Semiconductor Revenue M$"/>
    <x v="2"/>
    <n v="0"/>
  </r>
  <r>
    <s v="Integrated AI"/>
    <x v="6"/>
    <x v="0"/>
    <s v="PC"/>
    <s v="Notebook"/>
    <s v="Semiconductor Revenue M$"/>
    <x v="3"/>
    <n v="0"/>
  </r>
  <r>
    <s v="Integrated AI"/>
    <x v="6"/>
    <x v="0"/>
    <s v="PC"/>
    <s v="Notebook"/>
    <s v="Semiconductor Revenue M$"/>
    <x v="4"/>
    <n v="0"/>
  </r>
  <r>
    <s v="Integrated AI"/>
    <x v="6"/>
    <x v="0"/>
    <s v="PC"/>
    <s v="Notebook"/>
    <s v="Semiconductor Revenue M$"/>
    <x v="5"/>
    <n v="0"/>
  </r>
  <r>
    <s v="Integrated AI"/>
    <x v="6"/>
    <x v="0"/>
    <s v="PC"/>
    <s v="Notebook"/>
    <s v="Semiconductor Revenue M$"/>
    <x v="6"/>
    <n v="0"/>
  </r>
  <r>
    <s v="Integrated AI"/>
    <x v="6"/>
    <x v="0"/>
    <s v="Compute"/>
    <s v="Printer/Copier"/>
    <s v="Semiconductor Revenue M$"/>
    <x v="0"/>
    <n v="0"/>
  </r>
  <r>
    <s v="Integrated AI"/>
    <x v="6"/>
    <x v="0"/>
    <s v="Compute"/>
    <s v="Printer/Copier"/>
    <s v="Semiconductor Revenue M$"/>
    <x v="1"/>
    <n v="0"/>
  </r>
  <r>
    <s v="Integrated AI"/>
    <x v="6"/>
    <x v="0"/>
    <s v="Compute"/>
    <s v="Printer/Copier"/>
    <s v="Semiconductor Revenue M$"/>
    <x v="2"/>
    <n v="0"/>
  </r>
  <r>
    <s v="Integrated AI"/>
    <x v="6"/>
    <x v="0"/>
    <s v="Compute"/>
    <s v="Printer/Copier"/>
    <s v="Semiconductor Revenue M$"/>
    <x v="3"/>
    <n v="0"/>
  </r>
  <r>
    <s v="Integrated AI"/>
    <x v="6"/>
    <x v="0"/>
    <s v="Compute"/>
    <s v="Printer/Copier"/>
    <s v="Semiconductor Revenue M$"/>
    <x v="4"/>
    <n v="0"/>
  </r>
  <r>
    <s v="Integrated AI"/>
    <x v="6"/>
    <x v="0"/>
    <s v="Compute"/>
    <s v="Printer/Copier"/>
    <s v="Semiconductor Revenue M$"/>
    <x v="5"/>
    <n v="0"/>
  </r>
  <r>
    <s v="Integrated AI"/>
    <x v="6"/>
    <x v="0"/>
    <s v="Compute"/>
    <s v="Printer/Copier"/>
    <s v="Semiconductor Revenue M$"/>
    <x v="6"/>
    <n v="0"/>
  </r>
  <r>
    <s v="Integrated AI"/>
    <x v="6"/>
    <x v="0"/>
    <s v="Compute"/>
    <s v="Flash Cards"/>
    <s v="Semiconductor Revenue M$"/>
    <x v="0"/>
    <n v="0"/>
  </r>
  <r>
    <s v="Integrated AI"/>
    <x v="6"/>
    <x v="0"/>
    <s v="Compute"/>
    <s v="Flash Cards"/>
    <s v="Semiconductor Revenue M$"/>
    <x v="1"/>
    <n v="0"/>
  </r>
  <r>
    <s v="Integrated AI"/>
    <x v="6"/>
    <x v="0"/>
    <s v="Compute"/>
    <s v="Flash Cards"/>
    <s v="Semiconductor Revenue M$"/>
    <x v="2"/>
    <n v="0"/>
  </r>
  <r>
    <s v="Integrated AI"/>
    <x v="6"/>
    <x v="0"/>
    <s v="Compute"/>
    <s v="Flash Cards"/>
    <s v="Semiconductor Revenue M$"/>
    <x v="3"/>
    <n v="0"/>
  </r>
  <r>
    <s v="Integrated AI"/>
    <x v="6"/>
    <x v="0"/>
    <s v="Compute"/>
    <s v="Flash Cards"/>
    <s v="Semiconductor Revenue M$"/>
    <x v="4"/>
    <n v="0"/>
  </r>
  <r>
    <s v="Integrated AI"/>
    <x v="6"/>
    <x v="0"/>
    <s v="Compute"/>
    <s v="Flash Cards"/>
    <s v="Semiconductor Revenue M$"/>
    <x v="5"/>
    <n v="0"/>
  </r>
  <r>
    <s v="Integrated AI"/>
    <x v="6"/>
    <x v="0"/>
    <s v="Compute"/>
    <s v="Flash Cards"/>
    <s v="Semiconductor Revenue M$"/>
    <x v="6"/>
    <n v="0"/>
  </r>
  <r>
    <s v="Integrated AI"/>
    <x v="6"/>
    <x v="0"/>
    <s v="Compute"/>
    <s v="USB Flash Drives"/>
    <s v="Semiconductor Revenue M$"/>
    <x v="0"/>
    <n v="0"/>
  </r>
  <r>
    <s v="Integrated AI"/>
    <x v="6"/>
    <x v="0"/>
    <s v="Compute"/>
    <s v="USB Flash Drives"/>
    <s v="Semiconductor Revenue M$"/>
    <x v="1"/>
    <n v="0"/>
  </r>
  <r>
    <s v="Integrated AI"/>
    <x v="6"/>
    <x v="0"/>
    <s v="Compute"/>
    <s v="USB Flash Drives"/>
    <s v="Semiconductor Revenue M$"/>
    <x v="2"/>
    <n v="0"/>
  </r>
  <r>
    <s v="Integrated AI"/>
    <x v="6"/>
    <x v="0"/>
    <s v="Compute"/>
    <s v="USB Flash Drives"/>
    <s v="Semiconductor Revenue M$"/>
    <x v="3"/>
    <n v="0"/>
  </r>
  <r>
    <s v="Integrated AI"/>
    <x v="6"/>
    <x v="0"/>
    <s v="Compute"/>
    <s v="USB Flash Drives"/>
    <s v="Semiconductor Revenue M$"/>
    <x v="4"/>
    <n v="0"/>
  </r>
  <r>
    <s v="Integrated AI"/>
    <x v="6"/>
    <x v="0"/>
    <s v="Compute"/>
    <s v="USB Flash Drives"/>
    <s v="Semiconductor Revenue M$"/>
    <x v="5"/>
    <n v="0"/>
  </r>
  <r>
    <s v="Integrated AI"/>
    <x v="6"/>
    <x v="0"/>
    <s v="Compute"/>
    <s v="USB Flash Drives"/>
    <s v="Semiconductor Revenue M$"/>
    <x v="6"/>
    <n v="0"/>
  </r>
  <r>
    <s v="Integrated AI"/>
    <x v="6"/>
    <x v="0"/>
    <s v="Servers"/>
    <s v="Server, 4 CPU sockets and over"/>
    <s v="Semiconductor Revenue M$"/>
    <x v="0"/>
    <n v="0"/>
  </r>
  <r>
    <s v="Integrated AI"/>
    <x v="6"/>
    <x v="0"/>
    <s v="Servers"/>
    <s v="Server, 4 CPU sockets and over"/>
    <s v="Semiconductor Revenue M$"/>
    <x v="1"/>
    <n v="0"/>
  </r>
  <r>
    <s v="Integrated AI"/>
    <x v="6"/>
    <x v="0"/>
    <s v="Servers"/>
    <s v="Server, 4 CPU sockets and over"/>
    <s v="Semiconductor Revenue M$"/>
    <x v="2"/>
    <n v="0"/>
  </r>
  <r>
    <s v="Integrated AI"/>
    <x v="6"/>
    <x v="0"/>
    <s v="Servers"/>
    <s v="Server, 4 CPU sockets and over"/>
    <s v="Semiconductor Revenue M$"/>
    <x v="3"/>
    <n v="0"/>
  </r>
  <r>
    <s v="Integrated AI"/>
    <x v="6"/>
    <x v="0"/>
    <s v="Servers"/>
    <s v="Server, 4 CPU sockets and over"/>
    <s v="Semiconductor Revenue M$"/>
    <x v="4"/>
    <n v="0"/>
  </r>
  <r>
    <s v="Integrated AI"/>
    <x v="6"/>
    <x v="0"/>
    <s v="Servers"/>
    <s v="Server, 4 CPU sockets and over"/>
    <s v="Semiconductor Revenue M$"/>
    <x v="5"/>
    <n v="0"/>
  </r>
  <r>
    <s v="Integrated AI"/>
    <x v="6"/>
    <x v="0"/>
    <s v="Servers"/>
    <s v="Server, 4 CPU sockets and over"/>
    <s v="Semiconductor Revenue M$"/>
    <x v="6"/>
    <n v="0"/>
  </r>
  <r>
    <s v="Integrated AI"/>
    <x v="6"/>
    <x v="0"/>
    <s v="Servers"/>
    <s v="Server, 2 CPU socket"/>
    <s v="Semiconductor Revenue M$"/>
    <x v="0"/>
    <n v="0"/>
  </r>
  <r>
    <s v="Integrated AI"/>
    <x v="6"/>
    <x v="0"/>
    <s v="Servers"/>
    <s v="Server, 2 CPU socket"/>
    <s v="Semiconductor Revenue M$"/>
    <x v="1"/>
    <n v="0"/>
  </r>
  <r>
    <s v="Integrated AI"/>
    <x v="6"/>
    <x v="0"/>
    <s v="Servers"/>
    <s v="Server, 2 CPU socket"/>
    <s v="Semiconductor Revenue M$"/>
    <x v="2"/>
    <n v="0"/>
  </r>
  <r>
    <s v="Integrated AI"/>
    <x v="6"/>
    <x v="0"/>
    <s v="Servers"/>
    <s v="Server, 2 CPU socket"/>
    <s v="Semiconductor Revenue M$"/>
    <x v="3"/>
    <n v="0"/>
  </r>
  <r>
    <s v="Integrated AI"/>
    <x v="6"/>
    <x v="0"/>
    <s v="Servers"/>
    <s v="Server, 2 CPU socket"/>
    <s v="Semiconductor Revenue M$"/>
    <x v="4"/>
    <n v="0"/>
  </r>
  <r>
    <s v="Integrated AI"/>
    <x v="6"/>
    <x v="0"/>
    <s v="Servers"/>
    <s v="Server, 2 CPU socket"/>
    <s v="Semiconductor Revenue M$"/>
    <x v="5"/>
    <n v="0"/>
  </r>
  <r>
    <s v="Integrated AI"/>
    <x v="6"/>
    <x v="0"/>
    <s v="Servers"/>
    <s v="Server, 2 CPU socket"/>
    <s v="Semiconductor Revenue M$"/>
    <x v="6"/>
    <n v="0"/>
  </r>
  <r>
    <s v="Integrated AI"/>
    <x v="6"/>
    <x v="0"/>
    <s v="Servers"/>
    <s v="Server, 1 CPU socket"/>
    <s v="Semiconductor Revenue M$"/>
    <x v="0"/>
    <n v="0"/>
  </r>
  <r>
    <s v="Integrated AI"/>
    <x v="6"/>
    <x v="0"/>
    <s v="Servers"/>
    <s v="Server, 1 CPU socket"/>
    <s v="Semiconductor Revenue M$"/>
    <x v="1"/>
    <n v="0"/>
  </r>
  <r>
    <s v="Integrated AI"/>
    <x v="6"/>
    <x v="0"/>
    <s v="Servers"/>
    <s v="Server, 1 CPU socket"/>
    <s v="Semiconductor Revenue M$"/>
    <x v="2"/>
    <n v="0"/>
  </r>
  <r>
    <s v="Integrated AI"/>
    <x v="6"/>
    <x v="0"/>
    <s v="Servers"/>
    <s v="Server, 1 CPU socket"/>
    <s v="Semiconductor Revenue M$"/>
    <x v="3"/>
    <n v="0"/>
  </r>
  <r>
    <s v="Integrated AI"/>
    <x v="6"/>
    <x v="0"/>
    <s v="Servers"/>
    <s v="Server, 1 CPU socket"/>
    <s v="Semiconductor Revenue M$"/>
    <x v="4"/>
    <n v="0"/>
  </r>
  <r>
    <s v="Integrated AI"/>
    <x v="6"/>
    <x v="0"/>
    <s v="Servers"/>
    <s v="Server, 1 CPU socket"/>
    <s v="Semiconductor Revenue M$"/>
    <x v="5"/>
    <n v="0"/>
  </r>
  <r>
    <s v="Integrated AI"/>
    <x v="6"/>
    <x v="0"/>
    <s v="Servers"/>
    <s v="Server, 1 CPU socket"/>
    <s v="Semiconductor Revenue M$"/>
    <x v="6"/>
    <n v="0"/>
  </r>
  <r>
    <s v="Integrated AI"/>
    <x v="6"/>
    <x v="0"/>
    <s v="Compute"/>
    <s v="Smart Cards"/>
    <s v="Semiconductor Revenue M$"/>
    <x v="0"/>
    <n v="0"/>
  </r>
  <r>
    <s v="Integrated AI"/>
    <x v="6"/>
    <x v="0"/>
    <s v="Compute"/>
    <s v="Smart Cards"/>
    <s v="Semiconductor Revenue M$"/>
    <x v="1"/>
    <n v="0"/>
  </r>
  <r>
    <s v="Integrated AI"/>
    <x v="6"/>
    <x v="0"/>
    <s v="Compute"/>
    <s v="Smart Cards"/>
    <s v="Semiconductor Revenue M$"/>
    <x v="2"/>
    <n v="0"/>
  </r>
  <r>
    <s v="Integrated AI"/>
    <x v="6"/>
    <x v="0"/>
    <s v="Compute"/>
    <s v="Smart Cards"/>
    <s v="Semiconductor Revenue M$"/>
    <x v="3"/>
    <n v="0"/>
  </r>
  <r>
    <s v="Integrated AI"/>
    <x v="6"/>
    <x v="0"/>
    <s v="Compute"/>
    <s v="Smart Cards"/>
    <s v="Semiconductor Revenue M$"/>
    <x v="4"/>
    <n v="0"/>
  </r>
  <r>
    <s v="Integrated AI"/>
    <x v="6"/>
    <x v="0"/>
    <s v="Compute"/>
    <s v="Smart Cards"/>
    <s v="Semiconductor Revenue M$"/>
    <x v="5"/>
    <n v="0"/>
  </r>
  <r>
    <s v="Integrated AI"/>
    <x v="6"/>
    <x v="0"/>
    <s v="Compute"/>
    <s v="Smart Cards"/>
    <s v="Semiconductor Revenue M$"/>
    <x v="6"/>
    <n v="0"/>
  </r>
  <r>
    <s v="Integrated AI"/>
    <x v="6"/>
    <x v="0"/>
    <s v="Servers"/>
    <s v="Accelerator Cards"/>
    <s v="Semiconductor Revenue M$"/>
    <x v="0"/>
    <n v="0"/>
  </r>
  <r>
    <s v="Integrated AI"/>
    <x v="6"/>
    <x v="0"/>
    <s v="Servers"/>
    <s v="Accelerator Cards"/>
    <s v="Semiconductor Revenue M$"/>
    <x v="1"/>
    <n v="0"/>
  </r>
  <r>
    <s v="Integrated AI"/>
    <x v="6"/>
    <x v="0"/>
    <s v="Servers"/>
    <s v="Accelerator Cards"/>
    <s v="Semiconductor Revenue M$"/>
    <x v="2"/>
    <n v="0"/>
  </r>
  <r>
    <s v="Integrated AI"/>
    <x v="6"/>
    <x v="0"/>
    <s v="Servers"/>
    <s v="Accelerator Cards"/>
    <s v="Semiconductor Revenue M$"/>
    <x v="3"/>
    <n v="0"/>
  </r>
  <r>
    <s v="Integrated AI"/>
    <x v="6"/>
    <x v="0"/>
    <s v="Servers"/>
    <s v="Accelerator Cards"/>
    <s v="Semiconductor Revenue M$"/>
    <x v="4"/>
    <n v="0"/>
  </r>
  <r>
    <s v="Integrated AI"/>
    <x v="6"/>
    <x v="0"/>
    <s v="Servers"/>
    <s v="Accelerator Cards"/>
    <s v="Semiconductor Revenue M$"/>
    <x v="5"/>
    <n v="0"/>
  </r>
  <r>
    <s v="Integrated AI"/>
    <x v="6"/>
    <x v="0"/>
    <s v="Servers"/>
    <s v="Accelerator Cards"/>
    <s v="Semiconductor Revenue M$"/>
    <x v="6"/>
    <n v="0"/>
  </r>
  <r>
    <s v="Integrated AI"/>
    <x v="6"/>
    <x v="1"/>
    <s v="Storage"/>
    <s v="Solid-State ECB"/>
    <s v="Semiconductor Revenue M$"/>
    <x v="0"/>
    <n v="0"/>
  </r>
  <r>
    <s v="Integrated AI"/>
    <x v="6"/>
    <x v="1"/>
    <s v="Storage"/>
    <s v="Solid-State ECB"/>
    <s v="Semiconductor Revenue M$"/>
    <x v="1"/>
    <n v="0"/>
  </r>
  <r>
    <s v="Integrated AI"/>
    <x v="6"/>
    <x v="1"/>
    <s v="Storage"/>
    <s v="Solid-State ECB"/>
    <s v="Semiconductor Revenue M$"/>
    <x v="2"/>
    <n v="0"/>
  </r>
  <r>
    <s v="Integrated AI"/>
    <x v="6"/>
    <x v="1"/>
    <s v="Storage"/>
    <s v="Solid-State ECB"/>
    <s v="Semiconductor Revenue M$"/>
    <x v="3"/>
    <n v="0"/>
  </r>
  <r>
    <s v="Integrated AI"/>
    <x v="6"/>
    <x v="1"/>
    <s v="Storage"/>
    <s v="Solid-State ECB"/>
    <s v="Semiconductor Revenue M$"/>
    <x v="4"/>
    <n v="0"/>
  </r>
  <r>
    <s v="Integrated AI"/>
    <x v="6"/>
    <x v="1"/>
    <s v="Storage"/>
    <s v="Solid-State ECB"/>
    <s v="Semiconductor Revenue M$"/>
    <x v="5"/>
    <n v="0"/>
  </r>
  <r>
    <s v="Integrated AI"/>
    <x v="6"/>
    <x v="1"/>
    <s v="Storage"/>
    <s v="Solid-State ECB"/>
    <s v="Semiconductor Revenue M$"/>
    <x v="6"/>
    <n v="0"/>
  </r>
  <r>
    <s v="Integrated AI"/>
    <x v="6"/>
    <x v="1"/>
    <s v="Storage"/>
    <s v="Other ECB (HDD/Hybrid)"/>
    <s v="Semiconductor Revenue M$"/>
    <x v="0"/>
    <n v="0"/>
  </r>
  <r>
    <s v="Integrated AI"/>
    <x v="6"/>
    <x v="1"/>
    <s v="Storage"/>
    <s v="Other ECB (HDD/Hybrid)"/>
    <s v="Semiconductor Revenue M$"/>
    <x v="1"/>
    <n v="0"/>
  </r>
  <r>
    <s v="Integrated AI"/>
    <x v="6"/>
    <x v="1"/>
    <s v="Storage"/>
    <s v="Other ECB (HDD/Hybrid)"/>
    <s v="Semiconductor Revenue M$"/>
    <x v="2"/>
    <n v="0"/>
  </r>
  <r>
    <s v="Integrated AI"/>
    <x v="6"/>
    <x v="1"/>
    <s v="Storage"/>
    <s v="Other ECB (HDD/Hybrid)"/>
    <s v="Semiconductor Revenue M$"/>
    <x v="3"/>
    <n v="0"/>
  </r>
  <r>
    <s v="Integrated AI"/>
    <x v="6"/>
    <x v="1"/>
    <s v="Storage"/>
    <s v="Other ECB (HDD/Hybrid)"/>
    <s v="Semiconductor Revenue M$"/>
    <x v="4"/>
    <n v="0"/>
  </r>
  <r>
    <s v="Integrated AI"/>
    <x v="6"/>
    <x v="1"/>
    <s v="Storage"/>
    <s v="Other ECB (HDD/Hybrid)"/>
    <s v="Semiconductor Revenue M$"/>
    <x v="5"/>
    <n v="0"/>
  </r>
  <r>
    <s v="Integrated AI"/>
    <x v="6"/>
    <x v="1"/>
    <s v="Storage"/>
    <s v="Other ECB (HDD/Hybrid)"/>
    <s v="Semiconductor Revenue M$"/>
    <x v="6"/>
    <n v="0"/>
  </r>
  <r>
    <s v="Integrated AI"/>
    <x v="6"/>
    <x v="1"/>
    <s v="Storage"/>
    <s v="Storage Network Infrastructure"/>
    <s v="Semiconductor Revenue M$"/>
    <x v="0"/>
    <n v="0"/>
  </r>
  <r>
    <s v="Integrated AI"/>
    <x v="6"/>
    <x v="1"/>
    <s v="Storage"/>
    <s v="Storage Network Infrastructure"/>
    <s v="Semiconductor Revenue M$"/>
    <x v="1"/>
    <n v="0"/>
  </r>
  <r>
    <s v="Integrated AI"/>
    <x v="6"/>
    <x v="1"/>
    <s v="Storage"/>
    <s v="Storage Network Infrastructure"/>
    <s v="Semiconductor Revenue M$"/>
    <x v="2"/>
    <n v="0"/>
  </r>
  <r>
    <s v="Integrated AI"/>
    <x v="6"/>
    <x v="1"/>
    <s v="Storage"/>
    <s v="Storage Network Infrastructure"/>
    <s v="Semiconductor Revenue M$"/>
    <x v="3"/>
    <n v="0"/>
  </r>
  <r>
    <s v="Integrated AI"/>
    <x v="6"/>
    <x v="1"/>
    <s v="Storage"/>
    <s v="Storage Network Infrastructure"/>
    <s v="Semiconductor Revenue M$"/>
    <x v="4"/>
    <n v="0"/>
  </r>
  <r>
    <s v="Integrated AI"/>
    <x v="6"/>
    <x v="1"/>
    <s v="Storage"/>
    <s v="Storage Network Infrastructure"/>
    <s v="Semiconductor Revenue M$"/>
    <x v="5"/>
    <n v="0"/>
  </r>
  <r>
    <s v="Integrated AI"/>
    <x v="6"/>
    <x v="1"/>
    <s v="Storage"/>
    <s v="Storage Network Infrastructure"/>
    <s v="Semiconductor Revenue M$"/>
    <x v="6"/>
    <n v="0"/>
  </r>
  <r>
    <s v="Integrated AI"/>
    <x v="6"/>
    <x v="1"/>
    <s v="Storage"/>
    <s v="Hard Disk Drive"/>
    <s v="Semiconductor Revenue M$"/>
    <x v="0"/>
    <n v="0"/>
  </r>
  <r>
    <s v="Integrated AI"/>
    <x v="6"/>
    <x v="1"/>
    <s v="Storage"/>
    <s v="Hard Disk Drive"/>
    <s v="Semiconductor Revenue M$"/>
    <x v="1"/>
    <n v="0"/>
  </r>
  <r>
    <s v="Integrated AI"/>
    <x v="6"/>
    <x v="1"/>
    <s v="Storage"/>
    <s v="Hard Disk Drive"/>
    <s v="Semiconductor Revenue M$"/>
    <x v="2"/>
    <n v="0"/>
  </r>
  <r>
    <s v="Integrated AI"/>
    <x v="6"/>
    <x v="1"/>
    <s v="Storage"/>
    <s v="Hard Disk Drive"/>
    <s v="Semiconductor Revenue M$"/>
    <x v="3"/>
    <n v="0"/>
  </r>
  <r>
    <s v="Integrated AI"/>
    <x v="6"/>
    <x v="1"/>
    <s v="Storage"/>
    <s v="Hard Disk Drive"/>
    <s v="Semiconductor Revenue M$"/>
    <x v="4"/>
    <n v="0"/>
  </r>
  <r>
    <s v="Integrated AI"/>
    <x v="6"/>
    <x v="1"/>
    <s v="Storage"/>
    <s v="Hard Disk Drive"/>
    <s v="Semiconductor Revenue M$"/>
    <x v="5"/>
    <n v="0"/>
  </r>
  <r>
    <s v="Integrated AI"/>
    <x v="6"/>
    <x v="1"/>
    <s v="Storage"/>
    <s v="Hard Disk Drive"/>
    <s v="Semiconductor Revenue M$"/>
    <x v="6"/>
    <n v="0"/>
  </r>
  <r>
    <s v="Integrated AI"/>
    <x v="6"/>
    <x v="1"/>
    <s v="Storage"/>
    <s v="Solid-State Drives"/>
    <s v="Semiconductor Revenue M$"/>
    <x v="0"/>
    <n v="0"/>
  </r>
  <r>
    <s v="Integrated AI"/>
    <x v="6"/>
    <x v="1"/>
    <s v="Storage"/>
    <s v="Solid-State Drives"/>
    <s v="Semiconductor Revenue M$"/>
    <x v="1"/>
    <n v="0"/>
  </r>
  <r>
    <s v="Integrated AI"/>
    <x v="6"/>
    <x v="1"/>
    <s v="Storage"/>
    <s v="Solid-State Drives"/>
    <s v="Semiconductor Revenue M$"/>
    <x v="2"/>
    <n v="0"/>
  </r>
  <r>
    <s v="Integrated AI"/>
    <x v="6"/>
    <x v="1"/>
    <s v="Storage"/>
    <s v="Solid-State Drives"/>
    <s v="Semiconductor Revenue M$"/>
    <x v="3"/>
    <n v="0"/>
  </r>
  <r>
    <s v="Integrated AI"/>
    <x v="6"/>
    <x v="1"/>
    <s v="Storage"/>
    <s v="Solid-State Drives"/>
    <s v="Semiconductor Revenue M$"/>
    <x v="4"/>
    <n v="0"/>
  </r>
  <r>
    <s v="Integrated AI"/>
    <x v="6"/>
    <x v="1"/>
    <s v="Storage"/>
    <s v="Solid-State Drives"/>
    <s v="Semiconductor Revenue M$"/>
    <x v="5"/>
    <n v="0"/>
  </r>
  <r>
    <s v="Integrated AI"/>
    <x v="6"/>
    <x v="1"/>
    <s v="Storage"/>
    <s v="Solid-State Drives"/>
    <s v="Semiconductor Revenue M$"/>
    <x v="6"/>
    <n v="0"/>
  </r>
  <r>
    <s v="Integrated AI"/>
    <x v="6"/>
    <x v="1"/>
    <s v="Storage"/>
    <s v="Other Storage Media"/>
    <s v="Semiconductor Revenue M$"/>
    <x v="0"/>
    <n v="0"/>
  </r>
  <r>
    <s v="Integrated AI"/>
    <x v="6"/>
    <x v="1"/>
    <s v="Storage"/>
    <s v="Other Storage Media"/>
    <s v="Semiconductor Revenue M$"/>
    <x v="1"/>
    <n v="0"/>
  </r>
  <r>
    <s v="Integrated AI"/>
    <x v="6"/>
    <x v="1"/>
    <s v="Storage"/>
    <s v="Other Storage Media"/>
    <s v="Semiconductor Revenue M$"/>
    <x v="2"/>
    <n v="0"/>
  </r>
  <r>
    <s v="Integrated AI"/>
    <x v="6"/>
    <x v="1"/>
    <s v="Storage"/>
    <s v="Other Storage Media"/>
    <s v="Semiconductor Revenue M$"/>
    <x v="3"/>
    <n v="0"/>
  </r>
  <r>
    <s v="Integrated AI"/>
    <x v="6"/>
    <x v="1"/>
    <s v="Storage"/>
    <s v="Other Storage Media"/>
    <s v="Semiconductor Revenue M$"/>
    <x v="4"/>
    <n v="0"/>
  </r>
  <r>
    <s v="Integrated AI"/>
    <x v="6"/>
    <x v="1"/>
    <s v="Storage"/>
    <s v="Other Storage Media"/>
    <s v="Semiconductor Revenue M$"/>
    <x v="5"/>
    <n v="0"/>
  </r>
  <r>
    <s v="Integrated AI"/>
    <x v="6"/>
    <x v="1"/>
    <s v="Storage"/>
    <s v="Other Storage Media"/>
    <s v="Semiconductor Revenue M$"/>
    <x v="6"/>
    <n v="0"/>
  </r>
  <r>
    <s v="Integrated AI"/>
    <x v="6"/>
    <x v="1"/>
    <s v="Storage"/>
    <s v="Other Storage Electronics"/>
    <s v="Semiconductor Revenue M$"/>
    <x v="0"/>
    <n v="0"/>
  </r>
  <r>
    <s v="Integrated AI"/>
    <x v="6"/>
    <x v="1"/>
    <s v="Storage"/>
    <s v="Other Storage Electronics"/>
    <s v="Semiconductor Revenue M$"/>
    <x v="1"/>
    <n v="0"/>
  </r>
  <r>
    <s v="Integrated AI"/>
    <x v="6"/>
    <x v="1"/>
    <s v="Storage"/>
    <s v="Other Storage Electronics"/>
    <s v="Semiconductor Revenue M$"/>
    <x v="2"/>
    <n v="0"/>
  </r>
  <r>
    <s v="Integrated AI"/>
    <x v="6"/>
    <x v="1"/>
    <s v="Storage"/>
    <s v="Other Storage Electronics"/>
    <s v="Semiconductor Revenue M$"/>
    <x v="3"/>
    <n v="0"/>
  </r>
  <r>
    <s v="Integrated AI"/>
    <x v="6"/>
    <x v="1"/>
    <s v="Storage"/>
    <s v="Other Storage Electronics"/>
    <s v="Semiconductor Revenue M$"/>
    <x v="4"/>
    <n v="0"/>
  </r>
  <r>
    <s v="Integrated AI"/>
    <x v="6"/>
    <x v="1"/>
    <s v="Storage"/>
    <s v="Other Storage Electronics"/>
    <s v="Semiconductor Revenue M$"/>
    <x v="5"/>
    <n v="0"/>
  </r>
  <r>
    <s v="Integrated AI"/>
    <x v="6"/>
    <x v="1"/>
    <s v="Storage"/>
    <s v="Other Storage Electronics"/>
    <s v="Semiconductor Revenue M$"/>
    <x v="6"/>
    <n v="0"/>
  </r>
  <r>
    <s v="Integrated AI"/>
    <x v="6"/>
    <x v="2"/>
    <s v="Wireless Communications Electronics"/>
    <s v="Utility Traditional Phone"/>
    <s v="Semiconductor Revenue M$"/>
    <x v="0"/>
    <n v="0"/>
  </r>
  <r>
    <s v="Integrated AI"/>
    <x v="6"/>
    <x v="2"/>
    <s v="Wireless Communications Electronics"/>
    <s v="Utility Traditional Phone"/>
    <s v="Semiconductor Revenue M$"/>
    <x v="1"/>
    <n v="0"/>
  </r>
  <r>
    <s v="Integrated AI"/>
    <x v="6"/>
    <x v="2"/>
    <s v="Wireless Communications Electronics"/>
    <s v="Utility Traditional Phone"/>
    <s v="Semiconductor Revenue M$"/>
    <x v="2"/>
    <n v="0"/>
  </r>
  <r>
    <s v="Integrated AI"/>
    <x v="6"/>
    <x v="2"/>
    <s v="Wireless Communications Electronics"/>
    <s v="Utility Traditional Phone"/>
    <s v="Semiconductor Revenue M$"/>
    <x v="3"/>
    <n v="0"/>
  </r>
  <r>
    <s v="Integrated AI"/>
    <x v="6"/>
    <x v="2"/>
    <s v="Wireless Communications Electronics"/>
    <s v="Utility Traditional Phone"/>
    <s v="Semiconductor Revenue M$"/>
    <x v="4"/>
    <n v="0"/>
  </r>
  <r>
    <s v="Integrated AI"/>
    <x v="6"/>
    <x v="2"/>
    <s v="Wireless Communications Electronics"/>
    <s v="Utility Traditional Phone"/>
    <s v="Semiconductor Revenue M$"/>
    <x v="5"/>
    <n v="0"/>
  </r>
  <r>
    <s v="Integrated AI"/>
    <x v="6"/>
    <x v="2"/>
    <s v="Wireless Communications Electronics"/>
    <s v="Utility Traditional Phone"/>
    <s v="Semiconductor Revenue M$"/>
    <x v="6"/>
    <n v="0"/>
  </r>
  <r>
    <s v="Integrated AI"/>
    <x v="6"/>
    <x v="2"/>
    <s v="Wireless Communications Electronics"/>
    <s v="Basic Smartphone"/>
    <s v="Semiconductor Revenue M$"/>
    <x v="0"/>
    <n v="2692.6675128266884"/>
  </r>
  <r>
    <s v="Integrated AI"/>
    <x v="6"/>
    <x v="2"/>
    <s v="Wireless Communications Electronics"/>
    <s v="Basic Smartphone"/>
    <s v="Semiconductor Revenue M$"/>
    <x v="1"/>
    <n v="4970.0283813179994"/>
  </r>
  <r>
    <s v="Integrated AI"/>
    <x v="6"/>
    <x v="2"/>
    <s v="Wireless Communications Electronics"/>
    <s v="Basic Smartphone"/>
    <s v="Semiconductor Revenue M$"/>
    <x v="2"/>
    <n v="6740.1247056000011"/>
  </r>
  <r>
    <s v="Integrated AI"/>
    <x v="6"/>
    <x v="2"/>
    <s v="Wireless Communications Electronics"/>
    <s v="Basic Smartphone"/>
    <s v="Semiconductor Revenue M$"/>
    <x v="3"/>
    <n v="9081.2363732999984"/>
  </r>
  <r>
    <s v="Integrated AI"/>
    <x v="6"/>
    <x v="2"/>
    <s v="Wireless Communications Electronics"/>
    <s v="Basic Smartphone"/>
    <s v="Semiconductor Revenue M$"/>
    <x v="4"/>
    <n v="10522.0092528"/>
  </r>
  <r>
    <s v="Integrated AI"/>
    <x v="6"/>
    <x v="2"/>
    <s v="Wireless Communications Electronics"/>
    <s v="Basic Smartphone"/>
    <s v="Semiconductor Revenue M$"/>
    <x v="5"/>
    <n v="10269.589990620001"/>
  </r>
  <r>
    <s v="Integrated AI"/>
    <x v="6"/>
    <x v="2"/>
    <s v="Wireless Communications Electronics"/>
    <s v="Basic Smartphone"/>
    <s v="Semiconductor Revenue M$"/>
    <x v="6"/>
    <n v="10025.944727040001"/>
  </r>
  <r>
    <s v="Integrated AI"/>
    <x v="6"/>
    <x v="2"/>
    <s v="Wireless Communications Electronics"/>
    <s v="Utility Smartphone"/>
    <s v="Semiconductor Revenue M$"/>
    <x v="0"/>
    <n v="25.813345924943995"/>
  </r>
  <r>
    <s v="Integrated AI"/>
    <x v="6"/>
    <x v="2"/>
    <s v="Wireless Communications Electronics"/>
    <s v="Utility Smartphone"/>
    <s v="Semiconductor Revenue M$"/>
    <x v="1"/>
    <n v="45.734487424500003"/>
  </r>
  <r>
    <s v="Integrated AI"/>
    <x v="6"/>
    <x v="2"/>
    <s v="Wireless Communications Electronics"/>
    <s v="Utility Smartphone"/>
    <s v="Semiconductor Revenue M$"/>
    <x v="2"/>
    <n v="68.201328195000002"/>
  </r>
  <r>
    <s v="Integrated AI"/>
    <x v="6"/>
    <x v="2"/>
    <s v="Wireless Communications Electronics"/>
    <s v="Utility Smartphone"/>
    <s v="Semiconductor Revenue M$"/>
    <x v="3"/>
    <n v="94.363070620000016"/>
  </r>
  <r>
    <s v="Integrated AI"/>
    <x v="6"/>
    <x v="2"/>
    <s v="Wireless Communications Electronics"/>
    <s v="Utility Smartphone"/>
    <s v="Semiconductor Revenue M$"/>
    <x v="4"/>
    <n v="132.9194664"/>
  </r>
  <r>
    <s v="Integrated AI"/>
    <x v="6"/>
    <x v="2"/>
    <s v="Wireless Communications Electronics"/>
    <s v="Utility Smartphone"/>
    <s v="Semiconductor Revenue M$"/>
    <x v="5"/>
    <n v="152.38488863999999"/>
  </r>
  <r>
    <s v="Integrated AI"/>
    <x v="6"/>
    <x v="2"/>
    <s v="Wireless Communications Electronics"/>
    <s v="Utility Smartphone"/>
    <s v="Semiconductor Revenue M$"/>
    <x v="6"/>
    <n v="178.02111123"/>
  </r>
  <r>
    <s v="Integrated AI"/>
    <x v="6"/>
    <x v="2"/>
    <s v="Wireless Communications Electronics"/>
    <s v="Premium Smartphone"/>
    <s v="Semiconductor Revenue M$"/>
    <x v="0"/>
    <n v="4118.7309776311104"/>
  </r>
  <r>
    <s v="Integrated AI"/>
    <x v="6"/>
    <x v="2"/>
    <s v="Wireless Communications Electronics"/>
    <s v="Premium Smartphone"/>
    <s v="Semiconductor Revenue M$"/>
    <x v="1"/>
    <n v="7151.7668242115442"/>
  </r>
  <r>
    <s v="Integrated AI"/>
    <x v="6"/>
    <x v="2"/>
    <s v="Wireless Communications Electronics"/>
    <s v="Premium Smartphone"/>
    <s v="Semiconductor Revenue M$"/>
    <x v="2"/>
    <n v="10210.423280450168"/>
  </r>
  <r>
    <s v="Integrated AI"/>
    <x v="6"/>
    <x v="2"/>
    <s v="Wireless Communications Electronics"/>
    <s v="Premium Smartphone"/>
    <s v="Semiconductor Revenue M$"/>
    <x v="3"/>
    <n v="10304.12608268907"/>
  </r>
  <r>
    <s v="Integrated AI"/>
    <x v="6"/>
    <x v="2"/>
    <s v="Wireless Communications Electronics"/>
    <s v="Premium Smartphone"/>
    <s v="Semiconductor Revenue M$"/>
    <x v="4"/>
    <n v="13149.273532867781"/>
  </r>
  <r>
    <s v="Integrated AI"/>
    <x v="6"/>
    <x v="2"/>
    <s v="Wireless Communications Electronics"/>
    <s v="Premium Smartphone"/>
    <s v="Semiconductor Revenue M$"/>
    <x v="5"/>
    <n v="16681.182394010277"/>
  </r>
  <r>
    <s v="Integrated AI"/>
    <x v="6"/>
    <x v="2"/>
    <s v="Wireless Communications Electronics"/>
    <s v="Premium Smartphone"/>
    <s v="Semiconductor Revenue M$"/>
    <x v="6"/>
    <n v="18484.204319707867"/>
  </r>
  <r>
    <s v="Integrated AI"/>
    <x v="6"/>
    <x v="3"/>
    <s v="Automotive Electronics"/>
    <s v="ADAS-ECU (Level-2+/3/4)"/>
    <s v="Semiconductor Revenue M$"/>
    <x v="0"/>
    <n v="0"/>
  </r>
  <r>
    <s v="Integrated AI"/>
    <x v="6"/>
    <x v="3"/>
    <s v="Automotive Electronics"/>
    <s v="ADAS-ECU (Level-2+/3/4)"/>
    <s v="Semiconductor Revenue M$"/>
    <x v="1"/>
    <n v="0"/>
  </r>
  <r>
    <s v="Integrated AI"/>
    <x v="6"/>
    <x v="3"/>
    <s v="Automotive Electronics"/>
    <s v="ADAS-ECU (Level-2+/3/4)"/>
    <s v="Semiconductor Revenue M$"/>
    <x v="2"/>
    <n v="0"/>
  </r>
  <r>
    <s v="Integrated AI"/>
    <x v="6"/>
    <x v="3"/>
    <s v="Automotive Electronics"/>
    <s v="ADAS-ECU (Level-2+/3/4)"/>
    <s v="Semiconductor Revenue M$"/>
    <x v="3"/>
    <n v="0"/>
  </r>
  <r>
    <s v="Integrated AI"/>
    <x v="6"/>
    <x v="3"/>
    <s v="Automotive Electronics"/>
    <s v="ADAS-ECU (Level-2+/3/4)"/>
    <s v="Semiconductor Revenue M$"/>
    <x v="4"/>
    <n v="0"/>
  </r>
  <r>
    <s v="Integrated AI"/>
    <x v="6"/>
    <x v="3"/>
    <s v="Automotive Electronics"/>
    <s v="ADAS-ECU (Level-2+/3/4)"/>
    <s v="Semiconductor Revenue M$"/>
    <x v="5"/>
    <n v="0"/>
  </r>
  <r>
    <s v="Integrated AI"/>
    <x v="6"/>
    <x v="3"/>
    <s v="Automotive Electronics"/>
    <s v="ADAS-ECU (Level-2+/3/4)"/>
    <s v="Semiconductor Revenue M$"/>
    <x v="6"/>
    <n v="0"/>
  </r>
  <r>
    <s v="Integrated AI"/>
    <x v="6"/>
    <x v="2"/>
    <s v="Wireless Communications Electronics"/>
    <s v="Mobile Infrastructure - Base Station Equipment"/>
    <s v="Semiconductor Revenue M$"/>
    <x v="0"/>
    <n v="0"/>
  </r>
  <r>
    <s v="Integrated AI"/>
    <x v="6"/>
    <x v="2"/>
    <s v="Wireless Communications Electronics"/>
    <s v="Mobile Infrastructure - Base Station Equipment"/>
    <s v="Semiconductor Revenue M$"/>
    <x v="1"/>
    <n v="0"/>
  </r>
  <r>
    <s v="Integrated AI"/>
    <x v="6"/>
    <x v="2"/>
    <s v="Wireless Communications Electronics"/>
    <s v="Mobile Infrastructure - Base Station Equipment"/>
    <s v="Semiconductor Revenue M$"/>
    <x v="2"/>
    <n v="0"/>
  </r>
  <r>
    <s v="Integrated AI"/>
    <x v="6"/>
    <x v="2"/>
    <s v="Wireless Communications Electronics"/>
    <s v="Mobile Infrastructure - Base Station Equipment"/>
    <s v="Semiconductor Revenue M$"/>
    <x v="3"/>
    <n v="0"/>
  </r>
  <r>
    <s v="Integrated AI"/>
    <x v="6"/>
    <x v="2"/>
    <s v="Wireless Communications Electronics"/>
    <s v="Mobile Infrastructure - Base Station Equipment"/>
    <s v="Semiconductor Revenue M$"/>
    <x v="4"/>
    <n v="0"/>
  </r>
  <r>
    <s v="Integrated AI"/>
    <x v="6"/>
    <x v="2"/>
    <s v="Wireless Communications Electronics"/>
    <s v="Mobile Infrastructure - Base Station Equipment"/>
    <s v="Semiconductor Revenue M$"/>
    <x v="5"/>
    <n v="0"/>
  </r>
  <r>
    <s v="Integrated AI"/>
    <x v="6"/>
    <x v="2"/>
    <s v="Wireless Communications Electronics"/>
    <s v="Mobile Infrastructure - Base Station Equipment"/>
    <s v="Semiconductor Revenue M$"/>
    <x v="6"/>
    <n v="0"/>
  </r>
  <r>
    <s v="Integrated AI"/>
    <x v="6"/>
    <x v="2"/>
    <s v="Wireless Communications Electronics"/>
    <s v="Wireless LAN Infrastructure"/>
    <s v="Semiconductor Revenue M$"/>
    <x v="0"/>
    <n v="0"/>
  </r>
  <r>
    <s v="Integrated AI"/>
    <x v="6"/>
    <x v="2"/>
    <s v="Wireless Communications Electronics"/>
    <s v="Wireless LAN Infrastructure"/>
    <s v="Semiconductor Revenue M$"/>
    <x v="1"/>
    <n v="0"/>
  </r>
  <r>
    <s v="Integrated AI"/>
    <x v="6"/>
    <x v="2"/>
    <s v="Wireless Communications Electronics"/>
    <s v="Wireless LAN Infrastructure"/>
    <s v="Semiconductor Revenue M$"/>
    <x v="2"/>
    <n v="0"/>
  </r>
  <r>
    <s v="Integrated AI"/>
    <x v="6"/>
    <x v="2"/>
    <s v="Wireless Communications Electronics"/>
    <s v="Wireless LAN Infrastructure"/>
    <s v="Semiconductor Revenue M$"/>
    <x v="3"/>
    <n v="0"/>
  </r>
  <r>
    <s v="Integrated AI"/>
    <x v="6"/>
    <x v="2"/>
    <s v="Wireless Communications Electronics"/>
    <s v="Wireless LAN Infrastructure"/>
    <s v="Semiconductor Revenue M$"/>
    <x v="4"/>
    <n v="0"/>
  </r>
  <r>
    <s v="Integrated AI"/>
    <x v="6"/>
    <x v="2"/>
    <s v="Wireless Communications Electronics"/>
    <s v="Wireless LAN Infrastructure"/>
    <s v="Semiconductor Revenue M$"/>
    <x v="5"/>
    <n v="0"/>
  </r>
  <r>
    <s v="Integrated AI"/>
    <x v="6"/>
    <x v="2"/>
    <s v="Wireless Communications Electronics"/>
    <s v="Wireless LAN Infrastructure"/>
    <s v="Semiconductor Revenue M$"/>
    <x v="6"/>
    <n v="0"/>
  </r>
  <r>
    <s v="Integrated AI"/>
    <x v="6"/>
    <x v="2"/>
    <s v="Wireless Communications Electronics"/>
    <s v="Cellular Modems"/>
    <s v="Semiconductor Revenue M$"/>
    <x v="0"/>
    <n v="0"/>
  </r>
  <r>
    <s v="Integrated AI"/>
    <x v="6"/>
    <x v="2"/>
    <s v="Wireless Communications Electronics"/>
    <s v="Cellular Modems"/>
    <s v="Semiconductor Revenue M$"/>
    <x v="1"/>
    <n v="0"/>
  </r>
  <r>
    <s v="Integrated AI"/>
    <x v="6"/>
    <x v="2"/>
    <s v="Wireless Communications Electronics"/>
    <s v="Cellular Modems"/>
    <s v="Semiconductor Revenue M$"/>
    <x v="2"/>
    <n v="0"/>
  </r>
  <r>
    <s v="Integrated AI"/>
    <x v="6"/>
    <x v="2"/>
    <s v="Wireless Communications Electronics"/>
    <s v="Cellular Modems"/>
    <s v="Semiconductor Revenue M$"/>
    <x v="3"/>
    <n v="0"/>
  </r>
  <r>
    <s v="Integrated AI"/>
    <x v="6"/>
    <x v="2"/>
    <s v="Wireless Communications Electronics"/>
    <s v="Cellular Modems"/>
    <s v="Semiconductor Revenue M$"/>
    <x v="4"/>
    <n v="0"/>
  </r>
  <r>
    <s v="Integrated AI"/>
    <x v="6"/>
    <x v="2"/>
    <s v="Wireless Communications Electronics"/>
    <s v="Cellular Modems"/>
    <s v="Semiconductor Revenue M$"/>
    <x v="5"/>
    <n v="0"/>
  </r>
  <r>
    <s v="Integrated AI"/>
    <x v="6"/>
    <x v="2"/>
    <s v="Wireless Communications Electronics"/>
    <s v="Cellular Modems"/>
    <s v="Semiconductor Revenue M$"/>
    <x v="6"/>
    <n v="0"/>
  </r>
  <r>
    <s v="Integrated AI"/>
    <x v="6"/>
    <x v="2"/>
    <s v="Wireless Communications Electronics"/>
    <s v="Other Wireless Communications Electronics"/>
    <s v="Semiconductor Revenue M$"/>
    <x v="0"/>
    <n v="0"/>
  </r>
  <r>
    <s v="Integrated AI"/>
    <x v="6"/>
    <x v="2"/>
    <s v="Wireless Communications Electronics"/>
    <s v="Other Wireless Communications Electronics"/>
    <s v="Semiconductor Revenue M$"/>
    <x v="1"/>
    <n v="0"/>
  </r>
  <r>
    <s v="Integrated AI"/>
    <x v="6"/>
    <x v="2"/>
    <s v="Wireless Communications Electronics"/>
    <s v="Other Wireless Communications Electronics"/>
    <s v="Semiconductor Revenue M$"/>
    <x v="2"/>
    <n v="0"/>
  </r>
  <r>
    <s v="Integrated AI"/>
    <x v="6"/>
    <x v="2"/>
    <s v="Wireless Communications Electronics"/>
    <s v="Other Wireless Communications Electronics"/>
    <s v="Semiconductor Revenue M$"/>
    <x v="3"/>
    <n v="0"/>
  </r>
  <r>
    <s v="Integrated AI"/>
    <x v="6"/>
    <x v="2"/>
    <s v="Wireless Communications Electronics"/>
    <s v="Other Wireless Communications Electronics"/>
    <s v="Semiconductor Revenue M$"/>
    <x v="4"/>
    <n v="0"/>
  </r>
  <r>
    <s v="Integrated AI"/>
    <x v="6"/>
    <x v="2"/>
    <s v="Wireless Communications Electronics"/>
    <s v="Other Wireless Communications Electronics"/>
    <s v="Semiconductor Revenue M$"/>
    <x v="5"/>
    <n v="0"/>
  </r>
  <r>
    <s v="Integrated AI"/>
    <x v="6"/>
    <x v="2"/>
    <s v="Wireless Communications Electronics"/>
    <s v="Other Wireless Communications Electronics"/>
    <s v="Semiconductor Revenue M$"/>
    <x v="6"/>
    <n v="0"/>
  </r>
  <r>
    <s v="Integrated AI"/>
    <x v="6"/>
    <x v="2"/>
    <s v="Wired Communications Electronics"/>
    <s v="DSL Broadband Access"/>
    <s v="Semiconductor Revenue M$"/>
    <x v="0"/>
    <n v="0"/>
  </r>
  <r>
    <s v="Integrated AI"/>
    <x v="6"/>
    <x v="2"/>
    <s v="Wired Communications Electronics"/>
    <s v="DSL Broadband Access"/>
    <s v="Semiconductor Revenue M$"/>
    <x v="1"/>
    <n v="0"/>
  </r>
  <r>
    <s v="Integrated AI"/>
    <x v="6"/>
    <x v="2"/>
    <s v="Wired Communications Electronics"/>
    <s v="DSL Broadband Access"/>
    <s v="Semiconductor Revenue M$"/>
    <x v="2"/>
    <n v="0"/>
  </r>
  <r>
    <s v="Integrated AI"/>
    <x v="6"/>
    <x v="2"/>
    <s v="Wired Communications Electronics"/>
    <s v="DSL Broadband Access"/>
    <s v="Semiconductor Revenue M$"/>
    <x v="3"/>
    <n v="0"/>
  </r>
  <r>
    <s v="Integrated AI"/>
    <x v="6"/>
    <x v="2"/>
    <s v="Wired Communications Electronics"/>
    <s v="DSL Broadband Access"/>
    <s v="Semiconductor Revenue M$"/>
    <x v="4"/>
    <n v="0"/>
  </r>
  <r>
    <s v="Integrated AI"/>
    <x v="6"/>
    <x v="2"/>
    <s v="Wired Communications Electronics"/>
    <s v="DSL Broadband Access"/>
    <s v="Semiconductor Revenue M$"/>
    <x v="5"/>
    <n v="0"/>
  </r>
  <r>
    <s v="Integrated AI"/>
    <x v="6"/>
    <x v="2"/>
    <s v="Wired Communications Electronics"/>
    <s v="DSL Broadband Access"/>
    <s v="Semiconductor Revenue M$"/>
    <x v="6"/>
    <n v="0"/>
  </r>
  <r>
    <s v="Integrated AI"/>
    <x v="6"/>
    <x v="2"/>
    <s v="Wired Communications Electronics"/>
    <s v="Fiber Broadband Access"/>
    <s v="Semiconductor Revenue M$"/>
    <x v="0"/>
    <n v="0"/>
  </r>
  <r>
    <s v="Integrated AI"/>
    <x v="6"/>
    <x v="2"/>
    <s v="Wired Communications Electronics"/>
    <s v="Fiber Broadband Access"/>
    <s v="Semiconductor Revenue M$"/>
    <x v="1"/>
    <n v="0"/>
  </r>
  <r>
    <s v="Integrated AI"/>
    <x v="6"/>
    <x v="2"/>
    <s v="Wired Communications Electronics"/>
    <s v="Fiber Broadband Access"/>
    <s v="Semiconductor Revenue M$"/>
    <x v="2"/>
    <n v="0"/>
  </r>
  <r>
    <s v="Integrated AI"/>
    <x v="6"/>
    <x v="2"/>
    <s v="Wired Communications Electronics"/>
    <s v="Fiber Broadband Access"/>
    <s v="Semiconductor Revenue M$"/>
    <x v="3"/>
    <n v="0"/>
  </r>
  <r>
    <s v="Integrated AI"/>
    <x v="6"/>
    <x v="2"/>
    <s v="Wired Communications Electronics"/>
    <s v="Fiber Broadband Access"/>
    <s v="Semiconductor Revenue M$"/>
    <x v="4"/>
    <n v="0"/>
  </r>
  <r>
    <s v="Integrated AI"/>
    <x v="6"/>
    <x v="2"/>
    <s v="Wired Communications Electronics"/>
    <s v="Fiber Broadband Access"/>
    <s v="Semiconductor Revenue M$"/>
    <x v="5"/>
    <n v="0"/>
  </r>
  <r>
    <s v="Integrated AI"/>
    <x v="6"/>
    <x v="2"/>
    <s v="Wired Communications Electronics"/>
    <s v="Fiber Broadband Access"/>
    <s v="Semiconductor Revenue M$"/>
    <x v="6"/>
    <n v="0"/>
  </r>
  <r>
    <s v="Integrated AI"/>
    <x v="6"/>
    <x v="2"/>
    <s v="Wired Communications Electronics"/>
    <s v="Other Broadband Access"/>
    <s v="Semiconductor Revenue M$"/>
    <x v="0"/>
    <n v="0"/>
  </r>
  <r>
    <s v="Integrated AI"/>
    <x v="6"/>
    <x v="2"/>
    <s v="Wired Communications Electronics"/>
    <s v="Other Broadband Access"/>
    <s v="Semiconductor Revenue M$"/>
    <x v="1"/>
    <n v="0"/>
  </r>
  <r>
    <s v="Integrated AI"/>
    <x v="6"/>
    <x v="2"/>
    <s v="Wired Communications Electronics"/>
    <s v="Other Broadband Access"/>
    <s v="Semiconductor Revenue M$"/>
    <x v="2"/>
    <n v="0"/>
  </r>
  <r>
    <s v="Integrated AI"/>
    <x v="6"/>
    <x v="2"/>
    <s v="Wired Communications Electronics"/>
    <s v="Other Broadband Access"/>
    <s v="Semiconductor Revenue M$"/>
    <x v="3"/>
    <n v="0"/>
  </r>
  <r>
    <s v="Integrated AI"/>
    <x v="6"/>
    <x v="2"/>
    <s v="Wired Communications Electronics"/>
    <s v="Other Broadband Access"/>
    <s v="Semiconductor Revenue M$"/>
    <x v="4"/>
    <n v="0"/>
  </r>
  <r>
    <s v="Integrated AI"/>
    <x v="6"/>
    <x v="2"/>
    <s v="Wired Communications Electronics"/>
    <s v="Other Broadband Access"/>
    <s v="Semiconductor Revenue M$"/>
    <x v="5"/>
    <n v="0"/>
  </r>
  <r>
    <s v="Integrated AI"/>
    <x v="6"/>
    <x v="2"/>
    <s v="Wired Communications Electronics"/>
    <s v="Other Broadband Access"/>
    <s v="Semiconductor Revenue M$"/>
    <x v="6"/>
    <n v="0"/>
  </r>
  <r>
    <s v="Integrated AI"/>
    <x v="6"/>
    <x v="2"/>
    <s v="Wired Communications Electronics"/>
    <s v="Enterprise LAN"/>
    <s v="Semiconductor Revenue M$"/>
    <x v="0"/>
    <n v="0"/>
  </r>
  <r>
    <s v="Integrated AI"/>
    <x v="6"/>
    <x v="2"/>
    <s v="Wired Communications Electronics"/>
    <s v="Enterprise LAN"/>
    <s v="Semiconductor Revenue M$"/>
    <x v="1"/>
    <n v="0"/>
  </r>
  <r>
    <s v="Integrated AI"/>
    <x v="6"/>
    <x v="2"/>
    <s v="Wired Communications Electronics"/>
    <s v="Enterprise LAN"/>
    <s v="Semiconductor Revenue M$"/>
    <x v="2"/>
    <n v="0"/>
  </r>
  <r>
    <s v="Integrated AI"/>
    <x v="6"/>
    <x v="2"/>
    <s v="Wired Communications Electronics"/>
    <s v="Enterprise LAN"/>
    <s v="Semiconductor Revenue M$"/>
    <x v="3"/>
    <n v="0"/>
  </r>
  <r>
    <s v="Integrated AI"/>
    <x v="6"/>
    <x v="2"/>
    <s v="Wired Communications Electronics"/>
    <s v="Enterprise LAN"/>
    <s v="Semiconductor Revenue M$"/>
    <x v="4"/>
    <n v="0"/>
  </r>
  <r>
    <s v="Integrated AI"/>
    <x v="6"/>
    <x v="2"/>
    <s v="Wired Communications Electronics"/>
    <s v="Enterprise LAN"/>
    <s v="Semiconductor Revenue M$"/>
    <x v="5"/>
    <n v="0"/>
  </r>
  <r>
    <s v="Integrated AI"/>
    <x v="6"/>
    <x v="2"/>
    <s v="Wired Communications Electronics"/>
    <s v="Enterprise LAN"/>
    <s v="Semiconductor Revenue M$"/>
    <x v="6"/>
    <n v="0"/>
  </r>
  <r>
    <s v="Integrated AI"/>
    <x v="6"/>
    <x v="3"/>
    <s v="Automotive Electronics"/>
    <s v="ADAS-ECU (Level-0/1/2)"/>
    <s v="Semiconductor Revenue M$"/>
    <x v="0"/>
    <n v="0"/>
  </r>
  <r>
    <s v="Integrated AI"/>
    <x v="6"/>
    <x v="3"/>
    <s v="Automotive Electronics"/>
    <s v="ADAS-ECU (Level-0/1/2)"/>
    <s v="Semiconductor Revenue M$"/>
    <x v="1"/>
    <n v="0"/>
  </r>
  <r>
    <s v="Integrated AI"/>
    <x v="6"/>
    <x v="3"/>
    <s v="Automotive Electronics"/>
    <s v="ADAS-ECU (Level-0/1/2)"/>
    <s v="Semiconductor Revenue M$"/>
    <x v="2"/>
    <n v="0"/>
  </r>
  <r>
    <s v="Integrated AI"/>
    <x v="6"/>
    <x v="3"/>
    <s v="Automotive Electronics"/>
    <s v="ADAS-ECU (Level-0/1/2)"/>
    <s v="Semiconductor Revenue M$"/>
    <x v="3"/>
    <n v="0"/>
  </r>
  <r>
    <s v="Integrated AI"/>
    <x v="6"/>
    <x v="3"/>
    <s v="Automotive Electronics"/>
    <s v="ADAS-ECU (Level-0/1/2)"/>
    <s v="Semiconductor Revenue M$"/>
    <x v="4"/>
    <n v="0"/>
  </r>
  <r>
    <s v="Integrated AI"/>
    <x v="6"/>
    <x v="3"/>
    <s v="Automotive Electronics"/>
    <s v="ADAS-ECU (Level-0/1/2)"/>
    <s v="Semiconductor Revenue M$"/>
    <x v="5"/>
    <n v="0"/>
  </r>
  <r>
    <s v="Integrated AI"/>
    <x v="6"/>
    <x v="3"/>
    <s v="Automotive Electronics"/>
    <s v="ADAS-ECU (Level-0/1/2)"/>
    <s v="Semiconductor Revenue M$"/>
    <x v="6"/>
    <n v="0"/>
  </r>
  <r>
    <s v="Integrated AI"/>
    <x v="6"/>
    <x v="2"/>
    <s v="Wired Communications Electronics"/>
    <s v="Enterprise WAN"/>
    <s v="Semiconductor Revenue M$"/>
    <x v="0"/>
    <n v="0"/>
  </r>
  <r>
    <s v="Integrated AI"/>
    <x v="6"/>
    <x v="2"/>
    <s v="Wired Communications Electronics"/>
    <s v="Enterprise WAN"/>
    <s v="Semiconductor Revenue M$"/>
    <x v="1"/>
    <n v="0"/>
  </r>
  <r>
    <s v="Integrated AI"/>
    <x v="6"/>
    <x v="2"/>
    <s v="Wired Communications Electronics"/>
    <s v="Enterprise WAN"/>
    <s v="Semiconductor Revenue M$"/>
    <x v="2"/>
    <n v="0"/>
  </r>
  <r>
    <s v="Integrated AI"/>
    <x v="6"/>
    <x v="2"/>
    <s v="Wired Communications Electronics"/>
    <s v="Enterprise WAN"/>
    <s v="Semiconductor Revenue M$"/>
    <x v="3"/>
    <n v="0"/>
  </r>
  <r>
    <s v="Integrated AI"/>
    <x v="6"/>
    <x v="2"/>
    <s v="Wired Communications Electronics"/>
    <s v="Enterprise WAN"/>
    <s v="Semiconductor Revenue M$"/>
    <x v="4"/>
    <n v="0"/>
  </r>
  <r>
    <s v="Integrated AI"/>
    <x v="6"/>
    <x v="2"/>
    <s v="Wired Communications Electronics"/>
    <s v="Enterprise WAN"/>
    <s v="Semiconductor Revenue M$"/>
    <x v="5"/>
    <n v="0"/>
  </r>
  <r>
    <s v="Integrated AI"/>
    <x v="6"/>
    <x v="2"/>
    <s v="Wired Communications Electronics"/>
    <s v="Enterprise WAN"/>
    <s v="Semiconductor Revenue M$"/>
    <x v="6"/>
    <n v="0"/>
  </r>
  <r>
    <s v="Integrated AI"/>
    <x v="6"/>
    <x v="2"/>
    <s v="Wired Communications Electronics"/>
    <s v="Optical Transport"/>
    <s v="Semiconductor Revenue M$"/>
    <x v="0"/>
    <n v="0"/>
  </r>
  <r>
    <s v="Integrated AI"/>
    <x v="6"/>
    <x v="2"/>
    <s v="Wired Communications Electronics"/>
    <s v="Optical Transport"/>
    <s v="Semiconductor Revenue M$"/>
    <x v="1"/>
    <n v="0"/>
  </r>
  <r>
    <s v="Integrated AI"/>
    <x v="6"/>
    <x v="2"/>
    <s v="Wired Communications Electronics"/>
    <s v="Optical Transport"/>
    <s v="Semiconductor Revenue M$"/>
    <x v="2"/>
    <n v="0"/>
  </r>
  <r>
    <s v="Integrated AI"/>
    <x v="6"/>
    <x v="2"/>
    <s v="Wired Communications Electronics"/>
    <s v="Optical Transport"/>
    <s v="Semiconductor Revenue M$"/>
    <x v="3"/>
    <n v="0"/>
  </r>
  <r>
    <s v="Integrated AI"/>
    <x v="6"/>
    <x v="2"/>
    <s v="Wired Communications Electronics"/>
    <s v="Optical Transport"/>
    <s v="Semiconductor Revenue M$"/>
    <x v="4"/>
    <n v="0"/>
  </r>
  <r>
    <s v="Integrated AI"/>
    <x v="6"/>
    <x v="2"/>
    <s v="Wired Communications Electronics"/>
    <s v="Optical Transport"/>
    <s v="Semiconductor Revenue M$"/>
    <x v="5"/>
    <n v="0"/>
  </r>
  <r>
    <s v="Integrated AI"/>
    <x v="6"/>
    <x v="2"/>
    <s v="Wired Communications Electronics"/>
    <s v="Optical Transport"/>
    <s v="Semiconductor Revenue M$"/>
    <x v="6"/>
    <n v="0"/>
  </r>
  <r>
    <s v="Integrated AI"/>
    <x v="6"/>
    <x v="2"/>
    <s v="Wired Communications Electronics"/>
    <s v="Service Provider Routers and Switches"/>
    <s v="Semiconductor Revenue M$"/>
    <x v="0"/>
    <n v="0"/>
  </r>
  <r>
    <s v="Integrated AI"/>
    <x v="6"/>
    <x v="2"/>
    <s v="Wired Communications Electronics"/>
    <s v="Service Provider Routers and Switches"/>
    <s v="Semiconductor Revenue M$"/>
    <x v="1"/>
    <n v="0"/>
  </r>
  <r>
    <s v="Integrated AI"/>
    <x v="6"/>
    <x v="2"/>
    <s v="Wired Communications Electronics"/>
    <s v="Service Provider Routers and Switches"/>
    <s v="Semiconductor Revenue M$"/>
    <x v="2"/>
    <n v="0"/>
  </r>
  <r>
    <s v="Integrated AI"/>
    <x v="6"/>
    <x v="2"/>
    <s v="Wired Communications Electronics"/>
    <s v="Service Provider Routers and Switches"/>
    <s v="Semiconductor Revenue M$"/>
    <x v="3"/>
    <n v="0"/>
  </r>
  <r>
    <s v="Integrated AI"/>
    <x v="6"/>
    <x v="2"/>
    <s v="Wired Communications Electronics"/>
    <s v="Service Provider Routers and Switches"/>
    <s v="Semiconductor Revenue M$"/>
    <x v="4"/>
    <n v="0"/>
  </r>
  <r>
    <s v="Integrated AI"/>
    <x v="6"/>
    <x v="2"/>
    <s v="Wired Communications Electronics"/>
    <s v="Service Provider Routers and Switches"/>
    <s v="Semiconductor Revenue M$"/>
    <x v="5"/>
    <n v="0"/>
  </r>
  <r>
    <s v="Integrated AI"/>
    <x v="6"/>
    <x v="2"/>
    <s v="Wired Communications Electronics"/>
    <s v="Service Provider Routers and Switches"/>
    <s v="Semiconductor Revenue M$"/>
    <x v="6"/>
    <n v="0"/>
  </r>
  <r>
    <s v="Integrated AI"/>
    <x v="6"/>
    <x v="2"/>
    <s v="Wired Communications Electronics"/>
    <s v="Other Wired Communications Electronics"/>
    <s v="Semiconductor Revenue M$"/>
    <x v="0"/>
    <n v="0"/>
  </r>
  <r>
    <s v="Integrated AI"/>
    <x v="6"/>
    <x v="2"/>
    <s v="Wired Communications Electronics"/>
    <s v="Other Wired Communications Electronics"/>
    <s v="Semiconductor Revenue M$"/>
    <x v="1"/>
    <n v="0"/>
  </r>
  <r>
    <s v="Integrated AI"/>
    <x v="6"/>
    <x v="2"/>
    <s v="Wired Communications Electronics"/>
    <s v="Other Wired Communications Electronics"/>
    <s v="Semiconductor Revenue M$"/>
    <x v="2"/>
    <n v="0"/>
  </r>
  <r>
    <s v="Integrated AI"/>
    <x v="6"/>
    <x v="2"/>
    <s v="Wired Communications Electronics"/>
    <s v="Other Wired Communications Electronics"/>
    <s v="Semiconductor Revenue M$"/>
    <x v="3"/>
    <n v="0"/>
  </r>
  <r>
    <s v="Integrated AI"/>
    <x v="6"/>
    <x v="2"/>
    <s v="Wired Communications Electronics"/>
    <s v="Other Wired Communications Electronics"/>
    <s v="Semiconductor Revenue M$"/>
    <x v="4"/>
    <n v="0"/>
  </r>
  <r>
    <s v="Integrated AI"/>
    <x v="6"/>
    <x v="2"/>
    <s v="Wired Communications Electronics"/>
    <s v="Other Wired Communications Electronics"/>
    <s v="Semiconductor Revenue M$"/>
    <x v="5"/>
    <n v="0"/>
  </r>
  <r>
    <s v="Integrated AI"/>
    <x v="6"/>
    <x v="2"/>
    <s v="Wired Communications Electronics"/>
    <s v="Other Wired Communications Electronics"/>
    <s v="Semiconductor Revenue M$"/>
    <x v="6"/>
    <n v="0"/>
  </r>
  <r>
    <s v="Integrated AI"/>
    <x v="6"/>
    <x v="4"/>
    <s v="Consumer Electronics"/>
    <s v="Appliances"/>
    <s v="Semiconductor Revenue M$"/>
    <x v="0"/>
    <n v="0"/>
  </r>
  <r>
    <s v="Integrated AI"/>
    <x v="6"/>
    <x v="4"/>
    <s v="Consumer Electronics"/>
    <s v="Appliances"/>
    <s v="Semiconductor Revenue M$"/>
    <x v="1"/>
    <n v="0"/>
  </r>
  <r>
    <s v="Integrated AI"/>
    <x v="6"/>
    <x v="4"/>
    <s v="Consumer Electronics"/>
    <s v="Appliances"/>
    <s v="Semiconductor Revenue M$"/>
    <x v="2"/>
    <n v="0"/>
  </r>
  <r>
    <s v="Integrated AI"/>
    <x v="6"/>
    <x v="4"/>
    <s v="Consumer Electronics"/>
    <s v="Appliances"/>
    <s v="Semiconductor Revenue M$"/>
    <x v="3"/>
    <n v="0"/>
  </r>
  <r>
    <s v="Integrated AI"/>
    <x v="6"/>
    <x v="4"/>
    <s v="Consumer Electronics"/>
    <s v="Appliances"/>
    <s v="Semiconductor Revenue M$"/>
    <x v="4"/>
    <n v="0"/>
  </r>
  <r>
    <s v="Integrated AI"/>
    <x v="6"/>
    <x v="4"/>
    <s v="Consumer Electronics"/>
    <s v="Appliances"/>
    <s v="Semiconductor Revenue M$"/>
    <x v="5"/>
    <n v="0"/>
  </r>
  <r>
    <s v="Integrated AI"/>
    <x v="6"/>
    <x v="4"/>
    <s v="Consumer Electronics"/>
    <s v="Appliances"/>
    <s v="Semiconductor Revenue M$"/>
    <x v="6"/>
    <n v="0"/>
  </r>
  <r>
    <s v="Integrated AI"/>
    <x v="6"/>
    <x v="4"/>
    <s v="Consumer Electronics"/>
    <s v="Digital Camcorder"/>
    <s v="Semiconductor Revenue M$"/>
    <x v="0"/>
    <n v="0"/>
  </r>
  <r>
    <s v="Integrated AI"/>
    <x v="6"/>
    <x v="4"/>
    <s v="Consumer Electronics"/>
    <s v="Digital Camcorder"/>
    <s v="Semiconductor Revenue M$"/>
    <x v="1"/>
    <n v="0"/>
  </r>
  <r>
    <s v="Integrated AI"/>
    <x v="6"/>
    <x v="4"/>
    <s v="Consumer Electronics"/>
    <s v="Digital Camcorder"/>
    <s v="Semiconductor Revenue M$"/>
    <x v="2"/>
    <n v="0"/>
  </r>
  <r>
    <s v="Integrated AI"/>
    <x v="6"/>
    <x v="4"/>
    <s v="Consumer Electronics"/>
    <s v="Digital Camcorder"/>
    <s v="Semiconductor Revenue M$"/>
    <x v="3"/>
    <n v="0"/>
  </r>
  <r>
    <s v="Integrated AI"/>
    <x v="6"/>
    <x v="4"/>
    <s v="Consumer Electronics"/>
    <s v="Digital Camcorder"/>
    <s v="Semiconductor Revenue M$"/>
    <x v="4"/>
    <n v="0"/>
  </r>
  <r>
    <s v="Integrated AI"/>
    <x v="6"/>
    <x v="4"/>
    <s v="Consumer Electronics"/>
    <s v="Digital Camcorder"/>
    <s v="Semiconductor Revenue M$"/>
    <x v="5"/>
    <n v="0"/>
  </r>
  <r>
    <s v="Integrated AI"/>
    <x v="6"/>
    <x v="4"/>
    <s v="Consumer Electronics"/>
    <s v="Digital Camcorder"/>
    <s v="Semiconductor Revenue M$"/>
    <x v="6"/>
    <n v="0"/>
  </r>
  <r>
    <s v="Integrated AI"/>
    <x v="6"/>
    <x v="4"/>
    <s v="Consumer Electronics"/>
    <s v="Digital Set-Top Box, Cable"/>
    <s v="Semiconductor Revenue M$"/>
    <x v="0"/>
    <n v="0"/>
  </r>
  <r>
    <s v="Integrated AI"/>
    <x v="6"/>
    <x v="4"/>
    <s v="Consumer Electronics"/>
    <s v="Digital Set-Top Box, Cable"/>
    <s v="Semiconductor Revenue M$"/>
    <x v="1"/>
    <n v="0"/>
  </r>
  <r>
    <s v="Integrated AI"/>
    <x v="6"/>
    <x v="4"/>
    <s v="Consumer Electronics"/>
    <s v="Digital Set-Top Box, Cable"/>
    <s v="Semiconductor Revenue M$"/>
    <x v="2"/>
    <n v="0"/>
  </r>
  <r>
    <s v="Integrated AI"/>
    <x v="6"/>
    <x v="4"/>
    <s v="Consumer Electronics"/>
    <s v="Digital Set-Top Box, Cable"/>
    <s v="Semiconductor Revenue M$"/>
    <x v="3"/>
    <n v="0"/>
  </r>
  <r>
    <s v="Integrated AI"/>
    <x v="6"/>
    <x v="4"/>
    <s v="Consumer Electronics"/>
    <s v="Digital Set-Top Box, Cable"/>
    <s v="Semiconductor Revenue M$"/>
    <x v="4"/>
    <n v="0"/>
  </r>
  <r>
    <s v="Integrated AI"/>
    <x v="6"/>
    <x v="4"/>
    <s v="Consumer Electronics"/>
    <s v="Digital Set-Top Box, Cable"/>
    <s v="Semiconductor Revenue M$"/>
    <x v="5"/>
    <n v="0"/>
  </r>
  <r>
    <s v="Integrated AI"/>
    <x v="6"/>
    <x v="4"/>
    <s v="Consumer Electronics"/>
    <s v="Digital Set-Top Box, Cable"/>
    <s v="Semiconductor Revenue M$"/>
    <x v="6"/>
    <n v="0"/>
  </r>
  <r>
    <s v="Integrated AI"/>
    <x v="6"/>
    <x v="4"/>
    <s v="Consumer Electronics"/>
    <s v="Digital Set-Top Box, Satellite"/>
    <s v="Semiconductor Revenue M$"/>
    <x v="0"/>
    <n v="0"/>
  </r>
  <r>
    <s v="Integrated AI"/>
    <x v="6"/>
    <x v="4"/>
    <s v="Consumer Electronics"/>
    <s v="Digital Set-Top Box, Satellite"/>
    <s v="Semiconductor Revenue M$"/>
    <x v="1"/>
    <n v="0"/>
  </r>
  <r>
    <s v="Integrated AI"/>
    <x v="6"/>
    <x v="4"/>
    <s v="Consumer Electronics"/>
    <s v="Digital Set-Top Box, Satellite"/>
    <s v="Semiconductor Revenue M$"/>
    <x v="2"/>
    <n v="0"/>
  </r>
  <r>
    <s v="Integrated AI"/>
    <x v="6"/>
    <x v="4"/>
    <s v="Consumer Electronics"/>
    <s v="Digital Set-Top Box, Satellite"/>
    <s v="Semiconductor Revenue M$"/>
    <x v="3"/>
    <n v="0"/>
  </r>
  <r>
    <s v="Integrated AI"/>
    <x v="6"/>
    <x v="4"/>
    <s v="Consumer Electronics"/>
    <s v="Digital Set-Top Box, Satellite"/>
    <s v="Semiconductor Revenue M$"/>
    <x v="4"/>
    <n v="0"/>
  </r>
  <r>
    <s v="Integrated AI"/>
    <x v="6"/>
    <x v="4"/>
    <s v="Consumer Electronics"/>
    <s v="Digital Set-Top Box, Satellite"/>
    <s v="Semiconductor Revenue M$"/>
    <x v="5"/>
    <n v="0"/>
  </r>
  <r>
    <s v="Integrated AI"/>
    <x v="6"/>
    <x v="4"/>
    <s v="Consumer Electronics"/>
    <s v="Digital Set-Top Box, Satellite"/>
    <s v="Semiconductor Revenue M$"/>
    <x v="6"/>
    <n v="0"/>
  </r>
  <r>
    <s v="Integrated AI"/>
    <x v="6"/>
    <x v="4"/>
    <s v="Consumer Electronics"/>
    <s v="Digital Set-Top Box, Terrestrial"/>
    <s v="Semiconductor Revenue M$"/>
    <x v="0"/>
    <n v="0"/>
  </r>
  <r>
    <s v="Integrated AI"/>
    <x v="6"/>
    <x v="4"/>
    <s v="Consumer Electronics"/>
    <s v="Digital Set-Top Box, Terrestrial"/>
    <s v="Semiconductor Revenue M$"/>
    <x v="1"/>
    <n v="0"/>
  </r>
  <r>
    <s v="Integrated AI"/>
    <x v="6"/>
    <x v="4"/>
    <s v="Consumer Electronics"/>
    <s v="Digital Set-Top Box, Terrestrial"/>
    <s v="Semiconductor Revenue M$"/>
    <x v="2"/>
    <n v="0"/>
  </r>
  <r>
    <s v="Integrated AI"/>
    <x v="6"/>
    <x v="4"/>
    <s v="Consumer Electronics"/>
    <s v="Digital Set-Top Box, Terrestrial"/>
    <s v="Semiconductor Revenue M$"/>
    <x v="3"/>
    <n v="0"/>
  </r>
  <r>
    <s v="Integrated AI"/>
    <x v="6"/>
    <x v="4"/>
    <s v="Consumer Electronics"/>
    <s v="Digital Set-Top Box, Terrestrial"/>
    <s v="Semiconductor Revenue M$"/>
    <x v="4"/>
    <n v="0"/>
  </r>
  <r>
    <s v="Integrated AI"/>
    <x v="6"/>
    <x v="4"/>
    <s v="Consumer Electronics"/>
    <s v="Digital Set-Top Box, Terrestrial"/>
    <s v="Semiconductor Revenue M$"/>
    <x v="5"/>
    <n v="0"/>
  </r>
  <r>
    <s v="Integrated AI"/>
    <x v="6"/>
    <x v="4"/>
    <s v="Consumer Electronics"/>
    <s v="Digital Set-Top Box, Terrestrial"/>
    <s v="Semiconductor Revenue M$"/>
    <x v="6"/>
    <n v="0"/>
  </r>
  <r>
    <s v="Integrated AI"/>
    <x v="6"/>
    <x v="4"/>
    <s v="Consumer Electronics"/>
    <s v="Digital Set-Top Box, IP/Other"/>
    <s v="Semiconductor Revenue M$"/>
    <x v="0"/>
    <n v="0"/>
  </r>
  <r>
    <s v="Integrated AI"/>
    <x v="6"/>
    <x v="4"/>
    <s v="Consumer Electronics"/>
    <s v="Digital Set-Top Box, IP/Other"/>
    <s v="Semiconductor Revenue M$"/>
    <x v="1"/>
    <n v="0"/>
  </r>
  <r>
    <s v="Integrated AI"/>
    <x v="6"/>
    <x v="4"/>
    <s v="Consumer Electronics"/>
    <s v="Digital Set-Top Box, IP/Other"/>
    <s v="Semiconductor Revenue M$"/>
    <x v="2"/>
    <n v="0"/>
  </r>
  <r>
    <s v="Integrated AI"/>
    <x v="6"/>
    <x v="4"/>
    <s v="Consumer Electronics"/>
    <s v="Digital Set-Top Box, IP/Other"/>
    <s v="Semiconductor Revenue M$"/>
    <x v="3"/>
    <n v="0"/>
  </r>
  <r>
    <s v="Integrated AI"/>
    <x v="6"/>
    <x v="4"/>
    <s v="Consumer Electronics"/>
    <s v="Digital Set-Top Box, IP/Other"/>
    <s v="Semiconductor Revenue M$"/>
    <x v="4"/>
    <n v="0"/>
  </r>
  <r>
    <s v="Integrated AI"/>
    <x v="6"/>
    <x v="4"/>
    <s v="Consumer Electronics"/>
    <s v="Digital Set-Top Box, IP/Other"/>
    <s v="Semiconductor Revenue M$"/>
    <x v="5"/>
    <n v="0"/>
  </r>
  <r>
    <s v="Integrated AI"/>
    <x v="6"/>
    <x v="4"/>
    <s v="Consumer Electronics"/>
    <s v="Digital Set-Top Box, IP/Other"/>
    <s v="Semiconductor Revenue M$"/>
    <x v="6"/>
    <n v="0"/>
  </r>
  <r>
    <s v="Integrated AI"/>
    <x v="6"/>
    <x v="4"/>
    <s v="Consumer Electronics"/>
    <s v="Digital Still Camera"/>
    <s v="Semiconductor Revenue M$"/>
    <x v="0"/>
    <n v="0"/>
  </r>
  <r>
    <s v="Integrated AI"/>
    <x v="6"/>
    <x v="4"/>
    <s v="Consumer Electronics"/>
    <s v="Digital Still Camera"/>
    <s v="Semiconductor Revenue M$"/>
    <x v="1"/>
    <n v="0"/>
  </r>
  <r>
    <s v="Integrated AI"/>
    <x v="6"/>
    <x v="4"/>
    <s v="Consumer Electronics"/>
    <s v="Digital Still Camera"/>
    <s v="Semiconductor Revenue M$"/>
    <x v="2"/>
    <n v="0"/>
  </r>
  <r>
    <s v="Integrated AI"/>
    <x v="6"/>
    <x v="4"/>
    <s v="Consumer Electronics"/>
    <s v="Digital Still Camera"/>
    <s v="Semiconductor Revenue M$"/>
    <x v="3"/>
    <n v="0"/>
  </r>
  <r>
    <s v="Integrated AI"/>
    <x v="6"/>
    <x v="4"/>
    <s v="Consumer Electronics"/>
    <s v="Digital Still Camera"/>
    <s v="Semiconductor Revenue M$"/>
    <x v="4"/>
    <n v="0"/>
  </r>
  <r>
    <s v="Integrated AI"/>
    <x v="6"/>
    <x v="4"/>
    <s v="Consumer Electronics"/>
    <s v="Digital Still Camera"/>
    <s v="Semiconductor Revenue M$"/>
    <x v="5"/>
    <n v="0"/>
  </r>
  <r>
    <s v="Integrated AI"/>
    <x v="6"/>
    <x v="4"/>
    <s v="Consumer Electronics"/>
    <s v="Digital Still Camera"/>
    <s v="Semiconductor Revenue M$"/>
    <x v="6"/>
    <n v="0"/>
  </r>
  <r>
    <s v="Integrated AI"/>
    <x v="6"/>
    <x v="5"/>
    <s v="Industrial Electronics"/>
    <s v="Agriculture"/>
    <s v="Semiconductor Revenue M$"/>
    <x v="0"/>
    <n v="0"/>
  </r>
  <r>
    <s v="Integrated AI"/>
    <x v="6"/>
    <x v="5"/>
    <s v="Industrial Electronics"/>
    <s v="Agriculture"/>
    <s v="Semiconductor Revenue M$"/>
    <x v="1"/>
    <n v="0"/>
  </r>
  <r>
    <s v="Integrated AI"/>
    <x v="6"/>
    <x v="5"/>
    <s v="Industrial Electronics"/>
    <s v="Agriculture"/>
    <s v="Semiconductor Revenue M$"/>
    <x v="2"/>
    <n v="0"/>
  </r>
  <r>
    <s v="Integrated AI"/>
    <x v="6"/>
    <x v="5"/>
    <s v="Industrial Electronics"/>
    <s v="Agriculture"/>
    <s v="Semiconductor Revenue M$"/>
    <x v="3"/>
    <n v="0"/>
  </r>
  <r>
    <s v="Integrated AI"/>
    <x v="6"/>
    <x v="5"/>
    <s v="Industrial Electronics"/>
    <s v="Agriculture"/>
    <s v="Semiconductor Revenue M$"/>
    <x v="4"/>
    <n v="0"/>
  </r>
  <r>
    <s v="Integrated AI"/>
    <x v="6"/>
    <x v="5"/>
    <s v="Industrial Electronics"/>
    <s v="Agriculture"/>
    <s v="Semiconductor Revenue M$"/>
    <x v="5"/>
    <n v="0"/>
  </r>
  <r>
    <s v="Integrated AI"/>
    <x v="6"/>
    <x v="5"/>
    <s v="Industrial Electronics"/>
    <s v="Agriculture"/>
    <s v="Semiconductor Revenue M$"/>
    <x v="6"/>
    <n v="0"/>
  </r>
  <r>
    <s v="Integrated AI"/>
    <x v="6"/>
    <x v="3"/>
    <s v="Automotive Electronics"/>
    <s v="Automotive HPC"/>
    <s v="Semiconductor Revenue M$"/>
    <x v="0"/>
    <n v="0"/>
  </r>
  <r>
    <s v="Integrated AI"/>
    <x v="6"/>
    <x v="3"/>
    <s v="Automotive Electronics"/>
    <s v="Automotive HPC"/>
    <s v="Semiconductor Revenue M$"/>
    <x v="1"/>
    <n v="0"/>
  </r>
  <r>
    <s v="Integrated AI"/>
    <x v="6"/>
    <x v="3"/>
    <s v="Automotive Electronics"/>
    <s v="Automotive HPC"/>
    <s v="Semiconductor Revenue M$"/>
    <x v="2"/>
    <n v="0"/>
  </r>
  <r>
    <s v="Integrated AI"/>
    <x v="6"/>
    <x v="3"/>
    <s v="Automotive Electronics"/>
    <s v="Automotive HPC"/>
    <s v="Semiconductor Revenue M$"/>
    <x v="3"/>
    <n v="0"/>
  </r>
  <r>
    <s v="Integrated AI"/>
    <x v="6"/>
    <x v="3"/>
    <s v="Automotive Electronics"/>
    <s v="Automotive HPC"/>
    <s v="Semiconductor Revenue M$"/>
    <x v="4"/>
    <n v="0"/>
  </r>
  <r>
    <s v="Integrated AI"/>
    <x v="6"/>
    <x v="3"/>
    <s v="Automotive Electronics"/>
    <s v="Automotive HPC"/>
    <s v="Semiconductor Revenue M$"/>
    <x v="5"/>
    <n v="0"/>
  </r>
  <r>
    <s v="Integrated AI"/>
    <x v="6"/>
    <x v="3"/>
    <s v="Automotive Electronics"/>
    <s v="Automotive HPC"/>
    <s v="Semiconductor Revenue M$"/>
    <x v="6"/>
    <n v="0"/>
  </r>
  <r>
    <s v="Integrated AI"/>
    <x v="6"/>
    <x v="5"/>
    <s v="Industrial Electronics"/>
    <s v="Surveillance"/>
    <s v="Semiconductor Revenue M$"/>
    <x v="0"/>
    <n v="0"/>
  </r>
  <r>
    <s v="Integrated AI"/>
    <x v="6"/>
    <x v="5"/>
    <s v="Industrial Electronics"/>
    <s v="Surveillance"/>
    <s v="Semiconductor Revenue M$"/>
    <x v="1"/>
    <n v="0"/>
  </r>
  <r>
    <s v="Integrated AI"/>
    <x v="6"/>
    <x v="5"/>
    <s v="Industrial Electronics"/>
    <s v="Surveillance"/>
    <s v="Semiconductor Revenue M$"/>
    <x v="2"/>
    <n v="0"/>
  </r>
  <r>
    <s v="Integrated AI"/>
    <x v="6"/>
    <x v="5"/>
    <s v="Industrial Electronics"/>
    <s v="Surveillance"/>
    <s v="Semiconductor Revenue M$"/>
    <x v="3"/>
    <n v="0"/>
  </r>
  <r>
    <s v="Integrated AI"/>
    <x v="6"/>
    <x v="5"/>
    <s v="Industrial Electronics"/>
    <s v="Surveillance"/>
    <s v="Semiconductor Revenue M$"/>
    <x v="4"/>
    <n v="0"/>
  </r>
  <r>
    <s v="Integrated AI"/>
    <x v="6"/>
    <x v="5"/>
    <s v="Industrial Electronics"/>
    <s v="Surveillance"/>
    <s v="Semiconductor Revenue M$"/>
    <x v="5"/>
    <n v="0"/>
  </r>
  <r>
    <s v="Integrated AI"/>
    <x v="6"/>
    <x v="5"/>
    <s v="Industrial Electronics"/>
    <s v="Surveillance"/>
    <s v="Semiconductor Revenue M$"/>
    <x v="6"/>
    <n v="0"/>
  </r>
  <r>
    <s v="Integrated AI"/>
    <x v="6"/>
    <x v="4"/>
    <s v="Consumer Electronics"/>
    <s v="Portable Media Players"/>
    <s v="Semiconductor Revenue M$"/>
    <x v="0"/>
    <n v="0"/>
  </r>
  <r>
    <s v="Integrated AI"/>
    <x v="6"/>
    <x v="4"/>
    <s v="Consumer Electronics"/>
    <s v="Portable Media Players"/>
    <s v="Semiconductor Revenue M$"/>
    <x v="1"/>
    <n v="0"/>
  </r>
  <r>
    <s v="Integrated AI"/>
    <x v="6"/>
    <x v="4"/>
    <s v="Consumer Electronics"/>
    <s v="Portable Media Players"/>
    <s v="Semiconductor Revenue M$"/>
    <x v="2"/>
    <n v="0"/>
  </r>
  <r>
    <s v="Integrated AI"/>
    <x v="6"/>
    <x v="4"/>
    <s v="Consumer Electronics"/>
    <s v="Portable Media Players"/>
    <s v="Semiconductor Revenue M$"/>
    <x v="3"/>
    <n v="0"/>
  </r>
  <r>
    <s v="Integrated AI"/>
    <x v="6"/>
    <x v="4"/>
    <s v="Consumer Electronics"/>
    <s v="Portable Media Players"/>
    <s v="Semiconductor Revenue M$"/>
    <x v="4"/>
    <n v="0"/>
  </r>
  <r>
    <s v="Integrated AI"/>
    <x v="6"/>
    <x v="4"/>
    <s v="Consumer Electronics"/>
    <s v="Portable Media Players"/>
    <s v="Semiconductor Revenue M$"/>
    <x v="5"/>
    <n v="0"/>
  </r>
  <r>
    <s v="Integrated AI"/>
    <x v="6"/>
    <x v="4"/>
    <s v="Consumer Electronics"/>
    <s v="Portable Media Players"/>
    <s v="Semiconductor Revenue M$"/>
    <x v="6"/>
    <n v="0"/>
  </r>
  <r>
    <s v="Integrated AI"/>
    <x v="6"/>
    <x v="4"/>
    <s v="Consumer Electronics"/>
    <s v="Smart Speakers"/>
    <s v="Semiconductor Revenue M$"/>
    <x v="0"/>
    <n v="0"/>
  </r>
  <r>
    <s v="Integrated AI"/>
    <x v="6"/>
    <x v="4"/>
    <s v="Consumer Electronics"/>
    <s v="Smart Speakers"/>
    <s v="Semiconductor Revenue M$"/>
    <x v="1"/>
    <n v="0"/>
  </r>
  <r>
    <s v="Integrated AI"/>
    <x v="6"/>
    <x v="4"/>
    <s v="Consumer Electronics"/>
    <s v="Smart Speakers"/>
    <s v="Semiconductor Revenue M$"/>
    <x v="2"/>
    <n v="0"/>
  </r>
  <r>
    <s v="Integrated AI"/>
    <x v="6"/>
    <x v="4"/>
    <s v="Consumer Electronics"/>
    <s v="Smart Speakers"/>
    <s v="Semiconductor Revenue M$"/>
    <x v="3"/>
    <n v="0"/>
  </r>
  <r>
    <s v="Integrated AI"/>
    <x v="6"/>
    <x v="4"/>
    <s v="Consumer Electronics"/>
    <s v="Smart Speakers"/>
    <s v="Semiconductor Revenue M$"/>
    <x v="4"/>
    <n v="0"/>
  </r>
  <r>
    <s v="Integrated AI"/>
    <x v="6"/>
    <x v="4"/>
    <s v="Consumer Electronics"/>
    <s v="Smart Speakers"/>
    <s v="Semiconductor Revenue M$"/>
    <x v="5"/>
    <n v="0"/>
  </r>
  <r>
    <s v="Integrated AI"/>
    <x v="6"/>
    <x v="4"/>
    <s v="Consumer Electronics"/>
    <s v="Smart Speakers"/>
    <s v="Semiconductor Revenue M$"/>
    <x v="6"/>
    <n v="0"/>
  </r>
  <r>
    <s v="Integrated AI"/>
    <x v="6"/>
    <x v="4"/>
    <s v="Consumer Electronics"/>
    <s v="TV, Standard"/>
    <s v="Semiconductor Revenue M$"/>
    <x v="0"/>
    <n v="0"/>
  </r>
  <r>
    <s v="Integrated AI"/>
    <x v="6"/>
    <x v="4"/>
    <s v="Consumer Electronics"/>
    <s v="TV, Standard"/>
    <s v="Semiconductor Revenue M$"/>
    <x v="1"/>
    <n v="0"/>
  </r>
  <r>
    <s v="Integrated AI"/>
    <x v="6"/>
    <x v="4"/>
    <s v="Consumer Electronics"/>
    <s v="TV, Standard"/>
    <s v="Semiconductor Revenue M$"/>
    <x v="2"/>
    <n v="0"/>
  </r>
  <r>
    <s v="Integrated AI"/>
    <x v="6"/>
    <x v="4"/>
    <s v="Consumer Electronics"/>
    <s v="TV, Standard"/>
    <s v="Semiconductor Revenue M$"/>
    <x v="3"/>
    <n v="0"/>
  </r>
  <r>
    <s v="Integrated AI"/>
    <x v="6"/>
    <x v="4"/>
    <s v="Consumer Electronics"/>
    <s v="TV, Standard"/>
    <s v="Semiconductor Revenue M$"/>
    <x v="4"/>
    <n v="0"/>
  </r>
  <r>
    <s v="Integrated AI"/>
    <x v="6"/>
    <x v="4"/>
    <s v="Consumer Electronics"/>
    <s v="TV, Standard"/>
    <s v="Semiconductor Revenue M$"/>
    <x v="5"/>
    <n v="0"/>
  </r>
  <r>
    <s v="Integrated AI"/>
    <x v="6"/>
    <x v="4"/>
    <s v="Consumer Electronics"/>
    <s v="TV, Standard"/>
    <s v="Semiconductor Revenue M$"/>
    <x v="6"/>
    <n v="0"/>
  </r>
  <r>
    <s v="Integrated AI"/>
    <x v="6"/>
    <x v="4"/>
    <s v="Consumer Electronics"/>
    <s v="TV, Smart"/>
    <s v="Semiconductor Revenue M$"/>
    <x v="0"/>
    <n v="0"/>
  </r>
  <r>
    <s v="Integrated AI"/>
    <x v="6"/>
    <x v="4"/>
    <s v="Consumer Electronics"/>
    <s v="TV, Smart"/>
    <s v="Semiconductor Revenue M$"/>
    <x v="1"/>
    <n v="0"/>
  </r>
  <r>
    <s v="Integrated AI"/>
    <x v="6"/>
    <x v="4"/>
    <s v="Consumer Electronics"/>
    <s v="TV, Smart"/>
    <s v="Semiconductor Revenue M$"/>
    <x v="2"/>
    <n v="0"/>
  </r>
  <r>
    <s v="Integrated AI"/>
    <x v="6"/>
    <x v="4"/>
    <s v="Consumer Electronics"/>
    <s v="TV, Smart"/>
    <s v="Semiconductor Revenue M$"/>
    <x v="3"/>
    <n v="0"/>
  </r>
  <r>
    <s v="Integrated AI"/>
    <x v="6"/>
    <x v="4"/>
    <s v="Consumer Electronics"/>
    <s v="TV, Smart"/>
    <s v="Semiconductor Revenue M$"/>
    <x v="4"/>
    <n v="0"/>
  </r>
  <r>
    <s v="Integrated AI"/>
    <x v="6"/>
    <x v="4"/>
    <s v="Consumer Electronics"/>
    <s v="TV, Smart"/>
    <s v="Semiconductor Revenue M$"/>
    <x v="5"/>
    <n v="0"/>
  </r>
  <r>
    <s v="Integrated AI"/>
    <x v="6"/>
    <x v="4"/>
    <s v="Consumer Electronics"/>
    <s v="TV, Smart"/>
    <s v="Semiconductor Revenue M$"/>
    <x v="6"/>
    <n v="0"/>
  </r>
  <r>
    <s v="Integrated AI"/>
    <x v="6"/>
    <x v="4"/>
    <s v="Consumer Electronics"/>
    <s v="Video Game Consoles"/>
    <s v="Semiconductor Revenue M$"/>
    <x v="0"/>
    <n v="0"/>
  </r>
  <r>
    <s v="Integrated AI"/>
    <x v="6"/>
    <x v="4"/>
    <s v="Consumer Electronics"/>
    <s v="Video Game Consoles"/>
    <s v="Semiconductor Revenue M$"/>
    <x v="1"/>
    <n v="0"/>
  </r>
  <r>
    <s v="Integrated AI"/>
    <x v="6"/>
    <x v="4"/>
    <s v="Consumer Electronics"/>
    <s v="Video Game Consoles"/>
    <s v="Semiconductor Revenue M$"/>
    <x v="2"/>
    <n v="0"/>
  </r>
  <r>
    <s v="Integrated AI"/>
    <x v="6"/>
    <x v="4"/>
    <s v="Consumer Electronics"/>
    <s v="Video Game Consoles"/>
    <s v="Semiconductor Revenue M$"/>
    <x v="3"/>
    <n v="0"/>
  </r>
  <r>
    <s v="Integrated AI"/>
    <x v="6"/>
    <x v="4"/>
    <s v="Consumer Electronics"/>
    <s v="Video Game Consoles"/>
    <s v="Semiconductor Revenue M$"/>
    <x v="4"/>
    <n v="0"/>
  </r>
  <r>
    <s v="Integrated AI"/>
    <x v="6"/>
    <x v="4"/>
    <s v="Consumer Electronics"/>
    <s v="Video Game Consoles"/>
    <s v="Semiconductor Revenue M$"/>
    <x v="5"/>
    <n v="0"/>
  </r>
  <r>
    <s v="Integrated AI"/>
    <x v="6"/>
    <x v="4"/>
    <s v="Consumer Electronics"/>
    <s v="Video Game Consoles"/>
    <s v="Semiconductor Revenue M$"/>
    <x v="6"/>
    <n v="0"/>
  </r>
  <r>
    <s v="Integrated AI"/>
    <x v="6"/>
    <x v="4"/>
    <s v="Consumer Electronics"/>
    <s v="Video Game Handhelds"/>
    <s v="Semiconductor Revenue M$"/>
    <x v="0"/>
    <n v="0"/>
  </r>
  <r>
    <s v="Integrated AI"/>
    <x v="6"/>
    <x v="4"/>
    <s v="Consumer Electronics"/>
    <s v="Video Game Handhelds"/>
    <s v="Semiconductor Revenue M$"/>
    <x v="1"/>
    <n v="0"/>
  </r>
  <r>
    <s v="Integrated AI"/>
    <x v="6"/>
    <x v="4"/>
    <s v="Consumer Electronics"/>
    <s v="Video Game Handhelds"/>
    <s v="Semiconductor Revenue M$"/>
    <x v="2"/>
    <n v="0"/>
  </r>
  <r>
    <s v="Integrated AI"/>
    <x v="6"/>
    <x v="4"/>
    <s v="Consumer Electronics"/>
    <s v="Video Game Handhelds"/>
    <s v="Semiconductor Revenue M$"/>
    <x v="3"/>
    <n v="0"/>
  </r>
  <r>
    <s v="Integrated AI"/>
    <x v="6"/>
    <x v="4"/>
    <s v="Consumer Electronics"/>
    <s v="Video Game Handhelds"/>
    <s v="Semiconductor Revenue M$"/>
    <x v="4"/>
    <n v="0"/>
  </r>
  <r>
    <s v="Integrated AI"/>
    <x v="6"/>
    <x v="4"/>
    <s v="Consumer Electronics"/>
    <s v="Video Game Handhelds"/>
    <s v="Semiconductor Revenue M$"/>
    <x v="5"/>
    <n v="0"/>
  </r>
  <r>
    <s v="Integrated AI"/>
    <x v="6"/>
    <x v="4"/>
    <s v="Consumer Electronics"/>
    <s v="Video Game Handhelds"/>
    <s v="Semiconductor Revenue M$"/>
    <x v="6"/>
    <n v="0"/>
  </r>
  <r>
    <s v="Integrated AI"/>
    <x v="6"/>
    <x v="4"/>
    <s v="Consumer Electronics"/>
    <s v="Wristbands"/>
    <s v="Semiconductor Revenue M$"/>
    <x v="0"/>
    <n v="0"/>
  </r>
  <r>
    <s v="Integrated AI"/>
    <x v="6"/>
    <x v="4"/>
    <s v="Consumer Electronics"/>
    <s v="Wristbands"/>
    <s v="Semiconductor Revenue M$"/>
    <x v="1"/>
    <n v="0"/>
  </r>
  <r>
    <s v="Integrated AI"/>
    <x v="6"/>
    <x v="4"/>
    <s v="Consumer Electronics"/>
    <s v="Wristbands"/>
    <s v="Semiconductor Revenue M$"/>
    <x v="2"/>
    <n v="0"/>
  </r>
  <r>
    <s v="Integrated AI"/>
    <x v="6"/>
    <x v="4"/>
    <s v="Consumer Electronics"/>
    <s v="Wristbands"/>
    <s v="Semiconductor Revenue M$"/>
    <x v="3"/>
    <n v="0"/>
  </r>
  <r>
    <s v="Integrated AI"/>
    <x v="6"/>
    <x v="4"/>
    <s v="Consumer Electronics"/>
    <s v="Wristbands"/>
    <s v="Semiconductor Revenue M$"/>
    <x v="4"/>
    <n v="0"/>
  </r>
  <r>
    <s v="Integrated AI"/>
    <x v="6"/>
    <x v="4"/>
    <s v="Consumer Electronics"/>
    <s v="Wristbands"/>
    <s v="Semiconductor Revenue M$"/>
    <x v="5"/>
    <n v="0"/>
  </r>
  <r>
    <s v="Integrated AI"/>
    <x v="6"/>
    <x v="4"/>
    <s v="Consumer Electronics"/>
    <s v="Wristbands"/>
    <s v="Semiconductor Revenue M$"/>
    <x v="6"/>
    <n v="0"/>
  </r>
  <r>
    <s v="Integrated AI"/>
    <x v="6"/>
    <x v="4"/>
    <s v="Consumer Electronics"/>
    <s v="Head Mounted Display"/>
    <s v="Semiconductor Revenue M$"/>
    <x v="0"/>
    <n v="0"/>
  </r>
  <r>
    <s v="Integrated AI"/>
    <x v="6"/>
    <x v="4"/>
    <s v="Consumer Electronics"/>
    <s v="Head Mounted Display"/>
    <s v="Semiconductor Revenue M$"/>
    <x v="1"/>
    <n v="0.34029124852718085"/>
  </r>
  <r>
    <s v="Integrated AI"/>
    <x v="6"/>
    <x v="4"/>
    <s v="Consumer Electronics"/>
    <s v="Head Mounted Display"/>
    <s v="Semiconductor Revenue M$"/>
    <x v="2"/>
    <n v="1.1901585246319824"/>
  </r>
  <r>
    <s v="Integrated AI"/>
    <x v="6"/>
    <x v="4"/>
    <s v="Consumer Electronics"/>
    <s v="Head Mounted Display"/>
    <s v="Semiconductor Revenue M$"/>
    <x v="3"/>
    <n v="3.2838635032499721"/>
  </r>
  <r>
    <s v="Integrated AI"/>
    <x v="6"/>
    <x v="4"/>
    <s v="Consumer Electronics"/>
    <s v="Head Mounted Display"/>
    <s v="Semiconductor Revenue M$"/>
    <x v="4"/>
    <n v="8.4159856755"/>
  </r>
  <r>
    <s v="Integrated AI"/>
    <x v="6"/>
    <x v="4"/>
    <s v="Consumer Electronics"/>
    <s v="Head Mounted Display"/>
    <s v="Semiconductor Revenue M$"/>
    <x v="5"/>
    <n v="15.137785776959999"/>
  </r>
  <r>
    <s v="Integrated AI"/>
    <x v="6"/>
    <x v="4"/>
    <s v="Consumer Electronics"/>
    <s v="Head Mounted Display"/>
    <s v="Semiconductor Revenue M$"/>
    <x v="6"/>
    <n v="23.429453691105003"/>
  </r>
  <r>
    <s v="Integrated AI"/>
    <x v="6"/>
    <x v="4"/>
    <s v="Consumer Electronics"/>
    <s v="Smart Watches"/>
    <s v="Semiconductor Revenue M$"/>
    <x v="0"/>
    <n v="0.94910476288859136"/>
  </r>
  <r>
    <s v="Integrated AI"/>
    <x v="6"/>
    <x v="4"/>
    <s v="Consumer Electronics"/>
    <s v="Smart Watches"/>
    <s v="Semiconductor Revenue M$"/>
    <x v="1"/>
    <n v="3.2530943447380181"/>
  </r>
  <r>
    <s v="Integrated AI"/>
    <x v="6"/>
    <x v="4"/>
    <s v="Consumer Electronics"/>
    <s v="Smart Watches"/>
    <s v="Semiconductor Revenue M$"/>
    <x v="2"/>
    <n v="9.2628592191181216"/>
  </r>
  <r>
    <s v="Integrated AI"/>
    <x v="6"/>
    <x v="4"/>
    <s v="Consumer Electronics"/>
    <s v="Smart Watches"/>
    <s v="Semiconductor Revenue M$"/>
    <x v="3"/>
    <n v="23.432825938539473"/>
  </r>
  <r>
    <s v="Integrated AI"/>
    <x v="6"/>
    <x v="4"/>
    <s v="Consumer Electronics"/>
    <s v="Smart Watches"/>
    <s v="Semiconductor Revenue M$"/>
    <x v="4"/>
    <n v="56.657797117560023"/>
  </r>
  <r>
    <s v="Integrated AI"/>
    <x v="6"/>
    <x v="4"/>
    <s v="Consumer Electronics"/>
    <s v="Smart Watches"/>
    <s v="Semiconductor Revenue M$"/>
    <x v="5"/>
    <n v="101.99493398109441"/>
  </r>
  <r>
    <s v="Integrated AI"/>
    <x v="6"/>
    <x v="4"/>
    <s v="Consumer Electronics"/>
    <s v="Smart Watches"/>
    <s v="Semiconductor Revenue M$"/>
    <x v="6"/>
    <n v="148.16650191027298"/>
  </r>
  <r>
    <s v="Integrated AI"/>
    <x v="6"/>
    <x v="4"/>
    <s v="Consumer Electronics"/>
    <s v="Sports Watches"/>
    <s v="Semiconductor Revenue M$"/>
    <x v="0"/>
    <n v="0"/>
  </r>
  <r>
    <s v="Integrated AI"/>
    <x v="6"/>
    <x v="4"/>
    <s v="Consumer Electronics"/>
    <s v="Sports Watches"/>
    <s v="Semiconductor Revenue M$"/>
    <x v="1"/>
    <n v="0"/>
  </r>
  <r>
    <s v="Integrated AI"/>
    <x v="6"/>
    <x v="4"/>
    <s v="Consumer Electronics"/>
    <s v="Sports Watches"/>
    <s v="Semiconductor Revenue M$"/>
    <x v="2"/>
    <n v="0"/>
  </r>
  <r>
    <s v="Integrated AI"/>
    <x v="6"/>
    <x v="4"/>
    <s v="Consumer Electronics"/>
    <s v="Sports Watches"/>
    <s v="Semiconductor Revenue M$"/>
    <x v="3"/>
    <n v="0"/>
  </r>
  <r>
    <s v="Integrated AI"/>
    <x v="6"/>
    <x v="4"/>
    <s v="Consumer Electronics"/>
    <s v="Sports Watches"/>
    <s v="Semiconductor Revenue M$"/>
    <x v="4"/>
    <n v="0"/>
  </r>
  <r>
    <s v="Integrated AI"/>
    <x v="6"/>
    <x v="4"/>
    <s v="Consumer Electronics"/>
    <s v="Sports Watches"/>
    <s v="Semiconductor Revenue M$"/>
    <x v="5"/>
    <n v="0"/>
  </r>
  <r>
    <s v="Integrated AI"/>
    <x v="6"/>
    <x v="4"/>
    <s v="Consumer Electronics"/>
    <s v="Sports Watches"/>
    <s v="Semiconductor Revenue M$"/>
    <x v="6"/>
    <n v="0"/>
  </r>
  <r>
    <s v="Integrated AI"/>
    <x v="6"/>
    <x v="4"/>
    <s v="Consumer Electronics"/>
    <s v="Other Consumer Electronics"/>
    <s v="Semiconductor Revenue M$"/>
    <x v="0"/>
    <n v="2.0015751795037407E-3"/>
  </r>
  <r>
    <s v="Integrated AI"/>
    <x v="6"/>
    <x v="4"/>
    <s v="Consumer Electronics"/>
    <s v="Other Consumer Electronics"/>
    <s v="Semiconductor Revenue M$"/>
    <x v="1"/>
    <n v="9.1542282712239256E-3"/>
  </r>
  <r>
    <s v="Integrated AI"/>
    <x v="6"/>
    <x v="4"/>
    <s v="Consumer Electronics"/>
    <s v="Other Consumer Electronics"/>
    <s v="Semiconductor Revenue M$"/>
    <x v="2"/>
    <n v="4.1522763573471511E-2"/>
  </r>
  <r>
    <s v="Integrated AI"/>
    <x v="6"/>
    <x v="4"/>
    <s v="Consumer Electronics"/>
    <s v="Other Consumer Electronics"/>
    <s v="Semiconductor Revenue M$"/>
    <x v="3"/>
    <n v="0.16852969739400578"/>
  </r>
  <r>
    <s v="Integrated AI"/>
    <x v="6"/>
    <x v="4"/>
    <s v="Consumer Electronics"/>
    <s v="Other Consumer Electronics"/>
    <s v="Semiconductor Revenue M$"/>
    <x v="4"/>
    <n v="0.65894073152763444"/>
  </r>
  <r>
    <s v="Integrated AI"/>
    <x v="6"/>
    <x v="4"/>
    <s v="Consumer Electronics"/>
    <s v="Other Consumer Electronics"/>
    <s v="Semiconductor Revenue M$"/>
    <x v="5"/>
    <n v="2.0880027974908288"/>
  </r>
  <r>
    <s v="Integrated AI"/>
    <x v="6"/>
    <x v="4"/>
    <s v="Consumer Electronics"/>
    <s v="Other Consumer Electronics"/>
    <s v="Semiconductor Revenue M$"/>
    <x v="6"/>
    <n v="3.9519683923819153"/>
  </r>
  <r>
    <s v="Integrated AI"/>
    <x v="6"/>
    <x v="3"/>
    <s v="Automotive Electronics"/>
    <s v="ADAS-Sensors and Connectivity"/>
    <s v="Semiconductor Revenue M$"/>
    <x v="0"/>
    <n v="0"/>
  </r>
  <r>
    <s v="Integrated AI"/>
    <x v="6"/>
    <x v="3"/>
    <s v="Automotive Electronics"/>
    <s v="ADAS-Sensors and Connectivity"/>
    <s v="Semiconductor Revenue M$"/>
    <x v="1"/>
    <n v="0"/>
  </r>
  <r>
    <s v="Integrated AI"/>
    <x v="6"/>
    <x v="3"/>
    <s v="Automotive Electronics"/>
    <s v="ADAS-Sensors and Connectivity"/>
    <s v="Semiconductor Revenue M$"/>
    <x v="2"/>
    <n v="0"/>
  </r>
  <r>
    <s v="Integrated AI"/>
    <x v="6"/>
    <x v="3"/>
    <s v="Automotive Electronics"/>
    <s v="ADAS-Sensors and Connectivity"/>
    <s v="Semiconductor Revenue M$"/>
    <x v="3"/>
    <n v="0"/>
  </r>
  <r>
    <s v="Integrated AI"/>
    <x v="6"/>
    <x v="3"/>
    <s v="Automotive Electronics"/>
    <s v="ADAS-Sensors and Connectivity"/>
    <s v="Semiconductor Revenue M$"/>
    <x v="4"/>
    <n v="0"/>
  </r>
  <r>
    <s v="Integrated AI"/>
    <x v="6"/>
    <x v="3"/>
    <s v="Automotive Electronics"/>
    <s v="ADAS-Sensors and Connectivity"/>
    <s v="Semiconductor Revenue M$"/>
    <x v="5"/>
    <n v="0"/>
  </r>
  <r>
    <s v="Integrated AI"/>
    <x v="6"/>
    <x v="3"/>
    <s v="Automotive Electronics"/>
    <s v="ADAS-Sensors and Connectivity"/>
    <s v="Semiconductor Revenue M$"/>
    <x v="6"/>
    <n v="0"/>
  </r>
  <r>
    <s v="Integrated AI"/>
    <x v="6"/>
    <x v="3"/>
    <s v="Automotive Electronics"/>
    <s v="Body"/>
    <s v="Semiconductor Revenue M$"/>
    <x v="0"/>
    <n v="0"/>
  </r>
  <r>
    <s v="Integrated AI"/>
    <x v="6"/>
    <x v="3"/>
    <s v="Automotive Electronics"/>
    <s v="Body"/>
    <s v="Semiconductor Revenue M$"/>
    <x v="1"/>
    <n v="0"/>
  </r>
  <r>
    <s v="Integrated AI"/>
    <x v="6"/>
    <x v="3"/>
    <s v="Automotive Electronics"/>
    <s v="Body"/>
    <s v="Semiconductor Revenue M$"/>
    <x v="2"/>
    <n v="0"/>
  </r>
  <r>
    <s v="Integrated AI"/>
    <x v="6"/>
    <x v="3"/>
    <s v="Automotive Electronics"/>
    <s v="Body"/>
    <s v="Semiconductor Revenue M$"/>
    <x v="3"/>
    <n v="0"/>
  </r>
  <r>
    <s v="Integrated AI"/>
    <x v="6"/>
    <x v="3"/>
    <s v="Automotive Electronics"/>
    <s v="Body"/>
    <s v="Semiconductor Revenue M$"/>
    <x v="4"/>
    <n v="0"/>
  </r>
  <r>
    <s v="Integrated AI"/>
    <x v="6"/>
    <x v="3"/>
    <s v="Automotive Electronics"/>
    <s v="Body"/>
    <s v="Semiconductor Revenue M$"/>
    <x v="5"/>
    <n v="0"/>
  </r>
  <r>
    <s v="Integrated AI"/>
    <x v="6"/>
    <x v="3"/>
    <s v="Automotive Electronics"/>
    <s v="Body"/>
    <s v="Semiconductor Revenue M$"/>
    <x v="6"/>
    <n v="0"/>
  </r>
  <r>
    <s v="Integrated AI"/>
    <x v="6"/>
    <x v="3"/>
    <s v="Automotive Electronics"/>
    <s v="Chassis"/>
    <s v="Semiconductor Revenue M$"/>
    <x v="0"/>
    <n v="0"/>
  </r>
  <r>
    <s v="Integrated AI"/>
    <x v="6"/>
    <x v="3"/>
    <s v="Automotive Electronics"/>
    <s v="Chassis"/>
    <s v="Semiconductor Revenue M$"/>
    <x v="1"/>
    <n v="0"/>
  </r>
  <r>
    <s v="Integrated AI"/>
    <x v="6"/>
    <x v="3"/>
    <s v="Automotive Electronics"/>
    <s v="Chassis"/>
    <s v="Semiconductor Revenue M$"/>
    <x v="2"/>
    <n v="0"/>
  </r>
  <r>
    <s v="Integrated AI"/>
    <x v="6"/>
    <x v="3"/>
    <s v="Automotive Electronics"/>
    <s v="Chassis"/>
    <s v="Semiconductor Revenue M$"/>
    <x v="3"/>
    <n v="0"/>
  </r>
  <r>
    <s v="Integrated AI"/>
    <x v="6"/>
    <x v="3"/>
    <s v="Automotive Electronics"/>
    <s v="Chassis"/>
    <s v="Semiconductor Revenue M$"/>
    <x v="4"/>
    <n v="0"/>
  </r>
  <r>
    <s v="Integrated AI"/>
    <x v="6"/>
    <x v="3"/>
    <s v="Automotive Electronics"/>
    <s v="Chassis"/>
    <s v="Semiconductor Revenue M$"/>
    <x v="5"/>
    <n v="0"/>
  </r>
  <r>
    <s v="Integrated AI"/>
    <x v="6"/>
    <x v="3"/>
    <s v="Automotive Electronics"/>
    <s v="Chassis"/>
    <s v="Semiconductor Revenue M$"/>
    <x v="6"/>
    <n v="0"/>
  </r>
  <r>
    <s v="Integrated AI"/>
    <x v="6"/>
    <x v="3"/>
    <s v="Automotive Electronics"/>
    <s v="EV/HEV"/>
    <s v="Semiconductor Revenue M$"/>
    <x v="0"/>
    <n v="0"/>
  </r>
  <r>
    <s v="Integrated AI"/>
    <x v="6"/>
    <x v="3"/>
    <s v="Automotive Electronics"/>
    <s v="EV/HEV"/>
    <s v="Semiconductor Revenue M$"/>
    <x v="1"/>
    <n v="0"/>
  </r>
  <r>
    <s v="Integrated AI"/>
    <x v="6"/>
    <x v="3"/>
    <s v="Automotive Electronics"/>
    <s v="EV/HEV"/>
    <s v="Semiconductor Revenue M$"/>
    <x v="2"/>
    <n v="0"/>
  </r>
  <r>
    <s v="Integrated AI"/>
    <x v="6"/>
    <x v="3"/>
    <s v="Automotive Electronics"/>
    <s v="EV/HEV"/>
    <s v="Semiconductor Revenue M$"/>
    <x v="3"/>
    <n v="0"/>
  </r>
  <r>
    <s v="Integrated AI"/>
    <x v="6"/>
    <x v="3"/>
    <s v="Automotive Electronics"/>
    <s v="EV/HEV"/>
    <s v="Semiconductor Revenue M$"/>
    <x v="4"/>
    <n v="0"/>
  </r>
  <r>
    <s v="Integrated AI"/>
    <x v="6"/>
    <x v="3"/>
    <s v="Automotive Electronics"/>
    <s v="EV/HEV"/>
    <s v="Semiconductor Revenue M$"/>
    <x v="5"/>
    <n v="0"/>
  </r>
  <r>
    <s v="Integrated AI"/>
    <x v="6"/>
    <x v="3"/>
    <s v="Automotive Electronics"/>
    <s v="EV/HEV"/>
    <s v="Semiconductor Revenue M$"/>
    <x v="6"/>
    <n v="0"/>
  </r>
  <r>
    <s v="Integrated AI"/>
    <x v="6"/>
    <x v="3"/>
    <s v="Automotive Electronics"/>
    <s v="Infotainment"/>
    <s v="Semiconductor Revenue M$"/>
    <x v="0"/>
    <n v="0"/>
  </r>
  <r>
    <s v="Integrated AI"/>
    <x v="6"/>
    <x v="3"/>
    <s v="Automotive Electronics"/>
    <s v="Infotainment"/>
    <s v="Semiconductor Revenue M$"/>
    <x v="1"/>
    <n v="0"/>
  </r>
  <r>
    <s v="Integrated AI"/>
    <x v="6"/>
    <x v="3"/>
    <s v="Automotive Electronics"/>
    <s v="Infotainment"/>
    <s v="Semiconductor Revenue M$"/>
    <x v="2"/>
    <n v="0"/>
  </r>
  <r>
    <s v="Integrated AI"/>
    <x v="6"/>
    <x v="3"/>
    <s v="Automotive Electronics"/>
    <s v="Infotainment"/>
    <s v="Semiconductor Revenue M$"/>
    <x v="3"/>
    <n v="0"/>
  </r>
  <r>
    <s v="Integrated AI"/>
    <x v="6"/>
    <x v="3"/>
    <s v="Automotive Electronics"/>
    <s v="Infotainment"/>
    <s v="Semiconductor Revenue M$"/>
    <x v="4"/>
    <n v="0"/>
  </r>
  <r>
    <s v="Integrated AI"/>
    <x v="6"/>
    <x v="3"/>
    <s v="Automotive Electronics"/>
    <s v="Infotainment"/>
    <s v="Semiconductor Revenue M$"/>
    <x v="5"/>
    <n v="0"/>
  </r>
  <r>
    <s v="Integrated AI"/>
    <x v="6"/>
    <x v="3"/>
    <s v="Automotive Electronics"/>
    <s v="Infotainment"/>
    <s v="Semiconductor Revenue M$"/>
    <x v="6"/>
    <n v="0"/>
  </r>
  <r>
    <s v="Integrated AI"/>
    <x v="6"/>
    <x v="3"/>
    <s v="Automotive Electronics"/>
    <s v="Instrument Cluster"/>
    <s v="Semiconductor Revenue M$"/>
    <x v="0"/>
    <n v="0"/>
  </r>
  <r>
    <s v="Integrated AI"/>
    <x v="6"/>
    <x v="3"/>
    <s v="Automotive Electronics"/>
    <s v="Instrument Cluster"/>
    <s v="Semiconductor Revenue M$"/>
    <x v="1"/>
    <n v="0"/>
  </r>
  <r>
    <s v="Integrated AI"/>
    <x v="6"/>
    <x v="3"/>
    <s v="Automotive Electronics"/>
    <s v="Instrument Cluster"/>
    <s v="Semiconductor Revenue M$"/>
    <x v="2"/>
    <n v="0"/>
  </r>
  <r>
    <s v="Integrated AI"/>
    <x v="6"/>
    <x v="3"/>
    <s v="Automotive Electronics"/>
    <s v="Instrument Cluster"/>
    <s v="Semiconductor Revenue M$"/>
    <x v="3"/>
    <n v="0"/>
  </r>
  <r>
    <s v="Integrated AI"/>
    <x v="6"/>
    <x v="3"/>
    <s v="Automotive Electronics"/>
    <s v="Instrument Cluster"/>
    <s v="Semiconductor Revenue M$"/>
    <x v="4"/>
    <n v="0"/>
  </r>
  <r>
    <s v="Integrated AI"/>
    <x v="6"/>
    <x v="3"/>
    <s v="Automotive Electronics"/>
    <s v="Instrument Cluster"/>
    <s v="Semiconductor Revenue M$"/>
    <x v="5"/>
    <n v="0"/>
  </r>
  <r>
    <s v="Integrated AI"/>
    <x v="6"/>
    <x v="3"/>
    <s v="Automotive Electronics"/>
    <s v="Instrument Cluster"/>
    <s v="Semiconductor Revenue M$"/>
    <x v="6"/>
    <n v="0"/>
  </r>
  <r>
    <s v="Integrated AI"/>
    <x v="6"/>
    <x v="3"/>
    <s v="Automotive Electronics"/>
    <s v="Powertrain"/>
    <s v="Semiconductor Revenue M$"/>
    <x v="0"/>
    <n v="0"/>
  </r>
  <r>
    <s v="Integrated AI"/>
    <x v="6"/>
    <x v="3"/>
    <s v="Automotive Electronics"/>
    <s v="Powertrain"/>
    <s v="Semiconductor Revenue M$"/>
    <x v="1"/>
    <n v="0"/>
  </r>
  <r>
    <s v="Integrated AI"/>
    <x v="6"/>
    <x v="3"/>
    <s v="Automotive Electronics"/>
    <s v="Powertrain"/>
    <s v="Semiconductor Revenue M$"/>
    <x v="2"/>
    <n v="0"/>
  </r>
  <r>
    <s v="Integrated AI"/>
    <x v="6"/>
    <x v="3"/>
    <s v="Automotive Electronics"/>
    <s v="Powertrain"/>
    <s v="Semiconductor Revenue M$"/>
    <x v="3"/>
    <n v="0"/>
  </r>
  <r>
    <s v="Integrated AI"/>
    <x v="6"/>
    <x v="3"/>
    <s v="Automotive Electronics"/>
    <s v="Powertrain"/>
    <s v="Semiconductor Revenue M$"/>
    <x v="4"/>
    <n v="0"/>
  </r>
  <r>
    <s v="Integrated AI"/>
    <x v="6"/>
    <x v="3"/>
    <s v="Automotive Electronics"/>
    <s v="Powertrain"/>
    <s v="Semiconductor Revenue M$"/>
    <x v="5"/>
    <n v="0"/>
  </r>
  <r>
    <s v="Integrated AI"/>
    <x v="6"/>
    <x v="3"/>
    <s v="Automotive Electronics"/>
    <s v="Powertrain"/>
    <s v="Semiconductor Revenue M$"/>
    <x v="6"/>
    <n v="0"/>
  </r>
  <r>
    <s v="Integrated AI"/>
    <x v="6"/>
    <x v="3"/>
    <s v="Automotive Electronics"/>
    <s v="Safety"/>
    <s v="Semiconductor Revenue M$"/>
    <x v="0"/>
    <n v="0"/>
  </r>
  <r>
    <s v="Integrated AI"/>
    <x v="6"/>
    <x v="3"/>
    <s v="Automotive Electronics"/>
    <s v="Safety"/>
    <s v="Semiconductor Revenue M$"/>
    <x v="1"/>
    <n v="0"/>
  </r>
  <r>
    <s v="Integrated AI"/>
    <x v="6"/>
    <x v="3"/>
    <s v="Automotive Electronics"/>
    <s v="Safety"/>
    <s v="Semiconductor Revenue M$"/>
    <x v="2"/>
    <n v="0"/>
  </r>
  <r>
    <s v="Integrated AI"/>
    <x v="6"/>
    <x v="3"/>
    <s v="Automotive Electronics"/>
    <s v="Safety"/>
    <s v="Semiconductor Revenue M$"/>
    <x v="3"/>
    <n v="0"/>
  </r>
  <r>
    <s v="Integrated AI"/>
    <x v="6"/>
    <x v="3"/>
    <s v="Automotive Electronics"/>
    <s v="Safety"/>
    <s v="Semiconductor Revenue M$"/>
    <x v="4"/>
    <n v="0"/>
  </r>
  <r>
    <s v="Integrated AI"/>
    <x v="6"/>
    <x v="3"/>
    <s v="Automotive Electronics"/>
    <s v="Safety"/>
    <s v="Semiconductor Revenue M$"/>
    <x v="5"/>
    <n v="0"/>
  </r>
  <r>
    <s v="Integrated AI"/>
    <x v="6"/>
    <x v="3"/>
    <s v="Automotive Electronics"/>
    <s v="Safety"/>
    <s v="Semiconductor Revenue M$"/>
    <x v="6"/>
    <n v="0"/>
  </r>
  <r>
    <s v="Integrated AI"/>
    <x v="6"/>
    <x v="3"/>
    <s v="Automotive Electronics"/>
    <s v="Aftermarket"/>
    <s v="Semiconductor Revenue M$"/>
    <x v="0"/>
    <n v="0"/>
  </r>
  <r>
    <s v="Integrated AI"/>
    <x v="6"/>
    <x v="3"/>
    <s v="Automotive Electronics"/>
    <s v="Aftermarket"/>
    <s v="Semiconductor Revenue M$"/>
    <x v="1"/>
    <n v="0"/>
  </r>
  <r>
    <s v="Integrated AI"/>
    <x v="6"/>
    <x v="3"/>
    <s v="Automotive Electronics"/>
    <s v="Aftermarket"/>
    <s v="Semiconductor Revenue M$"/>
    <x v="2"/>
    <n v="0"/>
  </r>
  <r>
    <s v="Integrated AI"/>
    <x v="6"/>
    <x v="3"/>
    <s v="Automotive Electronics"/>
    <s v="Aftermarket"/>
    <s v="Semiconductor Revenue M$"/>
    <x v="3"/>
    <n v="0"/>
  </r>
  <r>
    <s v="Integrated AI"/>
    <x v="6"/>
    <x v="3"/>
    <s v="Automotive Electronics"/>
    <s v="Aftermarket"/>
    <s v="Semiconductor Revenue M$"/>
    <x v="4"/>
    <n v="0"/>
  </r>
  <r>
    <s v="Integrated AI"/>
    <x v="6"/>
    <x v="3"/>
    <s v="Automotive Electronics"/>
    <s v="Aftermarket"/>
    <s v="Semiconductor Revenue M$"/>
    <x v="5"/>
    <n v="0"/>
  </r>
  <r>
    <s v="Integrated AI"/>
    <x v="6"/>
    <x v="3"/>
    <s v="Automotive Electronics"/>
    <s v="Aftermarket"/>
    <s v="Semiconductor Revenue M$"/>
    <x v="6"/>
    <n v="0"/>
  </r>
  <r>
    <s v="Integrated AI"/>
    <x v="6"/>
    <x v="5"/>
    <s v="Industrial Electronics"/>
    <s v="Commercial Amusement"/>
    <s v="Semiconductor Revenue M$"/>
    <x v="0"/>
    <n v="0"/>
  </r>
  <r>
    <s v="Integrated AI"/>
    <x v="6"/>
    <x v="5"/>
    <s v="Industrial Electronics"/>
    <s v="Commercial Amusement"/>
    <s v="Semiconductor Revenue M$"/>
    <x v="1"/>
    <n v="0"/>
  </r>
  <r>
    <s v="Integrated AI"/>
    <x v="6"/>
    <x v="5"/>
    <s v="Industrial Electronics"/>
    <s v="Commercial Amusement"/>
    <s v="Semiconductor Revenue M$"/>
    <x v="2"/>
    <n v="0"/>
  </r>
  <r>
    <s v="Integrated AI"/>
    <x v="6"/>
    <x v="5"/>
    <s v="Industrial Electronics"/>
    <s v="Commercial Amusement"/>
    <s v="Semiconductor Revenue M$"/>
    <x v="3"/>
    <n v="0"/>
  </r>
  <r>
    <s v="Integrated AI"/>
    <x v="6"/>
    <x v="5"/>
    <s v="Industrial Electronics"/>
    <s v="Commercial Amusement"/>
    <s v="Semiconductor Revenue M$"/>
    <x v="4"/>
    <n v="0"/>
  </r>
  <r>
    <s v="Integrated AI"/>
    <x v="6"/>
    <x v="5"/>
    <s v="Industrial Electronics"/>
    <s v="Commercial Amusement"/>
    <s v="Semiconductor Revenue M$"/>
    <x v="5"/>
    <n v="0"/>
  </r>
  <r>
    <s v="Integrated AI"/>
    <x v="6"/>
    <x v="5"/>
    <s v="Industrial Electronics"/>
    <s v="Commercial Amusement"/>
    <s v="Semiconductor Revenue M$"/>
    <x v="6"/>
    <n v="0"/>
  </r>
  <r>
    <s v="Integrated AI"/>
    <x v="6"/>
    <x v="5"/>
    <s v="Industrial Electronics"/>
    <s v="Automation"/>
    <s v="Semiconductor Revenue M$"/>
    <x v="0"/>
    <n v="0"/>
  </r>
  <r>
    <s v="Integrated AI"/>
    <x v="6"/>
    <x v="5"/>
    <s v="Industrial Electronics"/>
    <s v="Automation"/>
    <s v="Semiconductor Revenue M$"/>
    <x v="1"/>
    <n v="0"/>
  </r>
  <r>
    <s v="Integrated AI"/>
    <x v="6"/>
    <x v="5"/>
    <s v="Industrial Electronics"/>
    <s v="Automation"/>
    <s v="Semiconductor Revenue M$"/>
    <x v="2"/>
    <n v="0"/>
  </r>
  <r>
    <s v="Integrated AI"/>
    <x v="6"/>
    <x v="5"/>
    <s v="Industrial Electronics"/>
    <s v="Automation"/>
    <s v="Semiconductor Revenue M$"/>
    <x v="3"/>
    <n v="0"/>
  </r>
  <r>
    <s v="Integrated AI"/>
    <x v="6"/>
    <x v="5"/>
    <s v="Industrial Electronics"/>
    <s v="Automation"/>
    <s v="Semiconductor Revenue M$"/>
    <x v="4"/>
    <n v="0"/>
  </r>
  <r>
    <s v="Integrated AI"/>
    <x v="6"/>
    <x v="5"/>
    <s v="Industrial Electronics"/>
    <s v="Automation"/>
    <s v="Semiconductor Revenue M$"/>
    <x v="5"/>
    <n v="0"/>
  </r>
  <r>
    <s v="Integrated AI"/>
    <x v="6"/>
    <x v="5"/>
    <s v="Industrial Electronics"/>
    <s v="Automation"/>
    <s v="Semiconductor Revenue M$"/>
    <x v="6"/>
    <n v="0"/>
  </r>
  <r>
    <s v="Integrated AI"/>
    <x v="6"/>
    <x v="5"/>
    <s v="Industrial Electronics"/>
    <s v="Energy Management"/>
    <s v="Semiconductor Revenue M$"/>
    <x v="0"/>
    <n v="0"/>
  </r>
  <r>
    <s v="Integrated AI"/>
    <x v="6"/>
    <x v="5"/>
    <s v="Industrial Electronics"/>
    <s v="Energy Management"/>
    <s v="Semiconductor Revenue M$"/>
    <x v="1"/>
    <n v="0"/>
  </r>
  <r>
    <s v="Integrated AI"/>
    <x v="6"/>
    <x v="5"/>
    <s v="Industrial Electronics"/>
    <s v="Energy Management"/>
    <s v="Semiconductor Revenue M$"/>
    <x v="2"/>
    <n v="0"/>
  </r>
  <r>
    <s v="Integrated AI"/>
    <x v="6"/>
    <x v="5"/>
    <s v="Industrial Electronics"/>
    <s v="Energy Management"/>
    <s v="Semiconductor Revenue M$"/>
    <x v="3"/>
    <n v="0"/>
  </r>
  <r>
    <s v="Integrated AI"/>
    <x v="6"/>
    <x v="5"/>
    <s v="Industrial Electronics"/>
    <s v="Energy Management"/>
    <s v="Semiconductor Revenue M$"/>
    <x v="4"/>
    <n v="0"/>
  </r>
  <r>
    <s v="Integrated AI"/>
    <x v="6"/>
    <x v="5"/>
    <s v="Industrial Electronics"/>
    <s v="Energy Management"/>
    <s v="Semiconductor Revenue M$"/>
    <x v="5"/>
    <n v="0"/>
  </r>
  <r>
    <s v="Integrated AI"/>
    <x v="6"/>
    <x v="5"/>
    <s v="Industrial Electronics"/>
    <s v="Energy Management"/>
    <s v="Semiconductor Revenue M$"/>
    <x v="6"/>
    <n v="0"/>
  </r>
  <r>
    <s v="Integrated AI"/>
    <x v="6"/>
    <x v="5"/>
    <s v="Industrial Electronics"/>
    <s v="Solid-State Lighting"/>
    <s v="Semiconductor Revenue M$"/>
    <x v="0"/>
    <n v="0"/>
  </r>
  <r>
    <s v="Integrated AI"/>
    <x v="6"/>
    <x v="5"/>
    <s v="Industrial Electronics"/>
    <s v="Solid-State Lighting"/>
    <s v="Semiconductor Revenue M$"/>
    <x v="1"/>
    <n v="0"/>
  </r>
  <r>
    <s v="Integrated AI"/>
    <x v="6"/>
    <x v="5"/>
    <s v="Industrial Electronics"/>
    <s v="Solid-State Lighting"/>
    <s v="Semiconductor Revenue M$"/>
    <x v="2"/>
    <n v="0"/>
  </r>
  <r>
    <s v="Integrated AI"/>
    <x v="6"/>
    <x v="5"/>
    <s v="Industrial Electronics"/>
    <s v="Solid-State Lighting"/>
    <s v="Semiconductor Revenue M$"/>
    <x v="3"/>
    <n v="0"/>
  </r>
  <r>
    <s v="Integrated AI"/>
    <x v="6"/>
    <x v="5"/>
    <s v="Industrial Electronics"/>
    <s v="Solid-State Lighting"/>
    <s v="Semiconductor Revenue M$"/>
    <x v="4"/>
    <n v="0"/>
  </r>
  <r>
    <s v="Integrated AI"/>
    <x v="6"/>
    <x v="5"/>
    <s v="Industrial Electronics"/>
    <s v="Solid-State Lighting"/>
    <s v="Semiconductor Revenue M$"/>
    <x v="5"/>
    <n v="0"/>
  </r>
  <r>
    <s v="Integrated AI"/>
    <x v="6"/>
    <x v="5"/>
    <s v="Industrial Electronics"/>
    <s v="Solid-State Lighting"/>
    <s v="Semiconductor Revenue M$"/>
    <x v="6"/>
    <n v="0"/>
  </r>
  <r>
    <s v="Integrated AI"/>
    <x v="6"/>
    <x v="5"/>
    <s v="Industrial Electronics"/>
    <s v="Medical/Healthcare"/>
    <s v="Semiconductor Revenue M$"/>
    <x v="0"/>
    <n v="0"/>
  </r>
  <r>
    <s v="Integrated AI"/>
    <x v="6"/>
    <x v="5"/>
    <s v="Industrial Electronics"/>
    <s v="Medical/Healthcare"/>
    <s v="Semiconductor Revenue M$"/>
    <x v="1"/>
    <n v="0"/>
  </r>
  <r>
    <s v="Integrated AI"/>
    <x v="6"/>
    <x v="5"/>
    <s v="Industrial Electronics"/>
    <s v="Medical/Healthcare"/>
    <s v="Semiconductor Revenue M$"/>
    <x v="2"/>
    <n v="0"/>
  </r>
  <r>
    <s v="Integrated AI"/>
    <x v="6"/>
    <x v="5"/>
    <s v="Industrial Electronics"/>
    <s v="Medical/Healthcare"/>
    <s v="Semiconductor Revenue M$"/>
    <x v="3"/>
    <n v="0"/>
  </r>
  <r>
    <s v="Integrated AI"/>
    <x v="6"/>
    <x v="5"/>
    <s v="Industrial Electronics"/>
    <s v="Medical/Healthcare"/>
    <s v="Semiconductor Revenue M$"/>
    <x v="4"/>
    <n v="0"/>
  </r>
  <r>
    <s v="Integrated AI"/>
    <x v="6"/>
    <x v="5"/>
    <s v="Industrial Electronics"/>
    <s v="Medical/Healthcare"/>
    <s v="Semiconductor Revenue M$"/>
    <x v="5"/>
    <n v="0"/>
  </r>
  <r>
    <s v="Integrated AI"/>
    <x v="6"/>
    <x v="5"/>
    <s v="Industrial Electronics"/>
    <s v="Medical/Healthcare"/>
    <s v="Semiconductor Revenue M$"/>
    <x v="6"/>
    <n v="0"/>
  </r>
  <r>
    <s v="Integrated AI"/>
    <x v="6"/>
    <x v="5"/>
    <s v="Industrial Electronics"/>
    <s v="Test/Measurement"/>
    <s v="Semiconductor Revenue M$"/>
    <x v="0"/>
    <n v="0"/>
  </r>
  <r>
    <s v="Integrated AI"/>
    <x v="6"/>
    <x v="5"/>
    <s v="Industrial Electronics"/>
    <s v="Test/Measurement"/>
    <s v="Semiconductor Revenue M$"/>
    <x v="1"/>
    <n v="0"/>
  </r>
  <r>
    <s v="Integrated AI"/>
    <x v="6"/>
    <x v="5"/>
    <s v="Industrial Electronics"/>
    <s v="Test/Measurement"/>
    <s v="Semiconductor Revenue M$"/>
    <x v="2"/>
    <n v="0"/>
  </r>
  <r>
    <s v="Integrated AI"/>
    <x v="6"/>
    <x v="5"/>
    <s v="Industrial Electronics"/>
    <s v="Test/Measurement"/>
    <s v="Semiconductor Revenue M$"/>
    <x v="3"/>
    <n v="0"/>
  </r>
  <r>
    <s v="Integrated AI"/>
    <x v="6"/>
    <x v="5"/>
    <s v="Industrial Electronics"/>
    <s v="Test/Measurement"/>
    <s v="Semiconductor Revenue M$"/>
    <x v="4"/>
    <n v="0"/>
  </r>
  <r>
    <s v="Integrated AI"/>
    <x v="6"/>
    <x v="5"/>
    <s v="Industrial Electronics"/>
    <s v="Test/Measurement"/>
    <s v="Semiconductor Revenue M$"/>
    <x v="5"/>
    <n v="0"/>
  </r>
  <r>
    <s v="Integrated AI"/>
    <x v="6"/>
    <x v="5"/>
    <s v="Industrial Electronics"/>
    <s v="Test/Measurement"/>
    <s v="Semiconductor Revenue M$"/>
    <x v="6"/>
    <n v="0"/>
  </r>
  <r>
    <s v="Integrated AI"/>
    <x v="6"/>
    <x v="5"/>
    <s v="Industrial Electronics"/>
    <s v="Other Security"/>
    <s v="Semiconductor Revenue M$"/>
    <x v="0"/>
    <n v="0"/>
  </r>
  <r>
    <s v="Integrated AI"/>
    <x v="6"/>
    <x v="5"/>
    <s v="Industrial Electronics"/>
    <s v="Other Security"/>
    <s v="Semiconductor Revenue M$"/>
    <x v="1"/>
    <n v="0"/>
  </r>
  <r>
    <s v="Integrated AI"/>
    <x v="6"/>
    <x v="5"/>
    <s v="Industrial Electronics"/>
    <s v="Other Security"/>
    <s v="Semiconductor Revenue M$"/>
    <x v="2"/>
    <n v="0"/>
  </r>
  <r>
    <s v="Integrated AI"/>
    <x v="6"/>
    <x v="5"/>
    <s v="Industrial Electronics"/>
    <s v="Other Security"/>
    <s v="Semiconductor Revenue M$"/>
    <x v="3"/>
    <n v="0"/>
  </r>
  <r>
    <s v="Integrated AI"/>
    <x v="6"/>
    <x v="5"/>
    <s v="Industrial Electronics"/>
    <s v="Other Security"/>
    <s v="Semiconductor Revenue M$"/>
    <x v="4"/>
    <n v="0"/>
  </r>
  <r>
    <s v="Integrated AI"/>
    <x v="6"/>
    <x v="5"/>
    <s v="Industrial Electronics"/>
    <s v="Other Security"/>
    <s v="Semiconductor Revenue M$"/>
    <x v="5"/>
    <n v="0"/>
  </r>
  <r>
    <s v="Integrated AI"/>
    <x v="6"/>
    <x v="5"/>
    <s v="Industrial Electronics"/>
    <s v="Other Security"/>
    <s v="Semiconductor Revenue M$"/>
    <x v="6"/>
    <n v="0"/>
  </r>
  <r>
    <s v="Integrated AI"/>
    <x v="6"/>
    <x v="5"/>
    <s v="Industrial Electronics"/>
    <s v="Transportation"/>
    <s v="Semiconductor Revenue M$"/>
    <x v="0"/>
    <n v="0"/>
  </r>
  <r>
    <s v="Integrated AI"/>
    <x v="6"/>
    <x v="5"/>
    <s v="Industrial Electronics"/>
    <s v="Transportation"/>
    <s v="Semiconductor Revenue M$"/>
    <x v="1"/>
    <n v="0"/>
  </r>
  <r>
    <s v="Integrated AI"/>
    <x v="6"/>
    <x v="5"/>
    <s v="Industrial Electronics"/>
    <s v="Transportation"/>
    <s v="Semiconductor Revenue M$"/>
    <x v="2"/>
    <n v="0"/>
  </r>
  <r>
    <s v="Integrated AI"/>
    <x v="6"/>
    <x v="5"/>
    <s v="Industrial Electronics"/>
    <s v="Transportation"/>
    <s v="Semiconductor Revenue M$"/>
    <x v="3"/>
    <n v="0"/>
  </r>
  <r>
    <s v="Integrated AI"/>
    <x v="6"/>
    <x v="5"/>
    <s v="Industrial Electronics"/>
    <s v="Transportation"/>
    <s v="Semiconductor Revenue M$"/>
    <x v="4"/>
    <n v="0"/>
  </r>
  <r>
    <s v="Integrated AI"/>
    <x v="6"/>
    <x v="5"/>
    <s v="Industrial Electronics"/>
    <s v="Transportation"/>
    <s v="Semiconductor Revenue M$"/>
    <x v="5"/>
    <n v="0"/>
  </r>
  <r>
    <s v="Integrated AI"/>
    <x v="6"/>
    <x v="5"/>
    <s v="Industrial Electronics"/>
    <s v="Transportation"/>
    <s v="Semiconductor Revenue M$"/>
    <x v="6"/>
    <n v="0"/>
  </r>
  <r>
    <s v="Integrated AI"/>
    <x v="6"/>
    <x v="5"/>
    <s v="Industrial Electronics"/>
    <s v="Other Industrial Electronics"/>
    <s v="Semiconductor Revenue M$"/>
    <x v="0"/>
    <n v="0.27395404898430964"/>
  </r>
  <r>
    <s v="Integrated AI"/>
    <x v="6"/>
    <x v="5"/>
    <s v="Industrial Electronics"/>
    <s v="Other Industrial Electronics"/>
    <s v="Semiconductor Revenue M$"/>
    <x v="1"/>
    <n v="0.55108287305352532"/>
  </r>
  <r>
    <s v="Integrated AI"/>
    <x v="6"/>
    <x v="5"/>
    <s v="Industrial Electronics"/>
    <s v="Other Industrial Electronics"/>
    <s v="Semiconductor Revenue M$"/>
    <x v="2"/>
    <n v="0.61779688510135533"/>
  </r>
  <r>
    <s v="Integrated AI"/>
    <x v="6"/>
    <x v="5"/>
    <s v="Industrial Electronics"/>
    <s v="Other Industrial Electronics"/>
    <s v="Semiconductor Revenue M$"/>
    <x v="3"/>
    <n v="0.75036547853451097"/>
  </r>
  <r>
    <s v="Integrated AI"/>
    <x v="6"/>
    <x v="5"/>
    <s v="Industrial Electronics"/>
    <s v="Other Industrial Electronics"/>
    <s v="Semiconductor Revenue M$"/>
    <x v="4"/>
    <n v="0.86185122590308805"/>
  </r>
  <r>
    <s v="Integrated AI"/>
    <x v="6"/>
    <x v="5"/>
    <s v="Industrial Electronics"/>
    <s v="Other Industrial Electronics"/>
    <s v="Semiconductor Revenue M$"/>
    <x v="5"/>
    <n v="0.98275048861008052"/>
  </r>
  <r>
    <s v="Integrated AI"/>
    <x v="6"/>
    <x v="5"/>
    <s v="Industrial Electronics"/>
    <s v="Other Industrial Electronics"/>
    <s v="Semiconductor Revenue M$"/>
    <x v="6"/>
    <n v="1.100705353117206"/>
  </r>
  <r>
    <s v="Integrated AI"/>
    <x v="6"/>
    <x v="5"/>
    <s v="Industrial Electronics"/>
    <s v="Military/Civil Aerospace Electronics"/>
    <s v="Semiconductor Revenue M$"/>
    <x v="0"/>
    <n v="0"/>
  </r>
  <r>
    <s v="Integrated AI"/>
    <x v="6"/>
    <x v="5"/>
    <s v="Industrial Electronics"/>
    <s v="Military/Civil Aerospace Electronics"/>
    <s v="Semiconductor Revenue M$"/>
    <x v="1"/>
    <n v="0"/>
  </r>
  <r>
    <s v="Integrated AI"/>
    <x v="6"/>
    <x v="5"/>
    <s v="Industrial Electronics"/>
    <s v="Military/Civil Aerospace Electronics"/>
    <s v="Semiconductor Revenue M$"/>
    <x v="2"/>
    <n v="0"/>
  </r>
  <r>
    <s v="Integrated AI"/>
    <x v="6"/>
    <x v="5"/>
    <s v="Industrial Electronics"/>
    <s v="Military/Civil Aerospace Electronics"/>
    <s v="Semiconductor Revenue M$"/>
    <x v="3"/>
    <n v="0"/>
  </r>
  <r>
    <s v="Integrated AI"/>
    <x v="6"/>
    <x v="5"/>
    <s v="Industrial Electronics"/>
    <s v="Military/Civil Aerospace Electronics"/>
    <s v="Semiconductor Revenue M$"/>
    <x v="4"/>
    <n v="0"/>
  </r>
  <r>
    <s v="Integrated AI"/>
    <x v="6"/>
    <x v="5"/>
    <s v="Industrial Electronics"/>
    <s v="Military/Civil Aerospace Electronics"/>
    <s v="Semiconductor Revenue M$"/>
    <x v="5"/>
    <n v="0"/>
  </r>
  <r>
    <s v="Integrated AI"/>
    <x v="6"/>
    <x v="5"/>
    <s v="Industrial Electronics"/>
    <s v="Military/Civil Aerospace Electronics"/>
    <s v="Semiconductor Revenue M$"/>
    <x v="6"/>
    <n v="0"/>
  </r>
  <r>
    <s v="Integrated AI"/>
    <x v="7"/>
    <x v="0"/>
    <s v="Compute"/>
    <s v="External Monitor"/>
    <s v="Semiconductor Revenue M$"/>
    <x v="0"/>
    <n v="0"/>
  </r>
  <r>
    <s v="Integrated AI"/>
    <x v="7"/>
    <x v="0"/>
    <s v="Compute"/>
    <s v="External Monitor"/>
    <s v="Semiconductor Revenue M$"/>
    <x v="1"/>
    <n v="0"/>
  </r>
  <r>
    <s v="Integrated AI"/>
    <x v="7"/>
    <x v="0"/>
    <s v="Compute"/>
    <s v="External Monitor"/>
    <s v="Semiconductor Revenue M$"/>
    <x v="2"/>
    <n v="0"/>
  </r>
  <r>
    <s v="Integrated AI"/>
    <x v="7"/>
    <x v="0"/>
    <s v="Compute"/>
    <s v="External Monitor"/>
    <s v="Semiconductor Revenue M$"/>
    <x v="3"/>
    <n v="0"/>
  </r>
  <r>
    <s v="Integrated AI"/>
    <x v="7"/>
    <x v="0"/>
    <s v="Compute"/>
    <s v="External Monitor"/>
    <s v="Semiconductor Revenue M$"/>
    <x v="4"/>
    <n v="0"/>
  </r>
  <r>
    <s v="Integrated AI"/>
    <x v="7"/>
    <x v="0"/>
    <s v="Compute"/>
    <s v="External Monitor"/>
    <s v="Semiconductor Revenue M$"/>
    <x v="5"/>
    <n v="0"/>
  </r>
  <r>
    <s v="Integrated AI"/>
    <x v="7"/>
    <x v="0"/>
    <s v="Compute"/>
    <s v="External Monitor"/>
    <s v="Semiconductor Revenue M$"/>
    <x v="6"/>
    <n v="0"/>
  </r>
  <r>
    <s v="Integrated AI"/>
    <x v="7"/>
    <x v="0"/>
    <s v="PC"/>
    <s v="Graphics Cards"/>
    <s v="Semiconductor Revenue M$"/>
    <x v="0"/>
    <n v="0"/>
  </r>
  <r>
    <s v="Integrated AI"/>
    <x v="7"/>
    <x v="0"/>
    <s v="PC"/>
    <s v="Graphics Cards"/>
    <s v="Semiconductor Revenue M$"/>
    <x v="1"/>
    <n v="0"/>
  </r>
  <r>
    <s v="Integrated AI"/>
    <x v="7"/>
    <x v="0"/>
    <s v="PC"/>
    <s v="Graphics Cards"/>
    <s v="Semiconductor Revenue M$"/>
    <x v="2"/>
    <n v="0"/>
  </r>
  <r>
    <s v="Integrated AI"/>
    <x v="7"/>
    <x v="0"/>
    <s v="PC"/>
    <s v="Graphics Cards"/>
    <s v="Semiconductor Revenue M$"/>
    <x v="3"/>
    <n v="0"/>
  </r>
  <r>
    <s v="Integrated AI"/>
    <x v="7"/>
    <x v="0"/>
    <s v="PC"/>
    <s v="Graphics Cards"/>
    <s v="Semiconductor Revenue M$"/>
    <x v="4"/>
    <n v="0"/>
  </r>
  <r>
    <s v="Integrated AI"/>
    <x v="7"/>
    <x v="0"/>
    <s v="PC"/>
    <s v="Graphics Cards"/>
    <s v="Semiconductor Revenue M$"/>
    <x v="5"/>
    <n v="0"/>
  </r>
  <r>
    <s v="Integrated AI"/>
    <x v="7"/>
    <x v="0"/>
    <s v="PC"/>
    <s v="Graphics Cards"/>
    <s v="Semiconductor Revenue M$"/>
    <x v="6"/>
    <n v="0"/>
  </r>
  <r>
    <s v="Integrated AI"/>
    <x v="7"/>
    <x v="0"/>
    <s v="PC"/>
    <s v="Desk-Based PC"/>
    <s v="Semiconductor Revenue M$"/>
    <x v="0"/>
    <n v="0"/>
  </r>
  <r>
    <s v="Integrated AI"/>
    <x v="7"/>
    <x v="0"/>
    <s v="PC"/>
    <s v="Desk-Based PC"/>
    <s v="Semiconductor Revenue M$"/>
    <x v="1"/>
    <n v="0.4005802934795617"/>
  </r>
  <r>
    <s v="Integrated AI"/>
    <x v="7"/>
    <x v="0"/>
    <s v="PC"/>
    <s v="Desk-Based PC"/>
    <s v="Semiconductor Revenue M$"/>
    <x v="2"/>
    <n v="1.6416313504143623"/>
  </r>
  <r>
    <s v="Integrated AI"/>
    <x v="7"/>
    <x v="0"/>
    <s v="PC"/>
    <s v="Desk-Based PC"/>
    <s v="Semiconductor Revenue M$"/>
    <x v="3"/>
    <n v="6.9321534577804327"/>
  </r>
  <r>
    <s v="Integrated AI"/>
    <x v="7"/>
    <x v="0"/>
    <s v="PC"/>
    <s v="Desk-Based PC"/>
    <s v="Semiconductor Revenue M$"/>
    <x v="4"/>
    <n v="20.347117563876818"/>
  </r>
  <r>
    <s v="Integrated AI"/>
    <x v="7"/>
    <x v="0"/>
    <s v="PC"/>
    <s v="Desk-Based PC"/>
    <s v="Semiconductor Revenue M$"/>
    <x v="5"/>
    <n v="46.05430542941177"/>
  </r>
  <r>
    <s v="Integrated AI"/>
    <x v="7"/>
    <x v="0"/>
    <s v="PC"/>
    <s v="Desk-Based PC"/>
    <s v="Semiconductor Revenue M$"/>
    <x v="6"/>
    <n v="64.063014406342347"/>
  </r>
  <r>
    <s v="Integrated AI"/>
    <x v="7"/>
    <x v="0"/>
    <s v="PC"/>
    <s v="Ultramobile Basic, Tablet"/>
    <s v="Semiconductor Revenue M$"/>
    <x v="0"/>
    <n v="822.37666789505454"/>
  </r>
  <r>
    <s v="Integrated AI"/>
    <x v="7"/>
    <x v="0"/>
    <s v="PC"/>
    <s v="Ultramobile Basic, Tablet"/>
    <s v="Semiconductor Revenue M$"/>
    <x v="1"/>
    <n v="1246.932374930487"/>
  </r>
  <r>
    <s v="Integrated AI"/>
    <x v="7"/>
    <x v="0"/>
    <s v="PC"/>
    <s v="Ultramobile Basic, Tablet"/>
    <s v="Semiconductor Revenue M$"/>
    <x v="2"/>
    <n v="1294.9666527635213"/>
  </r>
  <r>
    <s v="Integrated AI"/>
    <x v="7"/>
    <x v="0"/>
    <s v="PC"/>
    <s v="Ultramobile Basic, Tablet"/>
    <s v="Semiconductor Revenue M$"/>
    <x v="3"/>
    <n v="1560.366049609145"/>
  </r>
  <r>
    <s v="Integrated AI"/>
    <x v="7"/>
    <x v="0"/>
    <s v="PC"/>
    <s v="Ultramobile Basic, Tablet"/>
    <s v="Semiconductor Revenue M$"/>
    <x v="4"/>
    <n v="1668.9620771170141"/>
  </r>
  <r>
    <s v="Integrated AI"/>
    <x v="7"/>
    <x v="0"/>
    <s v="PC"/>
    <s v="Ultramobile Basic, Tablet"/>
    <s v="Semiconductor Revenue M$"/>
    <x v="5"/>
    <n v="1739.6454998642637"/>
  </r>
  <r>
    <s v="Integrated AI"/>
    <x v="7"/>
    <x v="0"/>
    <s v="PC"/>
    <s v="Ultramobile Basic, Tablet"/>
    <s v="Semiconductor Revenue M$"/>
    <x v="6"/>
    <n v="1930.8321522241179"/>
  </r>
  <r>
    <s v="Integrated AI"/>
    <x v="7"/>
    <x v="0"/>
    <s v="PC"/>
    <s v="Ultramobile Utility, Tablet"/>
    <s v="Semiconductor Revenue M$"/>
    <x v="0"/>
    <n v="1.9668252274257871E-2"/>
  </r>
  <r>
    <s v="Integrated AI"/>
    <x v="7"/>
    <x v="0"/>
    <s v="PC"/>
    <s v="Ultramobile Utility, Tablet"/>
    <s v="Semiconductor Revenue M$"/>
    <x v="1"/>
    <n v="7.7699493340379913E-2"/>
  </r>
  <r>
    <s v="Integrated AI"/>
    <x v="7"/>
    <x v="0"/>
    <s v="PC"/>
    <s v="Ultramobile Utility, Tablet"/>
    <s v="Semiconductor Revenue M$"/>
    <x v="2"/>
    <n v="0.67289600301638242"/>
  </r>
  <r>
    <s v="Integrated AI"/>
    <x v="7"/>
    <x v="0"/>
    <s v="PC"/>
    <s v="Ultramobile Utility, Tablet"/>
    <s v="Semiconductor Revenue M$"/>
    <x v="3"/>
    <n v="3.0144717794781597"/>
  </r>
  <r>
    <s v="Integrated AI"/>
    <x v="7"/>
    <x v="0"/>
    <s v="PC"/>
    <s v="Ultramobile Utility, Tablet"/>
    <s v="Semiconductor Revenue M$"/>
    <x v="4"/>
    <n v="4.6349587421418201"/>
  </r>
  <r>
    <s v="Integrated AI"/>
    <x v="7"/>
    <x v="0"/>
    <s v="PC"/>
    <s v="Ultramobile Utility, Tablet"/>
    <s v="Semiconductor Revenue M$"/>
    <x v="5"/>
    <n v="5.478349106915978"/>
  </r>
  <r>
    <s v="Integrated AI"/>
    <x v="7"/>
    <x v="0"/>
    <s v="PC"/>
    <s v="Ultramobile Utility, Tablet"/>
    <s v="Semiconductor Revenue M$"/>
    <x v="6"/>
    <n v="13.000022529950785"/>
  </r>
  <r>
    <s v="Integrated AI"/>
    <x v="7"/>
    <x v="0"/>
    <s v="PC"/>
    <s v="Ultramobile Premium, Tablet"/>
    <s v="Semiconductor Revenue M$"/>
    <x v="0"/>
    <n v="5.4676845852584846"/>
  </r>
  <r>
    <s v="Integrated AI"/>
    <x v="7"/>
    <x v="0"/>
    <s v="PC"/>
    <s v="Ultramobile Premium, Tablet"/>
    <s v="Semiconductor Revenue M$"/>
    <x v="1"/>
    <n v="9.118279707519509"/>
  </r>
  <r>
    <s v="Integrated AI"/>
    <x v="7"/>
    <x v="0"/>
    <s v="PC"/>
    <s v="Ultramobile Premium, Tablet"/>
    <s v="Semiconductor Revenue M$"/>
    <x v="2"/>
    <n v="22.61489870281715"/>
  </r>
  <r>
    <s v="Integrated AI"/>
    <x v="7"/>
    <x v="0"/>
    <s v="PC"/>
    <s v="Ultramobile Premium, Tablet"/>
    <s v="Semiconductor Revenue M$"/>
    <x v="3"/>
    <n v="35.322610237947906"/>
  </r>
  <r>
    <s v="Integrated AI"/>
    <x v="7"/>
    <x v="0"/>
    <s v="PC"/>
    <s v="Ultramobile Premium, Tablet"/>
    <s v="Semiconductor Revenue M$"/>
    <x v="4"/>
    <n v="53.794623543688637"/>
  </r>
  <r>
    <s v="Integrated AI"/>
    <x v="7"/>
    <x v="0"/>
    <s v="PC"/>
    <s v="Ultramobile Premium, Tablet"/>
    <s v="Semiconductor Revenue M$"/>
    <x v="5"/>
    <n v="61.020584095933607"/>
  </r>
  <r>
    <s v="Integrated AI"/>
    <x v="7"/>
    <x v="0"/>
    <s v="PC"/>
    <s v="Ultramobile Premium, Tablet"/>
    <s v="Semiconductor Revenue M$"/>
    <x v="6"/>
    <n v="68.979921000085596"/>
  </r>
  <r>
    <s v="Integrated AI"/>
    <x v="7"/>
    <x v="0"/>
    <s v="PC"/>
    <s v="Ultramobile Basic, Clamshell"/>
    <s v="Semiconductor Revenue M$"/>
    <x v="0"/>
    <n v="8.3961838166010558"/>
  </r>
  <r>
    <s v="Integrated AI"/>
    <x v="7"/>
    <x v="0"/>
    <s v="PC"/>
    <s v="Ultramobile Basic, Clamshell"/>
    <s v="Semiconductor Revenue M$"/>
    <x v="1"/>
    <n v="52.348044440585831"/>
  </r>
  <r>
    <s v="Integrated AI"/>
    <x v="7"/>
    <x v="0"/>
    <s v="PC"/>
    <s v="Ultramobile Basic, Clamshell"/>
    <s v="Semiconductor Revenue M$"/>
    <x v="2"/>
    <n v="67.332123188988916"/>
  </r>
  <r>
    <s v="Integrated AI"/>
    <x v="7"/>
    <x v="0"/>
    <s v="PC"/>
    <s v="Ultramobile Basic, Clamshell"/>
    <s v="Semiconductor Revenue M$"/>
    <x v="3"/>
    <n v="80.661270617039534"/>
  </r>
  <r>
    <s v="Integrated AI"/>
    <x v="7"/>
    <x v="0"/>
    <s v="PC"/>
    <s v="Ultramobile Basic, Clamshell"/>
    <s v="Semiconductor Revenue M$"/>
    <x v="4"/>
    <n v="87.650720034498377"/>
  </r>
  <r>
    <s v="Integrated AI"/>
    <x v="7"/>
    <x v="0"/>
    <s v="PC"/>
    <s v="Ultramobile Basic, Clamshell"/>
    <s v="Semiconductor Revenue M$"/>
    <x v="5"/>
    <n v="100.03295002859178"/>
  </r>
  <r>
    <s v="Integrated AI"/>
    <x v="7"/>
    <x v="0"/>
    <s v="PC"/>
    <s v="Ultramobile Basic, Clamshell"/>
    <s v="Semiconductor Revenue M$"/>
    <x v="6"/>
    <n v="110.37989956103385"/>
  </r>
  <r>
    <s v="Integrated AI"/>
    <x v="7"/>
    <x v="0"/>
    <s v="PC"/>
    <s v="Ultramobile Premium, Clamshell"/>
    <s v="Semiconductor Revenue M$"/>
    <x v="0"/>
    <n v="71.154955225892579"/>
  </r>
  <r>
    <s v="Integrated AI"/>
    <x v="7"/>
    <x v="0"/>
    <s v="PC"/>
    <s v="Ultramobile Premium, Clamshell"/>
    <s v="Semiconductor Revenue M$"/>
    <x v="1"/>
    <n v="930.40725790143347"/>
  </r>
  <r>
    <s v="Integrated AI"/>
    <x v="7"/>
    <x v="0"/>
    <s v="PC"/>
    <s v="Ultramobile Premium, Clamshell"/>
    <s v="Semiconductor Revenue M$"/>
    <x v="2"/>
    <n v="2030.1174361543019"/>
  </r>
  <r>
    <s v="Integrated AI"/>
    <x v="7"/>
    <x v="0"/>
    <s v="PC"/>
    <s v="Ultramobile Premium, Clamshell"/>
    <s v="Semiconductor Revenue M$"/>
    <x v="3"/>
    <n v="2356.6643600819348"/>
  </r>
  <r>
    <s v="Integrated AI"/>
    <x v="7"/>
    <x v="0"/>
    <s v="PC"/>
    <s v="Ultramobile Premium, Clamshell"/>
    <s v="Semiconductor Revenue M$"/>
    <x v="4"/>
    <n v="2878.1572585332347"/>
  </r>
  <r>
    <s v="Integrated AI"/>
    <x v="7"/>
    <x v="0"/>
    <s v="PC"/>
    <s v="Ultramobile Premium, Clamshell"/>
    <s v="Semiconductor Revenue M$"/>
    <x v="5"/>
    <n v="3381.8665692117702"/>
  </r>
  <r>
    <s v="Integrated AI"/>
    <x v="7"/>
    <x v="0"/>
    <s v="PC"/>
    <s v="Ultramobile Premium, Clamshell"/>
    <s v="Semiconductor Revenue M$"/>
    <x v="6"/>
    <n v="3483.5182575825302"/>
  </r>
  <r>
    <s v="Integrated AI"/>
    <x v="7"/>
    <x v="0"/>
    <s v="PC"/>
    <s v="Ultramobile Basic, Hybrid"/>
    <s v="Semiconductor Revenue M$"/>
    <x v="0"/>
    <n v="5.1597266065571299E-3"/>
  </r>
  <r>
    <s v="Integrated AI"/>
    <x v="7"/>
    <x v="0"/>
    <s v="PC"/>
    <s v="Ultramobile Basic, Hybrid"/>
    <s v="Semiconductor Revenue M$"/>
    <x v="1"/>
    <n v="6.9145290912178484E-2"/>
  </r>
  <r>
    <s v="Integrated AI"/>
    <x v="7"/>
    <x v="0"/>
    <s v="PC"/>
    <s v="Ultramobile Basic, Hybrid"/>
    <s v="Semiconductor Revenue M$"/>
    <x v="2"/>
    <n v="0.3829322319898108"/>
  </r>
  <r>
    <s v="Integrated AI"/>
    <x v="7"/>
    <x v="0"/>
    <s v="PC"/>
    <s v="Ultramobile Basic, Hybrid"/>
    <s v="Semiconductor Revenue M$"/>
    <x v="3"/>
    <n v="2.0417635070898439"/>
  </r>
  <r>
    <s v="Integrated AI"/>
    <x v="7"/>
    <x v="0"/>
    <s v="PC"/>
    <s v="Ultramobile Basic, Hybrid"/>
    <s v="Semiconductor Revenue M$"/>
    <x v="4"/>
    <n v="2.3449830817965749"/>
  </r>
  <r>
    <s v="Integrated AI"/>
    <x v="7"/>
    <x v="0"/>
    <s v="PC"/>
    <s v="Ultramobile Basic, Hybrid"/>
    <s v="Semiconductor Revenue M$"/>
    <x v="5"/>
    <n v="2.6415935626436613"/>
  </r>
  <r>
    <s v="Integrated AI"/>
    <x v="7"/>
    <x v="0"/>
    <s v="PC"/>
    <s v="Ultramobile Basic, Hybrid"/>
    <s v="Semiconductor Revenue M$"/>
    <x v="6"/>
    <n v="3.8173320271396687"/>
  </r>
  <r>
    <s v="Integrated AI"/>
    <x v="7"/>
    <x v="0"/>
    <s v="PC"/>
    <s v="Ultramobile Premium, Hybrid"/>
    <s v="Semiconductor Revenue M$"/>
    <x v="0"/>
    <n v="12.282951915632109"/>
  </r>
  <r>
    <s v="Integrated AI"/>
    <x v="7"/>
    <x v="0"/>
    <s v="PC"/>
    <s v="Ultramobile Premium, Hybrid"/>
    <s v="Semiconductor Revenue M$"/>
    <x v="1"/>
    <n v="32.524556334404167"/>
  </r>
  <r>
    <s v="Integrated AI"/>
    <x v="7"/>
    <x v="0"/>
    <s v="PC"/>
    <s v="Ultramobile Premium, Hybrid"/>
    <s v="Semiconductor Revenue M$"/>
    <x v="2"/>
    <n v="77.615568758577353"/>
  </r>
  <r>
    <s v="Integrated AI"/>
    <x v="7"/>
    <x v="0"/>
    <s v="PC"/>
    <s v="Ultramobile Premium, Hybrid"/>
    <s v="Semiconductor Revenue M$"/>
    <x v="3"/>
    <n v="164.32496524398289"/>
  </r>
  <r>
    <s v="Integrated AI"/>
    <x v="7"/>
    <x v="0"/>
    <s v="PC"/>
    <s v="Ultramobile Premium, Hybrid"/>
    <s v="Semiconductor Revenue M$"/>
    <x v="4"/>
    <n v="204.47861367564101"/>
  </r>
  <r>
    <s v="Integrated AI"/>
    <x v="7"/>
    <x v="0"/>
    <s v="PC"/>
    <s v="Ultramobile Premium, Hybrid"/>
    <s v="Semiconductor Revenue M$"/>
    <x v="5"/>
    <n v="231.41015708927731"/>
  </r>
  <r>
    <s v="Integrated AI"/>
    <x v="7"/>
    <x v="0"/>
    <s v="PC"/>
    <s v="Ultramobile Premium, Hybrid"/>
    <s v="Semiconductor Revenue M$"/>
    <x v="6"/>
    <n v="239.15305099903574"/>
  </r>
  <r>
    <s v="Integrated AI"/>
    <x v="7"/>
    <x v="0"/>
    <s v="PC"/>
    <s v="Notebook"/>
    <s v="Semiconductor Revenue M$"/>
    <x v="0"/>
    <n v="0"/>
  </r>
  <r>
    <s v="Integrated AI"/>
    <x v="7"/>
    <x v="0"/>
    <s v="PC"/>
    <s v="Notebook"/>
    <s v="Semiconductor Revenue M$"/>
    <x v="1"/>
    <n v="10.011682230581194"/>
  </r>
  <r>
    <s v="Integrated AI"/>
    <x v="7"/>
    <x v="0"/>
    <s v="PC"/>
    <s v="Notebook"/>
    <s v="Semiconductor Revenue M$"/>
    <x v="2"/>
    <n v="61.209224661565202"/>
  </r>
  <r>
    <s v="Integrated AI"/>
    <x v="7"/>
    <x v="0"/>
    <s v="PC"/>
    <s v="Notebook"/>
    <s v="Semiconductor Revenue M$"/>
    <x v="3"/>
    <n v="88.426355824830395"/>
  </r>
  <r>
    <s v="Integrated AI"/>
    <x v="7"/>
    <x v="0"/>
    <s v="PC"/>
    <s v="Notebook"/>
    <s v="Semiconductor Revenue M$"/>
    <x v="4"/>
    <n v="150.53391450326754"/>
  </r>
  <r>
    <s v="Integrated AI"/>
    <x v="7"/>
    <x v="0"/>
    <s v="PC"/>
    <s v="Notebook"/>
    <s v="Semiconductor Revenue M$"/>
    <x v="5"/>
    <n v="191.27859443435312"/>
  </r>
  <r>
    <s v="Integrated AI"/>
    <x v="7"/>
    <x v="0"/>
    <s v="PC"/>
    <s v="Notebook"/>
    <s v="Semiconductor Revenue M$"/>
    <x v="6"/>
    <n v="242.36196217770924"/>
  </r>
  <r>
    <s v="Integrated AI"/>
    <x v="7"/>
    <x v="0"/>
    <s v="Compute"/>
    <s v="Printer/Copier"/>
    <s v="Semiconductor Revenue M$"/>
    <x v="0"/>
    <n v="1.6418128587238756"/>
  </r>
  <r>
    <s v="Integrated AI"/>
    <x v="7"/>
    <x v="0"/>
    <s v="Compute"/>
    <s v="Printer/Copier"/>
    <s v="Semiconductor Revenue M$"/>
    <x v="1"/>
    <n v="3.0134616561707825"/>
  </r>
  <r>
    <s v="Integrated AI"/>
    <x v="7"/>
    <x v="0"/>
    <s v="Compute"/>
    <s v="Printer/Copier"/>
    <s v="Semiconductor Revenue M$"/>
    <x v="2"/>
    <n v="5.0666945742506364"/>
  </r>
  <r>
    <s v="Integrated AI"/>
    <x v="7"/>
    <x v="0"/>
    <s v="Compute"/>
    <s v="Printer/Copier"/>
    <s v="Semiconductor Revenue M$"/>
    <x v="3"/>
    <n v="9.2076098174187848"/>
  </r>
  <r>
    <s v="Integrated AI"/>
    <x v="7"/>
    <x v="0"/>
    <s v="Compute"/>
    <s v="Printer/Copier"/>
    <s v="Semiconductor Revenue M$"/>
    <x v="4"/>
    <n v="13.20704041986316"/>
  </r>
  <r>
    <s v="Integrated AI"/>
    <x v="7"/>
    <x v="0"/>
    <s v="Compute"/>
    <s v="Printer/Copier"/>
    <s v="Semiconductor Revenue M$"/>
    <x v="5"/>
    <n v="20.077441940180883"/>
  </r>
  <r>
    <s v="Integrated AI"/>
    <x v="7"/>
    <x v="0"/>
    <s v="Compute"/>
    <s v="Printer/Copier"/>
    <s v="Semiconductor Revenue M$"/>
    <x v="6"/>
    <n v="30.594729692241625"/>
  </r>
  <r>
    <s v="Integrated AI"/>
    <x v="7"/>
    <x v="0"/>
    <s v="Compute"/>
    <s v="Flash Cards"/>
    <s v="Semiconductor Revenue M$"/>
    <x v="0"/>
    <n v="0"/>
  </r>
  <r>
    <s v="Integrated AI"/>
    <x v="7"/>
    <x v="0"/>
    <s v="Compute"/>
    <s v="Flash Cards"/>
    <s v="Semiconductor Revenue M$"/>
    <x v="1"/>
    <n v="0"/>
  </r>
  <r>
    <s v="Integrated AI"/>
    <x v="7"/>
    <x v="0"/>
    <s v="Compute"/>
    <s v="Flash Cards"/>
    <s v="Semiconductor Revenue M$"/>
    <x v="2"/>
    <n v="0"/>
  </r>
  <r>
    <s v="Integrated AI"/>
    <x v="7"/>
    <x v="0"/>
    <s v="Compute"/>
    <s v="Flash Cards"/>
    <s v="Semiconductor Revenue M$"/>
    <x v="3"/>
    <n v="0"/>
  </r>
  <r>
    <s v="Integrated AI"/>
    <x v="7"/>
    <x v="0"/>
    <s v="Compute"/>
    <s v="Flash Cards"/>
    <s v="Semiconductor Revenue M$"/>
    <x v="4"/>
    <n v="0"/>
  </r>
  <r>
    <s v="Integrated AI"/>
    <x v="7"/>
    <x v="0"/>
    <s v="Compute"/>
    <s v="Flash Cards"/>
    <s v="Semiconductor Revenue M$"/>
    <x v="5"/>
    <n v="0"/>
  </r>
  <r>
    <s v="Integrated AI"/>
    <x v="7"/>
    <x v="0"/>
    <s v="Compute"/>
    <s v="Flash Cards"/>
    <s v="Semiconductor Revenue M$"/>
    <x v="6"/>
    <n v="0"/>
  </r>
  <r>
    <s v="Integrated AI"/>
    <x v="7"/>
    <x v="0"/>
    <s v="Compute"/>
    <s v="USB Flash Drives"/>
    <s v="Semiconductor Revenue M$"/>
    <x v="0"/>
    <n v="0"/>
  </r>
  <r>
    <s v="Integrated AI"/>
    <x v="7"/>
    <x v="0"/>
    <s v="Compute"/>
    <s v="USB Flash Drives"/>
    <s v="Semiconductor Revenue M$"/>
    <x v="1"/>
    <n v="0"/>
  </r>
  <r>
    <s v="Integrated AI"/>
    <x v="7"/>
    <x v="0"/>
    <s v="Compute"/>
    <s v="USB Flash Drives"/>
    <s v="Semiconductor Revenue M$"/>
    <x v="2"/>
    <n v="0"/>
  </r>
  <r>
    <s v="Integrated AI"/>
    <x v="7"/>
    <x v="0"/>
    <s v="Compute"/>
    <s v="USB Flash Drives"/>
    <s v="Semiconductor Revenue M$"/>
    <x v="3"/>
    <n v="0"/>
  </r>
  <r>
    <s v="Integrated AI"/>
    <x v="7"/>
    <x v="0"/>
    <s v="Compute"/>
    <s v="USB Flash Drives"/>
    <s v="Semiconductor Revenue M$"/>
    <x v="4"/>
    <n v="0"/>
  </r>
  <r>
    <s v="Integrated AI"/>
    <x v="7"/>
    <x v="0"/>
    <s v="Compute"/>
    <s v="USB Flash Drives"/>
    <s v="Semiconductor Revenue M$"/>
    <x v="5"/>
    <n v="0"/>
  </r>
  <r>
    <s v="Integrated AI"/>
    <x v="7"/>
    <x v="0"/>
    <s v="Compute"/>
    <s v="USB Flash Drives"/>
    <s v="Semiconductor Revenue M$"/>
    <x v="6"/>
    <n v="0"/>
  </r>
  <r>
    <s v="Integrated AI"/>
    <x v="7"/>
    <x v="0"/>
    <s v="Servers"/>
    <s v="Server, 4 CPU sockets and over"/>
    <s v="Semiconductor Revenue M$"/>
    <x v="0"/>
    <n v="0"/>
  </r>
  <r>
    <s v="Integrated AI"/>
    <x v="7"/>
    <x v="0"/>
    <s v="Servers"/>
    <s v="Server, 4 CPU sockets and over"/>
    <s v="Semiconductor Revenue M$"/>
    <x v="1"/>
    <n v="0"/>
  </r>
  <r>
    <s v="Integrated AI"/>
    <x v="7"/>
    <x v="0"/>
    <s v="Servers"/>
    <s v="Server, 4 CPU sockets and over"/>
    <s v="Semiconductor Revenue M$"/>
    <x v="2"/>
    <n v="0"/>
  </r>
  <r>
    <s v="Integrated AI"/>
    <x v="7"/>
    <x v="0"/>
    <s v="Servers"/>
    <s v="Server, 4 CPU sockets and over"/>
    <s v="Semiconductor Revenue M$"/>
    <x v="3"/>
    <n v="0"/>
  </r>
  <r>
    <s v="Integrated AI"/>
    <x v="7"/>
    <x v="0"/>
    <s v="Servers"/>
    <s v="Server, 4 CPU sockets and over"/>
    <s v="Semiconductor Revenue M$"/>
    <x v="4"/>
    <n v="0"/>
  </r>
  <r>
    <s v="Integrated AI"/>
    <x v="7"/>
    <x v="0"/>
    <s v="Servers"/>
    <s v="Server, 4 CPU sockets and over"/>
    <s v="Semiconductor Revenue M$"/>
    <x v="5"/>
    <n v="0"/>
  </r>
  <r>
    <s v="Integrated AI"/>
    <x v="7"/>
    <x v="0"/>
    <s v="Servers"/>
    <s v="Server, 4 CPU sockets and over"/>
    <s v="Semiconductor Revenue M$"/>
    <x v="6"/>
    <n v="0"/>
  </r>
  <r>
    <s v="Integrated AI"/>
    <x v="7"/>
    <x v="0"/>
    <s v="Servers"/>
    <s v="Server, 2 CPU socket"/>
    <s v="Semiconductor Revenue M$"/>
    <x v="0"/>
    <n v="0"/>
  </r>
  <r>
    <s v="Integrated AI"/>
    <x v="7"/>
    <x v="0"/>
    <s v="Servers"/>
    <s v="Server, 2 CPU socket"/>
    <s v="Semiconductor Revenue M$"/>
    <x v="1"/>
    <n v="0"/>
  </r>
  <r>
    <s v="Integrated AI"/>
    <x v="7"/>
    <x v="0"/>
    <s v="Servers"/>
    <s v="Server, 2 CPU socket"/>
    <s v="Semiconductor Revenue M$"/>
    <x v="2"/>
    <n v="0"/>
  </r>
  <r>
    <s v="Integrated AI"/>
    <x v="7"/>
    <x v="0"/>
    <s v="Servers"/>
    <s v="Server, 2 CPU socket"/>
    <s v="Semiconductor Revenue M$"/>
    <x v="3"/>
    <n v="0"/>
  </r>
  <r>
    <s v="Integrated AI"/>
    <x v="7"/>
    <x v="0"/>
    <s v="Servers"/>
    <s v="Server, 2 CPU socket"/>
    <s v="Semiconductor Revenue M$"/>
    <x v="4"/>
    <n v="0"/>
  </r>
  <r>
    <s v="Integrated AI"/>
    <x v="7"/>
    <x v="0"/>
    <s v="Servers"/>
    <s v="Server, 2 CPU socket"/>
    <s v="Semiconductor Revenue M$"/>
    <x v="5"/>
    <n v="0"/>
  </r>
  <r>
    <s v="Integrated AI"/>
    <x v="7"/>
    <x v="0"/>
    <s v="Servers"/>
    <s v="Server, 2 CPU socket"/>
    <s v="Semiconductor Revenue M$"/>
    <x v="6"/>
    <n v="0"/>
  </r>
  <r>
    <s v="Integrated AI"/>
    <x v="7"/>
    <x v="0"/>
    <s v="Servers"/>
    <s v="Server, 1 CPU socket"/>
    <s v="Semiconductor Revenue M$"/>
    <x v="0"/>
    <n v="0"/>
  </r>
  <r>
    <s v="Integrated AI"/>
    <x v="7"/>
    <x v="0"/>
    <s v="Servers"/>
    <s v="Server, 1 CPU socket"/>
    <s v="Semiconductor Revenue M$"/>
    <x v="1"/>
    <n v="0"/>
  </r>
  <r>
    <s v="Integrated AI"/>
    <x v="7"/>
    <x v="0"/>
    <s v="Servers"/>
    <s v="Server, 1 CPU socket"/>
    <s v="Semiconductor Revenue M$"/>
    <x v="2"/>
    <n v="0"/>
  </r>
  <r>
    <s v="Integrated AI"/>
    <x v="7"/>
    <x v="0"/>
    <s v="Servers"/>
    <s v="Server, 1 CPU socket"/>
    <s v="Semiconductor Revenue M$"/>
    <x v="3"/>
    <n v="0"/>
  </r>
  <r>
    <s v="Integrated AI"/>
    <x v="7"/>
    <x v="0"/>
    <s v="Servers"/>
    <s v="Server, 1 CPU socket"/>
    <s v="Semiconductor Revenue M$"/>
    <x v="4"/>
    <n v="0"/>
  </r>
  <r>
    <s v="Integrated AI"/>
    <x v="7"/>
    <x v="0"/>
    <s v="Servers"/>
    <s v="Server, 1 CPU socket"/>
    <s v="Semiconductor Revenue M$"/>
    <x v="5"/>
    <n v="0"/>
  </r>
  <r>
    <s v="Integrated AI"/>
    <x v="7"/>
    <x v="0"/>
    <s v="Servers"/>
    <s v="Server, 1 CPU socket"/>
    <s v="Semiconductor Revenue M$"/>
    <x v="6"/>
    <n v="0"/>
  </r>
  <r>
    <s v="Integrated AI"/>
    <x v="7"/>
    <x v="0"/>
    <s v="Compute"/>
    <s v="Smart Cards"/>
    <s v="Semiconductor Revenue M$"/>
    <x v="0"/>
    <n v="0"/>
  </r>
  <r>
    <s v="Integrated AI"/>
    <x v="7"/>
    <x v="0"/>
    <s v="Compute"/>
    <s v="Smart Cards"/>
    <s v="Semiconductor Revenue M$"/>
    <x v="1"/>
    <n v="0"/>
  </r>
  <r>
    <s v="Integrated AI"/>
    <x v="7"/>
    <x v="0"/>
    <s v="Compute"/>
    <s v="Smart Cards"/>
    <s v="Semiconductor Revenue M$"/>
    <x v="2"/>
    <n v="0"/>
  </r>
  <r>
    <s v="Integrated AI"/>
    <x v="7"/>
    <x v="0"/>
    <s v="Compute"/>
    <s v="Smart Cards"/>
    <s v="Semiconductor Revenue M$"/>
    <x v="3"/>
    <n v="0"/>
  </r>
  <r>
    <s v="Integrated AI"/>
    <x v="7"/>
    <x v="0"/>
    <s v="Compute"/>
    <s v="Smart Cards"/>
    <s v="Semiconductor Revenue M$"/>
    <x v="4"/>
    <n v="0"/>
  </r>
  <r>
    <s v="Integrated AI"/>
    <x v="7"/>
    <x v="0"/>
    <s v="Compute"/>
    <s v="Smart Cards"/>
    <s v="Semiconductor Revenue M$"/>
    <x v="5"/>
    <n v="0"/>
  </r>
  <r>
    <s v="Integrated AI"/>
    <x v="7"/>
    <x v="0"/>
    <s v="Compute"/>
    <s v="Smart Cards"/>
    <s v="Semiconductor Revenue M$"/>
    <x v="6"/>
    <n v="0"/>
  </r>
  <r>
    <s v="Integrated AI"/>
    <x v="7"/>
    <x v="0"/>
    <s v="Servers"/>
    <s v="Accelerator Cards"/>
    <s v="Semiconductor Revenue M$"/>
    <x v="0"/>
    <n v="0"/>
  </r>
  <r>
    <s v="Integrated AI"/>
    <x v="7"/>
    <x v="0"/>
    <s v="Servers"/>
    <s v="Accelerator Cards"/>
    <s v="Semiconductor Revenue M$"/>
    <x v="1"/>
    <n v="0"/>
  </r>
  <r>
    <s v="Integrated AI"/>
    <x v="7"/>
    <x v="0"/>
    <s v="Servers"/>
    <s v="Accelerator Cards"/>
    <s v="Semiconductor Revenue M$"/>
    <x v="2"/>
    <n v="0"/>
  </r>
  <r>
    <s v="Integrated AI"/>
    <x v="7"/>
    <x v="0"/>
    <s v="Servers"/>
    <s v="Accelerator Cards"/>
    <s v="Semiconductor Revenue M$"/>
    <x v="3"/>
    <n v="0"/>
  </r>
  <r>
    <s v="Integrated AI"/>
    <x v="7"/>
    <x v="0"/>
    <s v="Servers"/>
    <s v="Accelerator Cards"/>
    <s v="Semiconductor Revenue M$"/>
    <x v="4"/>
    <n v="0"/>
  </r>
  <r>
    <s v="Integrated AI"/>
    <x v="7"/>
    <x v="0"/>
    <s v="Servers"/>
    <s v="Accelerator Cards"/>
    <s v="Semiconductor Revenue M$"/>
    <x v="5"/>
    <n v="0"/>
  </r>
  <r>
    <s v="Integrated AI"/>
    <x v="7"/>
    <x v="0"/>
    <s v="Servers"/>
    <s v="Accelerator Cards"/>
    <s v="Semiconductor Revenue M$"/>
    <x v="6"/>
    <n v="0"/>
  </r>
  <r>
    <s v="Integrated AI"/>
    <x v="7"/>
    <x v="1"/>
    <s v="Storage"/>
    <s v="Solid-State ECB"/>
    <s v="Semiconductor Revenue M$"/>
    <x v="0"/>
    <n v="0"/>
  </r>
  <r>
    <s v="Integrated AI"/>
    <x v="7"/>
    <x v="1"/>
    <s v="Storage"/>
    <s v="Solid-State ECB"/>
    <s v="Semiconductor Revenue M$"/>
    <x v="1"/>
    <n v="0"/>
  </r>
  <r>
    <s v="Integrated AI"/>
    <x v="7"/>
    <x v="1"/>
    <s v="Storage"/>
    <s v="Solid-State ECB"/>
    <s v="Semiconductor Revenue M$"/>
    <x v="2"/>
    <n v="0"/>
  </r>
  <r>
    <s v="Integrated AI"/>
    <x v="7"/>
    <x v="1"/>
    <s v="Storage"/>
    <s v="Solid-State ECB"/>
    <s v="Semiconductor Revenue M$"/>
    <x v="3"/>
    <n v="0"/>
  </r>
  <r>
    <s v="Integrated AI"/>
    <x v="7"/>
    <x v="1"/>
    <s v="Storage"/>
    <s v="Solid-State ECB"/>
    <s v="Semiconductor Revenue M$"/>
    <x v="4"/>
    <n v="0"/>
  </r>
  <r>
    <s v="Integrated AI"/>
    <x v="7"/>
    <x v="1"/>
    <s v="Storage"/>
    <s v="Solid-State ECB"/>
    <s v="Semiconductor Revenue M$"/>
    <x v="5"/>
    <n v="0"/>
  </r>
  <r>
    <s v="Integrated AI"/>
    <x v="7"/>
    <x v="1"/>
    <s v="Storage"/>
    <s v="Solid-State ECB"/>
    <s v="Semiconductor Revenue M$"/>
    <x v="6"/>
    <n v="0"/>
  </r>
  <r>
    <s v="Integrated AI"/>
    <x v="7"/>
    <x v="1"/>
    <s v="Storage"/>
    <s v="Other ECB (HDD/Hybrid)"/>
    <s v="Semiconductor Revenue M$"/>
    <x v="0"/>
    <n v="0"/>
  </r>
  <r>
    <s v="Integrated AI"/>
    <x v="7"/>
    <x v="1"/>
    <s v="Storage"/>
    <s v="Other ECB (HDD/Hybrid)"/>
    <s v="Semiconductor Revenue M$"/>
    <x v="1"/>
    <n v="0"/>
  </r>
  <r>
    <s v="Integrated AI"/>
    <x v="7"/>
    <x v="1"/>
    <s v="Storage"/>
    <s v="Other ECB (HDD/Hybrid)"/>
    <s v="Semiconductor Revenue M$"/>
    <x v="2"/>
    <n v="0"/>
  </r>
  <r>
    <s v="Integrated AI"/>
    <x v="7"/>
    <x v="1"/>
    <s v="Storage"/>
    <s v="Other ECB (HDD/Hybrid)"/>
    <s v="Semiconductor Revenue M$"/>
    <x v="3"/>
    <n v="0"/>
  </r>
  <r>
    <s v="Integrated AI"/>
    <x v="7"/>
    <x v="1"/>
    <s v="Storage"/>
    <s v="Other ECB (HDD/Hybrid)"/>
    <s v="Semiconductor Revenue M$"/>
    <x v="4"/>
    <n v="0"/>
  </r>
  <r>
    <s v="Integrated AI"/>
    <x v="7"/>
    <x v="1"/>
    <s v="Storage"/>
    <s v="Other ECB (HDD/Hybrid)"/>
    <s v="Semiconductor Revenue M$"/>
    <x v="5"/>
    <n v="0"/>
  </r>
  <r>
    <s v="Integrated AI"/>
    <x v="7"/>
    <x v="1"/>
    <s v="Storage"/>
    <s v="Other ECB (HDD/Hybrid)"/>
    <s v="Semiconductor Revenue M$"/>
    <x v="6"/>
    <n v="0"/>
  </r>
  <r>
    <s v="Integrated AI"/>
    <x v="7"/>
    <x v="1"/>
    <s v="Storage"/>
    <s v="Storage Network Infrastructure"/>
    <s v="Semiconductor Revenue M$"/>
    <x v="0"/>
    <n v="0"/>
  </r>
  <r>
    <s v="Integrated AI"/>
    <x v="7"/>
    <x v="1"/>
    <s v="Storage"/>
    <s v="Storage Network Infrastructure"/>
    <s v="Semiconductor Revenue M$"/>
    <x v="1"/>
    <n v="0"/>
  </r>
  <r>
    <s v="Integrated AI"/>
    <x v="7"/>
    <x v="1"/>
    <s v="Storage"/>
    <s v="Storage Network Infrastructure"/>
    <s v="Semiconductor Revenue M$"/>
    <x v="2"/>
    <n v="0"/>
  </r>
  <r>
    <s v="Integrated AI"/>
    <x v="7"/>
    <x v="1"/>
    <s v="Storage"/>
    <s v="Storage Network Infrastructure"/>
    <s v="Semiconductor Revenue M$"/>
    <x v="3"/>
    <n v="0"/>
  </r>
  <r>
    <s v="Integrated AI"/>
    <x v="7"/>
    <x v="1"/>
    <s v="Storage"/>
    <s v="Storage Network Infrastructure"/>
    <s v="Semiconductor Revenue M$"/>
    <x v="4"/>
    <n v="0"/>
  </r>
  <r>
    <s v="Integrated AI"/>
    <x v="7"/>
    <x v="1"/>
    <s v="Storage"/>
    <s v="Storage Network Infrastructure"/>
    <s v="Semiconductor Revenue M$"/>
    <x v="5"/>
    <n v="0"/>
  </r>
  <r>
    <s v="Integrated AI"/>
    <x v="7"/>
    <x v="1"/>
    <s v="Storage"/>
    <s v="Storage Network Infrastructure"/>
    <s v="Semiconductor Revenue M$"/>
    <x v="6"/>
    <n v="0"/>
  </r>
  <r>
    <s v="Integrated AI"/>
    <x v="7"/>
    <x v="1"/>
    <s v="Storage"/>
    <s v="Hard Disk Drive"/>
    <s v="Semiconductor Revenue M$"/>
    <x v="0"/>
    <n v="0"/>
  </r>
  <r>
    <s v="Integrated AI"/>
    <x v="7"/>
    <x v="1"/>
    <s v="Storage"/>
    <s v="Hard Disk Drive"/>
    <s v="Semiconductor Revenue M$"/>
    <x v="1"/>
    <n v="0"/>
  </r>
  <r>
    <s v="Integrated AI"/>
    <x v="7"/>
    <x v="1"/>
    <s v="Storage"/>
    <s v="Hard Disk Drive"/>
    <s v="Semiconductor Revenue M$"/>
    <x v="2"/>
    <n v="0"/>
  </r>
  <r>
    <s v="Integrated AI"/>
    <x v="7"/>
    <x v="1"/>
    <s v="Storage"/>
    <s v="Hard Disk Drive"/>
    <s v="Semiconductor Revenue M$"/>
    <x v="3"/>
    <n v="0"/>
  </r>
  <r>
    <s v="Integrated AI"/>
    <x v="7"/>
    <x v="1"/>
    <s v="Storage"/>
    <s v="Hard Disk Drive"/>
    <s v="Semiconductor Revenue M$"/>
    <x v="4"/>
    <n v="0"/>
  </r>
  <r>
    <s v="Integrated AI"/>
    <x v="7"/>
    <x v="1"/>
    <s v="Storage"/>
    <s v="Hard Disk Drive"/>
    <s v="Semiconductor Revenue M$"/>
    <x v="5"/>
    <n v="0"/>
  </r>
  <r>
    <s v="Integrated AI"/>
    <x v="7"/>
    <x v="1"/>
    <s v="Storage"/>
    <s v="Hard Disk Drive"/>
    <s v="Semiconductor Revenue M$"/>
    <x v="6"/>
    <n v="0"/>
  </r>
  <r>
    <s v="Integrated AI"/>
    <x v="7"/>
    <x v="1"/>
    <s v="Storage"/>
    <s v="Solid-State Drives"/>
    <s v="Semiconductor Revenue M$"/>
    <x v="0"/>
    <n v="0"/>
  </r>
  <r>
    <s v="Integrated AI"/>
    <x v="7"/>
    <x v="1"/>
    <s v="Storage"/>
    <s v="Solid-State Drives"/>
    <s v="Semiconductor Revenue M$"/>
    <x v="1"/>
    <n v="0"/>
  </r>
  <r>
    <s v="Integrated AI"/>
    <x v="7"/>
    <x v="1"/>
    <s v="Storage"/>
    <s v="Solid-State Drives"/>
    <s v="Semiconductor Revenue M$"/>
    <x v="2"/>
    <n v="0"/>
  </r>
  <r>
    <s v="Integrated AI"/>
    <x v="7"/>
    <x v="1"/>
    <s v="Storage"/>
    <s v="Solid-State Drives"/>
    <s v="Semiconductor Revenue M$"/>
    <x v="3"/>
    <n v="0"/>
  </r>
  <r>
    <s v="Integrated AI"/>
    <x v="7"/>
    <x v="1"/>
    <s v="Storage"/>
    <s v="Solid-State Drives"/>
    <s v="Semiconductor Revenue M$"/>
    <x v="4"/>
    <n v="0"/>
  </r>
  <r>
    <s v="Integrated AI"/>
    <x v="7"/>
    <x v="1"/>
    <s v="Storage"/>
    <s v="Solid-State Drives"/>
    <s v="Semiconductor Revenue M$"/>
    <x v="5"/>
    <n v="0"/>
  </r>
  <r>
    <s v="Integrated AI"/>
    <x v="7"/>
    <x v="1"/>
    <s v="Storage"/>
    <s v="Solid-State Drives"/>
    <s v="Semiconductor Revenue M$"/>
    <x v="6"/>
    <n v="0"/>
  </r>
  <r>
    <s v="Integrated AI"/>
    <x v="7"/>
    <x v="1"/>
    <s v="Storage"/>
    <s v="Other Storage Media"/>
    <s v="Semiconductor Revenue M$"/>
    <x v="0"/>
    <n v="0"/>
  </r>
  <r>
    <s v="Integrated AI"/>
    <x v="7"/>
    <x v="1"/>
    <s v="Storage"/>
    <s v="Other Storage Media"/>
    <s v="Semiconductor Revenue M$"/>
    <x v="1"/>
    <n v="0"/>
  </r>
  <r>
    <s v="Integrated AI"/>
    <x v="7"/>
    <x v="1"/>
    <s v="Storage"/>
    <s v="Other Storage Media"/>
    <s v="Semiconductor Revenue M$"/>
    <x v="2"/>
    <n v="0"/>
  </r>
  <r>
    <s v="Integrated AI"/>
    <x v="7"/>
    <x v="1"/>
    <s v="Storage"/>
    <s v="Other Storage Media"/>
    <s v="Semiconductor Revenue M$"/>
    <x v="3"/>
    <n v="0"/>
  </r>
  <r>
    <s v="Integrated AI"/>
    <x v="7"/>
    <x v="1"/>
    <s v="Storage"/>
    <s v="Other Storage Media"/>
    <s v="Semiconductor Revenue M$"/>
    <x v="4"/>
    <n v="0"/>
  </r>
  <r>
    <s v="Integrated AI"/>
    <x v="7"/>
    <x v="1"/>
    <s v="Storage"/>
    <s v="Other Storage Media"/>
    <s v="Semiconductor Revenue M$"/>
    <x v="5"/>
    <n v="0"/>
  </r>
  <r>
    <s v="Integrated AI"/>
    <x v="7"/>
    <x v="1"/>
    <s v="Storage"/>
    <s v="Other Storage Media"/>
    <s v="Semiconductor Revenue M$"/>
    <x v="6"/>
    <n v="0"/>
  </r>
  <r>
    <s v="Integrated AI"/>
    <x v="7"/>
    <x v="1"/>
    <s v="Storage"/>
    <s v="Other Storage Electronics"/>
    <s v="Semiconductor Revenue M$"/>
    <x v="0"/>
    <n v="0"/>
  </r>
  <r>
    <s v="Integrated AI"/>
    <x v="7"/>
    <x v="1"/>
    <s v="Storage"/>
    <s v="Other Storage Electronics"/>
    <s v="Semiconductor Revenue M$"/>
    <x v="1"/>
    <n v="0"/>
  </r>
  <r>
    <s v="Integrated AI"/>
    <x v="7"/>
    <x v="1"/>
    <s v="Storage"/>
    <s v="Other Storage Electronics"/>
    <s v="Semiconductor Revenue M$"/>
    <x v="2"/>
    <n v="0"/>
  </r>
  <r>
    <s v="Integrated AI"/>
    <x v="7"/>
    <x v="1"/>
    <s v="Storage"/>
    <s v="Other Storage Electronics"/>
    <s v="Semiconductor Revenue M$"/>
    <x v="3"/>
    <n v="0"/>
  </r>
  <r>
    <s v="Integrated AI"/>
    <x v="7"/>
    <x v="1"/>
    <s v="Storage"/>
    <s v="Other Storage Electronics"/>
    <s v="Semiconductor Revenue M$"/>
    <x v="4"/>
    <n v="0"/>
  </r>
  <r>
    <s v="Integrated AI"/>
    <x v="7"/>
    <x v="1"/>
    <s v="Storage"/>
    <s v="Other Storage Electronics"/>
    <s v="Semiconductor Revenue M$"/>
    <x v="5"/>
    <n v="0"/>
  </r>
  <r>
    <s v="Integrated AI"/>
    <x v="7"/>
    <x v="1"/>
    <s v="Storage"/>
    <s v="Other Storage Electronics"/>
    <s v="Semiconductor Revenue M$"/>
    <x v="6"/>
    <n v="0"/>
  </r>
  <r>
    <s v="Integrated AI"/>
    <x v="7"/>
    <x v="2"/>
    <s v="Wireless Communications Electronics"/>
    <s v="Utility Traditional Phone"/>
    <s v="Semiconductor Revenue M$"/>
    <x v="0"/>
    <n v="0"/>
  </r>
  <r>
    <s v="Integrated AI"/>
    <x v="7"/>
    <x v="2"/>
    <s v="Wireless Communications Electronics"/>
    <s v="Utility Traditional Phone"/>
    <s v="Semiconductor Revenue M$"/>
    <x v="1"/>
    <n v="0"/>
  </r>
  <r>
    <s v="Integrated AI"/>
    <x v="7"/>
    <x v="2"/>
    <s v="Wireless Communications Electronics"/>
    <s v="Utility Traditional Phone"/>
    <s v="Semiconductor Revenue M$"/>
    <x v="2"/>
    <n v="0"/>
  </r>
  <r>
    <s v="Integrated AI"/>
    <x v="7"/>
    <x v="2"/>
    <s v="Wireless Communications Electronics"/>
    <s v="Utility Traditional Phone"/>
    <s v="Semiconductor Revenue M$"/>
    <x v="3"/>
    <n v="0"/>
  </r>
  <r>
    <s v="Integrated AI"/>
    <x v="7"/>
    <x v="2"/>
    <s v="Wireless Communications Electronics"/>
    <s v="Utility Traditional Phone"/>
    <s v="Semiconductor Revenue M$"/>
    <x v="4"/>
    <n v="0"/>
  </r>
  <r>
    <s v="Integrated AI"/>
    <x v="7"/>
    <x v="2"/>
    <s v="Wireless Communications Electronics"/>
    <s v="Utility Traditional Phone"/>
    <s v="Semiconductor Revenue M$"/>
    <x v="5"/>
    <n v="0"/>
  </r>
  <r>
    <s v="Integrated AI"/>
    <x v="7"/>
    <x v="2"/>
    <s v="Wireless Communications Electronics"/>
    <s v="Utility Traditional Phone"/>
    <s v="Semiconductor Revenue M$"/>
    <x v="6"/>
    <n v="0"/>
  </r>
  <r>
    <s v="Integrated AI"/>
    <x v="7"/>
    <x v="2"/>
    <s v="Wireless Communications Electronics"/>
    <s v="Basic Smartphone"/>
    <s v="Semiconductor Revenue M$"/>
    <x v="0"/>
    <n v="0"/>
  </r>
  <r>
    <s v="Integrated AI"/>
    <x v="7"/>
    <x v="2"/>
    <s v="Wireless Communications Electronics"/>
    <s v="Basic Smartphone"/>
    <s v="Semiconductor Revenue M$"/>
    <x v="1"/>
    <n v="0"/>
  </r>
  <r>
    <s v="Integrated AI"/>
    <x v="7"/>
    <x v="2"/>
    <s v="Wireless Communications Electronics"/>
    <s v="Basic Smartphone"/>
    <s v="Semiconductor Revenue M$"/>
    <x v="2"/>
    <n v="0"/>
  </r>
  <r>
    <s v="Integrated AI"/>
    <x v="7"/>
    <x v="2"/>
    <s v="Wireless Communications Electronics"/>
    <s v="Basic Smartphone"/>
    <s v="Semiconductor Revenue M$"/>
    <x v="3"/>
    <n v="0"/>
  </r>
  <r>
    <s v="Integrated AI"/>
    <x v="7"/>
    <x v="2"/>
    <s v="Wireless Communications Electronics"/>
    <s v="Basic Smartphone"/>
    <s v="Semiconductor Revenue M$"/>
    <x v="4"/>
    <n v="0"/>
  </r>
  <r>
    <s v="Integrated AI"/>
    <x v="7"/>
    <x v="2"/>
    <s v="Wireless Communications Electronics"/>
    <s v="Basic Smartphone"/>
    <s v="Semiconductor Revenue M$"/>
    <x v="5"/>
    <n v="0"/>
  </r>
  <r>
    <s v="Integrated AI"/>
    <x v="7"/>
    <x v="2"/>
    <s v="Wireless Communications Electronics"/>
    <s v="Basic Smartphone"/>
    <s v="Semiconductor Revenue M$"/>
    <x v="6"/>
    <n v="0"/>
  </r>
  <r>
    <s v="Integrated AI"/>
    <x v="7"/>
    <x v="2"/>
    <s v="Wireless Communications Electronics"/>
    <s v="Utility Smartphone"/>
    <s v="Semiconductor Revenue M$"/>
    <x v="0"/>
    <n v="0"/>
  </r>
  <r>
    <s v="Integrated AI"/>
    <x v="7"/>
    <x v="2"/>
    <s v="Wireless Communications Electronics"/>
    <s v="Utility Smartphone"/>
    <s v="Semiconductor Revenue M$"/>
    <x v="1"/>
    <n v="0"/>
  </r>
  <r>
    <s v="Integrated AI"/>
    <x v="7"/>
    <x v="2"/>
    <s v="Wireless Communications Electronics"/>
    <s v="Utility Smartphone"/>
    <s v="Semiconductor Revenue M$"/>
    <x v="2"/>
    <n v="0"/>
  </r>
  <r>
    <s v="Integrated AI"/>
    <x v="7"/>
    <x v="2"/>
    <s v="Wireless Communications Electronics"/>
    <s v="Utility Smartphone"/>
    <s v="Semiconductor Revenue M$"/>
    <x v="3"/>
    <n v="0"/>
  </r>
  <r>
    <s v="Integrated AI"/>
    <x v="7"/>
    <x v="2"/>
    <s v="Wireless Communications Electronics"/>
    <s v="Utility Smartphone"/>
    <s v="Semiconductor Revenue M$"/>
    <x v="4"/>
    <n v="0"/>
  </r>
  <r>
    <s v="Integrated AI"/>
    <x v="7"/>
    <x v="2"/>
    <s v="Wireless Communications Electronics"/>
    <s v="Utility Smartphone"/>
    <s v="Semiconductor Revenue M$"/>
    <x v="5"/>
    <n v="0"/>
  </r>
  <r>
    <s v="Integrated AI"/>
    <x v="7"/>
    <x v="2"/>
    <s v="Wireless Communications Electronics"/>
    <s v="Utility Smartphone"/>
    <s v="Semiconductor Revenue M$"/>
    <x v="6"/>
    <n v="0"/>
  </r>
  <r>
    <s v="Integrated AI"/>
    <x v="7"/>
    <x v="2"/>
    <s v="Wireless Communications Electronics"/>
    <s v="Premium Smartphone"/>
    <s v="Semiconductor Revenue M$"/>
    <x v="0"/>
    <n v="8078.549101823929"/>
  </r>
  <r>
    <s v="Integrated AI"/>
    <x v="7"/>
    <x v="2"/>
    <s v="Wireless Communications Electronics"/>
    <s v="Premium Smartphone"/>
    <s v="Semiconductor Revenue M$"/>
    <x v="1"/>
    <n v="9238.7380575910938"/>
  </r>
  <r>
    <s v="Integrated AI"/>
    <x v="7"/>
    <x v="2"/>
    <s v="Wireless Communications Electronics"/>
    <s v="Premium Smartphone"/>
    <s v="Semiconductor Revenue M$"/>
    <x v="2"/>
    <n v="8209.7516604071625"/>
  </r>
  <r>
    <s v="Integrated AI"/>
    <x v="7"/>
    <x v="2"/>
    <s v="Wireless Communications Electronics"/>
    <s v="Premium Smartphone"/>
    <s v="Semiconductor Revenue M$"/>
    <x v="3"/>
    <n v="8355.7693871839674"/>
  </r>
  <r>
    <s v="Integrated AI"/>
    <x v="7"/>
    <x v="2"/>
    <s v="Wireless Communications Electronics"/>
    <s v="Premium Smartphone"/>
    <s v="Semiconductor Revenue M$"/>
    <x v="4"/>
    <n v="5969.9645460090996"/>
  </r>
  <r>
    <s v="Integrated AI"/>
    <x v="7"/>
    <x v="2"/>
    <s v="Wireless Communications Electronics"/>
    <s v="Premium Smartphone"/>
    <s v="Semiconductor Revenue M$"/>
    <x v="5"/>
    <n v="2390.3084694922359"/>
  </r>
  <r>
    <s v="Integrated AI"/>
    <x v="7"/>
    <x v="2"/>
    <s v="Wireless Communications Electronics"/>
    <s v="Premium Smartphone"/>
    <s v="Semiconductor Revenue M$"/>
    <x v="6"/>
    <n v="606.58604846928688"/>
  </r>
  <r>
    <s v="Integrated AI"/>
    <x v="7"/>
    <x v="3"/>
    <s v="Automotive Electronics"/>
    <s v="ADAS-ECU (Level-2+/3/4)"/>
    <s v="Semiconductor Revenue M$"/>
    <x v="0"/>
    <n v="291.97406529671815"/>
  </r>
  <r>
    <s v="Integrated AI"/>
    <x v="7"/>
    <x v="3"/>
    <s v="Automotive Electronics"/>
    <s v="ADAS-ECU (Level-2+/3/4)"/>
    <s v="Semiconductor Revenue M$"/>
    <x v="1"/>
    <n v="725.96555673775913"/>
  </r>
  <r>
    <s v="Integrated AI"/>
    <x v="7"/>
    <x v="3"/>
    <s v="Automotive Electronics"/>
    <s v="ADAS-ECU (Level-2+/3/4)"/>
    <s v="Semiconductor Revenue M$"/>
    <x v="2"/>
    <n v="1232.9740902675242"/>
  </r>
  <r>
    <s v="Integrated AI"/>
    <x v="7"/>
    <x v="3"/>
    <s v="Automotive Electronics"/>
    <s v="ADAS-ECU (Level-2+/3/4)"/>
    <s v="Semiconductor Revenue M$"/>
    <x v="3"/>
    <n v="1729.0312821278094"/>
  </r>
  <r>
    <s v="Integrated AI"/>
    <x v="7"/>
    <x v="3"/>
    <s v="Automotive Electronics"/>
    <s v="ADAS-ECU (Level-2+/3/4)"/>
    <s v="Semiconductor Revenue M$"/>
    <x v="4"/>
    <n v="2128.6546219057254"/>
  </r>
  <r>
    <s v="Integrated AI"/>
    <x v="7"/>
    <x v="3"/>
    <s v="Automotive Electronics"/>
    <s v="ADAS-ECU (Level-2+/3/4)"/>
    <s v="Semiconductor Revenue M$"/>
    <x v="5"/>
    <n v="2411.4213772183216"/>
  </r>
  <r>
    <s v="Integrated AI"/>
    <x v="7"/>
    <x v="3"/>
    <s v="Automotive Electronics"/>
    <s v="ADAS-ECU (Level-2+/3/4)"/>
    <s v="Semiconductor Revenue M$"/>
    <x v="6"/>
    <n v="2736.647041908378"/>
  </r>
  <r>
    <s v="Integrated AI"/>
    <x v="7"/>
    <x v="2"/>
    <s v="Wireless Communications Electronics"/>
    <s v="Mobile Infrastructure - Base Station Equipment"/>
    <s v="Semiconductor Revenue M$"/>
    <x v="0"/>
    <n v="0"/>
  </r>
  <r>
    <s v="Integrated AI"/>
    <x v="7"/>
    <x v="2"/>
    <s v="Wireless Communications Electronics"/>
    <s v="Mobile Infrastructure - Base Station Equipment"/>
    <s v="Semiconductor Revenue M$"/>
    <x v="1"/>
    <n v="0"/>
  </r>
  <r>
    <s v="Integrated AI"/>
    <x v="7"/>
    <x v="2"/>
    <s v="Wireless Communications Electronics"/>
    <s v="Mobile Infrastructure - Base Station Equipment"/>
    <s v="Semiconductor Revenue M$"/>
    <x v="2"/>
    <n v="0"/>
  </r>
  <r>
    <s v="Integrated AI"/>
    <x v="7"/>
    <x v="2"/>
    <s v="Wireless Communications Electronics"/>
    <s v="Mobile Infrastructure - Base Station Equipment"/>
    <s v="Semiconductor Revenue M$"/>
    <x v="3"/>
    <n v="0"/>
  </r>
  <r>
    <s v="Integrated AI"/>
    <x v="7"/>
    <x v="2"/>
    <s v="Wireless Communications Electronics"/>
    <s v="Mobile Infrastructure - Base Station Equipment"/>
    <s v="Semiconductor Revenue M$"/>
    <x v="4"/>
    <n v="0"/>
  </r>
  <r>
    <s v="Integrated AI"/>
    <x v="7"/>
    <x v="2"/>
    <s v="Wireless Communications Electronics"/>
    <s v="Mobile Infrastructure - Base Station Equipment"/>
    <s v="Semiconductor Revenue M$"/>
    <x v="5"/>
    <n v="0"/>
  </r>
  <r>
    <s v="Integrated AI"/>
    <x v="7"/>
    <x v="2"/>
    <s v="Wireless Communications Electronics"/>
    <s v="Mobile Infrastructure - Base Station Equipment"/>
    <s v="Semiconductor Revenue M$"/>
    <x v="6"/>
    <n v="0"/>
  </r>
  <r>
    <s v="Integrated AI"/>
    <x v="7"/>
    <x v="2"/>
    <s v="Wireless Communications Electronics"/>
    <s v="Wireless LAN Infrastructure"/>
    <s v="Semiconductor Revenue M$"/>
    <x v="0"/>
    <n v="0.10064429876267257"/>
  </r>
  <r>
    <s v="Integrated AI"/>
    <x v="7"/>
    <x v="2"/>
    <s v="Wireless Communications Electronics"/>
    <s v="Wireless LAN Infrastructure"/>
    <s v="Semiconductor Revenue M$"/>
    <x v="1"/>
    <n v="0.1927012985840264"/>
  </r>
  <r>
    <s v="Integrated AI"/>
    <x v="7"/>
    <x v="2"/>
    <s v="Wireless Communications Electronics"/>
    <s v="Wireless LAN Infrastructure"/>
    <s v="Semiconductor Revenue M$"/>
    <x v="2"/>
    <n v="0.44573601525085588"/>
  </r>
  <r>
    <s v="Integrated AI"/>
    <x v="7"/>
    <x v="2"/>
    <s v="Wireless Communications Electronics"/>
    <s v="Wireless LAN Infrastructure"/>
    <s v="Semiconductor Revenue M$"/>
    <x v="3"/>
    <n v="0.9879486893909184"/>
  </r>
  <r>
    <s v="Integrated AI"/>
    <x v="7"/>
    <x v="2"/>
    <s v="Wireless Communications Electronics"/>
    <s v="Wireless LAN Infrastructure"/>
    <s v="Semiconductor Revenue M$"/>
    <x v="4"/>
    <n v="1.6672518728401378"/>
  </r>
  <r>
    <s v="Integrated AI"/>
    <x v="7"/>
    <x v="2"/>
    <s v="Wireless Communications Electronics"/>
    <s v="Wireless LAN Infrastructure"/>
    <s v="Semiconductor Revenue M$"/>
    <x v="5"/>
    <n v="2.0691152270260145"/>
  </r>
  <r>
    <s v="Integrated AI"/>
    <x v="7"/>
    <x v="2"/>
    <s v="Wireless Communications Electronics"/>
    <s v="Wireless LAN Infrastructure"/>
    <s v="Semiconductor Revenue M$"/>
    <x v="6"/>
    <n v="2.765863711145006"/>
  </r>
  <r>
    <s v="Integrated AI"/>
    <x v="7"/>
    <x v="2"/>
    <s v="Wireless Communications Electronics"/>
    <s v="Cellular Modems"/>
    <s v="Semiconductor Revenue M$"/>
    <x v="0"/>
    <n v="0"/>
  </r>
  <r>
    <s v="Integrated AI"/>
    <x v="7"/>
    <x v="2"/>
    <s v="Wireless Communications Electronics"/>
    <s v="Cellular Modems"/>
    <s v="Semiconductor Revenue M$"/>
    <x v="1"/>
    <n v="0"/>
  </r>
  <r>
    <s v="Integrated AI"/>
    <x v="7"/>
    <x v="2"/>
    <s v="Wireless Communications Electronics"/>
    <s v="Cellular Modems"/>
    <s v="Semiconductor Revenue M$"/>
    <x v="2"/>
    <n v="0"/>
  </r>
  <r>
    <s v="Integrated AI"/>
    <x v="7"/>
    <x v="2"/>
    <s v="Wireless Communications Electronics"/>
    <s v="Cellular Modems"/>
    <s v="Semiconductor Revenue M$"/>
    <x v="3"/>
    <n v="0"/>
  </r>
  <r>
    <s v="Integrated AI"/>
    <x v="7"/>
    <x v="2"/>
    <s v="Wireless Communications Electronics"/>
    <s v="Cellular Modems"/>
    <s v="Semiconductor Revenue M$"/>
    <x v="4"/>
    <n v="0"/>
  </r>
  <r>
    <s v="Integrated AI"/>
    <x v="7"/>
    <x v="2"/>
    <s v="Wireless Communications Electronics"/>
    <s v="Cellular Modems"/>
    <s v="Semiconductor Revenue M$"/>
    <x v="5"/>
    <n v="0"/>
  </r>
  <r>
    <s v="Integrated AI"/>
    <x v="7"/>
    <x v="2"/>
    <s v="Wireless Communications Electronics"/>
    <s v="Cellular Modems"/>
    <s v="Semiconductor Revenue M$"/>
    <x v="6"/>
    <n v="0"/>
  </r>
  <r>
    <s v="Integrated AI"/>
    <x v="7"/>
    <x v="2"/>
    <s v="Wireless Communications Electronics"/>
    <s v="Other Wireless Communications Electronics"/>
    <s v="Semiconductor Revenue M$"/>
    <x v="0"/>
    <n v="0.49427974344370296"/>
  </r>
  <r>
    <s v="Integrated AI"/>
    <x v="7"/>
    <x v="2"/>
    <s v="Wireless Communications Electronics"/>
    <s v="Other Wireless Communications Electronics"/>
    <s v="Semiconductor Revenue M$"/>
    <x v="1"/>
    <n v="0.93000626692605315"/>
  </r>
  <r>
    <s v="Integrated AI"/>
    <x v="7"/>
    <x v="2"/>
    <s v="Wireless Communications Electronics"/>
    <s v="Other Wireless Communications Electronics"/>
    <s v="Semiconductor Revenue M$"/>
    <x v="2"/>
    <n v="1.9038253067950077"/>
  </r>
  <r>
    <s v="Integrated AI"/>
    <x v="7"/>
    <x v="2"/>
    <s v="Wireless Communications Electronics"/>
    <s v="Other Wireless Communications Electronics"/>
    <s v="Semiconductor Revenue M$"/>
    <x v="3"/>
    <n v="3.9406968997854395"/>
  </r>
  <r>
    <s v="Integrated AI"/>
    <x v="7"/>
    <x v="2"/>
    <s v="Wireless Communications Electronics"/>
    <s v="Other Wireless Communications Electronics"/>
    <s v="Semiconductor Revenue M$"/>
    <x v="4"/>
    <n v="6.0020330491824785"/>
  </r>
  <r>
    <s v="Integrated AI"/>
    <x v="7"/>
    <x v="2"/>
    <s v="Wireless Communications Electronics"/>
    <s v="Other Wireless Communications Electronics"/>
    <s v="Semiconductor Revenue M$"/>
    <x v="5"/>
    <n v="7.3967995336806922"/>
  </r>
  <r>
    <s v="Integrated AI"/>
    <x v="7"/>
    <x v="2"/>
    <s v="Wireless Communications Electronics"/>
    <s v="Other Wireless Communications Electronics"/>
    <s v="Semiconductor Revenue M$"/>
    <x v="6"/>
    <n v="8.9027157611022005"/>
  </r>
  <r>
    <s v="Integrated AI"/>
    <x v="7"/>
    <x v="2"/>
    <s v="Wired Communications Electronics"/>
    <s v="DSL Broadband Access"/>
    <s v="Semiconductor Revenue M$"/>
    <x v="0"/>
    <n v="0"/>
  </r>
  <r>
    <s v="Integrated AI"/>
    <x v="7"/>
    <x v="2"/>
    <s v="Wired Communications Electronics"/>
    <s v="DSL Broadband Access"/>
    <s v="Semiconductor Revenue M$"/>
    <x v="1"/>
    <n v="0"/>
  </r>
  <r>
    <s v="Integrated AI"/>
    <x v="7"/>
    <x v="2"/>
    <s v="Wired Communications Electronics"/>
    <s v="DSL Broadband Access"/>
    <s v="Semiconductor Revenue M$"/>
    <x v="2"/>
    <n v="0"/>
  </r>
  <r>
    <s v="Integrated AI"/>
    <x v="7"/>
    <x v="2"/>
    <s v="Wired Communications Electronics"/>
    <s v="DSL Broadband Access"/>
    <s v="Semiconductor Revenue M$"/>
    <x v="3"/>
    <n v="0"/>
  </r>
  <r>
    <s v="Integrated AI"/>
    <x v="7"/>
    <x v="2"/>
    <s v="Wired Communications Electronics"/>
    <s v="DSL Broadband Access"/>
    <s v="Semiconductor Revenue M$"/>
    <x v="4"/>
    <n v="0"/>
  </r>
  <r>
    <s v="Integrated AI"/>
    <x v="7"/>
    <x v="2"/>
    <s v="Wired Communications Electronics"/>
    <s v="DSL Broadband Access"/>
    <s v="Semiconductor Revenue M$"/>
    <x v="5"/>
    <n v="0"/>
  </r>
  <r>
    <s v="Integrated AI"/>
    <x v="7"/>
    <x v="2"/>
    <s v="Wired Communications Electronics"/>
    <s v="DSL Broadband Access"/>
    <s v="Semiconductor Revenue M$"/>
    <x v="6"/>
    <n v="0"/>
  </r>
  <r>
    <s v="Integrated AI"/>
    <x v="7"/>
    <x v="2"/>
    <s v="Wired Communications Electronics"/>
    <s v="Fiber Broadband Access"/>
    <s v="Semiconductor Revenue M$"/>
    <x v="0"/>
    <n v="0"/>
  </r>
  <r>
    <s v="Integrated AI"/>
    <x v="7"/>
    <x v="2"/>
    <s v="Wired Communications Electronics"/>
    <s v="Fiber Broadband Access"/>
    <s v="Semiconductor Revenue M$"/>
    <x v="1"/>
    <n v="0"/>
  </r>
  <r>
    <s v="Integrated AI"/>
    <x v="7"/>
    <x v="2"/>
    <s v="Wired Communications Electronics"/>
    <s v="Fiber Broadband Access"/>
    <s v="Semiconductor Revenue M$"/>
    <x v="2"/>
    <n v="0"/>
  </r>
  <r>
    <s v="Integrated AI"/>
    <x v="7"/>
    <x v="2"/>
    <s v="Wired Communications Electronics"/>
    <s v="Fiber Broadband Access"/>
    <s v="Semiconductor Revenue M$"/>
    <x v="3"/>
    <n v="0"/>
  </r>
  <r>
    <s v="Integrated AI"/>
    <x v="7"/>
    <x v="2"/>
    <s v="Wired Communications Electronics"/>
    <s v="Fiber Broadband Access"/>
    <s v="Semiconductor Revenue M$"/>
    <x v="4"/>
    <n v="0"/>
  </r>
  <r>
    <s v="Integrated AI"/>
    <x v="7"/>
    <x v="2"/>
    <s v="Wired Communications Electronics"/>
    <s v="Fiber Broadband Access"/>
    <s v="Semiconductor Revenue M$"/>
    <x v="5"/>
    <n v="0"/>
  </r>
  <r>
    <s v="Integrated AI"/>
    <x v="7"/>
    <x v="2"/>
    <s v="Wired Communications Electronics"/>
    <s v="Fiber Broadband Access"/>
    <s v="Semiconductor Revenue M$"/>
    <x v="6"/>
    <n v="0"/>
  </r>
  <r>
    <s v="Integrated AI"/>
    <x v="7"/>
    <x v="2"/>
    <s v="Wired Communications Electronics"/>
    <s v="Other Broadband Access"/>
    <s v="Semiconductor Revenue M$"/>
    <x v="0"/>
    <n v="0"/>
  </r>
  <r>
    <s v="Integrated AI"/>
    <x v="7"/>
    <x v="2"/>
    <s v="Wired Communications Electronics"/>
    <s v="Other Broadband Access"/>
    <s v="Semiconductor Revenue M$"/>
    <x v="1"/>
    <n v="0"/>
  </r>
  <r>
    <s v="Integrated AI"/>
    <x v="7"/>
    <x v="2"/>
    <s v="Wired Communications Electronics"/>
    <s v="Other Broadband Access"/>
    <s v="Semiconductor Revenue M$"/>
    <x v="2"/>
    <n v="0"/>
  </r>
  <r>
    <s v="Integrated AI"/>
    <x v="7"/>
    <x v="2"/>
    <s v="Wired Communications Electronics"/>
    <s v="Other Broadband Access"/>
    <s v="Semiconductor Revenue M$"/>
    <x v="3"/>
    <n v="0"/>
  </r>
  <r>
    <s v="Integrated AI"/>
    <x v="7"/>
    <x v="2"/>
    <s v="Wired Communications Electronics"/>
    <s v="Other Broadband Access"/>
    <s v="Semiconductor Revenue M$"/>
    <x v="4"/>
    <n v="0"/>
  </r>
  <r>
    <s v="Integrated AI"/>
    <x v="7"/>
    <x v="2"/>
    <s v="Wired Communications Electronics"/>
    <s v="Other Broadband Access"/>
    <s v="Semiconductor Revenue M$"/>
    <x v="5"/>
    <n v="0"/>
  </r>
  <r>
    <s v="Integrated AI"/>
    <x v="7"/>
    <x v="2"/>
    <s v="Wired Communications Electronics"/>
    <s v="Other Broadband Access"/>
    <s v="Semiconductor Revenue M$"/>
    <x v="6"/>
    <n v="0"/>
  </r>
  <r>
    <s v="Integrated AI"/>
    <x v="7"/>
    <x v="2"/>
    <s v="Wired Communications Electronics"/>
    <s v="Enterprise LAN"/>
    <s v="Semiconductor Revenue M$"/>
    <x v="0"/>
    <n v="0"/>
  </r>
  <r>
    <s v="Integrated AI"/>
    <x v="7"/>
    <x v="2"/>
    <s v="Wired Communications Electronics"/>
    <s v="Enterprise LAN"/>
    <s v="Semiconductor Revenue M$"/>
    <x v="1"/>
    <n v="0"/>
  </r>
  <r>
    <s v="Integrated AI"/>
    <x v="7"/>
    <x v="2"/>
    <s v="Wired Communications Electronics"/>
    <s v="Enterprise LAN"/>
    <s v="Semiconductor Revenue M$"/>
    <x v="2"/>
    <n v="0"/>
  </r>
  <r>
    <s v="Integrated AI"/>
    <x v="7"/>
    <x v="2"/>
    <s v="Wired Communications Electronics"/>
    <s v="Enterprise LAN"/>
    <s v="Semiconductor Revenue M$"/>
    <x v="3"/>
    <n v="0"/>
  </r>
  <r>
    <s v="Integrated AI"/>
    <x v="7"/>
    <x v="2"/>
    <s v="Wired Communications Electronics"/>
    <s v="Enterprise LAN"/>
    <s v="Semiconductor Revenue M$"/>
    <x v="4"/>
    <n v="0"/>
  </r>
  <r>
    <s v="Integrated AI"/>
    <x v="7"/>
    <x v="2"/>
    <s v="Wired Communications Electronics"/>
    <s v="Enterprise LAN"/>
    <s v="Semiconductor Revenue M$"/>
    <x v="5"/>
    <n v="0"/>
  </r>
  <r>
    <s v="Integrated AI"/>
    <x v="7"/>
    <x v="2"/>
    <s v="Wired Communications Electronics"/>
    <s v="Enterprise LAN"/>
    <s v="Semiconductor Revenue M$"/>
    <x v="6"/>
    <n v="0"/>
  </r>
  <r>
    <s v="Integrated AI"/>
    <x v="7"/>
    <x v="3"/>
    <s v="Automotive Electronics"/>
    <s v="ADAS-ECU (Level-0/1/2)"/>
    <s v="Semiconductor Revenue M$"/>
    <x v="0"/>
    <n v="1394.2190236726592"/>
  </r>
  <r>
    <s v="Integrated AI"/>
    <x v="7"/>
    <x v="3"/>
    <s v="Automotive Electronics"/>
    <s v="ADAS-ECU (Level-0/1/2)"/>
    <s v="Semiconductor Revenue M$"/>
    <x v="1"/>
    <n v="1902.3016773964957"/>
  </r>
  <r>
    <s v="Integrated AI"/>
    <x v="7"/>
    <x v="3"/>
    <s v="Automotive Electronics"/>
    <s v="ADAS-ECU (Level-0/1/2)"/>
    <s v="Semiconductor Revenue M$"/>
    <x v="2"/>
    <n v="1774.4921628902739"/>
  </r>
  <r>
    <s v="Integrated AI"/>
    <x v="7"/>
    <x v="3"/>
    <s v="Automotive Electronics"/>
    <s v="ADAS-ECU (Level-0/1/2)"/>
    <s v="Semiconductor Revenue M$"/>
    <x v="3"/>
    <n v="1705.8916489439571"/>
  </r>
  <r>
    <s v="Integrated AI"/>
    <x v="7"/>
    <x v="3"/>
    <s v="Automotive Electronics"/>
    <s v="ADAS-ECU (Level-0/1/2)"/>
    <s v="Semiconductor Revenue M$"/>
    <x v="4"/>
    <n v="1741.8798378365593"/>
  </r>
  <r>
    <s v="Integrated AI"/>
    <x v="7"/>
    <x v="3"/>
    <s v="Automotive Electronics"/>
    <s v="ADAS-ECU (Level-0/1/2)"/>
    <s v="Semiconductor Revenue M$"/>
    <x v="5"/>
    <n v="1829.5666531717891"/>
  </r>
  <r>
    <s v="Integrated AI"/>
    <x v="7"/>
    <x v="3"/>
    <s v="Automotive Electronics"/>
    <s v="ADAS-ECU (Level-0/1/2)"/>
    <s v="Semiconductor Revenue M$"/>
    <x v="6"/>
    <n v="1909.6666611535904"/>
  </r>
  <r>
    <s v="Integrated AI"/>
    <x v="7"/>
    <x v="2"/>
    <s v="Wired Communications Electronics"/>
    <s v="Enterprise WAN"/>
    <s v="Semiconductor Revenue M$"/>
    <x v="0"/>
    <n v="0"/>
  </r>
  <r>
    <s v="Integrated AI"/>
    <x v="7"/>
    <x v="2"/>
    <s v="Wired Communications Electronics"/>
    <s v="Enterprise WAN"/>
    <s v="Semiconductor Revenue M$"/>
    <x v="1"/>
    <n v="0"/>
  </r>
  <r>
    <s v="Integrated AI"/>
    <x v="7"/>
    <x v="2"/>
    <s v="Wired Communications Electronics"/>
    <s v="Enterprise WAN"/>
    <s v="Semiconductor Revenue M$"/>
    <x v="2"/>
    <n v="0"/>
  </r>
  <r>
    <s v="Integrated AI"/>
    <x v="7"/>
    <x v="2"/>
    <s v="Wired Communications Electronics"/>
    <s v="Enterprise WAN"/>
    <s v="Semiconductor Revenue M$"/>
    <x v="3"/>
    <n v="0"/>
  </r>
  <r>
    <s v="Integrated AI"/>
    <x v="7"/>
    <x v="2"/>
    <s v="Wired Communications Electronics"/>
    <s v="Enterprise WAN"/>
    <s v="Semiconductor Revenue M$"/>
    <x v="4"/>
    <n v="0"/>
  </r>
  <r>
    <s v="Integrated AI"/>
    <x v="7"/>
    <x v="2"/>
    <s v="Wired Communications Electronics"/>
    <s v="Enterprise WAN"/>
    <s v="Semiconductor Revenue M$"/>
    <x v="5"/>
    <n v="0"/>
  </r>
  <r>
    <s v="Integrated AI"/>
    <x v="7"/>
    <x v="2"/>
    <s v="Wired Communications Electronics"/>
    <s v="Enterprise WAN"/>
    <s v="Semiconductor Revenue M$"/>
    <x v="6"/>
    <n v="0"/>
  </r>
  <r>
    <s v="Integrated AI"/>
    <x v="7"/>
    <x v="2"/>
    <s v="Wired Communications Electronics"/>
    <s v="Optical Transport"/>
    <s v="Semiconductor Revenue M$"/>
    <x v="0"/>
    <n v="0"/>
  </r>
  <r>
    <s v="Integrated AI"/>
    <x v="7"/>
    <x v="2"/>
    <s v="Wired Communications Electronics"/>
    <s v="Optical Transport"/>
    <s v="Semiconductor Revenue M$"/>
    <x v="1"/>
    <n v="0"/>
  </r>
  <r>
    <s v="Integrated AI"/>
    <x v="7"/>
    <x v="2"/>
    <s v="Wired Communications Electronics"/>
    <s v="Optical Transport"/>
    <s v="Semiconductor Revenue M$"/>
    <x v="2"/>
    <n v="0"/>
  </r>
  <r>
    <s v="Integrated AI"/>
    <x v="7"/>
    <x v="2"/>
    <s v="Wired Communications Electronics"/>
    <s v="Optical Transport"/>
    <s v="Semiconductor Revenue M$"/>
    <x v="3"/>
    <n v="0"/>
  </r>
  <r>
    <s v="Integrated AI"/>
    <x v="7"/>
    <x v="2"/>
    <s v="Wired Communications Electronics"/>
    <s v="Optical Transport"/>
    <s v="Semiconductor Revenue M$"/>
    <x v="4"/>
    <n v="0"/>
  </r>
  <r>
    <s v="Integrated AI"/>
    <x v="7"/>
    <x v="2"/>
    <s v="Wired Communications Electronics"/>
    <s v="Optical Transport"/>
    <s v="Semiconductor Revenue M$"/>
    <x v="5"/>
    <n v="0"/>
  </r>
  <r>
    <s v="Integrated AI"/>
    <x v="7"/>
    <x v="2"/>
    <s v="Wired Communications Electronics"/>
    <s v="Optical Transport"/>
    <s v="Semiconductor Revenue M$"/>
    <x v="6"/>
    <n v="0"/>
  </r>
  <r>
    <s v="Integrated AI"/>
    <x v="7"/>
    <x v="2"/>
    <s v="Wired Communications Electronics"/>
    <s v="Service Provider Routers and Switches"/>
    <s v="Semiconductor Revenue M$"/>
    <x v="0"/>
    <n v="0"/>
  </r>
  <r>
    <s v="Integrated AI"/>
    <x v="7"/>
    <x v="2"/>
    <s v="Wired Communications Electronics"/>
    <s v="Service Provider Routers and Switches"/>
    <s v="Semiconductor Revenue M$"/>
    <x v="1"/>
    <n v="0"/>
  </r>
  <r>
    <s v="Integrated AI"/>
    <x v="7"/>
    <x v="2"/>
    <s v="Wired Communications Electronics"/>
    <s v="Service Provider Routers and Switches"/>
    <s v="Semiconductor Revenue M$"/>
    <x v="2"/>
    <n v="0"/>
  </r>
  <r>
    <s v="Integrated AI"/>
    <x v="7"/>
    <x v="2"/>
    <s v="Wired Communications Electronics"/>
    <s v="Service Provider Routers and Switches"/>
    <s v="Semiconductor Revenue M$"/>
    <x v="3"/>
    <n v="0"/>
  </r>
  <r>
    <s v="Integrated AI"/>
    <x v="7"/>
    <x v="2"/>
    <s v="Wired Communications Electronics"/>
    <s v="Service Provider Routers and Switches"/>
    <s v="Semiconductor Revenue M$"/>
    <x v="4"/>
    <n v="0"/>
  </r>
  <r>
    <s v="Integrated AI"/>
    <x v="7"/>
    <x v="2"/>
    <s v="Wired Communications Electronics"/>
    <s v="Service Provider Routers and Switches"/>
    <s v="Semiconductor Revenue M$"/>
    <x v="5"/>
    <n v="0"/>
  </r>
  <r>
    <s v="Integrated AI"/>
    <x v="7"/>
    <x v="2"/>
    <s v="Wired Communications Electronics"/>
    <s v="Service Provider Routers and Switches"/>
    <s v="Semiconductor Revenue M$"/>
    <x v="6"/>
    <n v="0"/>
  </r>
  <r>
    <s v="Integrated AI"/>
    <x v="7"/>
    <x v="2"/>
    <s v="Wired Communications Electronics"/>
    <s v="Other Wired Communications Electronics"/>
    <s v="Semiconductor Revenue M$"/>
    <x v="0"/>
    <n v="0"/>
  </r>
  <r>
    <s v="Integrated AI"/>
    <x v="7"/>
    <x v="2"/>
    <s v="Wired Communications Electronics"/>
    <s v="Other Wired Communications Electronics"/>
    <s v="Semiconductor Revenue M$"/>
    <x v="1"/>
    <n v="0"/>
  </r>
  <r>
    <s v="Integrated AI"/>
    <x v="7"/>
    <x v="2"/>
    <s v="Wired Communications Electronics"/>
    <s v="Other Wired Communications Electronics"/>
    <s v="Semiconductor Revenue M$"/>
    <x v="2"/>
    <n v="0"/>
  </r>
  <r>
    <s v="Integrated AI"/>
    <x v="7"/>
    <x v="2"/>
    <s v="Wired Communications Electronics"/>
    <s v="Other Wired Communications Electronics"/>
    <s v="Semiconductor Revenue M$"/>
    <x v="3"/>
    <n v="0"/>
  </r>
  <r>
    <s v="Integrated AI"/>
    <x v="7"/>
    <x v="2"/>
    <s v="Wired Communications Electronics"/>
    <s v="Other Wired Communications Electronics"/>
    <s v="Semiconductor Revenue M$"/>
    <x v="4"/>
    <n v="0"/>
  </r>
  <r>
    <s v="Integrated AI"/>
    <x v="7"/>
    <x v="2"/>
    <s v="Wired Communications Electronics"/>
    <s v="Other Wired Communications Electronics"/>
    <s v="Semiconductor Revenue M$"/>
    <x v="5"/>
    <n v="0"/>
  </r>
  <r>
    <s v="Integrated AI"/>
    <x v="7"/>
    <x v="2"/>
    <s v="Wired Communications Electronics"/>
    <s v="Other Wired Communications Electronics"/>
    <s v="Semiconductor Revenue M$"/>
    <x v="6"/>
    <n v="0"/>
  </r>
  <r>
    <s v="Integrated AI"/>
    <x v="7"/>
    <x v="4"/>
    <s v="Consumer Electronics"/>
    <s v="Appliances"/>
    <s v="Semiconductor Revenue M$"/>
    <x v="0"/>
    <n v="3.338161894487069E-2"/>
  </r>
  <r>
    <s v="Integrated AI"/>
    <x v="7"/>
    <x v="4"/>
    <s v="Consumer Electronics"/>
    <s v="Appliances"/>
    <s v="Semiconductor Revenue M$"/>
    <x v="1"/>
    <n v="0.16411181308861544"/>
  </r>
  <r>
    <s v="Integrated AI"/>
    <x v="7"/>
    <x v="4"/>
    <s v="Consumer Electronics"/>
    <s v="Appliances"/>
    <s v="Semiconductor Revenue M$"/>
    <x v="2"/>
    <n v="0.5329254640728025"/>
  </r>
  <r>
    <s v="Integrated AI"/>
    <x v="7"/>
    <x v="4"/>
    <s v="Consumer Electronics"/>
    <s v="Appliances"/>
    <s v="Semiconductor Revenue M$"/>
    <x v="3"/>
    <n v="1.6070974334904358"/>
  </r>
  <r>
    <s v="Integrated AI"/>
    <x v="7"/>
    <x v="4"/>
    <s v="Consumer Electronics"/>
    <s v="Appliances"/>
    <s v="Semiconductor Revenue M$"/>
    <x v="4"/>
    <n v="2.8438231877657256"/>
  </r>
  <r>
    <s v="Integrated AI"/>
    <x v="7"/>
    <x v="4"/>
    <s v="Consumer Electronics"/>
    <s v="Appliances"/>
    <s v="Semiconductor Revenue M$"/>
    <x v="5"/>
    <n v="3.6637534490085497"/>
  </r>
  <r>
    <s v="Integrated AI"/>
    <x v="7"/>
    <x v="4"/>
    <s v="Consumer Electronics"/>
    <s v="Appliances"/>
    <s v="Semiconductor Revenue M$"/>
    <x v="6"/>
    <n v="4.2058793599996642"/>
  </r>
  <r>
    <s v="Integrated AI"/>
    <x v="7"/>
    <x v="4"/>
    <s v="Consumer Electronics"/>
    <s v="Digital Camcorder"/>
    <s v="Semiconductor Revenue M$"/>
    <x v="0"/>
    <n v="0"/>
  </r>
  <r>
    <s v="Integrated AI"/>
    <x v="7"/>
    <x v="4"/>
    <s v="Consumer Electronics"/>
    <s v="Digital Camcorder"/>
    <s v="Semiconductor Revenue M$"/>
    <x v="1"/>
    <n v="0"/>
  </r>
  <r>
    <s v="Integrated AI"/>
    <x v="7"/>
    <x v="4"/>
    <s v="Consumer Electronics"/>
    <s v="Digital Camcorder"/>
    <s v="Semiconductor Revenue M$"/>
    <x v="2"/>
    <n v="0"/>
  </r>
  <r>
    <s v="Integrated AI"/>
    <x v="7"/>
    <x v="4"/>
    <s v="Consumer Electronics"/>
    <s v="Digital Camcorder"/>
    <s v="Semiconductor Revenue M$"/>
    <x v="3"/>
    <n v="0"/>
  </r>
  <r>
    <s v="Integrated AI"/>
    <x v="7"/>
    <x v="4"/>
    <s v="Consumer Electronics"/>
    <s v="Digital Camcorder"/>
    <s v="Semiconductor Revenue M$"/>
    <x v="4"/>
    <n v="0"/>
  </r>
  <r>
    <s v="Integrated AI"/>
    <x v="7"/>
    <x v="4"/>
    <s v="Consumer Electronics"/>
    <s v="Digital Camcorder"/>
    <s v="Semiconductor Revenue M$"/>
    <x v="5"/>
    <n v="0"/>
  </r>
  <r>
    <s v="Integrated AI"/>
    <x v="7"/>
    <x v="4"/>
    <s v="Consumer Electronics"/>
    <s v="Digital Camcorder"/>
    <s v="Semiconductor Revenue M$"/>
    <x v="6"/>
    <n v="0"/>
  </r>
  <r>
    <s v="Integrated AI"/>
    <x v="7"/>
    <x v="4"/>
    <s v="Consumer Electronics"/>
    <s v="Digital Set-Top Box, Cable"/>
    <s v="Semiconductor Revenue M$"/>
    <x v="0"/>
    <n v="0"/>
  </r>
  <r>
    <s v="Integrated AI"/>
    <x v="7"/>
    <x v="4"/>
    <s v="Consumer Electronics"/>
    <s v="Digital Set-Top Box, Cable"/>
    <s v="Semiconductor Revenue M$"/>
    <x v="1"/>
    <n v="0"/>
  </r>
  <r>
    <s v="Integrated AI"/>
    <x v="7"/>
    <x v="4"/>
    <s v="Consumer Electronics"/>
    <s v="Digital Set-Top Box, Cable"/>
    <s v="Semiconductor Revenue M$"/>
    <x v="2"/>
    <n v="0"/>
  </r>
  <r>
    <s v="Integrated AI"/>
    <x v="7"/>
    <x v="4"/>
    <s v="Consumer Electronics"/>
    <s v="Digital Set-Top Box, Cable"/>
    <s v="Semiconductor Revenue M$"/>
    <x v="3"/>
    <n v="0"/>
  </r>
  <r>
    <s v="Integrated AI"/>
    <x v="7"/>
    <x v="4"/>
    <s v="Consumer Electronics"/>
    <s v="Digital Set-Top Box, Cable"/>
    <s v="Semiconductor Revenue M$"/>
    <x v="4"/>
    <n v="0"/>
  </r>
  <r>
    <s v="Integrated AI"/>
    <x v="7"/>
    <x v="4"/>
    <s v="Consumer Electronics"/>
    <s v="Digital Set-Top Box, Cable"/>
    <s v="Semiconductor Revenue M$"/>
    <x v="5"/>
    <n v="0"/>
  </r>
  <r>
    <s v="Integrated AI"/>
    <x v="7"/>
    <x v="4"/>
    <s v="Consumer Electronics"/>
    <s v="Digital Set-Top Box, Cable"/>
    <s v="Semiconductor Revenue M$"/>
    <x v="6"/>
    <n v="0"/>
  </r>
  <r>
    <s v="Integrated AI"/>
    <x v="7"/>
    <x v="4"/>
    <s v="Consumer Electronics"/>
    <s v="Digital Set-Top Box, Satellite"/>
    <s v="Semiconductor Revenue M$"/>
    <x v="0"/>
    <n v="0"/>
  </r>
  <r>
    <s v="Integrated AI"/>
    <x v="7"/>
    <x v="4"/>
    <s v="Consumer Electronics"/>
    <s v="Digital Set-Top Box, Satellite"/>
    <s v="Semiconductor Revenue M$"/>
    <x v="1"/>
    <n v="0"/>
  </r>
  <r>
    <s v="Integrated AI"/>
    <x v="7"/>
    <x v="4"/>
    <s v="Consumer Electronics"/>
    <s v="Digital Set-Top Box, Satellite"/>
    <s v="Semiconductor Revenue M$"/>
    <x v="2"/>
    <n v="0"/>
  </r>
  <r>
    <s v="Integrated AI"/>
    <x v="7"/>
    <x v="4"/>
    <s v="Consumer Electronics"/>
    <s v="Digital Set-Top Box, Satellite"/>
    <s v="Semiconductor Revenue M$"/>
    <x v="3"/>
    <n v="0"/>
  </r>
  <r>
    <s v="Integrated AI"/>
    <x v="7"/>
    <x v="4"/>
    <s v="Consumer Electronics"/>
    <s v="Digital Set-Top Box, Satellite"/>
    <s v="Semiconductor Revenue M$"/>
    <x v="4"/>
    <n v="0"/>
  </r>
  <r>
    <s v="Integrated AI"/>
    <x v="7"/>
    <x v="4"/>
    <s v="Consumer Electronics"/>
    <s v="Digital Set-Top Box, Satellite"/>
    <s v="Semiconductor Revenue M$"/>
    <x v="5"/>
    <n v="0"/>
  </r>
  <r>
    <s v="Integrated AI"/>
    <x v="7"/>
    <x v="4"/>
    <s v="Consumer Electronics"/>
    <s v="Digital Set-Top Box, Satellite"/>
    <s v="Semiconductor Revenue M$"/>
    <x v="6"/>
    <n v="0"/>
  </r>
  <r>
    <s v="Integrated AI"/>
    <x v="7"/>
    <x v="4"/>
    <s v="Consumer Electronics"/>
    <s v="Digital Set-Top Box, Terrestrial"/>
    <s v="Semiconductor Revenue M$"/>
    <x v="0"/>
    <n v="0"/>
  </r>
  <r>
    <s v="Integrated AI"/>
    <x v="7"/>
    <x v="4"/>
    <s v="Consumer Electronics"/>
    <s v="Digital Set-Top Box, Terrestrial"/>
    <s v="Semiconductor Revenue M$"/>
    <x v="1"/>
    <n v="0"/>
  </r>
  <r>
    <s v="Integrated AI"/>
    <x v="7"/>
    <x v="4"/>
    <s v="Consumer Electronics"/>
    <s v="Digital Set-Top Box, Terrestrial"/>
    <s v="Semiconductor Revenue M$"/>
    <x v="2"/>
    <n v="0"/>
  </r>
  <r>
    <s v="Integrated AI"/>
    <x v="7"/>
    <x v="4"/>
    <s v="Consumer Electronics"/>
    <s v="Digital Set-Top Box, Terrestrial"/>
    <s v="Semiconductor Revenue M$"/>
    <x v="3"/>
    <n v="0"/>
  </r>
  <r>
    <s v="Integrated AI"/>
    <x v="7"/>
    <x v="4"/>
    <s v="Consumer Electronics"/>
    <s v="Digital Set-Top Box, Terrestrial"/>
    <s v="Semiconductor Revenue M$"/>
    <x v="4"/>
    <n v="0"/>
  </r>
  <r>
    <s v="Integrated AI"/>
    <x v="7"/>
    <x v="4"/>
    <s v="Consumer Electronics"/>
    <s v="Digital Set-Top Box, Terrestrial"/>
    <s v="Semiconductor Revenue M$"/>
    <x v="5"/>
    <n v="0"/>
  </r>
  <r>
    <s v="Integrated AI"/>
    <x v="7"/>
    <x v="4"/>
    <s v="Consumer Electronics"/>
    <s v="Digital Set-Top Box, Terrestrial"/>
    <s v="Semiconductor Revenue M$"/>
    <x v="6"/>
    <n v="0"/>
  </r>
  <r>
    <s v="Integrated AI"/>
    <x v="7"/>
    <x v="4"/>
    <s v="Consumer Electronics"/>
    <s v="Digital Set-Top Box, IP/Other"/>
    <s v="Semiconductor Revenue M$"/>
    <x v="0"/>
    <n v="0"/>
  </r>
  <r>
    <s v="Integrated AI"/>
    <x v="7"/>
    <x v="4"/>
    <s v="Consumer Electronics"/>
    <s v="Digital Set-Top Box, IP/Other"/>
    <s v="Semiconductor Revenue M$"/>
    <x v="1"/>
    <n v="0"/>
  </r>
  <r>
    <s v="Integrated AI"/>
    <x v="7"/>
    <x v="4"/>
    <s v="Consumer Electronics"/>
    <s v="Digital Set-Top Box, IP/Other"/>
    <s v="Semiconductor Revenue M$"/>
    <x v="2"/>
    <n v="0"/>
  </r>
  <r>
    <s v="Integrated AI"/>
    <x v="7"/>
    <x v="4"/>
    <s v="Consumer Electronics"/>
    <s v="Digital Set-Top Box, IP/Other"/>
    <s v="Semiconductor Revenue M$"/>
    <x v="3"/>
    <n v="0"/>
  </r>
  <r>
    <s v="Integrated AI"/>
    <x v="7"/>
    <x v="4"/>
    <s v="Consumer Electronics"/>
    <s v="Digital Set-Top Box, IP/Other"/>
    <s v="Semiconductor Revenue M$"/>
    <x v="4"/>
    <n v="0"/>
  </r>
  <r>
    <s v="Integrated AI"/>
    <x v="7"/>
    <x v="4"/>
    <s v="Consumer Electronics"/>
    <s v="Digital Set-Top Box, IP/Other"/>
    <s v="Semiconductor Revenue M$"/>
    <x v="5"/>
    <n v="0"/>
  </r>
  <r>
    <s v="Integrated AI"/>
    <x v="7"/>
    <x v="4"/>
    <s v="Consumer Electronics"/>
    <s v="Digital Set-Top Box, IP/Other"/>
    <s v="Semiconductor Revenue M$"/>
    <x v="6"/>
    <n v="0"/>
  </r>
  <r>
    <s v="Integrated AI"/>
    <x v="7"/>
    <x v="4"/>
    <s v="Consumer Electronics"/>
    <s v="Digital Still Camera"/>
    <s v="Semiconductor Revenue M$"/>
    <x v="0"/>
    <n v="0"/>
  </r>
  <r>
    <s v="Integrated AI"/>
    <x v="7"/>
    <x v="4"/>
    <s v="Consumer Electronics"/>
    <s v="Digital Still Camera"/>
    <s v="Semiconductor Revenue M$"/>
    <x v="1"/>
    <n v="0"/>
  </r>
  <r>
    <s v="Integrated AI"/>
    <x v="7"/>
    <x v="4"/>
    <s v="Consumer Electronics"/>
    <s v="Digital Still Camera"/>
    <s v="Semiconductor Revenue M$"/>
    <x v="2"/>
    <n v="0"/>
  </r>
  <r>
    <s v="Integrated AI"/>
    <x v="7"/>
    <x v="4"/>
    <s v="Consumer Electronics"/>
    <s v="Digital Still Camera"/>
    <s v="Semiconductor Revenue M$"/>
    <x v="3"/>
    <n v="0"/>
  </r>
  <r>
    <s v="Integrated AI"/>
    <x v="7"/>
    <x v="4"/>
    <s v="Consumer Electronics"/>
    <s v="Digital Still Camera"/>
    <s v="Semiconductor Revenue M$"/>
    <x v="4"/>
    <n v="0"/>
  </r>
  <r>
    <s v="Integrated AI"/>
    <x v="7"/>
    <x v="4"/>
    <s v="Consumer Electronics"/>
    <s v="Digital Still Camera"/>
    <s v="Semiconductor Revenue M$"/>
    <x v="5"/>
    <n v="0"/>
  </r>
  <r>
    <s v="Integrated AI"/>
    <x v="7"/>
    <x v="4"/>
    <s v="Consumer Electronics"/>
    <s v="Digital Still Camera"/>
    <s v="Semiconductor Revenue M$"/>
    <x v="6"/>
    <n v="0"/>
  </r>
  <r>
    <s v="Integrated AI"/>
    <x v="7"/>
    <x v="5"/>
    <s v="Industrial Electronics"/>
    <s v="Agriculture"/>
    <s v="Semiconductor Revenue M$"/>
    <x v="0"/>
    <n v="0"/>
  </r>
  <r>
    <s v="Integrated AI"/>
    <x v="7"/>
    <x v="5"/>
    <s v="Industrial Electronics"/>
    <s v="Agriculture"/>
    <s v="Semiconductor Revenue M$"/>
    <x v="1"/>
    <n v="0"/>
  </r>
  <r>
    <s v="Integrated AI"/>
    <x v="7"/>
    <x v="5"/>
    <s v="Industrial Electronics"/>
    <s v="Agriculture"/>
    <s v="Semiconductor Revenue M$"/>
    <x v="2"/>
    <n v="0"/>
  </r>
  <r>
    <s v="Integrated AI"/>
    <x v="7"/>
    <x v="5"/>
    <s v="Industrial Electronics"/>
    <s v="Agriculture"/>
    <s v="Semiconductor Revenue M$"/>
    <x v="3"/>
    <n v="0"/>
  </r>
  <r>
    <s v="Integrated AI"/>
    <x v="7"/>
    <x v="5"/>
    <s v="Industrial Electronics"/>
    <s v="Agriculture"/>
    <s v="Semiconductor Revenue M$"/>
    <x v="4"/>
    <n v="0"/>
  </r>
  <r>
    <s v="Integrated AI"/>
    <x v="7"/>
    <x v="5"/>
    <s v="Industrial Electronics"/>
    <s v="Agriculture"/>
    <s v="Semiconductor Revenue M$"/>
    <x v="5"/>
    <n v="0"/>
  </r>
  <r>
    <s v="Integrated AI"/>
    <x v="7"/>
    <x v="5"/>
    <s v="Industrial Electronics"/>
    <s v="Agriculture"/>
    <s v="Semiconductor Revenue M$"/>
    <x v="6"/>
    <n v="0"/>
  </r>
  <r>
    <s v="Integrated AI"/>
    <x v="7"/>
    <x v="3"/>
    <s v="Automotive Electronics"/>
    <s v="Automotive HPC"/>
    <s v="Semiconductor Revenue M$"/>
    <x v="0"/>
    <n v="4.4905606538451534E-2"/>
  </r>
  <r>
    <s v="Integrated AI"/>
    <x v="7"/>
    <x v="3"/>
    <s v="Automotive Electronics"/>
    <s v="Automotive HPC"/>
    <s v="Semiconductor Revenue M$"/>
    <x v="1"/>
    <n v="7.8856020577956603"/>
  </r>
  <r>
    <s v="Integrated AI"/>
    <x v="7"/>
    <x v="3"/>
    <s v="Automotive Electronics"/>
    <s v="Automotive HPC"/>
    <s v="Semiconductor Revenue M$"/>
    <x v="2"/>
    <n v="78.976872132160253"/>
  </r>
  <r>
    <s v="Integrated AI"/>
    <x v="7"/>
    <x v="3"/>
    <s v="Automotive Electronics"/>
    <s v="Automotive HPC"/>
    <s v="Semiconductor Revenue M$"/>
    <x v="3"/>
    <n v="360.56105246464716"/>
  </r>
  <r>
    <s v="Integrated AI"/>
    <x v="7"/>
    <x v="3"/>
    <s v="Automotive Electronics"/>
    <s v="Automotive HPC"/>
    <s v="Semiconductor Revenue M$"/>
    <x v="4"/>
    <n v="1130.7248817472112"/>
  </r>
  <r>
    <s v="Integrated AI"/>
    <x v="7"/>
    <x v="3"/>
    <s v="Automotive Electronics"/>
    <s v="Automotive HPC"/>
    <s v="Semiconductor Revenue M$"/>
    <x v="5"/>
    <n v="1879.9405579061495"/>
  </r>
  <r>
    <s v="Integrated AI"/>
    <x v="7"/>
    <x v="3"/>
    <s v="Automotive Electronics"/>
    <s v="Automotive HPC"/>
    <s v="Semiconductor Revenue M$"/>
    <x v="6"/>
    <n v="2606.5971660088389"/>
  </r>
  <r>
    <s v="Integrated AI"/>
    <x v="7"/>
    <x v="5"/>
    <s v="Industrial Electronics"/>
    <s v="Surveillance"/>
    <s v="Semiconductor Revenue M$"/>
    <x v="0"/>
    <n v="6.592481594303873"/>
  </r>
  <r>
    <s v="Integrated AI"/>
    <x v="7"/>
    <x v="5"/>
    <s v="Industrial Electronics"/>
    <s v="Surveillance"/>
    <s v="Semiconductor Revenue M$"/>
    <x v="1"/>
    <n v="21.028791831670571"/>
  </r>
  <r>
    <s v="Integrated AI"/>
    <x v="7"/>
    <x v="5"/>
    <s v="Industrial Electronics"/>
    <s v="Surveillance"/>
    <s v="Semiconductor Revenue M$"/>
    <x v="2"/>
    <n v="59.121393559061985"/>
  </r>
  <r>
    <s v="Integrated AI"/>
    <x v="7"/>
    <x v="5"/>
    <s v="Industrial Electronics"/>
    <s v="Surveillance"/>
    <s v="Semiconductor Revenue M$"/>
    <x v="3"/>
    <n v="175.14901637442364"/>
  </r>
  <r>
    <s v="Integrated AI"/>
    <x v="7"/>
    <x v="5"/>
    <s v="Industrial Electronics"/>
    <s v="Surveillance"/>
    <s v="Semiconductor Revenue M$"/>
    <x v="4"/>
    <n v="336.39502458116738"/>
  </r>
  <r>
    <s v="Integrated AI"/>
    <x v="7"/>
    <x v="5"/>
    <s v="Industrial Electronics"/>
    <s v="Surveillance"/>
    <s v="Semiconductor Revenue M$"/>
    <x v="5"/>
    <n v="640.90216052484413"/>
  </r>
  <r>
    <s v="Integrated AI"/>
    <x v="7"/>
    <x v="5"/>
    <s v="Industrial Electronics"/>
    <s v="Surveillance"/>
    <s v="Semiconductor Revenue M$"/>
    <x v="6"/>
    <n v="1023.8369728089056"/>
  </r>
  <r>
    <s v="Integrated AI"/>
    <x v="7"/>
    <x v="4"/>
    <s v="Consumer Electronics"/>
    <s v="Portable Media Players"/>
    <s v="Semiconductor Revenue M$"/>
    <x v="0"/>
    <n v="0"/>
  </r>
  <r>
    <s v="Integrated AI"/>
    <x v="7"/>
    <x v="4"/>
    <s v="Consumer Electronics"/>
    <s v="Portable Media Players"/>
    <s v="Semiconductor Revenue M$"/>
    <x v="1"/>
    <n v="0"/>
  </r>
  <r>
    <s v="Integrated AI"/>
    <x v="7"/>
    <x v="4"/>
    <s v="Consumer Electronics"/>
    <s v="Portable Media Players"/>
    <s v="Semiconductor Revenue M$"/>
    <x v="2"/>
    <n v="0"/>
  </r>
  <r>
    <s v="Integrated AI"/>
    <x v="7"/>
    <x v="4"/>
    <s v="Consumer Electronics"/>
    <s v="Portable Media Players"/>
    <s v="Semiconductor Revenue M$"/>
    <x v="3"/>
    <n v="0"/>
  </r>
  <r>
    <s v="Integrated AI"/>
    <x v="7"/>
    <x v="4"/>
    <s v="Consumer Electronics"/>
    <s v="Portable Media Players"/>
    <s v="Semiconductor Revenue M$"/>
    <x v="4"/>
    <n v="0"/>
  </r>
  <r>
    <s v="Integrated AI"/>
    <x v="7"/>
    <x v="4"/>
    <s v="Consumer Electronics"/>
    <s v="Portable Media Players"/>
    <s v="Semiconductor Revenue M$"/>
    <x v="5"/>
    <n v="0"/>
  </r>
  <r>
    <s v="Integrated AI"/>
    <x v="7"/>
    <x v="4"/>
    <s v="Consumer Electronics"/>
    <s v="Portable Media Players"/>
    <s v="Semiconductor Revenue M$"/>
    <x v="6"/>
    <n v="0"/>
  </r>
  <r>
    <s v="Integrated AI"/>
    <x v="7"/>
    <x v="4"/>
    <s v="Consumer Electronics"/>
    <s v="Smart Speakers"/>
    <s v="Semiconductor Revenue M$"/>
    <x v="0"/>
    <n v="5.0256206757601944"/>
  </r>
  <r>
    <s v="Integrated AI"/>
    <x v="7"/>
    <x v="4"/>
    <s v="Consumer Electronics"/>
    <s v="Smart Speakers"/>
    <s v="Semiconductor Revenue M$"/>
    <x v="1"/>
    <n v="13.450025083857771"/>
  </r>
  <r>
    <s v="Integrated AI"/>
    <x v="7"/>
    <x v="4"/>
    <s v="Consumer Electronics"/>
    <s v="Smart Speakers"/>
    <s v="Semiconductor Revenue M$"/>
    <x v="2"/>
    <n v="27.574827303574665"/>
  </r>
  <r>
    <s v="Integrated AI"/>
    <x v="7"/>
    <x v="4"/>
    <s v="Consumer Electronics"/>
    <s v="Smart Speakers"/>
    <s v="Semiconductor Revenue M$"/>
    <x v="3"/>
    <n v="55.343575714377913"/>
  </r>
  <r>
    <s v="Integrated AI"/>
    <x v="7"/>
    <x v="4"/>
    <s v="Consumer Electronics"/>
    <s v="Smart Speakers"/>
    <s v="Semiconductor Revenue M$"/>
    <x v="4"/>
    <n v="86.443555917616933"/>
  </r>
  <r>
    <s v="Integrated AI"/>
    <x v="7"/>
    <x v="4"/>
    <s v="Consumer Electronics"/>
    <s v="Smart Speakers"/>
    <s v="Semiconductor Revenue M$"/>
    <x v="5"/>
    <n v="146.17488732495664"/>
  </r>
  <r>
    <s v="Integrated AI"/>
    <x v="7"/>
    <x v="4"/>
    <s v="Consumer Electronics"/>
    <s v="Smart Speakers"/>
    <s v="Semiconductor Revenue M$"/>
    <x v="6"/>
    <n v="219.1181071888671"/>
  </r>
  <r>
    <s v="Integrated AI"/>
    <x v="7"/>
    <x v="4"/>
    <s v="Consumer Electronics"/>
    <s v="TV, Standard"/>
    <s v="Semiconductor Revenue M$"/>
    <x v="0"/>
    <n v="0"/>
  </r>
  <r>
    <s v="Integrated AI"/>
    <x v="7"/>
    <x v="4"/>
    <s v="Consumer Electronics"/>
    <s v="TV, Standard"/>
    <s v="Semiconductor Revenue M$"/>
    <x v="1"/>
    <n v="0"/>
  </r>
  <r>
    <s v="Integrated AI"/>
    <x v="7"/>
    <x v="4"/>
    <s v="Consumer Electronics"/>
    <s v="TV, Standard"/>
    <s v="Semiconductor Revenue M$"/>
    <x v="2"/>
    <n v="0"/>
  </r>
  <r>
    <s v="Integrated AI"/>
    <x v="7"/>
    <x v="4"/>
    <s v="Consumer Electronics"/>
    <s v="TV, Standard"/>
    <s v="Semiconductor Revenue M$"/>
    <x v="3"/>
    <n v="0"/>
  </r>
  <r>
    <s v="Integrated AI"/>
    <x v="7"/>
    <x v="4"/>
    <s v="Consumer Electronics"/>
    <s v="TV, Standard"/>
    <s v="Semiconductor Revenue M$"/>
    <x v="4"/>
    <n v="0"/>
  </r>
  <r>
    <s v="Integrated AI"/>
    <x v="7"/>
    <x v="4"/>
    <s v="Consumer Electronics"/>
    <s v="TV, Standard"/>
    <s v="Semiconductor Revenue M$"/>
    <x v="5"/>
    <n v="0"/>
  </r>
  <r>
    <s v="Integrated AI"/>
    <x v="7"/>
    <x v="4"/>
    <s v="Consumer Electronics"/>
    <s v="TV, Standard"/>
    <s v="Semiconductor Revenue M$"/>
    <x v="6"/>
    <n v="0"/>
  </r>
  <r>
    <s v="Integrated AI"/>
    <x v="7"/>
    <x v="4"/>
    <s v="Consumer Electronics"/>
    <s v="TV, Smart"/>
    <s v="Semiconductor Revenue M$"/>
    <x v="0"/>
    <n v="14.822279718171202"/>
  </r>
  <r>
    <s v="Integrated AI"/>
    <x v="7"/>
    <x v="4"/>
    <s v="Consumer Electronics"/>
    <s v="TV, Smart"/>
    <s v="Semiconductor Revenue M$"/>
    <x v="1"/>
    <n v="43.280713941251179"/>
  </r>
  <r>
    <s v="Integrated AI"/>
    <x v="7"/>
    <x v="4"/>
    <s v="Consumer Electronics"/>
    <s v="TV, Smart"/>
    <s v="Semiconductor Revenue M$"/>
    <x v="2"/>
    <n v="116.21934861737795"/>
  </r>
  <r>
    <s v="Integrated AI"/>
    <x v="7"/>
    <x v="4"/>
    <s v="Consumer Electronics"/>
    <s v="TV, Smart"/>
    <s v="Semiconductor Revenue M$"/>
    <x v="3"/>
    <n v="352.43559592625581"/>
  </r>
  <r>
    <s v="Integrated AI"/>
    <x v="7"/>
    <x v="4"/>
    <s v="Consumer Electronics"/>
    <s v="TV, Smart"/>
    <s v="Semiconductor Revenue M$"/>
    <x v="4"/>
    <n v="488.80708439905703"/>
  </r>
  <r>
    <s v="Integrated AI"/>
    <x v="7"/>
    <x v="4"/>
    <s v="Consumer Electronics"/>
    <s v="TV, Smart"/>
    <s v="Semiconductor Revenue M$"/>
    <x v="5"/>
    <n v="633.90307008781167"/>
  </r>
  <r>
    <s v="Integrated AI"/>
    <x v="7"/>
    <x v="4"/>
    <s v="Consumer Electronics"/>
    <s v="TV, Smart"/>
    <s v="Semiconductor Revenue M$"/>
    <x v="6"/>
    <n v="799.56295934690047"/>
  </r>
  <r>
    <s v="Integrated AI"/>
    <x v="7"/>
    <x v="4"/>
    <s v="Consumer Electronics"/>
    <s v="Video Game Consoles"/>
    <s v="Semiconductor Revenue M$"/>
    <x v="0"/>
    <n v="21.518403896979304"/>
  </r>
  <r>
    <s v="Integrated AI"/>
    <x v="7"/>
    <x v="4"/>
    <s v="Consumer Electronics"/>
    <s v="Video Game Consoles"/>
    <s v="Semiconductor Revenue M$"/>
    <x v="1"/>
    <n v="85.852183356812176"/>
  </r>
  <r>
    <s v="Integrated AI"/>
    <x v="7"/>
    <x v="4"/>
    <s v="Consumer Electronics"/>
    <s v="Video Game Consoles"/>
    <s v="Semiconductor Revenue M$"/>
    <x v="2"/>
    <n v="278.37990236480482"/>
  </r>
  <r>
    <s v="Integrated AI"/>
    <x v="7"/>
    <x v="4"/>
    <s v="Consumer Electronics"/>
    <s v="Video Game Consoles"/>
    <s v="Semiconductor Revenue M$"/>
    <x v="3"/>
    <n v="532.08295740000028"/>
  </r>
  <r>
    <s v="Integrated AI"/>
    <x v="7"/>
    <x v="4"/>
    <s v="Consumer Electronics"/>
    <s v="Video Game Consoles"/>
    <s v="Semiconductor Revenue M$"/>
    <x v="4"/>
    <n v="560.1649413599979"/>
  </r>
  <r>
    <s v="Integrated AI"/>
    <x v="7"/>
    <x v="4"/>
    <s v="Consumer Electronics"/>
    <s v="Video Game Consoles"/>
    <s v="Semiconductor Revenue M$"/>
    <x v="5"/>
    <n v="594.01242739800045"/>
  </r>
  <r>
    <s v="Integrated AI"/>
    <x v="7"/>
    <x v="4"/>
    <s v="Consumer Electronics"/>
    <s v="Video Game Consoles"/>
    <s v="Semiconductor Revenue M$"/>
    <x v="6"/>
    <n v="520.23366349695198"/>
  </r>
  <r>
    <s v="Integrated AI"/>
    <x v="7"/>
    <x v="4"/>
    <s v="Consumer Electronics"/>
    <s v="Video Game Handhelds"/>
    <s v="Semiconductor Revenue M$"/>
    <x v="0"/>
    <n v="0.98495337981991815"/>
  </r>
  <r>
    <s v="Integrated AI"/>
    <x v="7"/>
    <x v="4"/>
    <s v="Consumer Electronics"/>
    <s v="Video Game Handhelds"/>
    <s v="Semiconductor Revenue M$"/>
    <x v="1"/>
    <n v="1.4205102166496884"/>
  </r>
  <r>
    <s v="Integrated AI"/>
    <x v="7"/>
    <x v="4"/>
    <s v="Consumer Electronics"/>
    <s v="Video Game Handhelds"/>
    <s v="Semiconductor Revenue M$"/>
    <x v="2"/>
    <n v="2.2077602379065664"/>
  </r>
  <r>
    <s v="Integrated AI"/>
    <x v="7"/>
    <x v="4"/>
    <s v="Consumer Electronics"/>
    <s v="Video Game Handhelds"/>
    <s v="Semiconductor Revenue M$"/>
    <x v="3"/>
    <n v="4.3690779303254397"/>
  </r>
  <r>
    <s v="Integrated AI"/>
    <x v="7"/>
    <x v="4"/>
    <s v="Consumer Electronics"/>
    <s v="Video Game Handhelds"/>
    <s v="Semiconductor Revenue M$"/>
    <x v="4"/>
    <n v="7.0113513558160152"/>
  </r>
  <r>
    <s v="Integrated AI"/>
    <x v="7"/>
    <x v="4"/>
    <s v="Consumer Electronics"/>
    <s v="Video Game Handhelds"/>
    <s v="Semiconductor Revenue M$"/>
    <x v="5"/>
    <n v="24.632878553192473"/>
  </r>
  <r>
    <s v="Integrated AI"/>
    <x v="7"/>
    <x v="4"/>
    <s v="Consumer Electronics"/>
    <s v="Video Game Handhelds"/>
    <s v="Semiconductor Revenue M$"/>
    <x v="6"/>
    <n v="51.798004481313463"/>
  </r>
  <r>
    <s v="Integrated AI"/>
    <x v="7"/>
    <x v="4"/>
    <s v="Consumer Electronics"/>
    <s v="Wristbands"/>
    <s v="Semiconductor Revenue M$"/>
    <x v="0"/>
    <n v="0"/>
  </r>
  <r>
    <s v="Integrated AI"/>
    <x v="7"/>
    <x v="4"/>
    <s v="Consumer Electronics"/>
    <s v="Wristbands"/>
    <s v="Semiconductor Revenue M$"/>
    <x v="1"/>
    <n v="0"/>
  </r>
  <r>
    <s v="Integrated AI"/>
    <x v="7"/>
    <x v="4"/>
    <s v="Consumer Electronics"/>
    <s v="Wristbands"/>
    <s v="Semiconductor Revenue M$"/>
    <x v="2"/>
    <n v="0"/>
  </r>
  <r>
    <s v="Integrated AI"/>
    <x v="7"/>
    <x v="4"/>
    <s v="Consumer Electronics"/>
    <s v="Wristbands"/>
    <s v="Semiconductor Revenue M$"/>
    <x v="3"/>
    <n v="0"/>
  </r>
  <r>
    <s v="Integrated AI"/>
    <x v="7"/>
    <x v="4"/>
    <s v="Consumer Electronics"/>
    <s v="Wristbands"/>
    <s v="Semiconductor Revenue M$"/>
    <x v="4"/>
    <n v="0"/>
  </r>
  <r>
    <s v="Integrated AI"/>
    <x v="7"/>
    <x v="4"/>
    <s v="Consumer Electronics"/>
    <s v="Wristbands"/>
    <s v="Semiconductor Revenue M$"/>
    <x v="5"/>
    <n v="0"/>
  </r>
  <r>
    <s v="Integrated AI"/>
    <x v="7"/>
    <x v="4"/>
    <s v="Consumer Electronics"/>
    <s v="Wristbands"/>
    <s v="Semiconductor Revenue M$"/>
    <x v="6"/>
    <n v="0"/>
  </r>
  <r>
    <s v="Integrated AI"/>
    <x v="7"/>
    <x v="4"/>
    <s v="Consumer Electronics"/>
    <s v="Head Mounted Display"/>
    <s v="Semiconductor Revenue M$"/>
    <x v="0"/>
    <n v="1.6463578810632153"/>
  </r>
  <r>
    <s v="Integrated AI"/>
    <x v="7"/>
    <x v="4"/>
    <s v="Consumer Electronics"/>
    <s v="Head Mounted Display"/>
    <s v="Semiconductor Revenue M$"/>
    <x v="1"/>
    <n v="8.1660095365563645"/>
  </r>
  <r>
    <s v="Integrated AI"/>
    <x v="7"/>
    <x v="4"/>
    <s v="Consumer Electronics"/>
    <s v="Head Mounted Display"/>
    <s v="Semiconductor Revenue M$"/>
    <x v="2"/>
    <n v="23.002864801479838"/>
  </r>
  <r>
    <s v="Integrated AI"/>
    <x v="7"/>
    <x v="4"/>
    <s v="Consumer Electronics"/>
    <s v="Head Mounted Display"/>
    <s v="Semiconductor Revenue M$"/>
    <x v="3"/>
    <n v="61.738371588743327"/>
  </r>
  <r>
    <s v="Integrated AI"/>
    <x v="7"/>
    <x v="4"/>
    <s v="Consumer Electronics"/>
    <s v="Head Mounted Display"/>
    <s v="Semiconductor Revenue M$"/>
    <x v="4"/>
    <n v="105.157985967446"/>
  </r>
  <r>
    <s v="Integrated AI"/>
    <x v="7"/>
    <x v="4"/>
    <s v="Consumer Electronics"/>
    <s v="Head Mounted Display"/>
    <s v="Semiconductor Revenue M$"/>
    <x v="5"/>
    <n v="147.46561640932791"/>
  </r>
  <r>
    <s v="Integrated AI"/>
    <x v="7"/>
    <x v="4"/>
    <s v="Consumer Electronics"/>
    <s v="Head Mounted Display"/>
    <s v="Semiconductor Revenue M$"/>
    <x v="6"/>
    <n v="202.82776379201889"/>
  </r>
  <r>
    <s v="Integrated AI"/>
    <x v="7"/>
    <x v="4"/>
    <s v="Consumer Electronics"/>
    <s v="Smart Watches"/>
    <s v="Semiconductor Revenue M$"/>
    <x v="0"/>
    <n v="6.5705632112060833E-2"/>
  </r>
  <r>
    <s v="Integrated AI"/>
    <x v="7"/>
    <x v="4"/>
    <s v="Consumer Electronics"/>
    <s v="Smart Watches"/>
    <s v="Semiconductor Revenue M$"/>
    <x v="1"/>
    <n v="0.31804266875727177"/>
  </r>
  <r>
    <s v="Integrated AI"/>
    <x v="7"/>
    <x v="4"/>
    <s v="Consumer Electronics"/>
    <s v="Smart Watches"/>
    <s v="Semiconductor Revenue M$"/>
    <x v="2"/>
    <n v="1.2028357814075994"/>
  </r>
  <r>
    <s v="Integrated AI"/>
    <x v="7"/>
    <x v="4"/>
    <s v="Consumer Electronics"/>
    <s v="Smart Watches"/>
    <s v="Semiconductor Revenue M$"/>
    <x v="3"/>
    <n v="13.411622709938664"/>
  </r>
  <r>
    <s v="Integrated AI"/>
    <x v="7"/>
    <x v="4"/>
    <s v="Consumer Electronics"/>
    <s v="Smart Watches"/>
    <s v="Semiconductor Revenue M$"/>
    <x v="4"/>
    <n v="46.098486020751253"/>
  </r>
  <r>
    <s v="Integrated AI"/>
    <x v="7"/>
    <x v="4"/>
    <s v="Consumer Electronics"/>
    <s v="Smart Watches"/>
    <s v="Semiconductor Revenue M$"/>
    <x v="5"/>
    <n v="85.318745373608436"/>
  </r>
  <r>
    <s v="Integrated AI"/>
    <x v="7"/>
    <x v="4"/>
    <s v="Consumer Electronics"/>
    <s v="Smart Watches"/>
    <s v="Semiconductor Revenue M$"/>
    <x v="6"/>
    <n v="120.13531496606343"/>
  </r>
  <r>
    <s v="Integrated AI"/>
    <x v="7"/>
    <x v="4"/>
    <s v="Consumer Electronics"/>
    <s v="Sports Watches"/>
    <s v="Semiconductor Revenue M$"/>
    <x v="0"/>
    <n v="0"/>
  </r>
  <r>
    <s v="Integrated AI"/>
    <x v="7"/>
    <x v="4"/>
    <s v="Consumer Electronics"/>
    <s v="Sports Watches"/>
    <s v="Semiconductor Revenue M$"/>
    <x v="1"/>
    <n v="0"/>
  </r>
  <r>
    <s v="Integrated AI"/>
    <x v="7"/>
    <x v="4"/>
    <s v="Consumer Electronics"/>
    <s v="Sports Watches"/>
    <s v="Semiconductor Revenue M$"/>
    <x v="2"/>
    <n v="0"/>
  </r>
  <r>
    <s v="Integrated AI"/>
    <x v="7"/>
    <x v="4"/>
    <s v="Consumer Electronics"/>
    <s v="Sports Watches"/>
    <s v="Semiconductor Revenue M$"/>
    <x v="3"/>
    <n v="0"/>
  </r>
  <r>
    <s v="Integrated AI"/>
    <x v="7"/>
    <x v="4"/>
    <s v="Consumer Electronics"/>
    <s v="Sports Watches"/>
    <s v="Semiconductor Revenue M$"/>
    <x v="4"/>
    <n v="0"/>
  </r>
  <r>
    <s v="Integrated AI"/>
    <x v="7"/>
    <x v="4"/>
    <s v="Consumer Electronics"/>
    <s v="Sports Watches"/>
    <s v="Semiconductor Revenue M$"/>
    <x v="5"/>
    <n v="0"/>
  </r>
  <r>
    <s v="Integrated AI"/>
    <x v="7"/>
    <x v="4"/>
    <s v="Consumer Electronics"/>
    <s v="Sports Watches"/>
    <s v="Semiconductor Revenue M$"/>
    <x v="6"/>
    <n v="0"/>
  </r>
  <r>
    <s v="Integrated AI"/>
    <x v="7"/>
    <x v="4"/>
    <s v="Consumer Electronics"/>
    <s v="Other Consumer Electronics"/>
    <s v="Semiconductor Revenue M$"/>
    <x v="0"/>
    <n v="13.141240353009254"/>
  </r>
  <r>
    <s v="Integrated AI"/>
    <x v="7"/>
    <x v="4"/>
    <s v="Consumer Electronics"/>
    <s v="Other Consumer Electronics"/>
    <s v="Semiconductor Revenue M$"/>
    <x v="1"/>
    <n v="39.966593391334293"/>
  </r>
  <r>
    <s v="Integrated AI"/>
    <x v="7"/>
    <x v="4"/>
    <s v="Consumer Electronics"/>
    <s v="Other Consumer Electronics"/>
    <s v="Semiconductor Revenue M$"/>
    <x v="2"/>
    <n v="98.083175717650363"/>
  </r>
  <r>
    <s v="Integrated AI"/>
    <x v="7"/>
    <x v="4"/>
    <s v="Consumer Electronics"/>
    <s v="Other Consumer Electronics"/>
    <s v="Semiconductor Revenue M$"/>
    <x v="3"/>
    <n v="139.59548797752075"/>
  </r>
  <r>
    <s v="Integrated AI"/>
    <x v="7"/>
    <x v="4"/>
    <s v="Consumer Electronics"/>
    <s v="Other Consumer Electronics"/>
    <s v="Semiconductor Revenue M$"/>
    <x v="4"/>
    <n v="197.01027929405615"/>
  </r>
  <r>
    <s v="Integrated AI"/>
    <x v="7"/>
    <x v="4"/>
    <s v="Consumer Electronics"/>
    <s v="Other Consumer Electronics"/>
    <s v="Semiconductor Revenue M$"/>
    <x v="5"/>
    <n v="280.98769181620747"/>
  </r>
  <r>
    <s v="Integrated AI"/>
    <x v="7"/>
    <x v="4"/>
    <s v="Consumer Electronics"/>
    <s v="Other Consumer Electronics"/>
    <s v="Semiconductor Revenue M$"/>
    <x v="6"/>
    <n v="437.54747368792073"/>
  </r>
  <r>
    <s v="Integrated AI"/>
    <x v="7"/>
    <x v="3"/>
    <s v="Automotive Electronics"/>
    <s v="ADAS-Sensors and Connectivity"/>
    <s v="Semiconductor Revenue M$"/>
    <x v="0"/>
    <n v="0"/>
  </r>
  <r>
    <s v="Integrated AI"/>
    <x v="7"/>
    <x v="3"/>
    <s v="Automotive Electronics"/>
    <s v="ADAS-Sensors and Connectivity"/>
    <s v="Semiconductor Revenue M$"/>
    <x v="1"/>
    <n v="0"/>
  </r>
  <r>
    <s v="Integrated AI"/>
    <x v="7"/>
    <x v="3"/>
    <s v="Automotive Electronics"/>
    <s v="ADAS-Sensors and Connectivity"/>
    <s v="Semiconductor Revenue M$"/>
    <x v="2"/>
    <n v="0"/>
  </r>
  <r>
    <s v="Integrated AI"/>
    <x v="7"/>
    <x v="3"/>
    <s v="Automotive Electronics"/>
    <s v="ADAS-Sensors and Connectivity"/>
    <s v="Semiconductor Revenue M$"/>
    <x v="3"/>
    <n v="0"/>
  </r>
  <r>
    <s v="Integrated AI"/>
    <x v="7"/>
    <x v="3"/>
    <s v="Automotive Electronics"/>
    <s v="ADAS-Sensors and Connectivity"/>
    <s v="Semiconductor Revenue M$"/>
    <x v="4"/>
    <n v="0"/>
  </r>
  <r>
    <s v="Integrated AI"/>
    <x v="7"/>
    <x v="3"/>
    <s v="Automotive Electronics"/>
    <s v="ADAS-Sensors and Connectivity"/>
    <s v="Semiconductor Revenue M$"/>
    <x v="5"/>
    <n v="0"/>
  </r>
  <r>
    <s v="Integrated AI"/>
    <x v="7"/>
    <x v="3"/>
    <s v="Automotive Electronics"/>
    <s v="ADAS-Sensors and Connectivity"/>
    <s v="Semiconductor Revenue M$"/>
    <x v="6"/>
    <n v="0"/>
  </r>
  <r>
    <s v="Integrated AI"/>
    <x v="7"/>
    <x v="3"/>
    <s v="Automotive Electronics"/>
    <s v="Body"/>
    <s v="Semiconductor Revenue M$"/>
    <x v="0"/>
    <n v="0"/>
  </r>
  <r>
    <s v="Integrated AI"/>
    <x v="7"/>
    <x v="3"/>
    <s v="Automotive Electronics"/>
    <s v="Body"/>
    <s v="Semiconductor Revenue M$"/>
    <x v="1"/>
    <n v="0"/>
  </r>
  <r>
    <s v="Integrated AI"/>
    <x v="7"/>
    <x v="3"/>
    <s v="Automotive Electronics"/>
    <s v="Body"/>
    <s v="Semiconductor Revenue M$"/>
    <x v="2"/>
    <n v="0"/>
  </r>
  <r>
    <s v="Integrated AI"/>
    <x v="7"/>
    <x v="3"/>
    <s v="Automotive Electronics"/>
    <s v="Body"/>
    <s v="Semiconductor Revenue M$"/>
    <x v="3"/>
    <n v="0"/>
  </r>
  <r>
    <s v="Integrated AI"/>
    <x v="7"/>
    <x v="3"/>
    <s v="Automotive Electronics"/>
    <s v="Body"/>
    <s v="Semiconductor Revenue M$"/>
    <x v="4"/>
    <n v="0"/>
  </r>
  <r>
    <s v="Integrated AI"/>
    <x v="7"/>
    <x v="3"/>
    <s v="Automotive Electronics"/>
    <s v="Body"/>
    <s v="Semiconductor Revenue M$"/>
    <x v="5"/>
    <n v="0"/>
  </r>
  <r>
    <s v="Integrated AI"/>
    <x v="7"/>
    <x v="3"/>
    <s v="Automotive Electronics"/>
    <s v="Body"/>
    <s v="Semiconductor Revenue M$"/>
    <x v="6"/>
    <n v="0"/>
  </r>
  <r>
    <s v="Integrated AI"/>
    <x v="7"/>
    <x v="3"/>
    <s v="Automotive Electronics"/>
    <s v="Chassis"/>
    <s v="Semiconductor Revenue M$"/>
    <x v="0"/>
    <n v="0"/>
  </r>
  <r>
    <s v="Integrated AI"/>
    <x v="7"/>
    <x v="3"/>
    <s v="Automotive Electronics"/>
    <s v="Chassis"/>
    <s v="Semiconductor Revenue M$"/>
    <x v="1"/>
    <n v="0"/>
  </r>
  <r>
    <s v="Integrated AI"/>
    <x v="7"/>
    <x v="3"/>
    <s v="Automotive Electronics"/>
    <s v="Chassis"/>
    <s v="Semiconductor Revenue M$"/>
    <x v="2"/>
    <n v="0"/>
  </r>
  <r>
    <s v="Integrated AI"/>
    <x v="7"/>
    <x v="3"/>
    <s v="Automotive Electronics"/>
    <s v="Chassis"/>
    <s v="Semiconductor Revenue M$"/>
    <x v="3"/>
    <n v="0"/>
  </r>
  <r>
    <s v="Integrated AI"/>
    <x v="7"/>
    <x v="3"/>
    <s v="Automotive Electronics"/>
    <s v="Chassis"/>
    <s v="Semiconductor Revenue M$"/>
    <x v="4"/>
    <n v="0"/>
  </r>
  <r>
    <s v="Integrated AI"/>
    <x v="7"/>
    <x v="3"/>
    <s v="Automotive Electronics"/>
    <s v="Chassis"/>
    <s v="Semiconductor Revenue M$"/>
    <x v="5"/>
    <n v="0"/>
  </r>
  <r>
    <s v="Integrated AI"/>
    <x v="7"/>
    <x v="3"/>
    <s v="Automotive Electronics"/>
    <s v="Chassis"/>
    <s v="Semiconductor Revenue M$"/>
    <x v="6"/>
    <n v="0"/>
  </r>
  <r>
    <s v="Integrated AI"/>
    <x v="7"/>
    <x v="3"/>
    <s v="Automotive Electronics"/>
    <s v="EV/HEV"/>
    <s v="Semiconductor Revenue M$"/>
    <x v="0"/>
    <n v="0"/>
  </r>
  <r>
    <s v="Integrated AI"/>
    <x v="7"/>
    <x v="3"/>
    <s v="Automotive Electronics"/>
    <s v="EV/HEV"/>
    <s v="Semiconductor Revenue M$"/>
    <x v="1"/>
    <n v="0"/>
  </r>
  <r>
    <s v="Integrated AI"/>
    <x v="7"/>
    <x v="3"/>
    <s v="Automotive Electronics"/>
    <s v="EV/HEV"/>
    <s v="Semiconductor Revenue M$"/>
    <x v="2"/>
    <n v="0"/>
  </r>
  <r>
    <s v="Integrated AI"/>
    <x v="7"/>
    <x v="3"/>
    <s v="Automotive Electronics"/>
    <s v="EV/HEV"/>
    <s v="Semiconductor Revenue M$"/>
    <x v="3"/>
    <n v="0"/>
  </r>
  <r>
    <s v="Integrated AI"/>
    <x v="7"/>
    <x v="3"/>
    <s v="Automotive Electronics"/>
    <s v="EV/HEV"/>
    <s v="Semiconductor Revenue M$"/>
    <x v="4"/>
    <n v="0"/>
  </r>
  <r>
    <s v="Integrated AI"/>
    <x v="7"/>
    <x v="3"/>
    <s v="Automotive Electronics"/>
    <s v="EV/HEV"/>
    <s v="Semiconductor Revenue M$"/>
    <x v="5"/>
    <n v="0"/>
  </r>
  <r>
    <s v="Integrated AI"/>
    <x v="7"/>
    <x v="3"/>
    <s v="Automotive Electronics"/>
    <s v="EV/HEV"/>
    <s v="Semiconductor Revenue M$"/>
    <x v="6"/>
    <n v="0"/>
  </r>
  <r>
    <s v="Integrated AI"/>
    <x v="7"/>
    <x v="3"/>
    <s v="Automotive Electronics"/>
    <s v="Infotainment"/>
    <s v="Semiconductor Revenue M$"/>
    <x v="0"/>
    <n v="6.0047302990849971"/>
  </r>
  <r>
    <s v="Integrated AI"/>
    <x v="7"/>
    <x v="3"/>
    <s v="Automotive Electronics"/>
    <s v="Infotainment"/>
    <s v="Semiconductor Revenue M$"/>
    <x v="1"/>
    <n v="20.100401682981801"/>
  </r>
  <r>
    <s v="Integrated AI"/>
    <x v="7"/>
    <x v="3"/>
    <s v="Automotive Electronics"/>
    <s v="Infotainment"/>
    <s v="Semiconductor Revenue M$"/>
    <x v="2"/>
    <n v="85.705964157230198"/>
  </r>
  <r>
    <s v="Integrated AI"/>
    <x v="7"/>
    <x v="3"/>
    <s v="Automotive Electronics"/>
    <s v="Infotainment"/>
    <s v="Semiconductor Revenue M$"/>
    <x v="3"/>
    <n v="143.30426445134171"/>
  </r>
  <r>
    <s v="Integrated AI"/>
    <x v="7"/>
    <x v="3"/>
    <s v="Automotive Electronics"/>
    <s v="Infotainment"/>
    <s v="Semiconductor Revenue M$"/>
    <x v="4"/>
    <n v="272.97193929970626"/>
  </r>
  <r>
    <s v="Integrated AI"/>
    <x v="7"/>
    <x v="3"/>
    <s v="Automotive Electronics"/>
    <s v="Infotainment"/>
    <s v="Semiconductor Revenue M$"/>
    <x v="5"/>
    <n v="375.59169711657739"/>
  </r>
  <r>
    <s v="Integrated AI"/>
    <x v="7"/>
    <x v="3"/>
    <s v="Automotive Electronics"/>
    <s v="Infotainment"/>
    <s v="Semiconductor Revenue M$"/>
    <x v="6"/>
    <n v="465.98099434577881"/>
  </r>
  <r>
    <s v="Integrated AI"/>
    <x v="7"/>
    <x v="3"/>
    <s v="Automotive Electronics"/>
    <s v="Instrument Cluster"/>
    <s v="Semiconductor Revenue M$"/>
    <x v="0"/>
    <n v="6.1384176173508387E-2"/>
  </r>
  <r>
    <s v="Integrated AI"/>
    <x v="7"/>
    <x v="3"/>
    <s v="Automotive Electronics"/>
    <s v="Instrument Cluster"/>
    <s v="Semiconductor Revenue M$"/>
    <x v="1"/>
    <n v="0.35161536559003798"/>
  </r>
  <r>
    <s v="Integrated AI"/>
    <x v="7"/>
    <x v="3"/>
    <s v="Automotive Electronics"/>
    <s v="Instrument Cluster"/>
    <s v="Semiconductor Revenue M$"/>
    <x v="2"/>
    <n v="1.9157269947679041"/>
  </r>
  <r>
    <s v="Integrated AI"/>
    <x v="7"/>
    <x v="3"/>
    <s v="Automotive Electronics"/>
    <s v="Instrument Cluster"/>
    <s v="Semiconductor Revenue M$"/>
    <x v="3"/>
    <n v="9.1622632260864698"/>
  </r>
  <r>
    <s v="Integrated AI"/>
    <x v="7"/>
    <x v="3"/>
    <s v="Automotive Electronics"/>
    <s v="Instrument Cluster"/>
    <s v="Semiconductor Revenue M$"/>
    <x v="4"/>
    <n v="27.952315623138144"/>
  </r>
  <r>
    <s v="Integrated AI"/>
    <x v="7"/>
    <x v="3"/>
    <s v="Automotive Electronics"/>
    <s v="Instrument Cluster"/>
    <s v="Semiconductor Revenue M$"/>
    <x v="5"/>
    <n v="52.032404261184872"/>
  </r>
  <r>
    <s v="Integrated AI"/>
    <x v="7"/>
    <x v="3"/>
    <s v="Automotive Electronics"/>
    <s v="Instrument Cluster"/>
    <s v="Semiconductor Revenue M$"/>
    <x v="6"/>
    <n v="80.1990087498544"/>
  </r>
  <r>
    <s v="Integrated AI"/>
    <x v="7"/>
    <x v="3"/>
    <s v="Automotive Electronics"/>
    <s v="Powertrain"/>
    <s v="Semiconductor Revenue M$"/>
    <x v="0"/>
    <n v="0"/>
  </r>
  <r>
    <s v="Integrated AI"/>
    <x v="7"/>
    <x v="3"/>
    <s v="Automotive Electronics"/>
    <s v="Powertrain"/>
    <s v="Semiconductor Revenue M$"/>
    <x v="1"/>
    <n v="0"/>
  </r>
  <r>
    <s v="Integrated AI"/>
    <x v="7"/>
    <x v="3"/>
    <s v="Automotive Electronics"/>
    <s v="Powertrain"/>
    <s v="Semiconductor Revenue M$"/>
    <x v="2"/>
    <n v="0"/>
  </r>
  <r>
    <s v="Integrated AI"/>
    <x v="7"/>
    <x v="3"/>
    <s v="Automotive Electronics"/>
    <s v="Powertrain"/>
    <s v="Semiconductor Revenue M$"/>
    <x v="3"/>
    <n v="0"/>
  </r>
  <r>
    <s v="Integrated AI"/>
    <x v="7"/>
    <x v="3"/>
    <s v="Automotive Electronics"/>
    <s v="Powertrain"/>
    <s v="Semiconductor Revenue M$"/>
    <x v="4"/>
    <n v="0"/>
  </r>
  <r>
    <s v="Integrated AI"/>
    <x v="7"/>
    <x v="3"/>
    <s v="Automotive Electronics"/>
    <s v="Powertrain"/>
    <s v="Semiconductor Revenue M$"/>
    <x v="5"/>
    <n v="0"/>
  </r>
  <r>
    <s v="Integrated AI"/>
    <x v="7"/>
    <x v="3"/>
    <s v="Automotive Electronics"/>
    <s v="Powertrain"/>
    <s v="Semiconductor Revenue M$"/>
    <x v="6"/>
    <n v="0"/>
  </r>
  <r>
    <s v="Integrated AI"/>
    <x v="7"/>
    <x v="3"/>
    <s v="Automotive Electronics"/>
    <s v="Safety"/>
    <s v="Semiconductor Revenue M$"/>
    <x v="0"/>
    <n v="0"/>
  </r>
  <r>
    <s v="Integrated AI"/>
    <x v="7"/>
    <x v="3"/>
    <s v="Automotive Electronics"/>
    <s v="Safety"/>
    <s v="Semiconductor Revenue M$"/>
    <x v="1"/>
    <n v="0"/>
  </r>
  <r>
    <s v="Integrated AI"/>
    <x v="7"/>
    <x v="3"/>
    <s v="Automotive Electronics"/>
    <s v="Safety"/>
    <s v="Semiconductor Revenue M$"/>
    <x v="2"/>
    <n v="0"/>
  </r>
  <r>
    <s v="Integrated AI"/>
    <x v="7"/>
    <x v="3"/>
    <s v="Automotive Electronics"/>
    <s v="Safety"/>
    <s v="Semiconductor Revenue M$"/>
    <x v="3"/>
    <n v="0"/>
  </r>
  <r>
    <s v="Integrated AI"/>
    <x v="7"/>
    <x v="3"/>
    <s v="Automotive Electronics"/>
    <s v="Safety"/>
    <s v="Semiconductor Revenue M$"/>
    <x v="4"/>
    <n v="0"/>
  </r>
  <r>
    <s v="Integrated AI"/>
    <x v="7"/>
    <x v="3"/>
    <s v="Automotive Electronics"/>
    <s v="Safety"/>
    <s v="Semiconductor Revenue M$"/>
    <x v="5"/>
    <n v="0"/>
  </r>
  <r>
    <s v="Integrated AI"/>
    <x v="7"/>
    <x v="3"/>
    <s v="Automotive Electronics"/>
    <s v="Safety"/>
    <s v="Semiconductor Revenue M$"/>
    <x v="6"/>
    <n v="0"/>
  </r>
  <r>
    <s v="Integrated AI"/>
    <x v="7"/>
    <x v="3"/>
    <s v="Automotive Electronics"/>
    <s v="Aftermarket"/>
    <s v="Semiconductor Revenue M$"/>
    <x v="0"/>
    <n v="0.10076610831393182"/>
  </r>
  <r>
    <s v="Integrated AI"/>
    <x v="7"/>
    <x v="3"/>
    <s v="Automotive Electronics"/>
    <s v="Aftermarket"/>
    <s v="Semiconductor Revenue M$"/>
    <x v="1"/>
    <n v="0.62381721738151907"/>
  </r>
  <r>
    <s v="Integrated AI"/>
    <x v="7"/>
    <x v="3"/>
    <s v="Automotive Electronics"/>
    <s v="Aftermarket"/>
    <s v="Semiconductor Revenue M$"/>
    <x v="2"/>
    <n v="35.993993229556267"/>
  </r>
  <r>
    <s v="Integrated AI"/>
    <x v="7"/>
    <x v="3"/>
    <s v="Automotive Electronics"/>
    <s v="Aftermarket"/>
    <s v="Semiconductor Revenue M$"/>
    <x v="3"/>
    <n v="58.651147855154683"/>
  </r>
  <r>
    <s v="Integrated AI"/>
    <x v="7"/>
    <x v="3"/>
    <s v="Automotive Electronics"/>
    <s v="Aftermarket"/>
    <s v="Semiconductor Revenue M$"/>
    <x v="4"/>
    <n v="100.48698698791208"/>
  </r>
  <r>
    <s v="Integrated AI"/>
    <x v="7"/>
    <x v="3"/>
    <s v="Automotive Electronics"/>
    <s v="Aftermarket"/>
    <s v="Semiconductor Revenue M$"/>
    <x v="5"/>
    <n v="148.57943308761966"/>
  </r>
  <r>
    <s v="Integrated AI"/>
    <x v="7"/>
    <x v="3"/>
    <s v="Automotive Electronics"/>
    <s v="Aftermarket"/>
    <s v="Semiconductor Revenue M$"/>
    <x v="6"/>
    <n v="188.36060503230684"/>
  </r>
  <r>
    <s v="Integrated AI"/>
    <x v="7"/>
    <x v="5"/>
    <s v="Industrial Electronics"/>
    <s v="Commercial Amusement"/>
    <s v="Semiconductor Revenue M$"/>
    <x v="0"/>
    <n v="0.86122966435225401"/>
  </r>
  <r>
    <s v="Integrated AI"/>
    <x v="7"/>
    <x v="5"/>
    <s v="Industrial Electronics"/>
    <s v="Commercial Amusement"/>
    <s v="Semiconductor Revenue M$"/>
    <x v="1"/>
    <n v="2.2583413138220876"/>
  </r>
  <r>
    <s v="Integrated AI"/>
    <x v="7"/>
    <x v="5"/>
    <s v="Industrial Electronics"/>
    <s v="Commercial Amusement"/>
    <s v="Semiconductor Revenue M$"/>
    <x v="2"/>
    <n v="5.5892833613437691"/>
  </r>
  <r>
    <s v="Integrated AI"/>
    <x v="7"/>
    <x v="5"/>
    <s v="Industrial Electronics"/>
    <s v="Commercial Amusement"/>
    <s v="Semiconductor Revenue M$"/>
    <x v="3"/>
    <n v="13.085946970270591"/>
  </r>
  <r>
    <s v="Integrated AI"/>
    <x v="7"/>
    <x v="5"/>
    <s v="Industrial Electronics"/>
    <s v="Commercial Amusement"/>
    <s v="Semiconductor Revenue M$"/>
    <x v="4"/>
    <n v="18.959562050929474"/>
  </r>
  <r>
    <s v="Integrated AI"/>
    <x v="7"/>
    <x v="5"/>
    <s v="Industrial Electronics"/>
    <s v="Commercial Amusement"/>
    <s v="Semiconductor Revenue M$"/>
    <x v="5"/>
    <n v="34.458366383382852"/>
  </r>
  <r>
    <s v="Integrated AI"/>
    <x v="7"/>
    <x v="5"/>
    <s v="Industrial Electronics"/>
    <s v="Commercial Amusement"/>
    <s v="Semiconductor Revenue M$"/>
    <x v="6"/>
    <n v="41.449232078847487"/>
  </r>
  <r>
    <s v="Integrated AI"/>
    <x v="7"/>
    <x v="5"/>
    <s v="Industrial Electronics"/>
    <s v="Automation"/>
    <s v="Semiconductor Revenue M$"/>
    <x v="0"/>
    <n v="4.6638303319561043"/>
  </r>
  <r>
    <s v="Integrated AI"/>
    <x v="7"/>
    <x v="5"/>
    <s v="Industrial Electronics"/>
    <s v="Automation"/>
    <s v="Semiconductor Revenue M$"/>
    <x v="1"/>
    <n v="16.716304771642214"/>
  </r>
  <r>
    <s v="Integrated AI"/>
    <x v="7"/>
    <x v="5"/>
    <s v="Industrial Electronics"/>
    <s v="Automation"/>
    <s v="Semiconductor Revenue M$"/>
    <x v="2"/>
    <n v="54.698830957034048"/>
  </r>
  <r>
    <s v="Integrated AI"/>
    <x v="7"/>
    <x v="5"/>
    <s v="Industrial Electronics"/>
    <s v="Automation"/>
    <s v="Semiconductor Revenue M$"/>
    <x v="3"/>
    <n v="160.63127687808151"/>
  </r>
  <r>
    <s v="Integrated AI"/>
    <x v="7"/>
    <x v="5"/>
    <s v="Industrial Electronics"/>
    <s v="Automation"/>
    <s v="Semiconductor Revenue M$"/>
    <x v="4"/>
    <n v="223.99878756003707"/>
  </r>
  <r>
    <s v="Integrated AI"/>
    <x v="7"/>
    <x v="5"/>
    <s v="Industrial Electronics"/>
    <s v="Automation"/>
    <s v="Semiconductor Revenue M$"/>
    <x v="5"/>
    <n v="284.62271879162586"/>
  </r>
  <r>
    <s v="Integrated AI"/>
    <x v="7"/>
    <x v="5"/>
    <s v="Industrial Electronics"/>
    <s v="Automation"/>
    <s v="Semiconductor Revenue M$"/>
    <x v="6"/>
    <n v="384.73498460886117"/>
  </r>
  <r>
    <s v="Integrated AI"/>
    <x v="7"/>
    <x v="5"/>
    <s v="Industrial Electronics"/>
    <s v="Energy Management"/>
    <s v="Semiconductor Revenue M$"/>
    <x v="0"/>
    <n v="0.42478216010714609"/>
  </r>
  <r>
    <s v="Integrated AI"/>
    <x v="7"/>
    <x v="5"/>
    <s v="Industrial Electronics"/>
    <s v="Energy Management"/>
    <s v="Semiconductor Revenue M$"/>
    <x v="1"/>
    <n v="0.95566175901187445"/>
  </r>
  <r>
    <s v="Integrated AI"/>
    <x v="7"/>
    <x v="5"/>
    <s v="Industrial Electronics"/>
    <s v="Energy Management"/>
    <s v="Semiconductor Revenue M$"/>
    <x v="2"/>
    <n v="2.2555226958487955"/>
  </r>
  <r>
    <s v="Integrated AI"/>
    <x v="7"/>
    <x v="5"/>
    <s v="Industrial Electronics"/>
    <s v="Energy Management"/>
    <s v="Semiconductor Revenue M$"/>
    <x v="3"/>
    <n v="5.1873067197801905"/>
  </r>
  <r>
    <s v="Integrated AI"/>
    <x v="7"/>
    <x v="5"/>
    <s v="Industrial Electronics"/>
    <s v="Energy Management"/>
    <s v="Semiconductor Revenue M$"/>
    <x v="4"/>
    <n v="8.0595120705923549"/>
  </r>
  <r>
    <s v="Integrated AI"/>
    <x v="7"/>
    <x v="5"/>
    <s v="Industrial Electronics"/>
    <s v="Energy Management"/>
    <s v="Semiconductor Revenue M$"/>
    <x v="5"/>
    <n v="14.443924492483918"/>
  </r>
  <r>
    <s v="Integrated AI"/>
    <x v="7"/>
    <x v="5"/>
    <s v="Industrial Electronics"/>
    <s v="Energy Management"/>
    <s v="Semiconductor Revenue M$"/>
    <x v="6"/>
    <n v="21.954724082019826"/>
  </r>
  <r>
    <s v="Integrated AI"/>
    <x v="7"/>
    <x v="5"/>
    <s v="Industrial Electronics"/>
    <s v="Solid-State Lighting"/>
    <s v="Semiconductor Revenue M$"/>
    <x v="0"/>
    <n v="2.5212231782708996E-2"/>
  </r>
  <r>
    <s v="Integrated AI"/>
    <x v="7"/>
    <x v="5"/>
    <s v="Industrial Electronics"/>
    <s v="Solid-State Lighting"/>
    <s v="Semiconductor Revenue M$"/>
    <x v="1"/>
    <n v="5.6997581795614045E-2"/>
  </r>
  <r>
    <s v="Integrated AI"/>
    <x v="7"/>
    <x v="5"/>
    <s v="Industrial Electronics"/>
    <s v="Solid-State Lighting"/>
    <s v="Semiconductor Revenue M$"/>
    <x v="2"/>
    <n v="0.15191336480322104"/>
  </r>
  <r>
    <s v="Integrated AI"/>
    <x v="7"/>
    <x v="5"/>
    <s v="Industrial Electronics"/>
    <s v="Solid-State Lighting"/>
    <s v="Semiconductor Revenue M$"/>
    <x v="3"/>
    <n v="0.39281822916527009"/>
  </r>
  <r>
    <s v="Integrated AI"/>
    <x v="7"/>
    <x v="5"/>
    <s v="Industrial Electronics"/>
    <s v="Solid-State Lighting"/>
    <s v="Semiconductor Revenue M$"/>
    <x v="4"/>
    <n v="0.58848656723151471"/>
  </r>
  <r>
    <s v="Integrated AI"/>
    <x v="7"/>
    <x v="5"/>
    <s v="Industrial Electronics"/>
    <s v="Solid-State Lighting"/>
    <s v="Semiconductor Revenue M$"/>
    <x v="5"/>
    <n v="1.2019242533517511"/>
  </r>
  <r>
    <s v="Integrated AI"/>
    <x v="7"/>
    <x v="5"/>
    <s v="Industrial Electronics"/>
    <s v="Solid-State Lighting"/>
    <s v="Semiconductor Revenue M$"/>
    <x v="6"/>
    <n v="1.5282921107188012"/>
  </r>
  <r>
    <s v="Integrated AI"/>
    <x v="7"/>
    <x v="5"/>
    <s v="Industrial Electronics"/>
    <s v="Medical/Healthcare"/>
    <s v="Semiconductor Revenue M$"/>
    <x v="0"/>
    <n v="1.3938615808087833"/>
  </r>
  <r>
    <s v="Integrated AI"/>
    <x v="7"/>
    <x v="5"/>
    <s v="Industrial Electronics"/>
    <s v="Medical/Healthcare"/>
    <s v="Semiconductor Revenue M$"/>
    <x v="1"/>
    <n v="3.9226830565772777"/>
  </r>
  <r>
    <s v="Integrated AI"/>
    <x v="7"/>
    <x v="5"/>
    <s v="Industrial Electronics"/>
    <s v="Medical/Healthcare"/>
    <s v="Semiconductor Revenue M$"/>
    <x v="2"/>
    <n v="8.650131242294977"/>
  </r>
  <r>
    <s v="Integrated AI"/>
    <x v="7"/>
    <x v="5"/>
    <s v="Industrial Electronics"/>
    <s v="Medical/Healthcare"/>
    <s v="Semiconductor Revenue M$"/>
    <x v="3"/>
    <n v="20.49471293171603"/>
  </r>
  <r>
    <s v="Integrated AI"/>
    <x v="7"/>
    <x v="5"/>
    <s v="Industrial Electronics"/>
    <s v="Medical/Healthcare"/>
    <s v="Semiconductor Revenue M$"/>
    <x v="4"/>
    <n v="31.892335239837124"/>
  </r>
  <r>
    <s v="Integrated AI"/>
    <x v="7"/>
    <x v="5"/>
    <s v="Industrial Electronics"/>
    <s v="Medical/Healthcare"/>
    <s v="Semiconductor Revenue M$"/>
    <x v="5"/>
    <n v="58.915604491272759"/>
  </r>
  <r>
    <s v="Integrated AI"/>
    <x v="7"/>
    <x v="5"/>
    <s v="Industrial Electronics"/>
    <s v="Medical/Healthcare"/>
    <s v="Semiconductor Revenue M$"/>
    <x v="6"/>
    <n v="95.205571176072823"/>
  </r>
  <r>
    <s v="Integrated AI"/>
    <x v="7"/>
    <x v="5"/>
    <s v="Industrial Electronics"/>
    <s v="Test/Measurement"/>
    <s v="Semiconductor Revenue M$"/>
    <x v="0"/>
    <n v="0.16238878811941937"/>
  </r>
  <r>
    <s v="Integrated AI"/>
    <x v="7"/>
    <x v="5"/>
    <s v="Industrial Electronics"/>
    <s v="Test/Measurement"/>
    <s v="Semiconductor Revenue M$"/>
    <x v="1"/>
    <n v="0.46233839427748313"/>
  </r>
  <r>
    <s v="Integrated AI"/>
    <x v="7"/>
    <x v="5"/>
    <s v="Industrial Electronics"/>
    <s v="Test/Measurement"/>
    <s v="Semiconductor Revenue M$"/>
    <x v="2"/>
    <n v="1.2247687844310702"/>
  </r>
  <r>
    <s v="Integrated AI"/>
    <x v="7"/>
    <x v="5"/>
    <s v="Industrial Electronics"/>
    <s v="Test/Measurement"/>
    <s v="Semiconductor Revenue M$"/>
    <x v="3"/>
    <n v="3.0090813056760468"/>
  </r>
  <r>
    <s v="Integrated AI"/>
    <x v="7"/>
    <x v="5"/>
    <s v="Industrial Electronics"/>
    <s v="Test/Measurement"/>
    <s v="Semiconductor Revenue M$"/>
    <x v="4"/>
    <n v="5.0565050155925633"/>
  </r>
  <r>
    <s v="Integrated AI"/>
    <x v="7"/>
    <x v="5"/>
    <s v="Industrial Electronics"/>
    <s v="Test/Measurement"/>
    <s v="Semiconductor Revenue M$"/>
    <x v="5"/>
    <n v="10.184731643905669"/>
  </r>
  <r>
    <s v="Integrated AI"/>
    <x v="7"/>
    <x v="5"/>
    <s v="Industrial Electronics"/>
    <s v="Test/Measurement"/>
    <s v="Semiconductor Revenue M$"/>
    <x v="6"/>
    <n v="16.366133534249151"/>
  </r>
  <r>
    <s v="Integrated AI"/>
    <x v="7"/>
    <x v="5"/>
    <s v="Industrial Electronics"/>
    <s v="Other Security"/>
    <s v="Semiconductor Revenue M$"/>
    <x v="0"/>
    <n v="0.19422910699590651"/>
  </r>
  <r>
    <s v="Integrated AI"/>
    <x v="7"/>
    <x v="5"/>
    <s v="Industrial Electronics"/>
    <s v="Other Security"/>
    <s v="Semiconductor Revenue M$"/>
    <x v="1"/>
    <n v="0.77707270456413391"/>
  </r>
  <r>
    <s v="Integrated AI"/>
    <x v="7"/>
    <x v="5"/>
    <s v="Industrial Electronics"/>
    <s v="Other Security"/>
    <s v="Semiconductor Revenue M$"/>
    <x v="2"/>
    <n v="2.4442362702456819"/>
  </r>
  <r>
    <s v="Integrated AI"/>
    <x v="7"/>
    <x v="5"/>
    <s v="Industrial Electronics"/>
    <s v="Other Security"/>
    <s v="Semiconductor Revenue M$"/>
    <x v="3"/>
    <n v="7.3725086567923563"/>
  </r>
  <r>
    <s v="Integrated AI"/>
    <x v="7"/>
    <x v="5"/>
    <s v="Industrial Electronics"/>
    <s v="Other Security"/>
    <s v="Semiconductor Revenue M$"/>
    <x v="4"/>
    <n v="12.521552088206919"/>
  </r>
  <r>
    <s v="Integrated AI"/>
    <x v="7"/>
    <x v="5"/>
    <s v="Industrial Electronics"/>
    <s v="Other Security"/>
    <s v="Semiconductor Revenue M$"/>
    <x v="5"/>
    <n v="25.747720856229787"/>
  </r>
  <r>
    <s v="Integrated AI"/>
    <x v="7"/>
    <x v="5"/>
    <s v="Industrial Electronics"/>
    <s v="Other Security"/>
    <s v="Semiconductor Revenue M$"/>
    <x v="6"/>
    <n v="33.10353947682168"/>
  </r>
  <r>
    <s v="Integrated AI"/>
    <x v="7"/>
    <x v="5"/>
    <s v="Industrial Electronics"/>
    <s v="Transportation"/>
    <s v="Semiconductor Revenue M$"/>
    <x v="0"/>
    <n v="0.14348991344664003"/>
  </r>
  <r>
    <s v="Integrated AI"/>
    <x v="7"/>
    <x v="5"/>
    <s v="Industrial Electronics"/>
    <s v="Transportation"/>
    <s v="Semiconductor Revenue M$"/>
    <x v="1"/>
    <n v="0.34428775886994228"/>
  </r>
  <r>
    <s v="Integrated AI"/>
    <x v="7"/>
    <x v="5"/>
    <s v="Industrial Electronics"/>
    <s v="Transportation"/>
    <s v="Semiconductor Revenue M$"/>
    <x v="2"/>
    <n v="0.80172765614533525"/>
  </r>
  <r>
    <s v="Integrated AI"/>
    <x v="7"/>
    <x v="5"/>
    <s v="Industrial Electronics"/>
    <s v="Transportation"/>
    <s v="Semiconductor Revenue M$"/>
    <x v="3"/>
    <n v="1.8930943371347928"/>
  </r>
  <r>
    <s v="Integrated AI"/>
    <x v="7"/>
    <x v="5"/>
    <s v="Industrial Electronics"/>
    <s v="Transportation"/>
    <s v="Semiconductor Revenue M$"/>
    <x v="4"/>
    <n v="3.2726560165371126"/>
  </r>
  <r>
    <s v="Integrated AI"/>
    <x v="7"/>
    <x v="5"/>
    <s v="Industrial Electronics"/>
    <s v="Transportation"/>
    <s v="Semiconductor Revenue M$"/>
    <x v="5"/>
    <n v="7.3001780577105837"/>
  </r>
  <r>
    <s v="Integrated AI"/>
    <x v="7"/>
    <x v="5"/>
    <s v="Industrial Electronics"/>
    <s v="Transportation"/>
    <s v="Semiconductor Revenue M$"/>
    <x v="6"/>
    <n v="10.07190715067733"/>
  </r>
  <r>
    <s v="Integrated AI"/>
    <x v="7"/>
    <x v="5"/>
    <s v="Industrial Electronics"/>
    <s v="Other Industrial Electronics"/>
    <s v="Semiconductor Revenue M$"/>
    <x v="0"/>
    <n v="0.95496522459626754"/>
  </r>
  <r>
    <s v="Integrated AI"/>
    <x v="7"/>
    <x v="5"/>
    <s v="Industrial Electronics"/>
    <s v="Other Industrial Electronics"/>
    <s v="Semiconductor Revenue M$"/>
    <x v="1"/>
    <n v="3.2459518198916846"/>
  </r>
  <r>
    <s v="Integrated AI"/>
    <x v="7"/>
    <x v="5"/>
    <s v="Industrial Electronics"/>
    <s v="Other Industrial Electronics"/>
    <s v="Semiconductor Revenue M$"/>
    <x v="2"/>
    <n v="11.270961304433325"/>
  </r>
  <r>
    <s v="Integrated AI"/>
    <x v="7"/>
    <x v="5"/>
    <s v="Industrial Electronics"/>
    <s v="Other Industrial Electronics"/>
    <s v="Semiconductor Revenue M$"/>
    <x v="3"/>
    <n v="31.598607338007582"/>
  </r>
  <r>
    <s v="Integrated AI"/>
    <x v="7"/>
    <x v="5"/>
    <s v="Industrial Electronics"/>
    <s v="Other Industrial Electronics"/>
    <s v="Semiconductor Revenue M$"/>
    <x v="4"/>
    <n v="47.768517991919715"/>
  </r>
  <r>
    <s v="Integrated AI"/>
    <x v="7"/>
    <x v="5"/>
    <s v="Industrial Electronics"/>
    <s v="Other Industrial Electronics"/>
    <s v="Semiconductor Revenue M$"/>
    <x v="5"/>
    <n v="63.593668114518501"/>
  </r>
  <r>
    <s v="Integrated AI"/>
    <x v="7"/>
    <x v="5"/>
    <s v="Industrial Electronics"/>
    <s v="Other Industrial Electronics"/>
    <s v="Semiconductor Revenue M$"/>
    <x v="6"/>
    <n v="79.55604869242687"/>
  </r>
  <r>
    <s v="Integrated AI"/>
    <x v="7"/>
    <x v="5"/>
    <s v="Industrial Electronics"/>
    <s v="Military/Civil Aerospace Electronics"/>
    <s v="Semiconductor Revenue M$"/>
    <x v="0"/>
    <n v="1.5668736473667109"/>
  </r>
  <r>
    <s v="Integrated AI"/>
    <x v="7"/>
    <x v="5"/>
    <s v="Industrial Electronics"/>
    <s v="Military/Civil Aerospace Electronics"/>
    <s v="Semiconductor Revenue M$"/>
    <x v="1"/>
    <n v="5.2533485582042809"/>
  </r>
  <r>
    <s v="Integrated AI"/>
    <x v="7"/>
    <x v="5"/>
    <s v="Industrial Electronics"/>
    <s v="Military/Civil Aerospace Electronics"/>
    <s v="Semiconductor Revenue M$"/>
    <x v="2"/>
    <n v="16.89498955435716"/>
  </r>
  <r>
    <s v="Integrated AI"/>
    <x v="7"/>
    <x v="5"/>
    <s v="Industrial Electronics"/>
    <s v="Military/Civil Aerospace Electronics"/>
    <s v="Semiconductor Revenue M$"/>
    <x v="3"/>
    <n v="45.875099007079662"/>
  </r>
  <r>
    <s v="Integrated AI"/>
    <x v="7"/>
    <x v="5"/>
    <s v="Industrial Electronics"/>
    <s v="Military/Civil Aerospace Electronics"/>
    <s v="Semiconductor Revenue M$"/>
    <x v="4"/>
    <n v="66.102551572702538"/>
  </r>
  <r>
    <s v="Integrated AI"/>
    <x v="7"/>
    <x v="5"/>
    <s v="Industrial Electronics"/>
    <s v="Military/Civil Aerospace Electronics"/>
    <s v="Semiconductor Revenue M$"/>
    <x v="5"/>
    <n v="78.337538699051066"/>
  </r>
  <r>
    <s v="Integrated AI"/>
    <x v="7"/>
    <x v="5"/>
    <s v="Industrial Electronics"/>
    <s v="Military/Civil Aerospace Electronics"/>
    <s v="Semiconductor Revenue M$"/>
    <x v="6"/>
    <n v="85.551260755187585"/>
  </r>
  <r>
    <s v="Integrated AI"/>
    <x v="8"/>
    <x v="0"/>
    <s v="Compute"/>
    <s v="External Monitor"/>
    <s v="Semiconductor Revenue M$"/>
    <x v="0"/>
    <n v="0"/>
  </r>
  <r>
    <s v="Integrated AI"/>
    <x v="8"/>
    <x v="0"/>
    <s v="Compute"/>
    <s v="External Monitor"/>
    <s v="Semiconductor Revenue M$"/>
    <x v="1"/>
    <n v="0"/>
  </r>
  <r>
    <s v="Integrated AI"/>
    <x v="8"/>
    <x v="0"/>
    <s v="Compute"/>
    <s v="External Monitor"/>
    <s v="Semiconductor Revenue M$"/>
    <x v="2"/>
    <n v="0"/>
  </r>
  <r>
    <s v="Integrated AI"/>
    <x v="8"/>
    <x v="0"/>
    <s v="Compute"/>
    <s v="External Monitor"/>
    <s v="Semiconductor Revenue M$"/>
    <x v="3"/>
    <n v="0"/>
  </r>
  <r>
    <s v="Integrated AI"/>
    <x v="8"/>
    <x v="0"/>
    <s v="Compute"/>
    <s v="External Monitor"/>
    <s v="Semiconductor Revenue M$"/>
    <x v="4"/>
    <n v="0"/>
  </r>
  <r>
    <s v="Integrated AI"/>
    <x v="8"/>
    <x v="0"/>
    <s v="Compute"/>
    <s v="External Monitor"/>
    <s v="Semiconductor Revenue M$"/>
    <x v="5"/>
    <n v="0"/>
  </r>
  <r>
    <s v="Integrated AI"/>
    <x v="8"/>
    <x v="0"/>
    <s v="Compute"/>
    <s v="External Monitor"/>
    <s v="Semiconductor Revenue M$"/>
    <x v="6"/>
    <n v="0"/>
  </r>
  <r>
    <s v="Integrated AI"/>
    <x v="8"/>
    <x v="0"/>
    <s v="PC"/>
    <s v="Graphics Cards"/>
    <s v="Semiconductor Revenue M$"/>
    <x v="0"/>
    <n v="0"/>
  </r>
  <r>
    <s v="Integrated AI"/>
    <x v="8"/>
    <x v="0"/>
    <s v="PC"/>
    <s v="Graphics Cards"/>
    <s v="Semiconductor Revenue M$"/>
    <x v="1"/>
    <n v="0"/>
  </r>
  <r>
    <s v="Integrated AI"/>
    <x v="8"/>
    <x v="0"/>
    <s v="PC"/>
    <s v="Graphics Cards"/>
    <s v="Semiconductor Revenue M$"/>
    <x v="2"/>
    <n v="0"/>
  </r>
  <r>
    <s v="Integrated AI"/>
    <x v="8"/>
    <x v="0"/>
    <s v="PC"/>
    <s v="Graphics Cards"/>
    <s v="Semiconductor Revenue M$"/>
    <x v="3"/>
    <n v="0"/>
  </r>
  <r>
    <s v="Integrated AI"/>
    <x v="8"/>
    <x v="0"/>
    <s v="PC"/>
    <s v="Graphics Cards"/>
    <s v="Semiconductor Revenue M$"/>
    <x v="4"/>
    <n v="0"/>
  </r>
  <r>
    <s v="Integrated AI"/>
    <x v="8"/>
    <x v="0"/>
    <s v="PC"/>
    <s v="Graphics Cards"/>
    <s v="Semiconductor Revenue M$"/>
    <x v="5"/>
    <n v="0"/>
  </r>
  <r>
    <s v="Integrated AI"/>
    <x v="8"/>
    <x v="0"/>
    <s v="PC"/>
    <s v="Graphics Cards"/>
    <s v="Semiconductor Revenue M$"/>
    <x v="6"/>
    <n v="0"/>
  </r>
  <r>
    <s v="Integrated AI"/>
    <x v="8"/>
    <x v="0"/>
    <s v="PC"/>
    <s v="Desk-Based PC"/>
    <s v="Semiconductor Revenue M$"/>
    <x v="0"/>
    <n v="1.3516166770750433"/>
  </r>
  <r>
    <s v="Integrated AI"/>
    <x v="8"/>
    <x v="0"/>
    <s v="PC"/>
    <s v="Desk-Based PC"/>
    <s v="Semiconductor Revenue M$"/>
    <x v="1"/>
    <n v="4.2064997437231808"/>
  </r>
  <r>
    <s v="Integrated AI"/>
    <x v="8"/>
    <x v="0"/>
    <s v="PC"/>
    <s v="Desk-Based PC"/>
    <s v="Semiconductor Revenue M$"/>
    <x v="2"/>
    <n v="9.9566809555237672"/>
  </r>
  <r>
    <s v="Integrated AI"/>
    <x v="8"/>
    <x v="0"/>
    <s v="PC"/>
    <s v="Desk-Based PC"/>
    <s v="Semiconductor Revenue M$"/>
    <x v="3"/>
    <n v="22.277684110173485"/>
  </r>
  <r>
    <s v="Integrated AI"/>
    <x v="8"/>
    <x v="0"/>
    <s v="PC"/>
    <s v="Desk-Based PC"/>
    <s v="Semiconductor Revenue M$"/>
    <x v="4"/>
    <n v="32.958661909509082"/>
  </r>
  <r>
    <s v="Integrated AI"/>
    <x v="8"/>
    <x v="0"/>
    <s v="PC"/>
    <s v="Desk-Based PC"/>
    <s v="Semiconductor Revenue M$"/>
    <x v="5"/>
    <n v="49.23949008438538"/>
  </r>
  <r>
    <s v="Integrated AI"/>
    <x v="8"/>
    <x v="0"/>
    <s v="PC"/>
    <s v="Desk-Based PC"/>
    <s v="Semiconductor Revenue M$"/>
    <x v="6"/>
    <n v="81.547824654432134"/>
  </r>
  <r>
    <s v="Integrated AI"/>
    <x v="8"/>
    <x v="0"/>
    <s v="PC"/>
    <s v="Ultramobile Basic, Tablet"/>
    <s v="Semiconductor Revenue M$"/>
    <x v="0"/>
    <n v="0.1382337480551416"/>
  </r>
  <r>
    <s v="Integrated AI"/>
    <x v="8"/>
    <x v="0"/>
    <s v="PC"/>
    <s v="Ultramobile Basic, Tablet"/>
    <s v="Semiconductor Revenue M$"/>
    <x v="1"/>
    <n v="0.76778822805571501"/>
  </r>
  <r>
    <s v="Integrated AI"/>
    <x v="8"/>
    <x v="0"/>
    <s v="PC"/>
    <s v="Ultramobile Basic, Tablet"/>
    <s v="Semiconductor Revenue M$"/>
    <x v="2"/>
    <n v="3.7719208890719846"/>
  </r>
  <r>
    <s v="Integrated AI"/>
    <x v="8"/>
    <x v="0"/>
    <s v="PC"/>
    <s v="Ultramobile Basic, Tablet"/>
    <s v="Semiconductor Revenue M$"/>
    <x v="3"/>
    <n v="10.023373298887758"/>
  </r>
  <r>
    <s v="Integrated AI"/>
    <x v="8"/>
    <x v="0"/>
    <s v="PC"/>
    <s v="Ultramobile Basic, Tablet"/>
    <s v="Semiconductor Revenue M$"/>
    <x v="4"/>
    <n v="21.812597986908596"/>
  </r>
  <r>
    <s v="Integrated AI"/>
    <x v="8"/>
    <x v="0"/>
    <s v="PC"/>
    <s v="Ultramobile Basic, Tablet"/>
    <s v="Semiconductor Revenue M$"/>
    <x v="5"/>
    <n v="36.275917344645485"/>
  </r>
  <r>
    <s v="Integrated AI"/>
    <x v="8"/>
    <x v="0"/>
    <s v="PC"/>
    <s v="Ultramobile Basic, Tablet"/>
    <s v="Semiconductor Revenue M$"/>
    <x v="6"/>
    <n v="60.033952154541161"/>
  </r>
  <r>
    <s v="Integrated AI"/>
    <x v="8"/>
    <x v="0"/>
    <s v="PC"/>
    <s v="Ultramobile Utility, Tablet"/>
    <s v="Semiconductor Revenue M$"/>
    <x v="0"/>
    <n v="1.8155086543759792E-2"/>
  </r>
  <r>
    <s v="Integrated AI"/>
    <x v="8"/>
    <x v="0"/>
    <s v="PC"/>
    <s v="Ultramobile Utility, Tablet"/>
    <s v="Semiconductor Revenue M$"/>
    <x v="1"/>
    <n v="6.0791889430863E-2"/>
  </r>
  <r>
    <s v="Integrated AI"/>
    <x v="8"/>
    <x v="0"/>
    <s v="PC"/>
    <s v="Ultramobile Utility, Tablet"/>
    <s v="Semiconductor Revenue M$"/>
    <x v="2"/>
    <n v="0.17379006029695268"/>
  </r>
  <r>
    <s v="Integrated AI"/>
    <x v="8"/>
    <x v="0"/>
    <s v="PC"/>
    <s v="Ultramobile Utility, Tablet"/>
    <s v="Semiconductor Revenue M$"/>
    <x v="3"/>
    <n v="0.35116099797039668"/>
  </r>
  <r>
    <s v="Integrated AI"/>
    <x v="8"/>
    <x v="0"/>
    <s v="PC"/>
    <s v="Ultramobile Utility, Tablet"/>
    <s v="Semiconductor Revenue M$"/>
    <x v="4"/>
    <n v="0.6943877240463121"/>
  </r>
  <r>
    <s v="Integrated AI"/>
    <x v="8"/>
    <x v="0"/>
    <s v="PC"/>
    <s v="Ultramobile Utility, Tablet"/>
    <s v="Semiconductor Revenue M$"/>
    <x v="5"/>
    <n v="1.0898263232953966"/>
  </r>
  <r>
    <s v="Integrated AI"/>
    <x v="8"/>
    <x v="0"/>
    <s v="PC"/>
    <s v="Ultramobile Utility, Tablet"/>
    <s v="Semiconductor Revenue M$"/>
    <x v="6"/>
    <n v="1.6546734946054049"/>
  </r>
  <r>
    <s v="Integrated AI"/>
    <x v="8"/>
    <x v="0"/>
    <s v="PC"/>
    <s v="Ultramobile Premium, Tablet"/>
    <s v="Semiconductor Revenue M$"/>
    <x v="0"/>
    <n v="0.67970502073065298"/>
  </r>
  <r>
    <s v="Integrated AI"/>
    <x v="8"/>
    <x v="0"/>
    <s v="PC"/>
    <s v="Ultramobile Premium, Tablet"/>
    <s v="Semiconductor Revenue M$"/>
    <x v="1"/>
    <n v="3.5106356783012211"/>
  </r>
  <r>
    <s v="Integrated AI"/>
    <x v="8"/>
    <x v="0"/>
    <s v="PC"/>
    <s v="Ultramobile Premium, Tablet"/>
    <s v="Semiconductor Revenue M$"/>
    <x v="2"/>
    <n v="12.89615239898837"/>
  </r>
  <r>
    <s v="Integrated AI"/>
    <x v="8"/>
    <x v="0"/>
    <s v="PC"/>
    <s v="Ultramobile Premium, Tablet"/>
    <s v="Semiconductor Revenue M$"/>
    <x v="3"/>
    <n v="37.568743515094134"/>
  </r>
  <r>
    <s v="Integrated AI"/>
    <x v="8"/>
    <x v="0"/>
    <s v="PC"/>
    <s v="Ultramobile Premium, Tablet"/>
    <s v="Semiconductor Revenue M$"/>
    <x v="4"/>
    <n v="103.84339283093354"/>
  </r>
  <r>
    <s v="Integrated AI"/>
    <x v="8"/>
    <x v="0"/>
    <s v="PC"/>
    <s v="Ultramobile Premium, Tablet"/>
    <s v="Semiconductor Revenue M$"/>
    <x v="5"/>
    <n v="125.80307739450706"/>
  </r>
  <r>
    <s v="Integrated AI"/>
    <x v="8"/>
    <x v="0"/>
    <s v="PC"/>
    <s v="Ultramobile Premium, Tablet"/>
    <s v="Semiconductor Revenue M$"/>
    <x v="6"/>
    <n v="197.31517070644267"/>
  </r>
  <r>
    <s v="Integrated AI"/>
    <x v="8"/>
    <x v="0"/>
    <s v="PC"/>
    <s v="Ultramobile Basic, Clamshell"/>
    <s v="Semiconductor Revenue M$"/>
    <x v="0"/>
    <n v="0.84462624078761883"/>
  </r>
  <r>
    <s v="Integrated AI"/>
    <x v="8"/>
    <x v="0"/>
    <s v="PC"/>
    <s v="Ultramobile Basic, Clamshell"/>
    <s v="Semiconductor Revenue M$"/>
    <x v="1"/>
    <n v="2.3145540629389103"/>
  </r>
  <r>
    <s v="Integrated AI"/>
    <x v="8"/>
    <x v="0"/>
    <s v="PC"/>
    <s v="Ultramobile Basic, Clamshell"/>
    <s v="Semiconductor Revenue M$"/>
    <x v="2"/>
    <n v="5.1205548497267639"/>
  </r>
  <r>
    <s v="Integrated AI"/>
    <x v="8"/>
    <x v="0"/>
    <s v="PC"/>
    <s v="Ultramobile Basic, Clamshell"/>
    <s v="Semiconductor Revenue M$"/>
    <x v="3"/>
    <n v="12.172657691674367"/>
  </r>
  <r>
    <s v="Integrated AI"/>
    <x v="8"/>
    <x v="0"/>
    <s v="PC"/>
    <s v="Ultramobile Basic, Clamshell"/>
    <s v="Semiconductor Revenue M$"/>
    <x v="4"/>
    <n v="28.002431172780746"/>
  </r>
  <r>
    <s v="Integrated AI"/>
    <x v="8"/>
    <x v="0"/>
    <s v="PC"/>
    <s v="Ultramobile Basic, Clamshell"/>
    <s v="Semiconductor Revenue M$"/>
    <x v="5"/>
    <n v="49.43427281367881"/>
  </r>
  <r>
    <s v="Integrated AI"/>
    <x v="8"/>
    <x v="0"/>
    <s v="PC"/>
    <s v="Ultramobile Basic, Clamshell"/>
    <s v="Semiconductor Revenue M$"/>
    <x v="6"/>
    <n v="82.686453469445567"/>
  </r>
  <r>
    <s v="Integrated AI"/>
    <x v="8"/>
    <x v="0"/>
    <s v="PC"/>
    <s v="Ultramobile Premium, Clamshell"/>
    <s v="Semiconductor Revenue M$"/>
    <x v="0"/>
    <n v="1.2896509638947096"/>
  </r>
  <r>
    <s v="Integrated AI"/>
    <x v="8"/>
    <x v="0"/>
    <s v="PC"/>
    <s v="Ultramobile Premium, Clamshell"/>
    <s v="Semiconductor Revenue M$"/>
    <x v="1"/>
    <n v="5.1671901422966808"/>
  </r>
  <r>
    <s v="Integrated AI"/>
    <x v="8"/>
    <x v="0"/>
    <s v="PC"/>
    <s v="Ultramobile Premium, Clamshell"/>
    <s v="Semiconductor Revenue M$"/>
    <x v="2"/>
    <n v="17.202780337667079"/>
  </r>
  <r>
    <s v="Integrated AI"/>
    <x v="8"/>
    <x v="0"/>
    <s v="PC"/>
    <s v="Ultramobile Premium, Clamshell"/>
    <s v="Semiconductor Revenue M$"/>
    <x v="3"/>
    <n v="45.276346397425684"/>
  </r>
  <r>
    <s v="Integrated AI"/>
    <x v="8"/>
    <x v="0"/>
    <s v="PC"/>
    <s v="Ultramobile Premium, Clamshell"/>
    <s v="Semiconductor Revenue M$"/>
    <x v="4"/>
    <n v="95.447648471129412"/>
  </r>
  <r>
    <s v="Integrated AI"/>
    <x v="8"/>
    <x v="0"/>
    <s v="PC"/>
    <s v="Ultramobile Premium, Clamshell"/>
    <s v="Semiconductor Revenue M$"/>
    <x v="5"/>
    <n v="151.44050145671852"/>
  </r>
  <r>
    <s v="Integrated AI"/>
    <x v="8"/>
    <x v="0"/>
    <s v="PC"/>
    <s v="Ultramobile Premium, Clamshell"/>
    <s v="Semiconductor Revenue M$"/>
    <x v="6"/>
    <n v="234.22828870094412"/>
  </r>
  <r>
    <s v="Integrated AI"/>
    <x v="8"/>
    <x v="0"/>
    <s v="PC"/>
    <s v="Ultramobile Basic, Hybrid"/>
    <s v="Semiconductor Revenue M$"/>
    <x v="0"/>
    <n v="8.0542538588836902E-4"/>
  </r>
  <r>
    <s v="Integrated AI"/>
    <x v="8"/>
    <x v="0"/>
    <s v="PC"/>
    <s v="Ultramobile Basic, Hybrid"/>
    <s v="Semiconductor Revenue M$"/>
    <x v="1"/>
    <n v="5.7133816071666902E-3"/>
  </r>
  <r>
    <s v="Integrated AI"/>
    <x v="8"/>
    <x v="0"/>
    <s v="PC"/>
    <s v="Ultramobile Basic, Hybrid"/>
    <s v="Semiconductor Revenue M$"/>
    <x v="2"/>
    <n v="1.5289499732023613E-2"/>
  </r>
  <r>
    <s v="Integrated AI"/>
    <x v="8"/>
    <x v="0"/>
    <s v="PC"/>
    <s v="Ultramobile Basic, Hybrid"/>
    <s v="Semiconductor Revenue M$"/>
    <x v="3"/>
    <n v="3.6369927855416866E-2"/>
  </r>
  <r>
    <s v="Integrated AI"/>
    <x v="8"/>
    <x v="0"/>
    <s v="PC"/>
    <s v="Ultramobile Basic, Hybrid"/>
    <s v="Semiconductor Revenue M$"/>
    <x v="4"/>
    <n v="8.0856893991283235E-2"/>
  </r>
  <r>
    <s v="Integrated AI"/>
    <x v="8"/>
    <x v="0"/>
    <s v="PC"/>
    <s v="Ultramobile Basic, Hybrid"/>
    <s v="Semiconductor Revenue M$"/>
    <x v="5"/>
    <n v="0.14190422745497622"/>
  </r>
  <r>
    <s v="Integrated AI"/>
    <x v="8"/>
    <x v="0"/>
    <s v="PC"/>
    <s v="Ultramobile Basic, Hybrid"/>
    <s v="Semiconductor Revenue M$"/>
    <x v="6"/>
    <n v="0.21330340242652596"/>
  </r>
  <r>
    <s v="Integrated AI"/>
    <x v="8"/>
    <x v="0"/>
    <s v="PC"/>
    <s v="Ultramobile Premium, Hybrid"/>
    <s v="Semiconductor Revenue M$"/>
    <x v="0"/>
    <n v="1.1754660399997625"/>
  </r>
  <r>
    <s v="Integrated AI"/>
    <x v="8"/>
    <x v="0"/>
    <s v="PC"/>
    <s v="Ultramobile Premium, Hybrid"/>
    <s v="Semiconductor Revenue M$"/>
    <x v="1"/>
    <n v="3.6369870186874436"/>
  </r>
  <r>
    <s v="Integrated AI"/>
    <x v="8"/>
    <x v="0"/>
    <s v="PC"/>
    <s v="Ultramobile Premium, Hybrid"/>
    <s v="Semiconductor Revenue M$"/>
    <x v="2"/>
    <n v="10.84046078948154"/>
  </r>
  <r>
    <s v="Integrated AI"/>
    <x v="8"/>
    <x v="0"/>
    <s v="PC"/>
    <s v="Ultramobile Premium, Hybrid"/>
    <s v="Semiconductor Revenue M$"/>
    <x v="3"/>
    <n v="27.507575623982731"/>
  </r>
  <r>
    <s v="Integrated AI"/>
    <x v="8"/>
    <x v="0"/>
    <s v="PC"/>
    <s v="Ultramobile Premium, Hybrid"/>
    <s v="Semiconductor Revenue M$"/>
    <x v="4"/>
    <n v="45.18090248917067"/>
  </r>
  <r>
    <s v="Integrated AI"/>
    <x v="8"/>
    <x v="0"/>
    <s v="PC"/>
    <s v="Ultramobile Premium, Hybrid"/>
    <s v="Semiconductor Revenue M$"/>
    <x v="5"/>
    <n v="59.603815911571616"/>
  </r>
  <r>
    <s v="Integrated AI"/>
    <x v="8"/>
    <x v="0"/>
    <s v="PC"/>
    <s v="Ultramobile Premium, Hybrid"/>
    <s v="Semiconductor Revenue M$"/>
    <x v="6"/>
    <n v="98.238759234341302"/>
  </r>
  <r>
    <s v="Integrated AI"/>
    <x v="8"/>
    <x v="0"/>
    <s v="PC"/>
    <s v="Notebook"/>
    <s v="Semiconductor Revenue M$"/>
    <x v="0"/>
    <n v="2.000822347549124"/>
  </r>
  <r>
    <s v="Integrated AI"/>
    <x v="8"/>
    <x v="0"/>
    <s v="PC"/>
    <s v="Notebook"/>
    <s v="Semiconductor Revenue M$"/>
    <x v="1"/>
    <n v="6.4917119426318255"/>
  </r>
  <r>
    <s v="Integrated AI"/>
    <x v="8"/>
    <x v="0"/>
    <s v="PC"/>
    <s v="Notebook"/>
    <s v="Semiconductor Revenue M$"/>
    <x v="2"/>
    <n v="16.743187498548533"/>
  </r>
  <r>
    <s v="Integrated AI"/>
    <x v="8"/>
    <x v="0"/>
    <s v="PC"/>
    <s v="Notebook"/>
    <s v="Semiconductor Revenue M$"/>
    <x v="3"/>
    <n v="37.772979210904417"/>
  </r>
  <r>
    <s v="Integrated AI"/>
    <x v="8"/>
    <x v="0"/>
    <s v="PC"/>
    <s v="Notebook"/>
    <s v="Semiconductor Revenue M$"/>
    <x v="4"/>
    <n v="67.236692996084003"/>
  </r>
  <r>
    <s v="Integrated AI"/>
    <x v="8"/>
    <x v="0"/>
    <s v="PC"/>
    <s v="Notebook"/>
    <s v="Semiconductor Revenue M$"/>
    <x v="5"/>
    <n v="106.44195943387476"/>
  </r>
  <r>
    <s v="Integrated AI"/>
    <x v="8"/>
    <x v="0"/>
    <s v="PC"/>
    <s v="Notebook"/>
    <s v="Semiconductor Revenue M$"/>
    <x v="6"/>
    <n v="191.73684169346873"/>
  </r>
  <r>
    <s v="Integrated AI"/>
    <x v="8"/>
    <x v="0"/>
    <s v="Compute"/>
    <s v="Printer/Copier"/>
    <s v="Semiconductor Revenue M$"/>
    <x v="0"/>
    <n v="2.6016762105471639E-5"/>
  </r>
  <r>
    <s v="Integrated AI"/>
    <x v="8"/>
    <x v="0"/>
    <s v="Compute"/>
    <s v="Printer/Copier"/>
    <s v="Semiconductor Revenue M$"/>
    <x v="1"/>
    <n v="4.0502521413438128E-4"/>
  </r>
  <r>
    <s v="Integrated AI"/>
    <x v="8"/>
    <x v="0"/>
    <s v="Compute"/>
    <s v="Printer/Copier"/>
    <s v="Semiconductor Revenue M$"/>
    <x v="2"/>
    <n v="4.7128815989714509E-3"/>
  </r>
  <r>
    <s v="Integrated AI"/>
    <x v="8"/>
    <x v="0"/>
    <s v="Compute"/>
    <s v="Printer/Copier"/>
    <s v="Semiconductor Revenue M$"/>
    <x v="3"/>
    <n v="5.3787307633477104E-2"/>
  </r>
  <r>
    <s v="Integrated AI"/>
    <x v="8"/>
    <x v="0"/>
    <s v="Compute"/>
    <s v="Printer/Copier"/>
    <s v="Semiconductor Revenue M$"/>
    <x v="4"/>
    <n v="0.16829901558374993"/>
  </r>
  <r>
    <s v="Integrated AI"/>
    <x v="8"/>
    <x v="0"/>
    <s v="Compute"/>
    <s v="Printer/Copier"/>
    <s v="Semiconductor Revenue M$"/>
    <x v="5"/>
    <n v="0.22143463003479141"/>
  </r>
  <r>
    <s v="Integrated AI"/>
    <x v="8"/>
    <x v="0"/>
    <s v="Compute"/>
    <s v="Printer/Copier"/>
    <s v="Semiconductor Revenue M$"/>
    <x v="6"/>
    <n v="0.56139617288991406"/>
  </r>
  <r>
    <s v="Integrated AI"/>
    <x v="8"/>
    <x v="0"/>
    <s v="Compute"/>
    <s v="Flash Cards"/>
    <s v="Semiconductor Revenue M$"/>
    <x v="0"/>
    <n v="0"/>
  </r>
  <r>
    <s v="Integrated AI"/>
    <x v="8"/>
    <x v="0"/>
    <s v="Compute"/>
    <s v="Flash Cards"/>
    <s v="Semiconductor Revenue M$"/>
    <x v="1"/>
    <n v="0"/>
  </r>
  <r>
    <s v="Integrated AI"/>
    <x v="8"/>
    <x v="0"/>
    <s v="Compute"/>
    <s v="Flash Cards"/>
    <s v="Semiconductor Revenue M$"/>
    <x v="2"/>
    <n v="0"/>
  </r>
  <r>
    <s v="Integrated AI"/>
    <x v="8"/>
    <x v="0"/>
    <s v="Compute"/>
    <s v="Flash Cards"/>
    <s v="Semiconductor Revenue M$"/>
    <x v="3"/>
    <n v="0"/>
  </r>
  <r>
    <s v="Integrated AI"/>
    <x v="8"/>
    <x v="0"/>
    <s v="Compute"/>
    <s v="Flash Cards"/>
    <s v="Semiconductor Revenue M$"/>
    <x v="4"/>
    <n v="0"/>
  </r>
  <r>
    <s v="Integrated AI"/>
    <x v="8"/>
    <x v="0"/>
    <s v="Compute"/>
    <s v="Flash Cards"/>
    <s v="Semiconductor Revenue M$"/>
    <x v="5"/>
    <n v="0"/>
  </r>
  <r>
    <s v="Integrated AI"/>
    <x v="8"/>
    <x v="0"/>
    <s v="Compute"/>
    <s v="Flash Cards"/>
    <s v="Semiconductor Revenue M$"/>
    <x v="6"/>
    <n v="0"/>
  </r>
  <r>
    <s v="Integrated AI"/>
    <x v="8"/>
    <x v="0"/>
    <s v="Compute"/>
    <s v="USB Flash Drives"/>
    <s v="Semiconductor Revenue M$"/>
    <x v="0"/>
    <n v="0"/>
  </r>
  <r>
    <s v="Integrated AI"/>
    <x v="8"/>
    <x v="0"/>
    <s v="Compute"/>
    <s v="USB Flash Drives"/>
    <s v="Semiconductor Revenue M$"/>
    <x v="1"/>
    <n v="0"/>
  </r>
  <r>
    <s v="Integrated AI"/>
    <x v="8"/>
    <x v="0"/>
    <s v="Compute"/>
    <s v="USB Flash Drives"/>
    <s v="Semiconductor Revenue M$"/>
    <x v="2"/>
    <n v="0"/>
  </r>
  <r>
    <s v="Integrated AI"/>
    <x v="8"/>
    <x v="0"/>
    <s v="Compute"/>
    <s v="USB Flash Drives"/>
    <s v="Semiconductor Revenue M$"/>
    <x v="3"/>
    <n v="0"/>
  </r>
  <r>
    <s v="Integrated AI"/>
    <x v="8"/>
    <x v="0"/>
    <s v="Compute"/>
    <s v="USB Flash Drives"/>
    <s v="Semiconductor Revenue M$"/>
    <x v="4"/>
    <n v="0"/>
  </r>
  <r>
    <s v="Integrated AI"/>
    <x v="8"/>
    <x v="0"/>
    <s v="Compute"/>
    <s v="USB Flash Drives"/>
    <s v="Semiconductor Revenue M$"/>
    <x v="5"/>
    <n v="0"/>
  </r>
  <r>
    <s v="Integrated AI"/>
    <x v="8"/>
    <x v="0"/>
    <s v="Compute"/>
    <s v="USB Flash Drives"/>
    <s v="Semiconductor Revenue M$"/>
    <x v="6"/>
    <n v="0"/>
  </r>
  <r>
    <s v="Integrated AI"/>
    <x v="8"/>
    <x v="0"/>
    <s v="Servers"/>
    <s v="Server, 4 CPU sockets and over"/>
    <s v="Semiconductor Revenue M$"/>
    <x v="0"/>
    <n v="9.8079850191384025E-8"/>
  </r>
  <r>
    <s v="Integrated AI"/>
    <x v="8"/>
    <x v="0"/>
    <s v="Servers"/>
    <s v="Server, 4 CPU sockets and over"/>
    <s v="Semiconductor Revenue M$"/>
    <x v="1"/>
    <n v="5.6628551565252491E-7"/>
  </r>
  <r>
    <s v="Integrated AI"/>
    <x v="8"/>
    <x v="0"/>
    <s v="Servers"/>
    <s v="Server, 4 CPU sockets and over"/>
    <s v="Semiconductor Revenue M$"/>
    <x v="2"/>
    <n v="3.2442225485368743E-6"/>
  </r>
  <r>
    <s v="Integrated AI"/>
    <x v="8"/>
    <x v="0"/>
    <s v="Servers"/>
    <s v="Server, 4 CPU sockets and over"/>
    <s v="Semiconductor Revenue M$"/>
    <x v="3"/>
    <n v="1.9107468752038414E-5"/>
  </r>
  <r>
    <s v="Integrated AI"/>
    <x v="8"/>
    <x v="0"/>
    <s v="Servers"/>
    <s v="Server, 4 CPU sockets and over"/>
    <s v="Semiconductor Revenue M$"/>
    <x v="4"/>
    <n v="7.7504415692262142E-5"/>
  </r>
  <r>
    <s v="Integrated AI"/>
    <x v="8"/>
    <x v="0"/>
    <s v="Servers"/>
    <s v="Server, 4 CPU sockets and over"/>
    <s v="Semiconductor Revenue M$"/>
    <x v="5"/>
    <n v="9.0231661087476832E-5"/>
  </r>
  <r>
    <s v="Integrated AI"/>
    <x v="8"/>
    <x v="0"/>
    <s v="Servers"/>
    <s v="Server, 4 CPU sockets and over"/>
    <s v="Semiconductor Revenue M$"/>
    <x v="6"/>
    <n v="1.7011388246066577E-4"/>
  </r>
  <r>
    <s v="Integrated AI"/>
    <x v="8"/>
    <x v="0"/>
    <s v="Servers"/>
    <s v="Server, 2 CPU socket"/>
    <s v="Semiconductor Revenue M$"/>
    <x v="0"/>
    <n v="1.0183149144521347E-4"/>
  </r>
  <r>
    <s v="Integrated AI"/>
    <x v="8"/>
    <x v="0"/>
    <s v="Servers"/>
    <s v="Server, 2 CPU socket"/>
    <s v="Semiconductor Revenue M$"/>
    <x v="1"/>
    <n v="3.2766993523207846E-4"/>
  </r>
  <r>
    <s v="Integrated AI"/>
    <x v="8"/>
    <x v="0"/>
    <s v="Servers"/>
    <s v="Server, 2 CPU socket"/>
    <s v="Semiconductor Revenue M$"/>
    <x v="2"/>
    <n v="1.0386474238039676E-3"/>
  </r>
  <r>
    <s v="Integrated AI"/>
    <x v="8"/>
    <x v="0"/>
    <s v="Servers"/>
    <s v="Server, 2 CPU socket"/>
    <s v="Semiconductor Revenue M$"/>
    <x v="3"/>
    <n v="2.9888096717563921E-3"/>
  </r>
  <r>
    <s v="Integrated AI"/>
    <x v="8"/>
    <x v="0"/>
    <s v="Servers"/>
    <s v="Server, 2 CPU socket"/>
    <s v="Semiconductor Revenue M$"/>
    <x v="4"/>
    <n v="8.2275671176560879E-3"/>
  </r>
  <r>
    <s v="Integrated AI"/>
    <x v="8"/>
    <x v="0"/>
    <s v="Servers"/>
    <s v="Server, 2 CPU socket"/>
    <s v="Semiconductor Revenue M$"/>
    <x v="5"/>
    <n v="1.2517476847278896E-2"/>
  </r>
  <r>
    <s v="Integrated AI"/>
    <x v="8"/>
    <x v="0"/>
    <s v="Servers"/>
    <s v="Server, 2 CPU socket"/>
    <s v="Semiconductor Revenue M$"/>
    <x v="6"/>
    <n v="2.1771560541185897E-2"/>
  </r>
  <r>
    <s v="Integrated AI"/>
    <x v="8"/>
    <x v="0"/>
    <s v="Servers"/>
    <s v="Server, 1 CPU socket"/>
    <s v="Semiconductor Revenue M$"/>
    <x v="0"/>
    <n v="2.8070927309872426E-6"/>
  </r>
  <r>
    <s v="Integrated AI"/>
    <x v="8"/>
    <x v="0"/>
    <s v="Servers"/>
    <s v="Server, 1 CPU socket"/>
    <s v="Semiconductor Revenue M$"/>
    <x v="1"/>
    <n v="5.2039696039733778E-5"/>
  </r>
  <r>
    <s v="Integrated AI"/>
    <x v="8"/>
    <x v="0"/>
    <s v="Servers"/>
    <s v="Server, 1 CPU socket"/>
    <s v="Semiconductor Revenue M$"/>
    <x v="2"/>
    <n v="2.0842942869872579E-4"/>
  </r>
  <r>
    <s v="Integrated AI"/>
    <x v="8"/>
    <x v="0"/>
    <s v="Servers"/>
    <s v="Server, 1 CPU socket"/>
    <s v="Semiconductor Revenue M$"/>
    <x v="3"/>
    <n v="4.9308554153872542E-4"/>
  </r>
  <r>
    <s v="Integrated AI"/>
    <x v="8"/>
    <x v="0"/>
    <s v="Servers"/>
    <s v="Server, 1 CPU socket"/>
    <s v="Semiconductor Revenue M$"/>
    <x v="4"/>
    <n v="1.0208780007730366E-3"/>
  </r>
  <r>
    <s v="Integrated AI"/>
    <x v="8"/>
    <x v="0"/>
    <s v="Servers"/>
    <s v="Server, 1 CPU socket"/>
    <s v="Semiconductor Revenue M$"/>
    <x v="5"/>
    <n v="2.0288015290231645E-3"/>
  </r>
  <r>
    <s v="Integrated AI"/>
    <x v="8"/>
    <x v="0"/>
    <s v="Servers"/>
    <s v="Server, 1 CPU socket"/>
    <s v="Semiconductor Revenue M$"/>
    <x v="6"/>
    <n v="3.6461978807395242E-3"/>
  </r>
  <r>
    <s v="Integrated AI"/>
    <x v="8"/>
    <x v="0"/>
    <s v="Compute"/>
    <s v="Smart Cards"/>
    <s v="Semiconductor Revenue M$"/>
    <x v="0"/>
    <n v="0"/>
  </r>
  <r>
    <s v="Integrated AI"/>
    <x v="8"/>
    <x v="0"/>
    <s v="Compute"/>
    <s v="Smart Cards"/>
    <s v="Semiconductor Revenue M$"/>
    <x v="1"/>
    <n v="0"/>
  </r>
  <r>
    <s v="Integrated AI"/>
    <x v="8"/>
    <x v="0"/>
    <s v="Compute"/>
    <s v="Smart Cards"/>
    <s v="Semiconductor Revenue M$"/>
    <x v="2"/>
    <n v="0"/>
  </r>
  <r>
    <s v="Integrated AI"/>
    <x v="8"/>
    <x v="0"/>
    <s v="Compute"/>
    <s v="Smart Cards"/>
    <s v="Semiconductor Revenue M$"/>
    <x v="3"/>
    <n v="0"/>
  </r>
  <r>
    <s v="Integrated AI"/>
    <x v="8"/>
    <x v="0"/>
    <s v="Compute"/>
    <s v="Smart Cards"/>
    <s v="Semiconductor Revenue M$"/>
    <x v="4"/>
    <n v="0"/>
  </r>
  <r>
    <s v="Integrated AI"/>
    <x v="8"/>
    <x v="0"/>
    <s v="Compute"/>
    <s v="Smart Cards"/>
    <s v="Semiconductor Revenue M$"/>
    <x v="5"/>
    <n v="0"/>
  </r>
  <r>
    <s v="Integrated AI"/>
    <x v="8"/>
    <x v="0"/>
    <s v="Compute"/>
    <s v="Smart Cards"/>
    <s v="Semiconductor Revenue M$"/>
    <x v="6"/>
    <n v="0"/>
  </r>
  <r>
    <s v="Integrated AI"/>
    <x v="8"/>
    <x v="0"/>
    <s v="Servers"/>
    <s v="Accelerator Cards"/>
    <s v="Semiconductor Revenue M$"/>
    <x v="0"/>
    <n v="0"/>
  </r>
  <r>
    <s v="Integrated AI"/>
    <x v="8"/>
    <x v="0"/>
    <s v="Servers"/>
    <s v="Accelerator Cards"/>
    <s v="Semiconductor Revenue M$"/>
    <x v="1"/>
    <n v="0"/>
  </r>
  <r>
    <s v="Integrated AI"/>
    <x v="8"/>
    <x v="0"/>
    <s v="Servers"/>
    <s v="Accelerator Cards"/>
    <s v="Semiconductor Revenue M$"/>
    <x v="2"/>
    <n v="0"/>
  </r>
  <r>
    <s v="Integrated AI"/>
    <x v="8"/>
    <x v="0"/>
    <s v="Servers"/>
    <s v="Accelerator Cards"/>
    <s v="Semiconductor Revenue M$"/>
    <x v="3"/>
    <n v="0"/>
  </r>
  <r>
    <s v="Integrated AI"/>
    <x v="8"/>
    <x v="0"/>
    <s v="Servers"/>
    <s v="Accelerator Cards"/>
    <s v="Semiconductor Revenue M$"/>
    <x v="4"/>
    <n v="0"/>
  </r>
  <r>
    <s v="Integrated AI"/>
    <x v="8"/>
    <x v="0"/>
    <s v="Servers"/>
    <s v="Accelerator Cards"/>
    <s v="Semiconductor Revenue M$"/>
    <x v="5"/>
    <n v="0"/>
  </r>
  <r>
    <s v="Integrated AI"/>
    <x v="8"/>
    <x v="0"/>
    <s v="Servers"/>
    <s v="Accelerator Cards"/>
    <s v="Semiconductor Revenue M$"/>
    <x v="6"/>
    <n v="0"/>
  </r>
  <r>
    <s v="Integrated AI"/>
    <x v="8"/>
    <x v="1"/>
    <s v="Storage"/>
    <s v="Solid-State ECB"/>
    <s v="Semiconductor Revenue M$"/>
    <x v="0"/>
    <n v="2.603624614153179E-3"/>
  </r>
  <r>
    <s v="Integrated AI"/>
    <x v="8"/>
    <x v="1"/>
    <s v="Storage"/>
    <s v="Solid-State ECB"/>
    <s v="Semiconductor Revenue M$"/>
    <x v="1"/>
    <n v="7.83310393820498E-3"/>
  </r>
  <r>
    <s v="Integrated AI"/>
    <x v="8"/>
    <x v="1"/>
    <s v="Storage"/>
    <s v="Solid-State ECB"/>
    <s v="Semiconductor Revenue M$"/>
    <x v="2"/>
    <n v="2.4126786444665024E-2"/>
  </r>
  <r>
    <s v="Integrated AI"/>
    <x v="8"/>
    <x v="1"/>
    <s v="Storage"/>
    <s v="Solid-State ECB"/>
    <s v="Semiconductor Revenue M$"/>
    <x v="3"/>
    <n v="6.8247397407558377E-2"/>
  </r>
  <r>
    <s v="Integrated AI"/>
    <x v="8"/>
    <x v="1"/>
    <s v="Storage"/>
    <s v="Solid-State ECB"/>
    <s v="Semiconductor Revenue M$"/>
    <x v="4"/>
    <n v="0.11545613036176189"/>
  </r>
  <r>
    <s v="Integrated AI"/>
    <x v="8"/>
    <x v="1"/>
    <s v="Storage"/>
    <s v="Solid-State ECB"/>
    <s v="Semiconductor Revenue M$"/>
    <x v="5"/>
    <n v="0.15099931590185511"/>
  </r>
  <r>
    <s v="Integrated AI"/>
    <x v="8"/>
    <x v="1"/>
    <s v="Storage"/>
    <s v="Solid-State ECB"/>
    <s v="Semiconductor Revenue M$"/>
    <x v="6"/>
    <n v="0.23216251648378616"/>
  </r>
  <r>
    <s v="Integrated AI"/>
    <x v="8"/>
    <x v="1"/>
    <s v="Storage"/>
    <s v="Other ECB (HDD/Hybrid)"/>
    <s v="Semiconductor Revenue M$"/>
    <x v="0"/>
    <n v="4.2564082466269205E-4"/>
  </r>
  <r>
    <s v="Integrated AI"/>
    <x v="8"/>
    <x v="1"/>
    <s v="Storage"/>
    <s v="Other ECB (HDD/Hybrid)"/>
    <s v="Semiconductor Revenue M$"/>
    <x v="1"/>
    <n v="5.2268635581474894E-4"/>
  </r>
  <r>
    <s v="Integrated AI"/>
    <x v="8"/>
    <x v="1"/>
    <s v="Storage"/>
    <s v="Other ECB (HDD/Hybrid)"/>
    <s v="Semiconductor Revenue M$"/>
    <x v="2"/>
    <n v="3.180567279541005E-3"/>
  </r>
  <r>
    <s v="Integrated AI"/>
    <x v="8"/>
    <x v="1"/>
    <s v="Storage"/>
    <s v="Other ECB (HDD/Hybrid)"/>
    <s v="Semiconductor Revenue M$"/>
    <x v="3"/>
    <n v="9.4011128723964343E-3"/>
  </r>
  <r>
    <s v="Integrated AI"/>
    <x v="8"/>
    <x v="1"/>
    <s v="Storage"/>
    <s v="Other ECB (HDD/Hybrid)"/>
    <s v="Semiconductor Revenue M$"/>
    <x v="4"/>
    <n v="1.4781663564799007E-2"/>
  </r>
  <r>
    <s v="Integrated AI"/>
    <x v="8"/>
    <x v="1"/>
    <s v="Storage"/>
    <s v="Other ECB (HDD/Hybrid)"/>
    <s v="Semiconductor Revenue M$"/>
    <x v="5"/>
    <n v="1.9236650720533269E-2"/>
  </r>
  <r>
    <s v="Integrated AI"/>
    <x v="8"/>
    <x v="1"/>
    <s v="Storage"/>
    <s v="Other ECB (HDD/Hybrid)"/>
    <s v="Semiconductor Revenue M$"/>
    <x v="6"/>
    <n v="2.4898308029912556E-2"/>
  </r>
  <r>
    <s v="Integrated AI"/>
    <x v="8"/>
    <x v="1"/>
    <s v="Storage"/>
    <s v="Storage Network Infrastructure"/>
    <s v="Semiconductor Revenue M$"/>
    <x v="0"/>
    <n v="8.6295388119821057E-2"/>
  </r>
  <r>
    <s v="Integrated AI"/>
    <x v="8"/>
    <x v="1"/>
    <s v="Storage"/>
    <s v="Storage Network Infrastructure"/>
    <s v="Semiconductor Revenue M$"/>
    <x v="1"/>
    <n v="0.23836212404267496"/>
  </r>
  <r>
    <s v="Integrated AI"/>
    <x v="8"/>
    <x v="1"/>
    <s v="Storage"/>
    <s v="Storage Network Infrastructure"/>
    <s v="Semiconductor Revenue M$"/>
    <x v="2"/>
    <n v="0.63265262626727736"/>
  </r>
  <r>
    <s v="Integrated AI"/>
    <x v="8"/>
    <x v="1"/>
    <s v="Storage"/>
    <s v="Storage Network Infrastructure"/>
    <s v="Semiconductor Revenue M$"/>
    <x v="3"/>
    <n v="1.5791320619805338"/>
  </r>
  <r>
    <s v="Integrated AI"/>
    <x v="8"/>
    <x v="1"/>
    <s v="Storage"/>
    <s v="Storage Network Infrastructure"/>
    <s v="Semiconductor Revenue M$"/>
    <x v="4"/>
    <n v="2.464176615810163"/>
  </r>
  <r>
    <s v="Integrated AI"/>
    <x v="8"/>
    <x v="1"/>
    <s v="Storage"/>
    <s v="Storage Network Infrastructure"/>
    <s v="Semiconductor Revenue M$"/>
    <x v="5"/>
    <n v="3.2567369888887328"/>
  </r>
  <r>
    <s v="Integrated AI"/>
    <x v="8"/>
    <x v="1"/>
    <s v="Storage"/>
    <s v="Storage Network Infrastructure"/>
    <s v="Semiconductor Revenue M$"/>
    <x v="6"/>
    <n v="4.7249811850294154"/>
  </r>
  <r>
    <s v="Integrated AI"/>
    <x v="8"/>
    <x v="1"/>
    <s v="Storage"/>
    <s v="Hard Disk Drive"/>
    <s v="Semiconductor Revenue M$"/>
    <x v="0"/>
    <n v="0"/>
  </r>
  <r>
    <s v="Integrated AI"/>
    <x v="8"/>
    <x v="1"/>
    <s v="Storage"/>
    <s v="Hard Disk Drive"/>
    <s v="Semiconductor Revenue M$"/>
    <x v="1"/>
    <n v="0"/>
  </r>
  <r>
    <s v="Integrated AI"/>
    <x v="8"/>
    <x v="1"/>
    <s v="Storage"/>
    <s v="Hard Disk Drive"/>
    <s v="Semiconductor Revenue M$"/>
    <x v="2"/>
    <n v="0"/>
  </r>
  <r>
    <s v="Integrated AI"/>
    <x v="8"/>
    <x v="1"/>
    <s v="Storage"/>
    <s v="Hard Disk Drive"/>
    <s v="Semiconductor Revenue M$"/>
    <x v="3"/>
    <n v="0"/>
  </r>
  <r>
    <s v="Integrated AI"/>
    <x v="8"/>
    <x v="1"/>
    <s v="Storage"/>
    <s v="Hard Disk Drive"/>
    <s v="Semiconductor Revenue M$"/>
    <x v="4"/>
    <n v="0"/>
  </r>
  <r>
    <s v="Integrated AI"/>
    <x v="8"/>
    <x v="1"/>
    <s v="Storage"/>
    <s v="Hard Disk Drive"/>
    <s v="Semiconductor Revenue M$"/>
    <x v="5"/>
    <n v="0"/>
  </r>
  <r>
    <s v="Integrated AI"/>
    <x v="8"/>
    <x v="1"/>
    <s v="Storage"/>
    <s v="Hard Disk Drive"/>
    <s v="Semiconductor Revenue M$"/>
    <x v="6"/>
    <n v="0"/>
  </r>
  <r>
    <s v="Integrated AI"/>
    <x v="8"/>
    <x v="1"/>
    <s v="Storage"/>
    <s v="Solid-State Drives"/>
    <s v="Semiconductor Revenue M$"/>
    <x v="0"/>
    <n v="0"/>
  </r>
  <r>
    <s v="Integrated AI"/>
    <x v="8"/>
    <x v="1"/>
    <s v="Storage"/>
    <s v="Solid-State Drives"/>
    <s v="Semiconductor Revenue M$"/>
    <x v="1"/>
    <n v="0"/>
  </r>
  <r>
    <s v="Integrated AI"/>
    <x v="8"/>
    <x v="1"/>
    <s v="Storage"/>
    <s v="Solid-State Drives"/>
    <s v="Semiconductor Revenue M$"/>
    <x v="2"/>
    <n v="0"/>
  </r>
  <r>
    <s v="Integrated AI"/>
    <x v="8"/>
    <x v="1"/>
    <s v="Storage"/>
    <s v="Solid-State Drives"/>
    <s v="Semiconductor Revenue M$"/>
    <x v="3"/>
    <n v="0"/>
  </r>
  <r>
    <s v="Integrated AI"/>
    <x v="8"/>
    <x v="1"/>
    <s v="Storage"/>
    <s v="Solid-State Drives"/>
    <s v="Semiconductor Revenue M$"/>
    <x v="4"/>
    <n v="0"/>
  </r>
  <r>
    <s v="Integrated AI"/>
    <x v="8"/>
    <x v="1"/>
    <s v="Storage"/>
    <s v="Solid-State Drives"/>
    <s v="Semiconductor Revenue M$"/>
    <x v="5"/>
    <n v="0"/>
  </r>
  <r>
    <s v="Integrated AI"/>
    <x v="8"/>
    <x v="1"/>
    <s v="Storage"/>
    <s v="Solid-State Drives"/>
    <s v="Semiconductor Revenue M$"/>
    <x v="6"/>
    <n v="0"/>
  </r>
  <r>
    <s v="Integrated AI"/>
    <x v="8"/>
    <x v="1"/>
    <s v="Storage"/>
    <s v="Other Storage Media"/>
    <s v="Semiconductor Revenue M$"/>
    <x v="0"/>
    <n v="0"/>
  </r>
  <r>
    <s v="Integrated AI"/>
    <x v="8"/>
    <x v="1"/>
    <s v="Storage"/>
    <s v="Other Storage Media"/>
    <s v="Semiconductor Revenue M$"/>
    <x v="1"/>
    <n v="0"/>
  </r>
  <r>
    <s v="Integrated AI"/>
    <x v="8"/>
    <x v="1"/>
    <s v="Storage"/>
    <s v="Other Storage Media"/>
    <s v="Semiconductor Revenue M$"/>
    <x v="2"/>
    <n v="0"/>
  </r>
  <r>
    <s v="Integrated AI"/>
    <x v="8"/>
    <x v="1"/>
    <s v="Storage"/>
    <s v="Other Storage Media"/>
    <s v="Semiconductor Revenue M$"/>
    <x v="3"/>
    <n v="0"/>
  </r>
  <r>
    <s v="Integrated AI"/>
    <x v="8"/>
    <x v="1"/>
    <s v="Storage"/>
    <s v="Other Storage Media"/>
    <s v="Semiconductor Revenue M$"/>
    <x v="4"/>
    <n v="0"/>
  </r>
  <r>
    <s v="Integrated AI"/>
    <x v="8"/>
    <x v="1"/>
    <s v="Storage"/>
    <s v="Other Storage Media"/>
    <s v="Semiconductor Revenue M$"/>
    <x v="5"/>
    <n v="0"/>
  </r>
  <r>
    <s v="Integrated AI"/>
    <x v="8"/>
    <x v="1"/>
    <s v="Storage"/>
    <s v="Other Storage Media"/>
    <s v="Semiconductor Revenue M$"/>
    <x v="6"/>
    <n v="0"/>
  </r>
  <r>
    <s v="Integrated AI"/>
    <x v="8"/>
    <x v="1"/>
    <s v="Storage"/>
    <s v="Other Storage Electronics"/>
    <s v="Semiconductor Revenue M$"/>
    <x v="0"/>
    <n v="0.26535942173495064"/>
  </r>
  <r>
    <s v="Integrated AI"/>
    <x v="8"/>
    <x v="1"/>
    <s v="Storage"/>
    <s v="Other Storage Electronics"/>
    <s v="Semiconductor Revenue M$"/>
    <x v="1"/>
    <n v="0.96158334405525292"/>
  </r>
  <r>
    <s v="Integrated AI"/>
    <x v="8"/>
    <x v="1"/>
    <s v="Storage"/>
    <s v="Other Storage Electronics"/>
    <s v="Semiconductor Revenue M$"/>
    <x v="2"/>
    <n v="3.3523182637536015"/>
  </r>
  <r>
    <s v="Integrated AI"/>
    <x v="8"/>
    <x v="1"/>
    <s v="Storage"/>
    <s v="Other Storage Electronics"/>
    <s v="Semiconductor Revenue M$"/>
    <x v="3"/>
    <n v="10.911256424556489"/>
  </r>
  <r>
    <s v="Integrated AI"/>
    <x v="8"/>
    <x v="1"/>
    <s v="Storage"/>
    <s v="Other Storage Electronics"/>
    <s v="Semiconductor Revenue M$"/>
    <x v="4"/>
    <n v="24.291712077281186"/>
  </r>
  <r>
    <s v="Integrated AI"/>
    <x v="8"/>
    <x v="1"/>
    <s v="Storage"/>
    <s v="Other Storage Electronics"/>
    <s v="Semiconductor Revenue M$"/>
    <x v="5"/>
    <n v="35.586772092989108"/>
  </r>
  <r>
    <s v="Integrated AI"/>
    <x v="8"/>
    <x v="1"/>
    <s v="Storage"/>
    <s v="Other Storage Electronics"/>
    <s v="Semiconductor Revenue M$"/>
    <x v="6"/>
    <n v="51.568289976595338"/>
  </r>
  <r>
    <s v="Integrated AI"/>
    <x v="8"/>
    <x v="2"/>
    <s v="Wireless Communications Electronics"/>
    <s v="Utility Traditional Phone"/>
    <s v="Semiconductor Revenue M$"/>
    <x v="0"/>
    <n v="0.15175092056024381"/>
  </r>
  <r>
    <s v="Integrated AI"/>
    <x v="8"/>
    <x v="2"/>
    <s v="Wireless Communications Electronics"/>
    <s v="Utility Traditional Phone"/>
    <s v="Semiconductor Revenue M$"/>
    <x v="1"/>
    <n v="0.31732442912854308"/>
  </r>
  <r>
    <s v="Integrated AI"/>
    <x v="8"/>
    <x v="2"/>
    <s v="Wireless Communications Electronics"/>
    <s v="Utility Traditional Phone"/>
    <s v="Semiconductor Revenue M$"/>
    <x v="2"/>
    <n v="0.65797491396619534"/>
  </r>
  <r>
    <s v="Integrated AI"/>
    <x v="8"/>
    <x v="2"/>
    <s v="Wireless Communications Electronics"/>
    <s v="Utility Traditional Phone"/>
    <s v="Semiconductor Revenue M$"/>
    <x v="3"/>
    <n v="1.2331214383642237"/>
  </r>
  <r>
    <s v="Integrated AI"/>
    <x v="8"/>
    <x v="2"/>
    <s v="Wireless Communications Electronics"/>
    <s v="Utility Traditional Phone"/>
    <s v="Semiconductor Revenue M$"/>
    <x v="4"/>
    <n v="1.4735801566786704"/>
  </r>
  <r>
    <s v="Integrated AI"/>
    <x v="8"/>
    <x v="2"/>
    <s v="Wireless Communications Electronics"/>
    <s v="Utility Traditional Phone"/>
    <s v="Semiconductor Revenue M$"/>
    <x v="5"/>
    <n v="2.0926750332768713"/>
  </r>
  <r>
    <s v="Integrated AI"/>
    <x v="8"/>
    <x v="2"/>
    <s v="Wireless Communications Electronics"/>
    <s v="Utility Traditional Phone"/>
    <s v="Semiconductor Revenue M$"/>
    <x v="6"/>
    <n v="2.4576849809309502"/>
  </r>
  <r>
    <s v="Integrated AI"/>
    <x v="8"/>
    <x v="2"/>
    <s v="Wireless Communications Electronics"/>
    <s v="Basic Smartphone"/>
    <s v="Semiconductor Revenue M$"/>
    <x v="0"/>
    <n v="1.5574072052944692"/>
  </r>
  <r>
    <s v="Integrated AI"/>
    <x v="8"/>
    <x v="2"/>
    <s v="Wireless Communications Electronics"/>
    <s v="Basic Smartphone"/>
    <s v="Semiconductor Revenue M$"/>
    <x v="1"/>
    <n v="7.3466712173420952"/>
  </r>
  <r>
    <s v="Integrated AI"/>
    <x v="8"/>
    <x v="2"/>
    <s v="Wireless Communications Electronics"/>
    <s v="Basic Smartphone"/>
    <s v="Semiconductor Revenue M$"/>
    <x v="2"/>
    <n v="30.581800455453621"/>
  </r>
  <r>
    <s v="Integrated AI"/>
    <x v="8"/>
    <x v="2"/>
    <s v="Wireless Communications Electronics"/>
    <s v="Basic Smartphone"/>
    <s v="Semiconductor Revenue M$"/>
    <x v="3"/>
    <n v="78.919199819020378"/>
  </r>
  <r>
    <s v="Integrated AI"/>
    <x v="8"/>
    <x v="2"/>
    <s v="Wireless Communications Electronics"/>
    <s v="Basic Smartphone"/>
    <s v="Semiconductor Revenue M$"/>
    <x v="4"/>
    <n v="222.98527751852748"/>
  </r>
  <r>
    <s v="Integrated AI"/>
    <x v="8"/>
    <x v="2"/>
    <s v="Wireless Communications Electronics"/>
    <s v="Basic Smartphone"/>
    <s v="Semiconductor Revenue M$"/>
    <x v="5"/>
    <n v="336.62229509263727"/>
  </r>
  <r>
    <s v="Integrated AI"/>
    <x v="8"/>
    <x v="2"/>
    <s v="Wireless Communications Electronics"/>
    <s v="Basic Smartphone"/>
    <s v="Semiconductor Revenue M$"/>
    <x v="6"/>
    <n v="492.48684904637764"/>
  </r>
  <r>
    <s v="Integrated AI"/>
    <x v="8"/>
    <x v="2"/>
    <s v="Wireless Communications Electronics"/>
    <s v="Utility Smartphone"/>
    <s v="Semiconductor Revenue M$"/>
    <x v="0"/>
    <n v="0.96631875061582428"/>
  </r>
  <r>
    <s v="Integrated AI"/>
    <x v="8"/>
    <x v="2"/>
    <s v="Wireless Communications Electronics"/>
    <s v="Utility Smartphone"/>
    <s v="Semiconductor Revenue M$"/>
    <x v="1"/>
    <n v="3.0412240223939002"/>
  </r>
  <r>
    <s v="Integrated AI"/>
    <x v="8"/>
    <x v="2"/>
    <s v="Wireless Communications Electronics"/>
    <s v="Utility Smartphone"/>
    <s v="Semiconductor Revenue M$"/>
    <x v="2"/>
    <n v="6.0352583910247617"/>
  </r>
  <r>
    <s v="Integrated AI"/>
    <x v="8"/>
    <x v="2"/>
    <s v="Wireless Communications Electronics"/>
    <s v="Utility Smartphone"/>
    <s v="Semiconductor Revenue M$"/>
    <x v="3"/>
    <n v="11.47029754894093"/>
  </r>
  <r>
    <s v="Integrated AI"/>
    <x v="8"/>
    <x v="2"/>
    <s v="Wireless Communications Electronics"/>
    <s v="Utility Smartphone"/>
    <s v="Semiconductor Revenue M$"/>
    <x v="4"/>
    <n v="22.473766397571566"/>
  </r>
  <r>
    <s v="Integrated AI"/>
    <x v="8"/>
    <x v="2"/>
    <s v="Wireless Communications Electronics"/>
    <s v="Utility Smartphone"/>
    <s v="Semiconductor Revenue M$"/>
    <x v="5"/>
    <n v="35.837901844395219"/>
  </r>
  <r>
    <s v="Integrated AI"/>
    <x v="8"/>
    <x v="2"/>
    <s v="Wireless Communications Electronics"/>
    <s v="Utility Smartphone"/>
    <s v="Semiconductor Revenue M$"/>
    <x v="6"/>
    <n v="46.576484987638565"/>
  </r>
  <r>
    <s v="Integrated AI"/>
    <x v="8"/>
    <x v="2"/>
    <s v="Wireless Communications Electronics"/>
    <s v="Premium Smartphone"/>
    <s v="Semiconductor Revenue M$"/>
    <x v="0"/>
    <n v="18.714801652896387"/>
  </r>
  <r>
    <s v="Integrated AI"/>
    <x v="8"/>
    <x v="2"/>
    <s v="Wireless Communications Electronics"/>
    <s v="Premium Smartphone"/>
    <s v="Semiconductor Revenue M$"/>
    <x v="1"/>
    <n v="45.682940892286588"/>
  </r>
  <r>
    <s v="Integrated AI"/>
    <x v="8"/>
    <x v="2"/>
    <s v="Wireless Communications Electronics"/>
    <s v="Premium Smartphone"/>
    <s v="Semiconductor Revenue M$"/>
    <x v="2"/>
    <n v="83.545864077640289"/>
  </r>
  <r>
    <s v="Integrated AI"/>
    <x v="8"/>
    <x v="2"/>
    <s v="Wireless Communications Electronics"/>
    <s v="Premium Smartphone"/>
    <s v="Semiconductor Revenue M$"/>
    <x v="3"/>
    <n v="179.251956873983"/>
  </r>
  <r>
    <s v="Integrated AI"/>
    <x v="8"/>
    <x v="2"/>
    <s v="Wireless Communications Electronics"/>
    <s v="Premium Smartphone"/>
    <s v="Semiconductor Revenue M$"/>
    <x v="4"/>
    <n v="273.63098410427028"/>
  </r>
  <r>
    <s v="Integrated AI"/>
    <x v="8"/>
    <x v="2"/>
    <s v="Wireless Communications Electronics"/>
    <s v="Premium Smartphone"/>
    <s v="Semiconductor Revenue M$"/>
    <x v="5"/>
    <n v="395.30523037207894"/>
  </r>
  <r>
    <s v="Integrated AI"/>
    <x v="8"/>
    <x v="2"/>
    <s v="Wireless Communications Electronics"/>
    <s v="Premium Smartphone"/>
    <s v="Semiconductor Revenue M$"/>
    <x v="6"/>
    <n v="607.47518199342232"/>
  </r>
  <r>
    <s v="Integrated AI"/>
    <x v="8"/>
    <x v="3"/>
    <s v="Automotive Electronics"/>
    <s v="ADAS-ECU (Level-2+/3/4)"/>
    <s v="Semiconductor Revenue M$"/>
    <x v="0"/>
    <n v="6.0947296549179061E-2"/>
  </r>
  <r>
    <s v="Integrated AI"/>
    <x v="8"/>
    <x v="3"/>
    <s v="Automotive Electronics"/>
    <s v="ADAS-ECU (Level-2+/3/4)"/>
    <s v="Semiconductor Revenue M$"/>
    <x v="1"/>
    <n v="0.30743871414646579"/>
  </r>
  <r>
    <s v="Integrated AI"/>
    <x v="8"/>
    <x v="3"/>
    <s v="Automotive Electronics"/>
    <s v="ADAS-ECU (Level-2+/3/4)"/>
    <s v="Semiconductor Revenue M$"/>
    <x v="2"/>
    <n v="2.877280248425278"/>
  </r>
  <r>
    <s v="Integrated AI"/>
    <x v="8"/>
    <x v="3"/>
    <s v="Automotive Electronics"/>
    <s v="ADAS-ECU (Level-2+/3/4)"/>
    <s v="Semiconductor Revenue M$"/>
    <x v="3"/>
    <n v="20.899197611297815"/>
  </r>
  <r>
    <s v="Integrated AI"/>
    <x v="8"/>
    <x v="3"/>
    <s v="Automotive Electronics"/>
    <s v="ADAS-ECU (Level-2+/3/4)"/>
    <s v="Semiconductor Revenue M$"/>
    <x v="4"/>
    <n v="49.386097699019771"/>
  </r>
  <r>
    <s v="Integrated AI"/>
    <x v="8"/>
    <x v="3"/>
    <s v="Automotive Electronics"/>
    <s v="ADAS-ECU (Level-2+/3/4)"/>
    <s v="Semiconductor Revenue M$"/>
    <x v="5"/>
    <n v="74.026408615625513"/>
  </r>
  <r>
    <s v="Integrated AI"/>
    <x v="8"/>
    <x v="3"/>
    <s v="Automotive Electronics"/>
    <s v="ADAS-ECU (Level-2+/3/4)"/>
    <s v="Semiconductor Revenue M$"/>
    <x v="6"/>
    <n v="91.511559031653221"/>
  </r>
  <r>
    <s v="Integrated AI"/>
    <x v="8"/>
    <x v="2"/>
    <s v="Wireless Communications Electronics"/>
    <s v="Mobile Infrastructure - Base Station Equipment"/>
    <s v="Semiconductor Revenue M$"/>
    <x v="0"/>
    <n v="0.67368008497698184"/>
  </r>
  <r>
    <s v="Integrated AI"/>
    <x v="8"/>
    <x v="2"/>
    <s v="Wireless Communications Electronics"/>
    <s v="Mobile Infrastructure - Base Station Equipment"/>
    <s v="Semiconductor Revenue M$"/>
    <x v="1"/>
    <n v="3.1463492234151342"/>
  </r>
  <r>
    <s v="Integrated AI"/>
    <x v="8"/>
    <x v="2"/>
    <s v="Wireless Communications Electronics"/>
    <s v="Mobile Infrastructure - Base Station Equipment"/>
    <s v="Semiconductor Revenue M$"/>
    <x v="2"/>
    <n v="13.284998970781718"/>
  </r>
  <r>
    <s v="Integrated AI"/>
    <x v="8"/>
    <x v="2"/>
    <s v="Wireless Communications Electronics"/>
    <s v="Mobile Infrastructure - Base Station Equipment"/>
    <s v="Semiconductor Revenue M$"/>
    <x v="3"/>
    <n v="56.597164829582681"/>
  </r>
  <r>
    <s v="Integrated AI"/>
    <x v="8"/>
    <x v="2"/>
    <s v="Wireless Communications Electronics"/>
    <s v="Mobile Infrastructure - Base Station Equipment"/>
    <s v="Semiconductor Revenue M$"/>
    <x v="4"/>
    <n v="204.30778822903025"/>
  </r>
  <r>
    <s v="Integrated AI"/>
    <x v="8"/>
    <x v="2"/>
    <s v="Wireless Communications Electronics"/>
    <s v="Mobile Infrastructure - Base Station Equipment"/>
    <s v="Semiconductor Revenue M$"/>
    <x v="5"/>
    <n v="301.21956739830603"/>
  </r>
  <r>
    <s v="Integrated AI"/>
    <x v="8"/>
    <x v="2"/>
    <s v="Wireless Communications Electronics"/>
    <s v="Mobile Infrastructure - Base Station Equipment"/>
    <s v="Semiconductor Revenue M$"/>
    <x v="6"/>
    <n v="435.2996563089709"/>
  </r>
  <r>
    <s v="Integrated AI"/>
    <x v="8"/>
    <x v="2"/>
    <s v="Wireless Communications Electronics"/>
    <s v="Wireless LAN Infrastructure"/>
    <s v="Semiconductor Revenue M$"/>
    <x v="0"/>
    <n v="0"/>
  </r>
  <r>
    <s v="Integrated AI"/>
    <x v="8"/>
    <x v="2"/>
    <s v="Wireless Communications Electronics"/>
    <s v="Wireless LAN Infrastructure"/>
    <s v="Semiconductor Revenue M$"/>
    <x v="1"/>
    <n v="0"/>
  </r>
  <r>
    <s v="Integrated AI"/>
    <x v="8"/>
    <x v="2"/>
    <s v="Wireless Communications Electronics"/>
    <s v="Wireless LAN Infrastructure"/>
    <s v="Semiconductor Revenue M$"/>
    <x v="2"/>
    <n v="0"/>
  </r>
  <r>
    <s v="Integrated AI"/>
    <x v="8"/>
    <x v="2"/>
    <s v="Wireless Communications Electronics"/>
    <s v="Wireless LAN Infrastructure"/>
    <s v="Semiconductor Revenue M$"/>
    <x v="3"/>
    <n v="0"/>
  </r>
  <r>
    <s v="Integrated AI"/>
    <x v="8"/>
    <x v="2"/>
    <s v="Wireless Communications Electronics"/>
    <s v="Wireless LAN Infrastructure"/>
    <s v="Semiconductor Revenue M$"/>
    <x v="4"/>
    <n v="4.2494799194091506"/>
  </r>
  <r>
    <s v="Integrated AI"/>
    <x v="8"/>
    <x v="2"/>
    <s v="Wireless Communications Electronics"/>
    <s v="Wireless LAN Infrastructure"/>
    <s v="Semiconductor Revenue M$"/>
    <x v="5"/>
    <n v="5.2214646863693428"/>
  </r>
  <r>
    <s v="Integrated AI"/>
    <x v="8"/>
    <x v="2"/>
    <s v="Wireless Communications Electronics"/>
    <s v="Wireless LAN Infrastructure"/>
    <s v="Semiconductor Revenue M$"/>
    <x v="6"/>
    <n v="0"/>
  </r>
  <r>
    <s v="Integrated AI"/>
    <x v="8"/>
    <x v="2"/>
    <s v="Wireless Communications Electronics"/>
    <s v="Cellular Modems"/>
    <s v="Semiconductor Revenue M$"/>
    <x v="0"/>
    <n v="1.3265212785758718E-8"/>
  </r>
  <r>
    <s v="Integrated AI"/>
    <x v="8"/>
    <x v="2"/>
    <s v="Wireless Communications Electronics"/>
    <s v="Cellular Modems"/>
    <s v="Semiconductor Revenue M$"/>
    <x v="1"/>
    <n v="5.3850737848779757E-8"/>
  </r>
  <r>
    <s v="Integrated AI"/>
    <x v="8"/>
    <x v="2"/>
    <s v="Wireless Communications Electronics"/>
    <s v="Cellular Modems"/>
    <s v="Semiconductor Revenue M$"/>
    <x v="2"/>
    <n v="3.0046371858190048E-7"/>
  </r>
  <r>
    <s v="Integrated AI"/>
    <x v="8"/>
    <x v="2"/>
    <s v="Wireless Communications Electronics"/>
    <s v="Cellular Modems"/>
    <s v="Semiconductor Revenue M$"/>
    <x v="3"/>
    <n v="9.8174168966632015E-7"/>
  </r>
  <r>
    <s v="Integrated AI"/>
    <x v="8"/>
    <x v="2"/>
    <s v="Wireless Communications Electronics"/>
    <s v="Cellular Modems"/>
    <s v="Semiconductor Revenue M$"/>
    <x v="4"/>
    <n v="4.59905587517792E-6"/>
  </r>
  <r>
    <s v="Integrated AI"/>
    <x v="8"/>
    <x v="2"/>
    <s v="Wireless Communications Electronics"/>
    <s v="Cellular Modems"/>
    <s v="Semiconductor Revenue M$"/>
    <x v="5"/>
    <n v="7.1659511364254429E-6"/>
  </r>
  <r>
    <s v="Integrated AI"/>
    <x v="8"/>
    <x v="2"/>
    <s v="Wireless Communications Electronics"/>
    <s v="Cellular Modems"/>
    <s v="Semiconductor Revenue M$"/>
    <x v="6"/>
    <n v="1.5656447870433073E-5"/>
  </r>
  <r>
    <s v="Integrated AI"/>
    <x v="8"/>
    <x v="2"/>
    <s v="Wireless Communications Electronics"/>
    <s v="Other Wireless Communications Electronics"/>
    <s v="Semiconductor Revenue M$"/>
    <x v="0"/>
    <n v="2.6892443047398698E-2"/>
  </r>
  <r>
    <s v="Integrated AI"/>
    <x v="8"/>
    <x v="2"/>
    <s v="Wireless Communications Electronics"/>
    <s v="Other Wireless Communications Electronics"/>
    <s v="Semiconductor Revenue M$"/>
    <x v="1"/>
    <n v="0.10032796412555059"/>
  </r>
  <r>
    <s v="Integrated AI"/>
    <x v="8"/>
    <x v="2"/>
    <s v="Wireless Communications Electronics"/>
    <s v="Other Wireless Communications Electronics"/>
    <s v="Semiconductor Revenue M$"/>
    <x v="2"/>
    <n v="0.35560525952398508"/>
  </r>
  <r>
    <s v="Integrated AI"/>
    <x v="8"/>
    <x v="2"/>
    <s v="Wireless Communications Electronics"/>
    <s v="Other Wireless Communications Electronics"/>
    <s v="Semiconductor Revenue M$"/>
    <x v="3"/>
    <n v="1.482641341010611"/>
  </r>
  <r>
    <s v="Integrated AI"/>
    <x v="8"/>
    <x v="2"/>
    <s v="Wireless Communications Electronics"/>
    <s v="Other Wireless Communications Electronics"/>
    <s v="Semiconductor Revenue M$"/>
    <x v="4"/>
    <n v="2.5401811678866495"/>
  </r>
  <r>
    <s v="Integrated AI"/>
    <x v="8"/>
    <x v="2"/>
    <s v="Wireless Communications Electronics"/>
    <s v="Other Wireless Communications Electronics"/>
    <s v="Semiconductor Revenue M$"/>
    <x v="5"/>
    <n v="3.8410554081755111"/>
  </r>
  <r>
    <s v="Integrated AI"/>
    <x v="8"/>
    <x v="2"/>
    <s v="Wireless Communications Electronics"/>
    <s v="Other Wireless Communications Electronics"/>
    <s v="Semiconductor Revenue M$"/>
    <x v="6"/>
    <n v="7.0847601261003614"/>
  </r>
  <r>
    <s v="Integrated AI"/>
    <x v="8"/>
    <x v="2"/>
    <s v="Wired Communications Electronics"/>
    <s v="DSL Broadband Access"/>
    <s v="Semiconductor Revenue M$"/>
    <x v="0"/>
    <n v="0.34810940593140177"/>
  </r>
  <r>
    <s v="Integrated AI"/>
    <x v="8"/>
    <x v="2"/>
    <s v="Wired Communications Electronics"/>
    <s v="DSL Broadband Access"/>
    <s v="Semiconductor Revenue M$"/>
    <x v="1"/>
    <n v="0.72874683168490162"/>
  </r>
  <r>
    <s v="Integrated AI"/>
    <x v="8"/>
    <x v="2"/>
    <s v="Wired Communications Electronics"/>
    <s v="DSL Broadband Access"/>
    <s v="Semiconductor Revenue M$"/>
    <x v="2"/>
    <n v="1.7676694115829725"/>
  </r>
  <r>
    <s v="Integrated AI"/>
    <x v="8"/>
    <x v="2"/>
    <s v="Wired Communications Electronics"/>
    <s v="DSL Broadband Access"/>
    <s v="Semiconductor Revenue M$"/>
    <x v="3"/>
    <n v="3.4782315569330109"/>
  </r>
  <r>
    <s v="Integrated AI"/>
    <x v="8"/>
    <x v="2"/>
    <s v="Wired Communications Electronics"/>
    <s v="DSL Broadband Access"/>
    <s v="Semiconductor Revenue M$"/>
    <x v="4"/>
    <n v="4.7812308004119481"/>
  </r>
  <r>
    <s v="Integrated AI"/>
    <x v="8"/>
    <x v="2"/>
    <s v="Wired Communications Electronics"/>
    <s v="DSL Broadband Access"/>
    <s v="Semiconductor Revenue M$"/>
    <x v="5"/>
    <n v="7.5121795007972878"/>
  </r>
  <r>
    <s v="Integrated AI"/>
    <x v="8"/>
    <x v="2"/>
    <s v="Wired Communications Electronics"/>
    <s v="DSL Broadband Access"/>
    <s v="Semiconductor Revenue M$"/>
    <x v="6"/>
    <n v="8.9275545138024661"/>
  </r>
  <r>
    <s v="Integrated AI"/>
    <x v="8"/>
    <x v="2"/>
    <s v="Wired Communications Electronics"/>
    <s v="Fiber Broadband Access"/>
    <s v="Semiconductor Revenue M$"/>
    <x v="0"/>
    <n v="0.3454894084080985"/>
  </r>
  <r>
    <s v="Integrated AI"/>
    <x v="8"/>
    <x v="2"/>
    <s v="Wired Communications Electronics"/>
    <s v="Fiber Broadband Access"/>
    <s v="Semiconductor Revenue M$"/>
    <x v="1"/>
    <n v="0.79252917364133268"/>
  </r>
  <r>
    <s v="Integrated AI"/>
    <x v="8"/>
    <x v="2"/>
    <s v="Wired Communications Electronics"/>
    <s v="Fiber Broadband Access"/>
    <s v="Semiconductor Revenue M$"/>
    <x v="2"/>
    <n v="1.6830908372222635"/>
  </r>
  <r>
    <s v="Integrated AI"/>
    <x v="8"/>
    <x v="2"/>
    <s v="Wired Communications Electronics"/>
    <s v="Fiber Broadband Access"/>
    <s v="Semiconductor Revenue M$"/>
    <x v="3"/>
    <n v="3.5989868891315187"/>
  </r>
  <r>
    <s v="Integrated AI"/>
    <x v="8"/>
    <x v="2"/>
    <s v="Wired Communications Electronics"/>
    <s v="Fiber Broadband Access"/>
    <s v="Semiconductor Revenue M$"/>
    <x v="4"/>
    <n v="5.0267927718539713"/>
  </r>
  <r>
    <s v="Integrated AI"/>
    <x v="8"/>
    <x v="2"/>
    <s v="Wired Communications Electronics"/>
    <s v="Fiber Broadband Access"/>
    <s v="Semiconductor Revenue M$"/>
    <x v="5"/>
    <n v="8.124519937157741"/>
  </r>
  <r>
    <s v="Integrated AI"/>
    <x v="8"/>
    <x v="2"/>
    <s v="Wired Communications Electronics"/>
    <s v="Fiber Broadband Access"/>
    <s v="Semiconductor Revenue M$"/>
    <x v="6"/>
    <n v="10.913167028765168"/>
  </r>
  <r>
    <s v="Integrated AI"/>
    <x v="8"/>
    <x v="2"/>
    <s v="Wired Communications Electronics"/>
    <s v="Other Broadband Access"/>
    <s v="Semiconductor Revenue M$"/>
    <x v="0"/>
    <n v="0.50168223563134073"/>
  </r>
  <r>
    <s v="Integrated AI"/>
    <x v="8"/>
    <x v="2"/>
    <s v="Wired Communications Electronics"/>
    <s v="Other Broadband Access"/>
    <s v="Semiconductor Revenue M$"/>
    <x v="1"/>
    <n v="1.2382196171556676"/>
  </r>
  <r>
    <s v="Integrated AI"/>
    <x v="8"/>
    <x v="2"/>
    <s v="Wired Communications Electronics"/>
    <s v="Other Broadband Access"/>
    <s v="Semiconductor Revenue M$"/>
    <x v="2"/>
    <n v="3.3220312934424436"/>
  </r>
  <r>
    <s v="Integrated AI"/>
    <x v="8"/>
    <x v="2"/>
    <s v="Wired Communications Electronics"/>
    <s v="Other Broadband Access"/>
    <s v="Semiconductor Revenue M$"/>
    <x v="3"/>
    <n v="7.0992475146740954"/>
  </r>
  <r>
    <s v="Integrated AI"/>
    <x v="8"/>
    <x v="2"/>
    <s v="Wired Communications Electronics"/>
    <s v="Other Broadband Access"/>
    <s v="Semiconductor Revenue M$"/>
    <x v="4"/>
    <n v="9.295679212460529"/>
  </r>
  <r>
    <s v="Integrated AI"/>
    <x v="8"/>
    <x v="2"/>
    <s v="Wired Communications Electronics"/>
    <s v="Other Broadband Access"/>
    <s v="Semiconductor Revenue M$"/>
    <x v="5"/>
    <n v="15.456953754083729"/>
  </r>
  <r>
    <s v="Integrated AI"/>
    <x v="8"/>
    <x v="2"/>
    <s v="Wired Communications Electronics"/>
    <s v="Other Broadband Access"/>
    <s v="Semiconductor Revenue M$"/>
    <x v="6"/>
    <n v="20.847360273961243"/>
  </r>
  <r>
    <s v="Integrated AI"/>
    <x v="8"/>
    <x v="2"/>
    <s v="Wired Communications Electronics"/>
    <s v="Enterprise LAN"/>
    <s v="Semiconductor Revenue M$"/>
    <x v="0"/>
    <n v="0.18863994890153216"/>
  </r>
  <r>
    <s v="Integrated AI"/>
    <x v="8"/>
    <x v="2"/>
    <s v="Wired Communications Electronics"/>
    <s v="Enterprise LAN"/>
    <s v="Semiconductor Revenue M$"/>
    <x v="1"/>
    <n v="0.50240208313553425"/>
  </r>
  <r>
    <s v="Integrated AI"/>
    <x v="8"/>
    <x v="2"/>
    <s v="Wired Communications Electronics"/>
    <s v="Enterprise LAN"/>
    <s v="Semiconductor Revenue M$"/>
    <x v="2"/>
    <n v="1.1315550772749008"/>
  </r>
  <r>
    <s v="Integrated AI"/>
    <x v="8"/>
    <x v="2"/>
    <s v="Wired Communications Electronics"/>
    <s v="Enterprise LAN"/>
    <s v="Semiconductor Revenue M$"/>
    <x v="3"/>
    <n v="2.5529415199622547"/>
  </r>
  <r>
    <s v="Integrated AI"/>
    <x v="8"/>
    <x v="2"/>
    <s v="Wired Communications Electronics"/>
    <s v="Enterprise LAN"/>
    <s v="Semiconductor Revenue M$"/>
    <x v="4"/>
    <n v="3.465064369102516"/>
  </r>
  <r>
    <s v="Integrated AI"/>
    <x v="8"/>
    <x v="2"/>
    <s v="Wired Communications Electronics"/>
    <s v="Enterprise LAN"/>
    <s v="Semiconductor Revenue M$"/>
    <x v="5"/>
    <n v="5.5119303521937102"/>
  </r>
  <r>
    <s v="Integrated AI"/>
    <x v="8"/>
    <x v="2"/>
    <s v="Wired Communications Electronics"/>
    <s v="Enterprise LAN"/>
    <s v="Semiconductor Revenue M$"/>
    <x v="6"/>
    <n v="6.9572038019633942"/>
  </r>
  <r>
    <s v="Integrated AI"/>
    <x v="8"/>
    <x v="3"/>
    <s v="Automotive Electronics"/>
    <s v="ADAS-ECU (Level-0/1/2)"/>
    <s v="Semiconductor Revenue M$"/>
    <x v="0"/>
    <n v="0.28708776440094758"/>
  </r>
  <r>
    <s v="Integrated AI"/>
    <x v="8"/>
    <x v="3"/>
    <s v="Automotive Electronics"/>
    <s v="ADAS-ECU (Level-0/1/2)"/>
    <s v="Semiconductor Revenue M$"/>
    <x v="1"/>
    <n v="0.87858209845172452"/>
  </r>
  <r>
    <s v="Integrated AI"/>
    <x v="8"/>
    <x v="3"/>
    <s v="Automotive Electronics"/>
    <s v="ADAS-ECU (Level-0/1/2)"/>
    <s v="Semiconductor Revenue M$"/>
    <x v="2"/>
    <n v="4.8241096142151259"/>
  </r>
  <r>
    <s v="Integrated AI"/>
    <x v="8"/>
    <x v="3"/>
    <s v="Automotive Electronics"/>
    <s v="ADAS-ECU (Level-0/1/2)"/>
    <s v="Semiconductor Revenue M$"/>
    <x v="3"/>
    <n v="20.93824136175061"/>
  </r>
  <r>
    <s v="Integrated AI"/>
    <x v="8"/>
    <x v="3"/>
    <s v="Automotive Electronics"/>
    <s v="ADAS-ECU (Level-0/1/2)"/>
    <s v="Semiconductor Revenue M$"/>
    <x v="4"/>
    <n v="42.466139874272088"/>
  </r>
  <r>
    <s v="Integrated AI"/>
    <x v="8"/>
    <x v="3"/>
    <s v="Automotive Electronics"/>
    <s v="ADAS-ECU (Level-0/1/2)"/>
    <s v="Semiconductor Revenue M$"/>
    <x v="5"/>
    <n v="57.671999646266606"/>
  </r>
  <r>
    <s v="Integrated AI"/>
    <x v="8"/>
    <x v="3"/>
    <s v="Automotive Electronics"/>
    <s v="ADAS-ECU (Level-0/1/2)"/>
    <s v="Semiconductor Revenue M$"/>
    <x v="6"/>
    <n v="68.326446743589955"/>
  </r>
  <r>
    <s v="Integrated AI"/>
    <x v="8"/>
    <x v="2"/>
    <s v="Wired Communications Electronics"/>
    <s v="Enterprise WAN"/>
    <s v="Semiconductor Revenue M$"/>
    <x v="0"/>
    <n v="0.90027632553610903"/>
  </r>
  <r>
    <s v="Integrated AI"/>
    <x v="8"/>
    <x v="2"/>
    <s v="Wired Communications Electronics"/>
    <s v="Enterprise WAN"/>
    <s v="Semiconductor Revenue M$"/>
    <x v="1"/>
    <n v="2.1904468055519497"/>
  </r>
  <r>
    <s v="Integrated AI"/>
    <x v="8"/>
    <x v="2"/>
    <s v="Wired Communications Electronics"/>
    <s v="Enterprise WAN"/>
    <s v="Semiconductor Revenue M$"/>
    <x v="2"/>
    <n v="4.9317761844342396"/>
  </r>
  <r>
    <s v="Integrated AI"/>
    <x v="8"/>
    <x v="2"/>
    <s v="Wired Communications Electronics"/>
    <s v="Enterprise WAN"/>
    <s v="Semiconductor Revenue M$"/>
    <x v="3"/>
    <n v="10.671810706469589"/>
  </r>
  <r>
    <s v="Integrated AI"/>
    <x v="8"/>
    <x v="2"/>
    <s v="Wired Communications Electronics"/>
    <s v="Enterprise WAN"/>
    <s v="Semiconductor Revenue M$"/>
    <x v="4"/>
    <n v="14.627474842302924"/>
  </r>
  <r>
    <s v="Integrated AI"/>
    <x v="8"/>
    <x v="2"/>
    <s v="Wired Communications Electronics"/>
    <s v="Enterprise WAN"/>
    <s v="Semiconductor Revenue M$"/>
    <x v="5"/>
    <n v="24.66853647577971"/>
  </r>
  <r>
    <s v="Integrated AI"/>
    <x v="8"/>
    <x v="2"/>
    <s v="Wired Communications Electronics"/>
    <s v="Enterprise WAN"/>
    <s v="Semiconductor Revenue M$"/>
    <x v="6"/>
    <n v="31.207713264444031"/>
  </r>
  <r>
    <s v="Integrated AI"/>
    <x v="8"/>
    <x v="2"/>
    <s v="Wired Communications Electronics"/>
    <s v="Optical Transport"/>
    <s v="Semiconductor Revenue M$"/>
    <x v="0"/>
    <n v="1.3914711940148872"/>
  </r>
  <r>
    <s v="Integrated AI"/>
    <x v="8"/>
    <x v="2"/>
    <s v="Wired Communications Electronics"/>
    <s v="Optical Transport"/>
    <s v="Semiconductor Revenue M$"/>
    <x v="1"/>
    <n v="3.2466793847971349"/>
  </r>
  <r>
    <s v="Integrated AI"/>
    <x v="8"/>
    <x v="2"/>
    <s v="Wired Communications Electronics"/>
    <s v="Optical Transport"/>
    <s v="Semiconductor Revenue M$"/>
    <x v="2"/>
    <n v="7.2899682222187909"/>
  </r>
  <r>
    <s v="Integrated AI"/>
    <x v="8"/>
    <x v="2"/>
    <s v="Wired Communications Electronics"/>
    <s v="Optical Transport"/>
    <s v="Semiconductor Revenue M$"/>
    <x v="3"/>
    <n v="16.150678364758061"/>
  </r>
  <r>
    <s v="Integrated AI"/>
    <x v="8"/>
    <x v="2"/>
    <s v="Wired Communications Electronics"/>
    <s v="Optical Transport"/>
    <s v="Semiconductor Revenue M$"/>
    <x v="4"/>
    <n v="22.399845182050939"/>
  </r>
  <r>
    <s v="Integrated AI"/>
    <x v="8"/>
    <x v="2"/>
    <s v="Wired Communications Electronics"/>
    <s v="Optical Transport"/>
    <s v="Semiconductor Revenue M$"/>
    <x v="5"/>
    <n v="37.478128300613136"/>
  </r>
  <r>
    <s v="Integrated AI"/>
    <x v="8"/>
    <x v="2"/>
    <s v="Wired Communications Electronics"/>
    <s v="Optical Transport"/>
    <s v="Semiconductor Revenue M$"/>
    <x v="6"/>
    <n v="46.973957253342604"/>
  </r>
  <r>
    <s v="Integrated AI"/>
    <x v="8"/>
    <x v="2"/>
    <s v="Wired Communications Electronics"/>
    <s v="Service Provider Routers and Switches"/>
    <s v="Semiconductor Revenue M$"/>
    <x v="0"/>
    <n v="1.1619874563207271"/>
  </r>
  <r>
    <s v="Integrated AI"/>
    <x v="8"/>
    <x v="2"/>
    <s v="Wired Communications Electronics"/>
    <s v="Service Provider Routers and Switches"/>
    <s v="Semiconductor Revenue M$"/>
    <x v="1"/>
    <n v="2.5910084291854187"/>
  </r>
  <r>
    <s v="Integrated AI"/>
    <x v="8"/>
    <x v="2"/>
    <s v="Wired Communications Electronics"/>
    <s v="Service Provider Routers and Switches"/>
    <s v="Semiconductor Revenue M$"/>
    <x v="2"/>
    <n v="5.6413675201836684"/>
  </r>
  <r>
    <s v="Integrated AI"/>
    <x v="8"/>
    <x v="2"/>
    <s v="Wired Communications Electronics"/>
    <s v="Service Provider Routers and Switches"/>
    <s v="Semiconductor Revenue M$"/>
    <x v="3"/>
    <n v="11.741284949651861"/>
  </r>
  <r>
    <s v="Integrated AI"/>
    <x v="8"/>
    <x v="2"/>
    <s v="Wired Communications Electronics"/>
    <s v="Service Provider Routers and Switches"/>
    <s v="Semiconductor Revenue M$"/>
    <x v="4"/>
    <n v="16.226205843851577"/>
  </r>
  <r>
    <s v="Integrated AI"/>
    <x v="8"/>
    <x v="2"/>
    <s v="Wired Communications Electronics"/>
    <s v="Service Provider Routers and Switches"/>
    <s v="Semiconductor Revenue M$"/>
    <x v="5"/>
    <n v="27.51268977379878"/>
  </r>
  <r>
    <s v="Integrated AI"/>
    <x v="8"/>
    <x v="2"/>
    <s v="Wired Communications Electronics"/>
    <s v="Service Provider Routers and Switches"/>
    <s v="Semiconductor Revenue M$"/>
    <x v="6"/>
    <n v="38.349125376678892"/>
  </r>
  <r>
    <s v="Integrated AI"/>
    <x v="8"/>
    <x v="2"/>
    <s v="Wired Communications Electronics"/>
    <s v="Other Wired Communications Electronics"/>
    <s v="Semiconductor Revenue M$"/>
    <x v="0"/>
    <n v="2.0941677222721027"/>
  </r>
  <r>
    <s v="Integrated AI"/>
    <x v="8"/>
    <x v="2"/>
    <s v="Wired Communications Electronics"/>
    <s v="Other Wired Communications Electronics"/>
    <s v="Semiconductor Revenue M$"/>
    <x v="1"/>
    <n v="5.0120223394657275"/>
  </r>
  <r>
    <s v="Integrated AI"/>
    <x v="8"/>
    <x v="2"/>
    <s v="Wired Communications Electronics"/>
    <s v="Other Wired Communications Electronics"/>
    <s v="Semiconductor Revenue M$"/>
    <x v="2"/>
    <n v="9.7249232821832798"/>
  </r>
  <r>
    <s v="Integrated AI"/>
    <x v="8"/>
    <x v="2"/>
    <s v="Wired Communications Electronics"/>
    <s v="Other Wired Communications Electronics"/>
    <s v="Semiconductor Revenue M$"/>
    <x v="3"/>
    <n v="18.896274595161124"/>
  </r>
  <r>
    <s v="Integrated AI"/>
    <x v="8"/>
    <x v="2"/>
    <s v="Wired Communications Electronics"/>
    <s v="Other Wired Communications Electronics"/>
    <s v="Semiconductor Revenue M$"/>
    <x v="4"/>
    <n v="23.953358342793166"/>
  </r>
  <r>
    <s v="Integrated AI"/>
    <x v="8"/>
    <x v="2"/>
    <s v="Wired Communications Electronics"/>
    <s v="Other Wired Communications Electronics"/>
    <s v="Semiconductor Revenue M$"/>
    <x v="5"/>
    <n v="37.00217353381602"/>
  </r>
  <r>
    <s v="Integrated AI"/>
    <x v="8"/>
    <x v="2"/>
    <s v="Wired Communications Electronics"/>
    <s v="Other Wired Communications Electronics"/>
    <s v="Semiconductor Revenue M$"/>
    <x v="6"/>
    <n v="47.398155980772856"/>
  </r>
  <r>
    <s v="Integrated AI"/>
    <x v="8"/>
    <x v="4"/>
    <s v="Consumer Electronics"/>
    <s v="Appliances"/>
    <s v="Semiconductor Revenue M$"/>
    <x v="0"/>
    <n v="1.1646430728710209"/>
  </r>
  <r>
    <s v="Integrated AI"/>
    <x v="8"/>
    <x v="4"/>
    <s v="Consumer Electronics"/>
    <s v="Appliances"/>
    <s v="Semiconductor Revenue M$"/>
    <x v="1"/>
    <n v="4.6936663145907183"/>
  </r>
  <r>
    <s v="Integrated AI"/>
    <x v="8"/>
    <x v="4"/>
    <s v="Consumer Electronics"/>
    <s v="Appliances"/>
    <s v="Semiconductor Revenue M$"/>
    <x v="2"/>
    <n v="17.422727578006231"/>
  </r>
  <r>
    <s v="Integrated AI"/>
    <x v="8"/>
    <x v="4"/>
    <s v="Consumer Electronics"/>
    <s v="Appliances"/>
    <s v="Semiconductor Revenue M$"/>
    <x v="3"/>
    <n v="57.474201089791485"/>
  </r>
  <r>
    <s v="Integrated AI"/>
    <x v="8"/>
    <x v="4"/>
    <s v="Consumer Electronics"/>
    <s v="Appliances"/>
    <s v="Semiconductor Revenue M$"/>
    <x v="4"/>
    <n v="82.598966497282831"/>
  </r>
  <r>
    <s v="Integrated AI"/>
    <x v="8"/>
    <x v="4"/>
    <s v="Consumer Electronics"/>
    <s v="Appliances"/>
    <s v="Semiconductor Revenue M$"/>
    <x v="5"/>
    <n v="124.08436857217472"/>
  </r>
  <r>
    <s v="Integrated AI"/>
    <x v="8"/>
    <x v="4"/>
    <s v="Consumer Electronics"/>
    <s v="Appliances"/>
    <s v="Semiconductor Revenue M$"/>
    <x v="6"/>
    <n v="239.69747535570696"/>
  </r>
  <r>
    <s v="Integrated AI"/>
    <x v="8"/>
    <x v="4"/>
    <s v="Consumer Electronics"/>
    <s v="Digital Camcorder"/>
    <s v="Semiconductor Revenue M$"/>
    <x v="0"/>
    <n v="0"/>
  </r>
  <r>
    <s v="Integrated AI"/>
    <x v="8"/>
    <x v="4"/>
    <s v="Consumer Electronics"/>
    <s v="Digital Camcorder"/>
    <s v="Semiconductor Revenue M$"/>
    <x v="1"/>
    <n v="0"/>
  </r>
  <r>
    <s v="Integrated AI"/>
    <x v="8"/>
    <x v="4"/>
    <s v="Consumer Electronics"/>
    <s v="Digital Camcorder"/>
    <s v="Semiconductor Revenue M$"/>
    <x v="2"/>
    <n v="0"/>
  </r>
  <r>
    <s v="Integrated AI"/>
    <x v="8"/>
    <x v="4"/>
    <s v="Consumer Electronics"/>
    <s v="Digital Camcorder"/>
    <s v="Semiconductor Revenue M$"/>
    <x v="3"/>
    <n v="0"/>
  </r>
  <r>
    <s v="Integrated AI"/>
    <x v="8"/>
    <x v="4"/>
    <s v="Consumer Electronics"/>
    <s v="Digital Camcorder"/>
    <s v="Semiconductor Revenue M$"/>
    <x v="4"/>
    <n v="0"/>
  </r>
  <r>
    <s v="Integrated AI"/>
    <x v="8"/>
    <x v="4"/>
    <s v="Consumer Electronics"/>
    <s v="Digital Camcorder"/>
    <s v="Semiconductor Revenue M$"/>
    <x v="5"/>
    <n v="0"/>
  </r>
  <r>
    <s v="Integrated AI"/>
    <x v="8"/>
    <x v="4"/>
    <s v="Consumer Electronics"/>
    <s v="Digital Camcorder"/>
    <s v="Semiconductor Revenue M$"/>
    <x v="6"/>
    <n v="0"/>
  </r>
  <r>
    <s v="Integrated AI"/>
    <x v="8"/>
    <x v="4"/>
    <s v="Consumer Electronics"/>
    <s v="Digital Set-Top Box, Cable"/>
    <s v="Semiconductor Revenue M$"/>
    <x v="0"/>
    <n v="0"/>
  </r>
  <r>
    <s v="Integrated AI"/>
    <x v="8"/>
    <x v="4"/>
    <s v="Consumer Electronics"/>
    <s v="Digital Set-Top Box, Cable"/>
    <s v="Semiconductor Revenue M$"/>
    <x v="1"/>
    <n v="0"/>
  </r>
  <r>
    <s v="Integrated AI"/>
    <x v="8"/>
    <x v="4"/>
    <s v="Consumer Electronics"/>
    <s v="Digital Set-Top Box, Cable"/>
    <s v="Semiconductor Revenue M$"/>
    <x v="2"/>
    <n v="0"/>
  </r>
  <r>
    <s v="Integrated AI"/>
    <x v="8"/>
    <x v="4"/>
    <s v="Consumer Electronics"/>
    <s v="Digital Set-Top Box, Cable"/>
    <s v="Semiconductor Revenue M$"/>
    <x v="3"/>
    <n v="0"/>
  </r>
  <r>
    <s v="Integrated AI"/>
    <x v="8"/>
    <x v="4"/>
    <s v="Consumer Electronics"/>
    <s v="Digital Set-Top Box, Cable"/>
    <s v="Semiconductor Revenue M$"/>
    <x v="4"/>
    <n v="0"/>
  </r>
  <r>
    <s v="Integrated AI"/>
    <x v="8"/>
    <x v="4"/>
    <s v="Consumer Electronics"/>
    <s v="Digital Set-Top Box, Cable"/>
    <s v="Semiconductor Revenue M$"/>
    <x v="5"/>
    <n v="0"/>
  </r>
  <r>
    <s v="Integrated AI"/>
    <x v="8"/>
    <x v="4"/>
    <s v="Consumer Electronics"/>
    <s v="Digital Set-Top Box, Cable"/>
    <s v="Semiconductor Revenue M$"/>
    <x v="6"/>
    <n v="0"/>
  </r>
  <r>
    <s v="Integrated AI"/>
    <x v="8"/>
    <x v="4"/>
    <s v="Consumer Electronics"/>
    <s v="Digital Set-Top Box, Satellite"/>
    <s v="Semiconductor Revenue M$"/>
    <x v="0"/>
    <n v="0"/>
  </r>
  <r>
    <s v="Integrated AI"/>
    <x v="8"/>
    <x v="4"/>
    <s v="Consumer Electronics"/>
    <s v="Digital Set-Top Box, Satellite"/>
    <s v="Semiconductor Revenue M$"/>
    <x v="1"/>
    <n v="0"/>
  </r>
  <r>
    <s v="Integrated AI"/>
    <x v="8"/>
    <x v="4"/>
    <s v="Consumer Electronics"/>
    <s v="Digital Set-Top Box, Satellite"/>
    <s v="Semiconductor Revenue M$"/>
    <x v="2"/>
    <n v="0"/>
  </r>
  <r>
    <s v="Integrated AI"/>
    <x v="8"/>
    <x v="4"/>
    <s v="Consumer Electronics"/>
    <s v="Digital Set-Top Box, Satellite"/>
    <s v="Semiconductor Revenue M$"/>
    <x v="3"/>
    <n v="0"/>
  </r>
  <r>
    <s v="Integrated AI"/>
    <x v="8"/>
    <x v="4"/>
    <s v="Consumer Electronics"/>
    <s v="Digital Set-Top Box, Satellite"/>
    <s v="Semiconductor Revenue M$"/>
    <x v="4"/>
    <n v="0"/>
  </r>
  <r>
    <s v="Integrated AI"/>
    <x v="8"/>
    <x v="4"/>
    <s v="Consumer Electronics"/>
    <s v="Digital Set-Top Box, Satellite"/>
    <s v="Semiconductor Revenue M$"/>
    <x v="5"/>
    <n v="0"/>
  </r>
  <r>
    <s v="Integrated AI"/>
    <x v="8"/>
    <x v="4"/>
    <s v="Consumer Electronics"/>
    <s v="Digital Set-Top Box, Satellite"/>
    <s v="Semiconductor Revenue M$"/>
    <x v="6"/>
    <n v="0"/>
  </r>
  <r>
    <s v="Integrated AI"/>
    <x v="8"/>
    <x v="4"/>
    <s v="Consumer Electronics"/>
    <s v="Digital Set-Top Box, Terrestrial"/>
    <s v="Semiconductor Revenue M$"/>
    <x v="0"/>
    <n v="0"/>
  </r>
  <r>
    <s v="Integrated AI"/>
    <x v="8"/>
    <x v="4"/>
    <s v="Consumer Electronics"/>
    <s v="Digital Set-Top Box, Terrestrial"/>
    <s v="Semiconductor Revenue M$"/>
    <x v="1"/>
    <n v="0"/>
  </r>
  <r>
    <s v="Integrated AI"/>
    <x v="8"/>
    <x v="4"/>
    <s v="Consumer Electronics"/>
    <s v="Digital Set-Top Box, Terrestrial"/>
    <s v="Semiconductor Revenue M$"/>
    <x v="2"/>
    <n v="0"/>
  </r>
  <r>
    <s v="Integrated AI"/>
    <x v="8"/>
    <x v="4"/>
    <s v="Consumer Electronics"/>
    <s v="Digital Set-Top Box, Terrestrial"/>
    <s v="Semiconductor Revenue M$"/>
    <x v="3"/>
    <n v="0"/>
  </r>
  <r>
    <s v="Integrated AI"/>
    <x v="8"/>
    <x v="4"/>
    <s v="Consumer Electronics"/>
    <s v="Digital Set-Top Box, Terrestrial"/>
    <s v="Semiconductor Revenue M$"/>
    <x v="4"/>
    <n v="0"/>
  </r>
  <r>
    <s v="Integrated AI"/>
    <x v="8"/>
    <x v="4"/>
    <s v="Consumer Electronics"/>
    <s v="Digital Set-Top Box, Terrestrial"/>
    <s v="Semiconductor Revenue M$"/>
    <x v="5"/>
    <n v="0"/>
  </r>
  <r>
    <s v="Integrated AI"/>
    <x v="8"/>
    <x v="4"/>
    <s v="Consumer Electronics"/>
    <s v="Digital Set-Top Box, Terrestrial"/>
    <s v="Semiconductor Revenue M$"/>
    <x v="6"/>
    <n v="0"/>
  </r>
  <r>
    <s v="Integrated AI"/>
    <x v="8"/>
    <x v="4"/>
    <s v="Consumer Electronics"/>
    <s v="Digital Set-Top Box, IP/Other"/>
    <s v="Semiconductor Revenue M$"/>
    <x v="0"/>
    <n v="0"/>
  </r>
  <r>
    <s v="Integrated AI"/>
    <x v="8"/>
    <x v="4"/>
    <s v="Consumer Electronics"/>
    <s v="Digital Set-Top Box, IP/Other"/>
    <s v="Semiconductor Revenue M$"/>
    <x v="1"/>
    <n v="0"/>
  </r>
  <r>
    <s v="Integrated AI"/>
    <x v="8"/>
    <x v="4"/>
    <s v="Consumer Electronics"/>
    <s v="Digital Set-Top Box, IP/Other"/>
    <s v="Semiconductor Revenue M$"/>
    <x v="2"/>
    <n v="0"/>
  </r>
  <r>
    <s v="Integrated AI"/>
    <x v="8"/>
    <x v="4"/>
    <s v="Consumer Electronics"/>
    <s v="Digital Set-Top Box, IP/Other"/>
    <s v="Semiconductor Revenue M$"/>
    <x v="3"/>
    <n v="0"/>
  </r>
  <r>
    <s v="Integrated AI"/>
    <x v="8"/>
    <x v="4"/>
    <s v="Consumer Electronics"/>
    <s v="Digital Set-Top Box, IP/Other"/>
    <s v="Semiconductor Revenue M$"/>
    <x v="4"/>
    <n v="0"/>
  </r>
  <r>
    <s v="Integrated AI"/>
    <x v="8"/>
    <x v="4"/>
    <s v="Consumer Electronics"/>
    <s v="Digital Set-Top Box, IP/Other"/>
    <s v="Semiconductor Revenue M$"/>
    <x v="5"/>
    <n v="0"/>
  </r>
  <r>
    <s v="Integrated AI"/>
    <x v="8"/>
    <x v="4"/>
    <s v="Consumer Electronics"/>
    <s v="Digital Set-Top Box, IP/Other"/>
    <s v="Semiconductor Revenue M$"/>
    <x v="6"/>
    <n v="0"/>
  </r>
  <r>
    <s v="Integrated AI"/>
    <x v="8"/>
    <x v="4"/>
    <s v="Consumer Electronics"/>
    <s v="Digital Still Camera"/>
    <s v="Semiconductor Revenue M$"/>
    <x v="0"/>
    <n v="0"/>
  </r>
  <r>
    <s v="Integrated AI"/>
    <x v="8"/>
    <x v="4"/>
    <s v="Consumer Electronics"/>
    <s v="Digital Still Camera"/>
    <s v="Semiconductor Revenue M$"/>
    <x v="1"/>
    <n v="0"/>
  </r>
  <r>
    <s v="Integrated AI"/>
    <x v="8"/>
    <x v="4"/>
    <s v="Consumer Electronics"/>
    <s v="Digital Still Camera"/>
    <s v="Semiconductor Revenue M$"/>
    <x v="2"/>
    <n v="0"/>
  </r>
  <r>
    <s v="Integrated AI"/>
    <x v="8"/>
    <x v="4"/>
    <s v="Consumer Electronics"/>
    <s v="Digital Still Camera"/>
    <s v="Semiconductor Revenue M$"/>
    <x v="3"/>
    <n v="0"/>
  </r>
  <r>
    <s v="Integrated AI"/>
    <x v="8"/>
    <x v="4"/>
    <s v="Consumer Electronics"/>
    <s v="Digital Still Camera"/>
    <s v="Semiconductor Revenue M$"/>
    <x v="4"/>
    <n v="0"/>
  </r>
  <r>
    <s v="Integrated AI"/>
    <x v="8"/>
    <x v="4"/>
    <s v="Consumer Electronics"/>
    <s v="Digital Still Camera"/>
    <s v="Semiconductor Revenue M$"/>
    <x v="5"/>
    <n v="0"/>
  </r>
  <r>
    <s v="Integrated AI"/>
    <x v="8"/>
    <x v="4"/>
    <s v="Consumer Electronics"/>
    <s v="Digital Still Camera"/>
    <s v="Semiconductor Revenue M$"/>
    <x v="6"/>
    <n v="0"/>
  </r>
  <r>
    <s v="Integrated AI"/>
    <x v="8"/>
    <x v="5"/>
    <s v="Industrial Electronics"/>
    <s v="Agriculture"/>
    <s v="Semiconductor Revenue M$"/>
    <x v="0"/>
    <n v="0"/>
  </r>
  <r>
    <s v="Integrated AI"/>
    <x v="8"/>
    <x v="5"/>
    <s v="Industrial Electronics"/>
    <s v="Agriculture"/>
    <s v="Semiconductor Revenue M$"/>
    <x v="1"/>
    <n v="0"/>
  </r>
  <r>
    <s v="Integrated AI"/>
    <x v="8"/>
    <x v="5"/>
    <s v="Industrial Electronics"/>
    <s v="Agriculture"/>
    <s v="Semiconductor Revenue M$"/>
    <x v="2"/>
    <n v="0"/>
  </r>
  <r>
    <s v="Integrated AI"/>
    <x v="8"/>
    <x v="5"/>
    <s v="Industrial Electronics"/>
    <s v="Agriculture"/>
    <s v="Semiconductor Revenue M$"/>
    <x v="3"/>
    <n v="8.3460987098771516E-3"/>
  </r>
  <r>
    <s v="Integrated AI"/>
    <x v="8"/>
    <x v="5"/>
    <s v="Industrial Electronics"/>
    <s v="Agriculture"/>
    <s v="Semiconductor Revenue M$"/>
    <x v="4"/>
    <n v="6.1885317839798289E-2"/>
  </r>
  <r>
    <s v="Integrated AI"/>
    <x v="8"/>
    <x v="5"/>
    <s v="Industrial Electronics"/>
    <s v="Agriculture"/>
    <s v="Semiconductor Revenue M$"/>
    <x v="5"/>
    <n v="9.7433760331943842E-2"/>
  </r>
  <r>
    <s v="Integrated AI"/>
    <x v="8"/>
    <x v="5"/>
    <s v="Industrial Electronics"/>
    <s v="Agriculture"/>
    <s v="Semiconductor Revenue M$"/>
    <x v="6"/>
    <n v="0.12092991261487432"/>
  </r>
  <r>
    <s v="Integrated AI"/>
    <x v="8"/>
    <x v="3"/>
    <s v="Automotive Electronics"/>
    <s v="Automotive HPC"/>
    <s v="Semiconductor Revenue M$"/>
    <x v="0"/>
    <n v="4.3536627180677036E-4"/>
  </r>
  <r>
    <s v="Integrated AI"/>
    <x v="8"/>
    <x v="3"/>
    <s v="Automotive Electronics"/>
    <s v="Automotive HPC"/>
    <s v="Semiconductor Revenue M$"/>
    <x v="1"/>
    <n v="6.0556723697370576E-3"/>
  </r>
  <r>
    <s v="Integrated AI"/>
    <x v="8"/>
    <x v="3"/>
    <s v="Automotive Electronics"/>
    <s v="Automotive HPC"/>
    <s v="Semiconductor Revenue M$"/>
    <x v="2"/>
    <n v="7.7929392216150833E-2"/>
  </r>
  <r>
    <s v="Integrated AI"/>
    <x v="8"/>
    <x v="3"/>
    <s v="Automotive Electronics"/>
    <s v="Automotive HPC"/>
    <s v="Semiconductor Revenue M$"/>
    <x v="3"/>
    <n v="0.86997800618955146"/>
  </r>
  <r>
    <s v="Integrated AI"/>
    <x v="8"/>
    <x v="3"/>
    <s v="Automotive Electronics"/>
    <s v="Automotive HPC"/>
    <s v="Semiconductor Revenue M$"/>
    <x v="4"/>
    <n v="6.4934719166140695"/>
  </r>
  <r>
    <s v="Integrated AI"/>
    <x v="8"/>
    <x v="3"/>
    <s v="Automotive Electronics"/>
    <s v="Automotive HPC"/>
    <s v="Semiconductor Revenue M$"/>
    <x v="5"/>
    <n v="11.385519207077435"/>
  </r>
  <r>
    <s v="Integrated AI"/>
    <x v="8"/>
    <x v="3"/>
    <s v="Automotive Electronics"/>
    <s v="Automotive HPC"/>
    <s v="Semiconductor Revenue M$"/>
    <x v="6"/>
    <n v="22.338122476208554"/>
  </r>
  <r>
    <s v="Integrated AI"/>
    <x v="8"/>
    <x v="5"/>
    <s v="Industrial Electronics"/>
    <s v="Surveillance"/>
    <s v="Semiconductor Revenue M$"/>
    <x v="0"/>
    <n v="0.64119210565087648"/>
  </r>
  <r>
    <s v="Integrated AI"/>
    <x v="8"/>
    <x v="5"/>
    <s v="Industrial Electronics"/>
    <s v="Surveillance"/>
    <s v="Semiconductor Revenue M$"/>
    <x v="1"/>
    <n v="4.3821733300442434"/>
  </r>
  <r>
    <s v="Integrated AI"/>
    <x v="8"/>
    <x v="5"/>
    <s v="Industrial Electronics"/>
    <s v="Surveillance"/>
    <s v="Semiconductor Revenue M$"/>
    <x v="2"/>
    <n v="8.534431581780801"/>
  </r>
  <r>
    <s v="Integrated AI"/>
    <x v="8"/>
    <x v="5"/>
    <s v="Industrial Electronics"/>
    <s v="Surveillance"/>
    <s v="Semiconductor Revenue M$"/>
    <x v="3"/>
    <n v="12.799764653903198"/>
  </r>
  <r>
    <s v="Integrated AI"/>
    <x v="8"/>
    <x v="5"/>
    <s v="Industrial Electronics"/>
    <s v="Surveillance"/>
    <s v="Semiconductor Revenue M$"/>
    <x v="4"/>
    <n v="19.473913260343522"/>
  </r>
  <r>
    <s v="Integrated AI"/>
    <x v="8"/>
    <x v="5"/>
    <s v="Industrial Electronics"/>
    <s v="Surveillance"/>
    <s v="Semiconductor Revenue M$"/>
    <x v="5"/>
    <n v="27.391752959465169"/>
  </r>
  <r>
    <s v="Integrated AI"/>
    <x v="8"/>
    <x v="5"/>
    <s v="Industrial Electronics"/>
    <s v="Surveillance"/>
    <s v="Semiconductor Revenue M$"/>
    <x v="6"/>
    <n v="33.72508272638531"/>
  </r>
  <r>
    <s v="Integrated AI"/>
    <x v="8"/>
    <x v="4"/>
    <s v="Consumer Electronics"/>
    <s v="Portable Media Players"/>
    <s v="Semiconductor Revenue M$"/>
    <x v="0"/>
    <n v="0"/>
  </r>
  <r>
    <s v="Integrated AI"/>
    <x v="8"/>
    <x v="4"/>
    <s v="Consumer Electronics"/>
    <s v="Portable Media Players"/>
    <s v="Semiconductor Revenue M$"/>
    <x v="1"/>
    <n v="0"/>
  </r>
  <r>
    <s v="Integrated AI"/>
    <x v="8"/>
    <x v="4"/>
    <s v="Consumer Electronics"/>
    <s v="Portable Media Players"/>
    <s v="Semiconductor Revenue M$"/>
    <x v="2"/>
    <n v="0"/>
  </r>
  <r>
    <s v="Integrated AI"/>
    <x v="8"/>
    <x v="4"/>
    <s v="Consumer Electronics"/>
    <s v="Portable Media Players"/>
    <s v="Semiconductor Revenue M$"/>
    <x v="3"/>
    <n v="0"/>
  </r>
  <r>
    <s v="Integrated AI"/>
    <x v="8"/>
    <x v="4"/>
    <s v="Consumer Electronics"/>
    <s v="Portable Media Players"/>
    <s v="Semiconductor Revenue M$"/>
    <x v="4"/>
    <n v="0"/>
  </r>
  <r>
    <s v="Integrated AI"/>
    <x v="8"/>
    <x v="4"/>
    <s v="Consumer Electronics"/>
    <s v="Portable Media Players"/>
    <s v="Semiconductor Revenue M$"/>
    <x v="5"/>
    <n v="0"/>
  </r>
  <r>
    <s v="Integrated AI"/>
    <x v="8"/>
    <x v="4"/>
    <s v="Consumer Electronics"/>
    <s v="Portable Media Players"/>
    <s v="Semiconductor Revenue M$"/>
    <x v="6"/>
    <n v="0"/>
  </r>
  <r>
    <s v="Integrated AI"/>
    <x v="8"/>
    <x v="4"/>
    <s v="Consumer Electronics"/>
    <s v="Smart Speakers"/>
    <s v="Semiconductor Revenue M$"/>
    <x v="0"/>
    <n v="0"/>
  </r>
  <r>
    <s v="Integrated AI"/>
    <x v="8"/>
    <x v="4"/>
    <s v="Consumer Electronics"/>
    <s v="Smart Speakers"/>
    <s v="Semiconductor Revenue M$"/>
    <x v="1"/>
    <n v="0"/>
  </r>
  <r>
    <s v="Integrated AI"/>
    <x v="8"/>
    <x v="4"/>
    <s v="Consumer Electronics"/>
    <s v="Smart Speakers"/>
    <s v="Semiconductor Revenue M$"/>
    <x v="2"/>
    <n v="0"/>
  </r>
  <r>
    <s v="Integrated AI"/>
    <x v="8"/>
    <x v="4"/>
    <s v="Consumer Electronics"/>
    <s v="Smart Speakers"/>
    <s v="Semiconductor Revenue M$"/>
    <x v="3"/>
    <n v="0"/>
  </r>
  <r>
    <s v="Integrated AI"/>
    <x v="8"/>
    <x v="4"/>
    <s v="Consumer Electronics"/>
    <s v="Smart Speakers"/>
    <s v="Semiconductor Revenue M$"/>
    <x v="4"/>
    <n v="0"/>
  </r>
  <r>
    <s v="Integrated AI"/>
    <x v="8"/>
    <x v="4"/>
    <s v="Consumer Electronics"/>
    <s v="Smart Speakers"/>
    <s v="Semiconductor Revenue M$"/>
    <x v="5"/>
    <n v="0"/>
  </r>
  <r>
    <s v="Integrated AI"/>
    <x v="8"/>
    <x v="4"/>
    <s v="Consumer Electronics"/>
    <s v="Smart Speakers"/>
    <s v="Semiconductor Revenue M$"/>
    <x v="6"/>
    <n v="0"/>
  </r>
  <r>
    <s v="Integrated AI"/>
    <x v="8"/>
    <x v="4"/>
    <s v="Consumer Electronics"/>
    <s v="TV, Standard"/>
    <s v="Semiconductor Revenue M$"/>
    <x v="0"/>
    <n v="0"/>
  </r>
  <r>
    <s v="Integrated AI"/>
    <x v="8"/>
    <x v="4"/>
    <s v="Consumer Electronics"/>
    <s v="TV, Standard"/>
    <s v="Semiconductor Revenue M$"/>
    <x v="1"/>
    <n v="0"/>
  </r>
  <r>
    <s v="Integrated AI"/>
    <x v="8"/>
    <x v="4"/>
    <s v="Consumer Electronics"/>
    <s v="TV, Standard"/>
    <s v="Semiconductor Revenue M$"/>
    <x v="2"/>
    <n v="0"/>
  </r>
  <r>
    <s v="Integrated AI"/>
    <x v="8"/>
    <x v="4"/>
    <s v="Consumer Electronics"/>
    <s v="TV, Standard"/>
    <s v="Semiconductor Revenue M$"/>
    <x v="3"/>
    <n v="0"/>
  </r>
  <r>
    <s v="Integrated AI"/>
    <x v="8"/>
    <x v="4"/>
    <s v="Consumer Electronics"/>
    <s v="TV, Standard"/>
    <s v="Semiconductor Revenue M$"/>
    <x v="4"/>
    <n v="0"/>
  </r>
  <r>
    <s v="Integrated AI"/>
    <x v="8"/>
    <x v="4"/>
    <s v="Consumer Electronics"/>
    <s v="TV, Standard"/>
    <s v="Semiconductor Revenue M$"/>
    <x v="5"/>
    <n v="0"/>
  </r>
  <r>
    <s v="Integrated AI"/>
    <x v="8"/>
    <x v="4"/>
    <s v="Consumer Electronics"/>
    <s v="TV, Standard"/>
    <s v="Semiconductor Revenue M$"/>
    <x v="6"/>
    <n v="0"/>
  </r>
  <r>
    <s v="Integrated AI"/>
    <x v="8"/>
    <x v="4"/>
    <s v="Consumer Electronics"/>
    <s v="TV, Smart"/>
    <s v="Semiconductor Revenue M$"/>
    <x v="0"/>
    <n v="1.1226105320590543"/>
  </r>
  <r>
    <s v="Integrated AI"/>
    <x v="8"/>
    <x v="4"/>
    <s v="Consumer Electronics"/>
    <s v="TV, Smart"/>
    <s v="Semiconductor Revenue M$"/>
    <x v="1"/>
    <n v="2.4788023205052609"/>
  </r>
  <r>
    <s v="Integrated AI"/>
    <x v="8"/>
    <x v="4"/>
    <s v="Consumer Electronics"/>
    <s v="TV, Smart"/>
    <s v="Semiconductor Revenue M$"/>
    <x v="2"/>
    <n v="5.2505242071272065"/>
  </r>
  <r>
    <s v="Integrated AI"/>
    <x v="8"/>
    <x v="4"/>
    <s v="Consumer Electronics"/>
    <s v="TV, Smart"/>
    <s v="Semiconductor Revenue M$"/>
    <x v="3"/>
    <n v="15.805421052113015"/>
  </r>
  <r>
    <s v="Integrated AI"/>
    <x v="8"/>
    <x v="4"/>
    <s v="Consumer Electronics"/>
    <s v="TV, Smart"/>
    <s v="Semiconductor Revenue M$"/>
    <x v="4"/>
    <n v="28.207285867441872"/>
  </r>
  <r>
    <s v="Integrated AI"/>
    <x v="8"/>
    <x v="4"/>
    <s v="Consumer Electronics"/>
    <s v="TV, Smart"/>
    <s v="Semiconductor Revenue M$"/>
    <x v="5"/>
    <n v="38.742898695891576"/>
  </r>
  <r>
    <s v="Integrated AI"/>
    <x v="8"/>
    <x v="4"/>
    <s v="Consumer Electronics"/>
    <s v="TV, Smart"/>
    <s v="Semiconductor Revenue M$"/>
    <x v="6"/>
    <n v="67.681528172149243"/>
  </r>
  <r>
    <s v="Integrated AI"/>
    <x v="8"/>
    <x v="4"/>
    <s v="Consumer Electronics"/>
    <s v="Video Game Consoles"/>
    <s v="Semiconductor Revenue M$"/>
    <x v="0"/>
    <n v="5.9875204701229645"/>
  </r>
  <r>
    <s v="Integrated AI"/>
    <x v="8"/>
    <x v="4"/>
    <s v="Consumer Electronics"/>
    <s v="Video Game Consoles"/>
    <s v="Semiconductor Revenue M$"/>
    <x v="1"/>
    <n v="10.678835889199073"/>
  </r>
  <r>
    <s v="Integrated AI"/>
    <x v="8"/>
    <x v="4"/>
    <s v="Consumer Electronics"/>
    <s v="Video Game Consoles"/>
    <s v="Semiconductor Revenue M$"/>
    <x v="2"/>
    <n v="20.317217829517062"/>
  </r>
  <r>
    <s v="Integrated AI"/>
    <x v="8"/>
    <x v="4"/>
    <s v="Consumer Electronics"/>
    <s v="Video Game Consoles"/>
    <s v="Semiconductor Revenue M$"/>
    <x v="3"/>
    <n v="26.817399618596387"/>
  </r>
  <r>
    <s v="Integrated AI"/>
    <x v="8"/>
    <x v="4"/>
    <s v="Consumer Electronics"/>
    <s v="Video Game Consoles"/>
    <s v="Semiconductor Revenue M$"/>
    <x v="4"/>
    <n v="24.385057276035006"/>
  </r>
  <r>
    <s v="Integrated AI"/>
    <x v="8"/>
    <x v="4"/>
    <s v="Consumer Electronics"/>
    <s v="Video Game Consoles"/>
    <s v="Semiconductor Revenue M$"/>
    <x v="5"/>
    <n v="25.835345011592583"/>
  </r>
  <r>
    <s v="Integrated AI"/>
    <x v="8"/>
    <x v="4"/>
    <s v="Consumer Electronics"/>
    <s v="Video Game Consoles"/>
    <s v="Semiconductor Revenue M$"/>
    <x v="6"/>
    <n v="29.086867516482325"/>
  </r>
  <r>
    <s v="Integrated AI"/>
    <x v="8"/>
    <x v="4"/>
    <s v="Consumer Electronics"/>
    <s v="Video Game Handhelds"/>
    <s v="Semiconductor Revenue M$"/>
    <x v="0"/>
    <n v="0.43054234764110155"/>
  </r>
  <r>
    <s v="Integrated AI"/>
    <x v="8"/>
    <x v="4"/>
    <s v="Consumer Electronics"/>
    <s v="Video Game Handhelds"/>
    <s v="Semiconductor Revenue M$"/>
    <x v="1"/>
    <n v="0.45500145962343796"/>
  </r>
  <r>
    <s v="Integrated AI"/>
    <x v="8"/>
    <x v="4"/>
    <s v="Consumer Electronics"/>
    <s v="Video Game Handhelds"/>
    <s v="Semiconductor Revenue M$"/>
    <x v="2"/>
    <n v="0.60449625932929085"/>
  </r>
  <r>
    <s v="Integrated AI"/>
    <x v="8"/>
    <x v="4"/>
    <s v="Consumer Electronics"/>
    <s v="Video Game Handhelds"/>
    <s v="Semiconductor Revenue M$"/>
    <x v="3"/>
    <n v="0.97740638363173982"/>
  </r>
  <r>
    <s v="Integrated AI"/>
    <x v="8"/>
    <x v="4"/>
    <s v="Consumer Electronics"/>
    <s v="Video Game Handhelds"/>
    <s v="Semiconductor Revenue M$"/>
    <x v="4"/>
    <n v="1.300875569778128"/>
  </r>
  <r>
    <s v="Integrated AI"/>
    <x v="8"/>
    <x v="4"/>
    <s v="Consumer Electronics"/>
    <s v="Video Game Handhelds"/>
    <s v="Semiconductor Revenue M$"/>
    <x v="5"/>
    <n v="2.6884432935729055"/>
  </r>
  <r>
    <s v="Integrated AI"/>
    <x v="8"/>
    <x v="4"/>
    <s v="Consumer Electronics"/>
    <s v="Video Game Handhelds"/>
    <s v="Semiconductor Revenue M$"/>
    <x v="6"/>
    <n v="4.8104816274999322"/>
  </r>
  <r>
    <s v="Integrated AI"/>
    <x v="8"/>
    <x v="4"/>
    <s v="Consumer Electronics"/>
    <s v="Wristbands"/>
    <s v="Semiconductor Revenue M$"/>
    <x v="0"/>
    <n v="0"/>
  </r>
  <r>
    <s v="Integrated AI"/>
    <x v="8"/>
    <x v="4"/>
    <s v="Consumer Electronics"/>
    <s v="Wristbands"/>
    <s v="Semiconductor Revenue M$"/>
    <x v="1"/>
    <n v="0"/>
  </r>
  <r>
    <s v="Integrated AI"/>
    <x v="8"/>
    <x v="4"/>
    <s v="Consumer Electronics"/>
    <s v="Wristbands"/>
    <s v="Semiconductor Revenue M$"/>
    <x v="2"/>
    <n v="0"/>
  </r>
  <r>
    <s v="Integrated AI"/>
    <x v="8"/>
    <x v="4"/>
    <s v="Consumer Electronics"/>
    <s v="Wristbands"/>
    <s v="Semiconductor Revenue M$"/>
    <x v="3"/>
    <n v="0"/>
  </r>
  <r>
    <s v="Integrated AI"/>
    <x v="8"/>
    <x v="4"/>
    <s v="Consumer Electronics"/>
    <s v="Wristbands"/>
    <s v="Semiconductor Revenue M$"/>
    <x v="4"/>
    <n v="0"/>
  </r>
  <r>
    <s v="Integrated AI"/>
    <x v="8"/>
    <x v="4"/>
    <s v="Consumer Electronics"/>
    <s v="Wristbands"/>
    <s v="Semiconductor Revenue M$"/>
    <x v="5"/>
    <n v="0"/>
  </r>
  <r>
    <s v="Integrated AI"/>
    <x v="8"/>
    <x v="4"/>
    <s v="Consumer Electronics"/>
    <s v="Wristbands"/>
    <s v="Semiconductor Revenue M$"/>
    <x v="6"/>
    <n v="0"/>
  </r>
  <r>
    <s v="Integrated AI"/>
    <x v="8"/>
    <x v="4"/>
    <s v="Consumer Electronics"/>
    <s v="Head Mounted Display"/>
    <s v="Semiconductor Revenue M$"/>
    <x v="0"/>
    <n v="0"/>
  </r>
  <r>
    <s v="Integrated AI"/>
    <x v="8"/>
    <x v="4"/>
    <s v="Consumer Electronics"/>
    <s v="Head Mounted Display"/>
    <s v="Semiconductor Revenue M$"/>
    <x v="1"/>
    <n v="0"/>
  </r>
  <r>
    <s v="Integrated AI"/>
    <x v="8"/>
    <x v="4"/>
    <s v="Consumer Electronics"/>
    <s v="Head Mounted Display"/>
    <s v="Semiconductor Revenue M$"/>
    <x v="2"/>
    <n v="0"/>
  </r>
  <r>
    <s v="Integrated AI"/>
    <x v="8"/>
    <x v="4"/>
    <s v="Consumer Electronics"/>
    <s v="Head Mounted Display"/>
    <s v="Semiconductor Revenue M$"/>
    <x v="3"/>
    <n v="0"/>
  </r>
  <r>
    <s v="Integrated AI"/>
    <x v="8"/>
    <x v="4"/>
    <s v="Consumer Electronics"/>
    <s v="Head Mounted Display"/>
    <s v="Semiconductor Revenue M$"/>
    <x v="4"/>
    <n v="0.16889180912662538"/>
  </r>
  <r>
    <s v="Integrated AI"/>
    <x v="8"/>
    <x v="4"/>
    <s v="Consumer Electronics"/>
    <s v="Head Mounted Display"/>
    <s v="Semiconductor Revenue M$"/>
    <x v="5"/>
    <n v="0.30741572159775915"/>
  </r>
  <r>
    <s v="Integrated AI"/>
    <x v="8"/>
    <x v="4"/>
    <s v="Consumer Electronics"/>
    <s v="Head Mounted Display"/>
    <s v="Semiconductor Revenue M$"/>
    <x v="6"/>
    <n v="0"/>
  </r>
  <r>
    <s v="Integrated AI"/>
    <x v="8"/>
    <x v="4"/>
    <s v="Consumer Electronics"/>
    <s v="Smart Watches"/>
    <s v="Semiconductor Revenue M$"/>
    <x v="0"/>
    <n v="0.38044476324140863"/>
  </r>
  <r>
    <s v="Integrated AI"/>
    <x v="8"/>
    <x v="4"/>
    <s v="Consumer Electronics"/>
    <s v="Smart Watches"/>
    <s v="Semiconductor Revenue M$"/>
    <x v="1"/>
    <n v="0.94331630589822746"/>
  </r>
  <r>
    <s v="Integrated AI"/>
    <x v="8"/>
    <x v="4"/>
    <s v="Consumer Electronics"/>
    <s v="Smart Watches"/>
    <s v="Semiconductor Revenue M$"/>
    <x v="2"/>
    <n v="2.2053942375155482"/>
  </r>
  <r>
    <s v="Integrated AI"/>
    <x v="8"/>
    <x v="4"/>
    <s v="Consumer Electronics"/>
    <s v="Smart Watches"/>
    <s v="Semiconductor Revenue M$"/>
    <x v="3"/>
    <n v="4.8671593017209736"/>
  </r>
  <r>
    <s v="Integrated AI"/>
    <x v="8"/>
    <x v="4"/>
    <s v="Consumer Electronics"/>
    <s v="Smart Watches"/>
    <s v="Semiconductor Revenue M$"/>
    <x v="4"/>
    <n v="10.510803275782035"/>
  </r>
  <r>
    <s v="Integrated AI"/>
    <x v="8"/>
    <x v="4"/>
    <s v="Consumer Electronics"/>
    <s v="Smart Watches"/>
    <s v="Semiconductor Revenue M$"/>
    <x v="5"/>
    <n v="20.140788549744055"/>
  </r>
  <r>
    <s v="Integrated AI"/>
    <x v="8"/>
    <x v="4"/>
    <s v="Consumer Electronics"/>
    <s v="Smart Watches"/>
    <s v="Semiconductor Revenue M$"/>
    <x v="6"/>
    <n v="35.42628626063442"/>
  </r>
  <r>
    <s v="Integrated AI"/>
    <x v="8"/>
    <x v="4"/>
    <s v="Consumer Electronics"/>
    <s v="Sports Watches"/>
    <s v="Semiconductor Revenue M$"/>
    <x v="0"/>
    <n v="0"/>
  </r>
  <r>
    <s v="Integrated AI"/>
    <x v="8"/>
    <x v="4"/>
    <s v="Consumer Electronics"/>
    <s v="Sports Watches"/>
    <s v="Semiconductor Revenue M$"/>
    <x v="1"/>
    <n v="0"/>
  </r>
  <r>
    <s v="Integrated AI"/>
    <x v="8"/>
    <x v="4"/>
    <s v="Consumer Electronics"/>
    <s v="Sports Watches"/>
    <s v="Semiconductor Revenue M$"/>
    <x v="2"/>
    <n v="0"/>
  </r>
  <r>
    <s v="Integrated AI"/>
    <x v="8"/>
    <x v="4"/>
    <s v="Consumer Electronics"/>
    <s v="Sports Watches"/>
    <s v="Semiconductor Revenue M$"/>
    <x v="3"/>
    <n v="0"/>
  </r>
  <r>
    <s v="Integrated AI"/>
    <x v="8"/>
    <x v="4"/>
    <s v="Consumer Electronics"/>
    <s v="Sports Watches"/>
    <s v="Semiconductor Revenue M$"/>
    <x v="4"/>
    <n v="0"/>
  </r>
  <r>
    <s v="Integrated AI"/>
    <x v="8"/>
    <x v="4"/>
    <s v="Consumer Electronics"/>
    <s v="Sports Watches"/>
    <s v="Semiconductor Revenue M$"/>
    <x v="5"/>
    <n v="0"/>
  </r>
  <r>
    <s v="Integrated AI"/>
    <x v="8"/>
    <x v="4"/>
    <s v="Consumer Electronics"/>
    <s v="Sports Watches"/>
    <s v="Semiconductor Revenue M$"/>
    <x v="6"/>
    <n v="0"/>
  </r>
  <r>
    <s v="Integrated AI"/>
    <x v="8"/>
    <x v="4"/>
    <s v="Consumer Electronics"/>
    <s v="Other Consumer Electronics"/>
    <s v="Semiconductor Revenue M$"/>
    <x v="0"/>
    <n v="5.2650201314624061"/>
  </r>
  <r>
    <s v="Integrated AI"/>
    <x v="8"/>
    <x v="4"/>
    <s v="Consumer Electronics"/>
    <s v="Other Consumer Electronics"/>
    <s v="Semiconductor Revenue M$"/>
    <x v="1"/>
    <n v="15.449935266588097"/>
  </r>
  <r>
    <s v="Integrated AI"/>
    <x v="8"/>
    <x v="4"/>
    <s v="Consumer Electronics"/>
    <s v="Other Consumer Electronics"/>
    <s v="Semiconductor Revenue M$"/>
    <x v="2"/>
    <n v="51.666136128718961"/>
  </r>
  <r>
    <s v="Integrated AI"/>
    <x v="8"/>
    <x v="4"/>
    <s v="Consumer Electronics"/>
    <s v="Other Consumer Electronics"/>
    <s v="Semiconductor Revenue M$"/>
    <x v="3"/>
    <n v="62.561896195078226"/>
  </r>
  <r>
    <s v="Integrated AI"/>
    <x v="8"/>
    <x v="4"/>
    <s v="Consumer Electronics"/>
    <s v="Other Consumer Electronics"/>
    <s v="Semiconductor Revenue M$"/>
    <x v="4"/>
    <n v="89.313185810220517"/>
  </r>
  <r>
    <s v="Integrated AI"/>
    <x v="8"/>
    <x v="4"/>
    <s v="Consumer Electronics"/>
    <s v="Other Consumer Electronics"/>
    <s v="Semiconductor Revenue M$"/>
    <x v="5"/>
    <n v="136.65401324346178"/>
  </r>
  <r>
    <s v="Integrated AI"/>
    <x v="8"/>
    <x v="4"/>
    <s v="Consumer Electronics"/>
    <s v="Other Consumer Electronics"/>
    <s v="Semiconductor Revenue M$"/>
    <x v="6"/>
    <n v="237.74885837311948"/>
  </r>
  <r>
    <s v="Integrated AI"/>
    <x v="8"/>
    <x v="3"/>
    <s v="Automotive Electronics"/>
    <s v="ADAS-Sensors and Connectivity"/>
    <s v="Semiconductor Revenue M$"/>
    <x v="0"/>
    <n v="1.1566647485818788"/>
  </r>
  <r>
    <s v="Integrated AI"/>
    <x v="8"/>
    <x v="3"/>
    <s v="Automotive Electronics"/>
    <s v="ADAS-Sensors and Connectivity"/>
    <s v="Semiconductor Revenue M$"/>
    <x v="1"/>
    <n v="3.6895625459980277"/>
  </r>
  <r>
    <s v="Integrated AI"/>
    <x v="8"/>
    <x v="3"/>
    <s v="Automotive Electronics"/>
    <s v="ADAS-Sensors and Connectivity"/>
    <s v="Semiconductor Revenue M$"/>
    <x v="2"/>
    <n v="6.4240782505071907"/>
  </r>
  <r>
    <s v="Integrated AI"/>
    <x v="8"/>
    <x v="3"/>
    <s v="Automotive Electronics"/>
    <s v="ADAS-Sensors and Connectivity"/>
    <s v="Semiconductor Revenue M$"/>
    <x v="3"/>
    <n v="11.85551834949475"/>
  </r>
  <r>
    <s v="Integrated AI"/>
    <x v="8"/>
    <x v="3"/>
    <s v="Automotive Electronics"/>
    <s v="ADAS-Sensors and Connectivity"/>
    <s v="Semiconductor Revenue M$"/>
    <x v="4"/>
    <n v="13.379291657569434"/>
  </r>
  <r>
    <s v="Integrated AI"/>
    <x v="8"/>
    <x v="3"/>
    <s v="Automotive Electronics"/>
    <s v="ADAS-Sensors and Connectivity"/>
    <s v="Semiconductor Revenue M$"/>
    <x v="5"/>
    <n v="30.700204948855806"/>
  </r>
  <r>
    <s v="Integrated AI"/>
    <x v="8"/>
    <x v="3"/>
    <s v="Automotive Electronics"/>
    <s v="ADAS-Sensors and Connectivity"/>
    <s v="Semiconductor Revenue M$"/>
    <x v="6"/>
    <n v="46.926380918019802"/>
  </r>
  <r>
    <s v="Integrated AI"/>
    <x v="8"/>
    <x v="3"/>
    <s v="Automotive Electronics"/>
    <s v="Body"/>
    <s v="Semiconductor Revenue M$"/>
    <x v="0"/>
    <n v="0"/>
  </r>
  <r>
    <s v="Integrated AI"/>
    <x v="8"/>
    <x v="3"/>
    <s v="Automotive Electronics"/>
    <s v="Body"/>
    <s v="Semiconductor Revenue M$"/>
    <x v="1"/>
    <n v="0"/>
  </r>
  <r>
    <s v="Integrated AI"/>
    <x v="8"/>
    <x v="3"/>
    <s v="Automotive Electronics"/>
    <s v="Body"/>
    <s v="Semiconductor Revenue M$"/>
    <x v="2"/>
    <n v="0"/>
  </r>
  <r>
    <s v="Integrated AI"/>
    <x v="8"/>
    <x v="3"/>
    <s v="Automotive Electronics"/>
    <s v="Body"/>
    <s v="Semiconductor Revenue M$"/>
    <x v="3"/>
    <n v="0"/>
  </r>
  <r>
    <s v="Integrated AI"/>
    <x v="8"/>
    <x v="3"/>
    <s v="Automotive Electronics"/>
    <s v="Body"/>
    <s v="Semiconductor Revenue M$"/>
    <x v="4"/>
    <n v="0"/>
  </r>
  <r>
    <s v="Integrated AI"/>
    <x v="8"/>
    <x v="3"/>
    <s v="Automotive Electronics"/>
    <s v="Body"/>
    <s v="Semiconductor Revenue M$"/>
    <x v="5"/>
    <n v="0"/>
  </r>
  <r>
    <s v="Integrated AI"/>
    <x v="8"/>
    <x v="3"/>
    <s v="Automotive Electronics"/>
    <s v="Body"/>
    <s v="Semiconductor Revenue M$"/>
    <x v="6"/>
    <n v="0"/>
  </r>
  <r>
    <s v="Integrated AI"/>
    <x v="8"/>
    <x v="3"/>
    <s v="Automotive Electronics"/>
    <s v="Chassis"/>
    <s v="Semiconductor Revenue M$"/>
    <x v="0"/>
    <n v="0"/>
  </r>
  <r>
    <s v="Integrated AI"/>
    <x v="8"/>
    <x v="3"/>
    <s v="Automotive Electronics"/>
    <s v="Chassis"/>
    <s v="Semiconductor Revenue M$"/>
    <x v="1"/>
    <n v="0"/>
  </r>
  <r>
    <s v="Integrated AI"/>
    <x v="8"/>
    <x v="3"/>
    <s v="Automotive Electronics"/>
    <s v="Chassis"/>
    <s v="Semiconductor Revenue M$"/>
    <x v="2"/>
    <n v="0"/>
  </r>
  <r>
    <s v="Integrated AI"/>
    <x v="8"/>
    <x v="3"/>
    <s v="Automotive Electronics"/>
    <s v="Chassis"/>
    <s v="Semiconductor Revenue M$"/>
    <x v="3"/>
    <n v="0"/>
  </r>
  <r>
    <s v="Integrated AI"/>
    <x v="8"/>
    <x v="3"/>
    <s v="Automotive Electronics"/>
    <s v="Chassis"/>
    <s v="Semiconductor Revenue M$"/>
    <x v="4"/>
    <n v="0"/>
  </r>
  <r>
    <s v="Integrated AI"/>
    <x v="8"/>
    <x v="3"/>
    <s v="Automotive Electronics"/>
    <s v="Chassis"/>
    <s v="Semiconductor Revenue M$"/>
    <x v="5"/>
    <n v="0"/>
  </r>
  <r>
    <s v="Integrated AI"/>
    <x v="8"/>
    <x v="3"/>
    <s v="Automotive Electronics"/>
    <s v="Chassis"/>
    <s v="Semiconductor Revenue M$"/>
    <x v="6"/>
    <n v="0"/>
  </r>
  <r>
    <s v="Integrated AI"/>
    <x v="8"/>
    <x v="3"/>
    <s v="Automotive Electronics"/>
    <s v="EV/HEV"/>
    <s v="Semiconductor Revenue M$"/>
    <x v="0"/>
    <n v="0.58955123407243282"/>
  </r>
  <r>
    <s v="Integrated AI"/>
    <x v="8"/>
    <x v="3"/>
    <s v="Automotive Electronics"/>
    <s v="EV/HEV"/>
    <s v="Semiconductor Revenue M$"/>
    <x v="1"/>
    <n v="2.9701810502559378"/>
  </r>
  <r>
    <s v="Integrated AI"/>
    <x v="8"/>
    <x v="3"/>
    <s v="Automotive Electronics"/>
    <s v="EV/HEV"/>
    <s v="Semiconductor Revenue M$"/>
    <x v="2"/>
    <n v="11.103652111512357"/>
  </r>
  <r>
    <s v="Integrated AI"/>
    <x v="8"/>
    <x v="3"/>
    <s v="Automotive Electronics"/>
    <s v="EV/HEV"/>
    <s v="Semiconductor Revenue M$"/>
    <x v="3"/>
    <n v="37.983983817922393"/>
  </r>
  <r>
    <s v="Integrated AI"/>
    <x v="8"/>
    <x v="3"/>
    <s v="Automotive Electronics"/>
    <s v="EV/HEV"/>
    <s v="Semiconductor Revenue M$"/>
    <x v="4"/>
    <n v="124.43755187267516"/>
  </r>
  <r>
    <s v="Integrated AI"/>
    <x v="8"/>
    <x v="3"/>
    <s v="Automotive Electronics"/>
    <s v="EV/HEV"/>
    <s v="Semiconductor Revenue M$"/>
    <x v="5"/>
    <n v="168.85763587514572"/>
  </r>
  <r>
    <s v="Integrated AI"/>
    <x v="8"/>
    <x v="3"/>
    <s v="Automotive Electronics"/>
    <s v="EV/HEV"/>
    <s v="Semiconductor Revenue M$"/>
    <x v="6"/>
    <n v="273.17922096816204"/>
  </r>
  <r>
    <s v="Integrated AI"/>
    <x v="8"/>
    <x v="3"/>
    <s v="Automotive Electronics"/>
    <s v="Infotainment"/>
    <s v="Semiconductor Revenue M$"/>
    <x v="0"/>
    <n v="0.33363240365385038"/>
  </r>
  <r>
    <s v="Integrated AI"/>
    <x v="8"/>
    <x v="3"/>
    <s v="Automotive Electronics"/>
    <s v="Infotainment"/>
    <s v="Semiconductor Revenue M$"/>
    <x v="1"/>
    <n v="1.011895949112229"/>
  </r>
  <r>
    <s v="Integrated AI"/>
    <x v="8"/>
    <x v="3"/>
    <s v="Automotive Electronics"/>
    <s v="Infotainment"/>
    <s v="Semiconductor Revenue M$"/>
    <x v="2"/>
    <n v="2.8857520183437977"/>
  </r>
  <r>
    <s v="Integrated AI"/>
    <x v="8"/>
    <x v="3"/>
    <s v="Automotive Electronics"/>
    <s v="Infotainment"/>
    <s v="Semiconductor Revenue M$"/>
    <x v="3"/>
    <n v="34.872505816625548"/>
  </r>
  <r>
    <s v="Integrated AI"/>
    <x v="8"/>
    <x v="3"/>
    <s v="Automotive Electronics"/>
    <s v="Infotainment"/>
    <s v="Semiconductor Revenue M$"/>
    <x v="4"/>
    <n v="57.257041404621482"/>
  </r>
  <r>
    <s v="Integrated AI"/>
    <x v="8"/>
    <x v="3"/>
    <s v="Automotive Electronics"/>
    <s v="Infotainment"/>
    <s v="Semiconductor Revenue M$"/>
    <x v="5"/>
    <n v="96.352531085715512"/>
  </r>
  <r>
    <s v="Integrated AI"/>
    <x v="8"/>
    <x v="3"/>
    <s v="Automotive Electronics"/>
    <s v="Infotainment"/>
    <s v="Semiconductor Revenue M$"/>
    <x v="6"/>
    <n v="141.09962927330213"/>
  </r>
  <r>
    <s v="Integrated AI"/>
    <x v="8"/>
    <x v="3"/>
    <s v="Automotive Electronics"/>
    <s v="Instrument Cluster"/>
    <s v="Semiconductor Revenue M$"/>
    <x v="0"/>
    <n v="0.40652247320818102"/>
  </r>
  <r>
    <s v="Integrated AI"/>
    <x v="8"/>
    <x v="3"/>
    <s v="Automotive Electronics"/>
    <s v="Instrument Cluster"/>
    <s v="Semiconductor Revenue M$"/>
    <x v="1"/>
    <n v="0.88078621249533495"/>
  </r>
  <r>
    <s v="Integrated AI"/>
    <x v="8"/>
    <x v="3"/>
    <s v="Automotive Electronics"/>
    <s v="Instrument Cluster"/>
    <s v="Semiconductor Revenue M$"/>
    <x v="2"/>
    <n v="2.854889644576116"/>
  </r>
  <r>
    <s v="Integrated AI"/>
    <x v="8"/>
    <x v="3"/>
    <s v="Automotive Electronics"/>
    <s v="Instrument Cluster"/>
    <s v="Semiconductor Revenue M$"/>
    <x v="3"/>
    <n v="7.9724050576539076"/>
  </r>
  <r>
    <s v="Integrated AI"/>
    <x v="8"/>
    <x v="3"/>
    <s v="Automotive Electronics"/>
    <s v="Instrument Cluster"/>
    <s v="Semiconductor Revenue M$"/>
    <x v="4"/>
    <n v="24.576853422827487"/>
  </r>
  <r>
    <s v="Integrated AI"/>
    <x v="8"/>
    <x v="3"/>
    <s v="Automotive Electronics"/>
    <s v="Instrument Cluster"/>
    <s v="Semiconductor Revenue M$"/>
    <x v="5"/>
    <n v="35.720029849069689"/>
  </r>
  <r>
    <s v="Integrated AI"/>
    <x v="8"/>
    <x v="3"/>
    <s v="Automotive Electronics"/>
    <s v="Instrument Cluster"/>
    <s v="Semiconductor Revenue M$"/>
    <x v="6"/>
    <n v="53.177085006520926"/>
  </r>
  <r>
    <s v="Integrated AI"/>
    <x v="8"/>
    <x v="3"/>
    <s v="Automotive Electronics"/>
    <s v="Powertrain"/>
    <s v="Semiconductor Revenue M$"/>
    <x v="0"/>
    <n v="0.21318001240871642"/>
  </r>
  <r>
    <s v="Integrated AI"/>
    <x v="8"/>
    <x v="3"/>
    <s v="Automotive Electronics"/>
    <s v="Powertrain"/>
    <s v="Semiconductor Revenue M$"/>
    <x v="1"/>
    <n v="0.6097240407961696"/>
  </r>
  <r>
    <s v="Integrated AI"/>
    <x v="8"/>
    <x v="3"/>
    <s v="Automotive Electronics"/>
    <s v="Powertrain"/>
    <s v="Semiconductor Revenue M$"/>
    <x v="2"/>
    <n v="1.2102243407322244"/>
  </r>
  <r>
    <s v="Integrated AI"/>
    <x v="8"/>
    <x v="3"/>
    <s v="Automotive Electronics"/>
    <s v="Powertrain"/>
    <s v="Semiconductor Revenue M$"/>
    <x v="3"/>
    <n v="2.8454081257709825"/>
  </r>
  <r>
    <s v="Integrated AI"/>
    <x v="8"/>
    <x v="3"/>
    <s v="Automotive Electronics"/>
    <s v="Powertrain"/>
    <s v="Semiconductor Revenue M$"/>
    <x v="4"/>
    <n v="7.1517880713367585"/>
  </r>
  <r>
    <s v="Integrated AI"/>
    <x v="8"/>
    <x v="3"/>
    <s v="Automotive Electronics"/>
    <s v="Powertrain"/>
    <s v="Semiconductor Revenue M$"/>
    <x v="5"/>
    <n v="14.496524388591627"/>
  </r>
  <r>
    <s v="Integrated AI"/>
    <x v="8"/>
    <x v="3"/>
    <s v="Automotive Electronics"/>
    <s v="Powertrain"/>
    <s v="Semiconductor Revenue M$"/>
    <x v="6"/>
    <n v="26.743555086548085"/>
  </r>
  <r>
    <s v="Integrated AI"/>
    <x v="8"/>
    <x v="3"/>
    <s v="Automotive Electronics"/>
    <s v="Safety"/>
    <s v="Semiconductor Revenue M$"/>
    <x v="0"/>
    <n v="0"/>
  </r>
  <r>
    <s v="Integrated AI"/>
    <x v="8"/>
    <x v="3"/>
    <s v="Automotive Electronics"/>
    <s v="Safety"/>
    <s v="Semiconductor Revenue M$"/>
    <x v="1"/>
    <n v="0"/>
  </r>
  <r>
    <s v="Integrated AI"/>
    <x v="8"/>
    <x v="3"/>
    <s v="Automotive Electronics"/>
    <s v="Safety"/>
    <s v="Semiconductor Revenue M$"/>
    <x v="2"/>
    <n v="0"/>
  </r>
  <r>
    <s v="Integrated AI"/>
    <x v="8"/>
    <x v="3"/>
    <s v="Automotive Electronics"/>
    <s v="Safety"/>
    <s v="Semiconductor Revenue M$"/>
    <x v="3"/>
    <n v="0"/>
  </r>
  <r>
    <s v="Integrated AI"/>
    <x v="8"/>
    <x v="3"/>
    <s v="Automotive Electronics"/>
    <s v="Safety"/>
    <s v="Semiconductor Revenue M$"/>
    <x v="4"/>
    <n v="0"/>
  </r>
  <r>
    <s v="Integrated AI"/>
    <x v="8"/>
    <x v="3"/>
    <s v="Automotive Electronics"/>
    <s v="Safety"/>
    <s v="Semiconductor Revenue M$"/>
    <x v="5"/>
    <n v="0"/>
  </r>
  <r>
    <s v="Integrated AI"/>
    <x v="8"/>
    <x v="3"/>
    <s v="Automotive Electronics"/>
    <s v="Safety"/>
    <s v="Semiconductor Revenue M$"/>
    <x v="6"/>
    <n v="0"/>
  </r>
  <r>
    <s v="Integrated AI"/>
    <x v="8"/>
    <x v="3"/>
    <s v="Automotive Electronics"/>
    <s v="Aftermarket"/>
    <s v="Semiconductor Revenue M$"/>
    <x v="0"/>
    <n v="3.0872903813418447E-2"/>
  </r>
  <r>
    <s v="Integrated AI"/>
    <x v="8"/>
    <x v="3"/>
    <s v="Automotive Electronics"/>
    <s v="Aftermarket"/>
    <s v="Semiconductor Revenue M$"/>
    <x v="1"/>
    <n v="8.3254633153025615E-2"/>
  </r>
  <r>
    <s v="Integrated AI"/>
    <x v="8"/>
    <x v="3"/>
    <s v="Automotive Electronics"/>
    <s v="Aftermarket"/>
    <s v="Semiconductor Revenue M$"/>
    <x v="2"/>
    <n v="1.4432604672099369"/>
  </r>
  <r>
    <s v="Integrated AI"/>
    <x v="8"/>
    <x v="3"/>
    <s v="Automotive Electronics"/>
    <s v="Aftermarket"/>
    <s v="Semiconductor Revenue M$"/>
    <x v="3"/>
    <n v="2.5164637051624146"/>
  </r>
  <r>
    <s v="Integrated AI"/>
    <x v="8"/>
    <x v="3"/>
    <s v="Automotive Electronics"/>
    <s v="Aftermarket"/>
    <s v="Semiconductor Revenue M$"/>
    <x v="4"/>
    <n v="3.5447351264548925"/>
  </r>
  <r>
    <s v="Integrated AI"/>
    <x v="8"/>
    <x v="3"/>
    <s v="Automotive Electronics"/>
    <s v="Aftermarket"/>
    <s v="Semiconductor Revenue M$"/>
    <x v="5"/>
    <n v="5.2707376828091554"/>
  </r>
  <r>
    <s v="Integrated AI"/>
    <x v="8"/>
    <x v="3"/>
    <s v="Automotive Electronics"/>
    <s v="Aftermarket"/>
    <s v="Semiconductor Revenue M$"/>
    <x v="6"/>
    <n v="9.2330333380561314"/>
  </r>
  <r>
    <s v="Integrated AI"/>
    <x v="8"/>
    <x v="5"/>
    <s v="Industrial Electronics"/>
    <s v="Commercial Amusement"/>
    <s v="Semiconductor Revenue M$"/>
    <x v="0"/>
    <n v="0.21561277645743951"/>
  </r>
  <r>
    <s v="Integrated AI"/>
    <x v="8"/>
    <x v="5"/>
    <s v="Industrial Electronics"/>
    <s v="Commercial Amusement"/>
    <s v="Semiconductor Revenue M$"/>
    <x v="1"/>
    <n v="0.51980535312638376"/>
  </r>
  <r>
    <s v="Integrated AI"/>
    <x v="8"/>
    <x v="5"/>
    <s v="Industrial Electronics"/>
    <s v="Commercial Amusement"/>
    <s v="Semiconductor Revenue M$"/>
    <x v="2"/>
    <n v="1.198581143276932"/>
  </r>
  <r>
    <s v="Integrated AI"/>
    <x v="8"/>
    <x v="5"/>
    <s v="Industrial Electronics"/>
    <s v="Commercial Amusement"/>
    <s v="Semiconductor Revenue M$"/>
    <x v="3"/>
    <n v="2.5494437654466608"/>
  </r>
  <r>
    <s v="Integrated AI"/>
    <x v="8"/>
    <x v="5"/>
    <s v="Industrial Electronics"/>
    <s v="Commercial Amusement"/>
    <s v="Semiconductor Revenue M$"/>
    <x v="4"/>
    <n v="5.2527246610800269"/>
  </r>
  <r>
    <s v="Integrated AI"/>
    <x v="8"/>
    <x v="5"/>
    <s v="Industrial Electronics"/>
    <s v="Commercial Amusement"/>
    <s v="Semiconductor Revenue M$"/>
    <x v="5"/>
    <n v="8.309362904265754"/>
  </r>
  <r>
    <s v="Integrated AI"/>
    <x v="8"/>
    <x v="5"/>
    <s v="Industrial Electronics"/>
    <s v="Commercial Amusement"/>
    <s v="Semiconductor Revenue M$"/>
    <x v="6"/>
    <n v="11.019977551758126"/>
  </r>
  <r>
    <s v="Integrated AI"/>
    <x v="8"/>
    <x v="5"/>
    <s v="Industrial Electronics"/>
    <s v="Automation"/>
    <s v="Semiconductor Revenue M$"/>
    <x v="0"/>
    <n v="1.5794892133159257"/>
  </r>
  <r>
    <s v="Integrated AI"/>
    <x v="8"/>
    <x v="5"/>
    <s v="Industrial Electronics"/>
    <s v="Automation"/>
    <s v="Semiconductor Revenue M$"/>
    <x v="1"/>
    <n v="4.3353297908783475"/>
  </r>
  <r>
    <s v="Integrated AI"/>
    <x v="8"/>
    <x v="5"/>
    <s v="Industrial Electronics"/>
    <s v="Automation"/>
    <s v="Semiconductor Revenue M$"/>
    <x v="2"/>
    <n v="11.096272918999492"/>
  </r>
  <r>
    <s v="Integrated AI"/>
    <x v="8"/>
    <x v="5"/>
    <s v="Industrial Electronics"/>
    <s v="Automation"/>
    <s v="Semiconductor Revenue M$"/>
    <x v="3"/>
    <n v="28.332092658848794"/>
  </r>
  <r>
    <s v="Integrated AI"/>
    <x v="8"/>
    <x v="5"/>
    <s v="Industrial Electronics"/>
    <s v="Automation"/>
    <s v="Semiconductor Revenue M$"/>
    <x v="4"/>
    <n v="46.30959114405286"/>
  </r>
  <r>
    <s v="Integrated AI"/>
    <x v="8"/>
    <x v="5"/>
    <s v="Industrial Electronics"/>
    <s v="Automation"/>
    <s v="Semiconductor Revenue M$"/>
    <x v="5"/>
    <n v="80.846153780837895"/>
  </r>
  <r>
    <s v="Integrated AI"/>
    <x v="8"/>
    <x v="5"/>
    <s v="Industrial Electronics"/>
    <s v="Automation"/>
    <s v="Semiconductor Revenue M$"/>
    <x v="6"/>
    <n v="139.46522097048569"/>
  </r>
  <r>
    <s v="Integrated AI"/>
    <x v="8"/>
    <x v="5"/>
    <s v="Industrial Electronics"/>
    <s v="Energy Management"/>
    <s v="Semiconductor Revenue M$"/>
    <x v="0"/>
    <n v="0.60960126466190423"/>
  </r>
  <r>
    <s v="Integrated AI"/>
    <x v="8"/>
    <x v="5"/>
    <s v="Industrial Electronics"/>
    <s v="Energy Management"/>
    <s v="Semiconductor Revenue M$"/>
    <x v="1"/>
    <n v="1.6078029799423985"/>
  </r>
  <r>
    <s v="Integrated AI"/>
    <x v="8"/>
    <x v="5"/>
    <s v="Industrial Electronics"/>
    <s v="Energy Management"/>
    <s v="Semiconductor Revenue M$"/>
    <x v="2"/>
    <n v="3.8610943932921518"/>
  </r>
  <r>
    <s v="Integrated AI"/>
    <x v="8"/>
    <x v="5"/>
    <s v="Industrial Electronics"/>
    <s v="Energy Management"/>
    <s v="Semiconductor Revenue M$"/>
    <x v="3"/>
    <n v="9.4036440764864473"/>
  </r>
  <r>
    <s v="Integrated AI"/>
    <x v="8"/>
    <x v="5"/>
    <s v="Industrial Electronics"/>
    <s v="Energy Management"/>
    <s v="Semiconductor Revenue M$"/>
    <x v="4"/>
    <n v="15.006892667469902"/>
  </r>
  <r>
    <s v="Integrated AI"/>
    <x v="8"/>
    <x v="5"/>
    <s v="Industrial Electronics"/>
    <s v="Energy Management"/>
    <s v="Semiconductor Revenue M$"/>
    <x v="5"/>
    <n v="25.272278638651475"/>
  </r>
  <r>
    <s v="Integrated AI"/>
    <x v="8"/>
    <x v="5"/>
    <s v="Industrial Electronics"/>
    <s v="Energy Management"/>
    <s v="Semiconductor Revenue M$"/>
    <x v="6"/>
    <n v="38.328679338562218"/>
  </r>
  <r>
    <s v="Integrated AI"/>
    <x v="8"/>
    <x v="5"/>
    <s v="Industrial Electronics"/>
    <s v="Solid-State Lighting"/>
    <s v="Semiconductor Revenue M$"/>
    <x v="0"/>
    <n v="1.4846200768336574E-3"/>
  </r>
  <r>
    <s v="Integrated AI"/>
    <x v="8"/>
    <x v="5"/>
    <s v="Industrial Electronics"/>
    <s v="Solid-State Lighting"/>
    <s v="Semiconductor Revenue M$"/>
    <x v="1"/>
    <n v="8.0663046397050396E-4"/>
  </r>
  <r>
    <s v="Integrated AI"/>
    <x v="8"/>
    <x v="5"/>
    <s v="Industrial Electronics"/>
    <s v="Solid-State Lighting"/>
    <s v="Semiconductor Revenue M$"/>
    <x v="2"/>
    <n v="3.6184242086059466E-3"/>
  </r>
  <r>
    <s v="Integrated AI"/>
    <x v="8"/>
    <x v="5"/>
    <s v="Industrial Electronics"/>
    <s v="Solid-State Lighting"/>
    <s v="Semiconductor Revenue M$"/>
    <x v="3"/>
    <n v="1.6189645785988041E-2"/>
  </r>
  <r>
    <s v="Integrated AI"/>
    <x v="8"/>
    <x v="5"/>
    <s v="Industrial Electronics"/>
    <s v="Solid-State Lighting"/>
    <s v="Semiconductor Revenue M$"/>
    <x v="4"/>
    <n v="3.3242292260469729E-2"/>
  </r>
  <r>
    <s v="Integrated AI"/>
    <x v="8"/>
    <x v="5"/>
    <s v="Industrial Electronics"/>
    <s v="Solid-State Lighting"/>
    <s v="Semiconductor Revenue M$"/>
    <x v="5"/>
    <n v="6.2877953237191517E-2"/>
  </r>
  <r>
    <s v="Integrated AI"/>
    <x v="8"/>
    <x v="5"/>
    <s v="Industrial Electronics"/>
    <s v="Solid-State Lighting"/>
    <s v="Semiconductor Revenue M$"/>
    <x v="6"/>
    <n v="9.5464098094540387E-2"/>
  </r>
  <r>
    <s v="Integrated AI"/>
    <x v="8"/>
    <x v="5"/>
    <s v="Industrial Electronics"/>
    <s v="Medical/Healthcare"/>
    <s v="Semiconductor Revenue M$"/>
    <x v="0"/>
    <n v="1.4369192336490788"/>
  </r>
  <r>
    <s v="Integrated AI"/>
    <x v="8"/>
    <x v="5"/>
    <s v="Industrial Electronics"/>
    <s v="Medical/Healthcare"/>
    <s v="Semiconductor Revenue M$"/>
    <x v="1"/>
    <n v="3.9648516342530113"/>
  </r>
  <r>
    <s v="Integrated AI"/>
    <x v="8"/>
    <x v="5"/>
    <s v="Industrial Electronics"/>
    <s v="Medical/Healthcare"/>
    <s v="Semiconductor Revenue M$"/>
    <x v="2"/>
    <n v="8.6089257010076796"/>
  </r>
  <r>
    <s v="Integrated AI"/>
    <x v="8"/>
    <x v="5"/>
    <s v="Industrial Electronics"/>
    <s v="Medical/Healthcare"/>
    <s v="Semiconductor Revenue M$"/>
    <x v="3"/>
    <n v="18.632842259545672"/>
  </r>
  <r>
    <s v="Integrated AI"/>
    <x v="8"/>
    <x v="5"/>
    <s v="Industrial Electronics"/>
    <s v="Medical/Healthcare"/>
    <s v="Semiconductor Revenue M$"/>
    <x v="4"/>
    <n v="26.01517213077296"/>
  </r>
  <r>
    <s v="Integrated AI"/>
    <x v="8"/>
    <x v="5"/>
    <s v="Industrial Electronics"/>
    <s v="Medical/Healthcare"/>
    <s v="Semiconductor Revenue M$"/>
    <x v="5"/>
    <n v="39.962789783767967"/>
  </r>
  <r>
    <s v="Integrated AI"/>
    <x v="8"/>
    <x v="5"/>
    <s v="Industrial Electronics"/>
    <s v="Medical/Healthcare"/>
    <s v="Semiconductor Revenue M$"/>
    <x v="6"/>
    <n v="55.653506939912802"/>
  </r>
  <r>
    <s v="Integrated AI"/>
    <x v="8"/>
    <x v="5"/>
    <s v="Industrial Electronics"/>
    <s v="Test/Measurement"/>
    <s v="Semiconductor Revenue M$"/>
    <x v="0"/>
    <n v="1.1210409050883723"/>
  </r>
  <r>
    <s v="Integrated AI"/>
    <x v="8"/>
    <x v="5"/>
    <s v="Industrial Electronics"/>
    <s v="Test/Measurement"/>
    <s v="Semiconductor Revenue M$"/>
    <x v="1"/>
    <n v="3.1710610040674259"/>
  </r>
  <r>
    <s v="Integrated AI"/>
    <x v="8"/>
    <x v="5"/>
    <s v="Industrial Electronics"/>
    <s v="Test/Measurement"/>
    <s v="Semiconductor Revenue M$"/>
    <x v="2"/>
    <n v="7.1292596767358383"/>
  </r>
  <r>
    <s v="Integrated AI"/>
    <x v="8"/>
    <x v="5"/>
    <s v="Industrial Electronics"/>
    <s v="Test/Measurement"/>
    <s v="Semiconductor Revenue M$"/>
    <x v="3"/>
    <n v="14.749499180711732"/>
  </r>
  <r>
    <s v="Integrated AI"/>
    <x v="8"/>
    <x v="5"/>
    <s v="Industrial Electronics"/>
    <s v="Test/Measurement"/>
    <s v="Semiconductor Revenue M$"/>
    <x v="4"/>
    <n v="26.574891835870311"/>
  </r>
  <r>
    <s v="Integrated AI"/>
    <x v="8"/>
    <x v="5"/>
    <s v="Industrial Electronics"/>
    <s v="Test/Measurement"/>
    <s v="Semiconductor Revenue M$"/>
    <x v="5"/>
    <n v="49.822377184796991"/>
  </r>
  <r>
    <s v="Integrated AI"/>
    <x v="8"/>
    <x v="5"/>
    <s v="Industrial Electronics"/>
    <s v="Test/Measurement"/>
    <s v="Semiconductor Revenue M$"/>
    <x v="6"/>
    <n v="70.468277292556806"/>
  </r>
  <r>
    <s v="Integrated AI"/>
    <x v="8"/>
    <x v="5"/>
    <s v="Industrial Electronics"/>
    <s v="Other Security"/>
    <s v="Semiconductor Revenue M$"/>
    <x v="0"/>
    <n v="3.0161903218389973E-2"/>
  </r>
  <r>
    <s v="Integrated AI"/>
    <x v="8"/>
    <x v="5"/>
    <s v="Industrial Electronics"/>
    <s v="Other Security"/>
    <s v="Semiconductor Revenue M$"/>
    <x v="1"/>
    <n v="7.2758042011969462E-2"/>
  </r>
  <r>
    <s v="Integrated AI"/>
    <x v="8"/>
    <x v="5"/>
    <s v="Industrial Electronics"/>
    <s v="Other Security"/>
    <s v="Semiconductor Revenue M$"/>
    <x v="2"/>
    <n v="0.1516167641305203"/>
  </r>
  <r>
    <s v="Integrated AI"/>
    <x v="8"/>
    <x v="5"/>
    <s v="Industrial Electronics"/>
    <s v="Other Security"/>
    <s v="Semiconductor Revenue M$"/>
    <x v="3"/>
    <n v="0.3086246615513949"/>
  </r>
  <r>
    <s v="Integrated AI"/>
    <x v="8"/>
    <x v="5"/>
    <s v="Industrial Electronics"/>
    <s v="Other Security"/>
    <s v="Semiconductor Revenue M$"/>
    <x v="4"/>
    <n v="0.41243793384887228"/>
  </r>
  <r>
    <s v="Integrated AI"/>
    <x v="8"/>
    <x v="5"/>
    <s v="Industrial Electronics"/>
    <s v="Other Security"/>
    <s v="Semiconductor Revenue M$"/>
    <x v="5"/>
    <n v="0.51858660101932885"/>
  </r>
  <r>
    <s v="Integrated AI"/>
    <x v="8"/>
    <x v="5"/>
    <s v="Industrial Electronics"/>
    <s v="Other Security"/>
    <s v="Semiconductor Revenue M$"/>
    <x v="6"/>
    <n v="0.590531789833175"/>
  </r>
  <r>
    <s v="Integrated AI"/>
    <x v="8"/>
    <x v="5"/>
    <s v="Industrial Electronics"/>
    <s v="Transportation"/>
    <s v="Semiconductor Revenue M$"/>
    <x v="0"/>
    <n v="1.1663735416751817"/>
  </r>
  <r>
    <s v="Integrated AI"/>
    <x v="8"/>
    <x v="5"/>
    <s v="Industrial Electronics"/>
    <s v="Transportation"/>
    <s v="Semiconductor Revenue M$"/>
    <x v="1"/>
    <n v="3.2200554534717778"/>
  </r>
  <r>
    <s v="Integrated AI"/>
    <x v="8"/>
    <x v="5"/>
    <s v="Industrial Electronics"/>
    <s v="Transportation"/>
    <s v="Semiconductor Revenue M$"/>
    <x v="2"/>
    <n v="7.3842723268472383"/>
  </r>
  <r>
    <s v="Integrated AI"/>
    <x v="8"/>
    <x v="5"/>
    <s v="Industrial Electronics"/>
    <s v="Transportation"/>
    <s v="Semiconductor Revenue M$"/>
    <x v="3"/>
    <n v="16.546072048670247"/>
  </r>
  <r>
    <s v="Integrated AI"/>
    <x v="8"/>
    <x v="5"/>
    <s v="Industrial Electronics"/>
    <s v="Transportation"/>
    <s v="Semiconductor Revenue M$"/>
    <x v="4"/>
    <n v="24.954216768688987"/>
  </r>
  <r>
    <s v="Integrated AI"/>
    <x v="8"/>
    <x v="5"/>
    <s v="Industrial Electronics"/>
    <s v="Transportation"/>
    <s v="Semiconductor Revenue M$"/>
    <x v="5"/>
    <n v="40.756195833811326"/>
  </r>
  <r>
    <s v="Integrated AI"/>
    <x v="8"/>
    <x v="5"/>
    <s v="Industrial Electronics"/>
    <s v="Transportation"/>
    <s v="Semiconductor Revenue M$"/>
    <x v="6"/>
    <n v="60.36858715707487"/>
  </r>
  <r>
    <s v="Integrated AI"/>
    <x v="8"/>
    <x v="5"/>
    <s v="Industrial Electronics"/>
    <s v="Other Industrial Electronics"/>
    <s v="Semiconductor Revenue M$"/>
    <x v="0"/>
    <n v="1.7510511526736685"/>
  </r>
  <r>
    <s v="Integrated AI"/>
    <x v="8"/>
    <x v="5"/>
    <s v="Industrial Electronics"/>
    <s v="Other Industrial Electronics"/>
    <s v="Semiconductor Revenue M$"/>
    <x v="1"/>
    <n v="4.6592848537829354"/>
  </r>
  <r>
    <s v="Integrated AI"/>
    <x v="8"/>
    <x v="5"/>
    <s v="Industrial Electronics"/>
    <s v="Other Industrial Electronics"/>
    <s v="Semiconductor Revenue M$"/>
    <x v="2"/>
    <n v="10.975843652670342"/>
  </r>
  <r>
    <s v="Integrated AI"/>
    <x v="8"/>
    <x v="5"/>
    <s v="Industrial Electronics"/>
    <s v="Other Industrial Electronics"/>
    <s v="Semiconductor Revenue M$"/>
    <x v="3"/>
    <n v="24.228523219509231"/>
  </r>
  <r>
    <s v="Integrated AI"/>
    <x v="8"/>
    <x v="5"/>
    <s v="Industrial Electronics"/>
    <s v="Other Industrial Electronics"/>
    <s v="Semiconductor Revenue M$"/>
    <x v="4"/>
    <n v="35.649020704433063"/>
  </r>
  <r>
    <s v="Integrated AI"/>
    <x v="8"/>
    <x v="5"/>
    <s v="Industrial Electronics"/>
    <s v="Other Industrial Electronics"/>
    <s v="Semiconductor Revenue M$"/>
    <x v="5"/>
    <n v="55.883149886958783"/>
  </r>
  <r>
    <s v="Integrated AI"/>
    <x v="8"/>
    <x v="5"/>
    <s v="Industrial Electronics"/>
    <s v="Other Industrial Electronics"/>
    <s v="Semiconductor Revenue M$"/>
    <x v="6"/>
    <n v="80.527901505960159"/>
  </r>
  <r>
    <s v="Integrated AI"/>
    <x v="8"/>
    <x v="5"/>
    <s v="Industrial Electronics"/>
    <s v="Military/Civil Aerospace Electronics"/>
    <s v="Semiconductor Revenue M$"/>
    <x v="0"/>
    <n v="2.3695283676916654"/>
  </r>
  <r>
    <s v="Integrated AI"/>
    <x v="8"/>
    <x v="5"/>
    <s v="Industrial Electronics"/>
    <s v="Military/Civil Aerospace Electronics"/>
    <s v="Semiconductor Revenue M$"/>
    <x v="1"/>
    <n v="5.9753176494195284"/>
  </r>
  <r>
    <s v="Integrated AI"/>
    <x v="8"/>
    <x v="5"/>
    <s v="Industrial Electronics"/>
    <s v="Military/Civil Aerospace Electronics"/>
    <s v="Semiconductor Revenue M$"/>
    <x v="2"/>
    <n v="14.210968797114582"/>
  </r>
  <r>
    <s v="Integrated AI"/>
    <x v="8"/>
    <x v="5"/>
    <s v="Industrial Electronics"/>
    <s v="Military/Civil Aerospace Electronics"/>
    <s v="Semiconductor Revenue M$"/>
    <x v="3"/>
    <n v="31.36007501909344"/>
  </r>
  <r>
    <s v="Integrated AI"/>
    <x v="8"/>
    <x v="5"/>
    <s v="Industrial Electronics"/>
    <s v="Military/Civil Aerospace Electronics"/>
    <s v="Semiconductor Revenue M$"/>
    <x v="4"/>
    <n v="44.426406509255266"/>
  </r>
  <r>
    <s v="Integrated AI"/>
    <x v="8"/>
    <x v="5"/>
    <s v="Industrial Electronics"/>
    <s v="Military/Civil Aerospace Electronics"/>
    <s v="Semiconductor Revenue M$"/>
    <x v="5"/>
    <n v="69.41614917696117"/>
  </r>
  <r>
    <s v="Integrated AI"/>
    <x v="8"/>
    <x v="5"/>
    <s v="Industrial Electronics"/>
    <s v="Military/Civil Aerospace Electronics"/>
    <s v="Semiconductor Revenue M$"/>
    <x v="6"/>
    <n v="97.194946121978802"/>
  </r>
  <r>
    <s v="Discrete AI"/>
    <x v="0"/>
    <x v="0"/>
    <s v="Compute"/>
    <s v="External Monitor"/>
    <s v="Semiconductor Revenue M$"/>
    <x v="0"/>
    <n v="0"/>
  </r>
  <r>
    <s v="Discrete AI"/>
    <x v="0"/>
    <x v="0"/>
    <s v="Compute"/>
    <s v="External Monitor"/>
    <s v="Semiconductor Revenue M$"/>
    <x v="1"/>
    <n v="0"/>
  </r>
  <r>
    <s v="Discrete AI"/>
    <x v="0"/>
    <x v="0"/>
    <s v="Compute"/>
    <s v="External Monitor"/>
    <s v="Semiconductor Revenue M$"/>
    <x v="2"/>
    <n v="0"/>
  </r>
  <r>
    <s v="Discrete AI"/>
    <x v="0"/>
    <x v="0"/>
    <s v="Compute"/>
    <s v="External Monitor"/>
    <s v="Semiconductor Revenue M$"/>
    <x v="3"/>
    <n v="0"/>
  </r>
  <r>
    <s v="Discrete AI"/>
    <x v="0"/>
    <x v="0"/>
    <s v="Compute"/>
    <s v="External Monitor"/>
    <s v="Semiconductor Revenue M$"/>
    <x v="4"/>
    <n v="0"/>
  </r>
  <r>
    <s v="Discrete AI"/>
    <x v="0"/>
    <x v="0"/>
    <s v="Compute"/>
    <s v="External Monitor"/>
    <s v="Semiconductor Revenue M$"/>
    <x v="5"/>
    <n v="0"/>
  </r>
  <r>
    <s v="Discrete AI"/>
    <x v="0"/>
    <x v="0"/>
    <s v="Compute"/>
    <s v="External Monitor"/>
    <s v="Semiconductor Revenue M$"/>
    <x v="6"/>
    <n v="0"/>
  </r>
  <r>
    <s v="Discrete AI"/>
    <x v="0"/>
    <x v="0"/>
    <s v="PC"/>
    <s v="Graphics Cards"/>
    <s v="Semiconductor Revenue M$"/>
    <x v="0"/>
    <n v="0"/>
  </r>
  <r>
    <s v="Discrete AI"/>
    <x v="0"/>
    <x v="0"/>
    <s v="PC"/>
    <s v="Graphics Cards"/>
    <s v="Semiconductor Revenue M$"/>
    <x v="1"/>
    <n v="0"/>
  </r>
  <r>
    <s v="Discrete AI"/>
    <x v="0"/>
    <x v="0"/>
    <s v="PC"/>
    <s v="Graphics Cards"/>
    <s v="Semiconductor Revenue M$"/>
    <x v="2"/>
    <n v="0"/>
  </r>
  <r>
    <s v="Discrete AI"/>
    <x v="0"/>
    <x v="0"/>
    <s v="PC"/>
    <s v="Graphics Cards"/>
    <s v="Semiconductor Revenue M$"/>
    <x v="3"/>
    <n v="0"/>
  </r>
  <r>
    <s v="Discrete AI"/>
    <x v="0"/>
    <x v="0"/>
    <s v="PC"/>
    <s v="Graphics Cards"/>
    <s v="Semiconductor Revenue M$"/>
    <x v="4"/>
    <n v="0"/>
  </r>
  <r>
    <s v="Discrete AI"/>
    <x v="0"/>
    <x v="0"/>
    <s v="PC"/>
    <s v="Graphics Cards"/>
    <s v="Semiconductor Revenue M$"/>
    <x v="5"/>
    <n v="0"/>
  </r>
  <r>
    <s v="Discrete AI"/>
    <x v="0"/>
    <x v="0"/>
    <s v="PC"/>
    <s v="Graphics Cards"/>
    <s v="Semiconductor Revenue M$"/>
    <x v="6"/>
    <n v="0"/>
  </r>
  <r>
    <s v="Discrete AI"/>
    <x v="0"/>
    <x v="0"/>
    <s v="PC"/>
    <s v="Desk-Based PC"/>
    <s v="Semiconductor Revenue M$"/>
    <x v="0"/>
    <n v="0"/>
  </r>
  <r>
    <s v="Discrete AI"/>
    <x v="0"/>
    <x v="0"/>
    <s v="PC"/>
    <s v="Desk-Based PC"/>
    <s v="Semiconductor Revenue M$"/>
    <x v="1"/>
    <n v="0"/>
  </r>
  <r>
    <s v="Discrete AI"/>
    <x v="0"/>
    <x v="0"/>
    <s v="PC"/>
    <s v="Desk-Based PC"/>
    <s v="Semiconductor Revenue M$"/>
    <x v="2"/>
    <n v="0"/>
  </r>
  <r>
    <s v="Discrete AI"/>
    <x v="0"/>
    <x v="0"/>
    <s v="PC"/>
    <s v="Desk-Based PC"/>
    <s v="Semiconductor Revenue M$"/>
    <x v="3"/>
    <n v="0"/>
  </r>
  <r>
    <s v="Discrete AI"/>
    <x v="0"/>
    <x v="0"/>
    <s v="PC"/>
    <s v="Desk-Based PC"/>
    <s v="Semiconductor Revenue M$"/>
    <x v="4"/>
    <n v="0"/>
  </r>
  <r>
    <s v="Discrete AI"/>
    <x v="0"/>
    <x v="0"/>
    <s v="PC"/>
    <s v="Desk-Based PC"/>
    <s v="Semiconductor Revenue M$"/>
    <x v="5"/>
    <n v="0"/>
  </r>
  <r>
    <s v="Discrete AI"/>
    <x v="0"/>
    <x v="0"/>
    <s v="PC"/>
    <s v="Desk-Based PC"/>
    <s v="Semiconductor Revenue M$"/>
    <x v="6"/>
    <n v="0"/>
  </r>
  <r>
    <s v="Discrete AI"/>
    <x v="0"/>
    <x v="0"/>
    <s v="PC"/>
    <s v="Ultramobile Basic, Tablet"/>
    <s v="Semiconductor Revenue M$"/>
    <x v="0"/>
    <n v="0"/>
  </r>
  <r>
    <s v="Discrete AI"/>
    <x v="0"/>
    <x v="0"/>
    <s v="PC"/>
    <s v="Ultramobile Basic, Tablet"/>
    <s v="Semiconductor Revenue M$"/>
    <x v="1"/>
    <n v="0"/>
  </r>
  <r>
    <s v="Discrete AI"/>
    <x v="0"/>
    <x v="0"/>
    <s v="PC"/>
    <s v="Ultramobile Basic, Tablet"/>
    <s v="Semiconductor Revenue M$"/>
    <x v="2"/>
    <n v="0"/>
  </r>
  <r>
    <s v="Discrete AI"/>
    <x v="0"/>
    <x v="0"/>
    <s v="PC"/>
    <s v="Ultramobile Basic, Tablet"/>
    <s v="Semiconductor Revenue M$"/>
    <x v="3"/>
    <n v="0"/>
  </r>
  <r>
    <s v="Discrete AI"/>
    <x v="0"/>
    <x v="0"/>
    <s v="PC"/>
    <s v="Ultramobile Basic, Tablet"/>
    <s v="Semiconductor Revenue M$"/>
    <x v="4"/>
    <n v="0"/>
  </r>
  <r>
    <s v="Discrete AI"/>
    <x v="0"/>
    <x v="0"/>
    <s v="PC"/>
    <s v="Ultramobile Basic, Tablet"/>
    <s v="Semiconductor Revenue M$"/>
    <x v="5"/>
    <n v="0"/>
  </r>
  <r>
    <s v="Discrete AI"/>
    <x v="0"/>
    <x v="0"/>
    <s v="PC"/>
    <s v="Ultramobile Basic, Tablet"/>
    <s v="Semiconductor Revenue M$"/>
    <x v="6"/>
    <n v="0"/>
  </r>
  <r>
    <s v="Discrete AI"/>
    <x v="0"/>
    <x v="0"/>
    <s v="PC"/>
    <s v="Ultramobile Utility, Tablet"/>
    <s v="Semiconductor Revenue M$"/>
    <x v="0"/>
    <n v="0"/>
  </r>
  <r>
    <s v="Discrete AI"/>
    <x v="0"/>
    <x v="0"/>
    <s v="PC"/>
    <s v="Ultramobile Utility, Tablet"/>
    <s v="Semiconductor Revenue M$"/>
    <x v="1"/>
    <n v="0"/>
  </r>
  <r>
    <s v="Discrete AI"/>
    <x v="0"/>
    <x v="0"/>
    <s v="PC"/>
    <s v="Ultramobile Utility, Tablet"/>
    <s v="Semiconductor Revenue M$"/>
    <x v="2"/>
    <n v="0"/>
  </r>
  <r>
    <s v="Discrete AI"/>
    <x v="0"/>
    <x v="0"/>
    <s v="PC"/>
    <s v="Ultramobile Utility, Tablet"/>
    <s v="Semiconductor Revenue M$"/>
    <x v="3"/>
    <n v="0"/>
  </r>
  <r>
    <s v="Discrete AI"/>
    <x v="0"/>
    <x v="0"/>
    <s v="PC"/>
    <s v="Ultramobile Utility, Tablet"/>
    <s v="Semiconductor Revenue M$"/>
    <x v="4"/>
    <n v="0"/>
  </r>
  <r>
    <s v="Discrete AI"/>
    <x v="0"/>
    <x v="0"/>
    <s v="PC"/>
    <s v="Ultramobile Utility, Tablet"/>
    <s v="Semiconductor Revenue M$"/>
    <x v="5"/>
    <n v="0"/>
  </r>
  <r>
    <s v="Discrete AI"/>
    <x v="0"/>
    <x v="0"/>
    <s v="PC"/>
    <s v="Ultramobile Utility, Tablet"/>
    <s v="Semiconductor Revenue M$"/>
    <x v="6"/>
    <n v="0"/>
  </r>
  <r>
    <s v="Discrete AI"/>
    <x v="0"/>
    <x v="0"/>
    <s v="PC"/>
    <s v="Ultramobile Premium, Tablet"/>
    <s v="Semiconductor Revenue M$"/>
    <x v="0"/>
    <n v="0"/>
  </r>
  <r>
    <s v="Discrete AI"/>
    <x v="0"/>
    <x v="0"/>
    <s v="PC"/>
    <s v="Ultramobile Premium, Tablet"/>
    <s v="Semiconductor Revenue M$"/>
    <x v="1"/>
    <n v="0"/>
  </r>
  <r>
    <s v="Discrete AI"/>
    <x v="0"/>
    <x v="0"/>
    <s v="PC"/>
    <s v="Ultramobile Premium, Tablet"/>
    <s v="Semiconductor Revenue M$"/>
    <x v="2"/>
    <n v="0"/>
  </r>
  <r>
    <s v="Discrete AI"/>
    <x v="0"/>
    <x v="0"/>
    <s v="PC"/>
    <s v="Ultramobile Premium, Tablet"/>
    <s v="Semiconductor Revenue M$"/>
    <x v="3"/>
    <n v="0"/>
  </r>
  <r>
    <s v="Discrete AI"/>
    <x v="0"/>
    <x v="0"/>
    <s v="PC"/>
    <s v="Ultramobile Premium, Tablet"/>
    <s v="Semiconductor Revenue M$"/>
    <x v="4"/>
    <n v="0"/>
  </r>
  <r>
    <s v="Discrete AI"/>
    <x v="0"/>
    <x v="0"/>
    <s v="PC"/>
    <s v="Ultramobile Premium, Tablet"/>
    <s v="Semiconductor Revenue M$"/>
    <x v="5"/>
    <n v="0"/>
  </r>
  <r>
    <s v="Discrete AI"/>
    <x v="0"/>
    <x v="0"/>
    <s v="PC"/>
    <s v="Ultramobile Premium, Tablet"/>
    <s v="Semiconductor Revenue M$"/>
    <x v="6"/>
    <n v="0"/>
  </r>
  <r>
    <s v="Discrete AI"/>
    <x v="0"/>
    <x v="0"/>
    <s v="PC"/>
    <s v="Ultramobile Basic, Clamshell"/>
    <s v="Semiconductor Revenue M$"/>
    <x v="0"/>
    <n v="0"/>
  </r>
  <r>
    <s v="Discrete AI"/>
    <x v="0"/>
    <x v="0"/>
    <s v="PC"/>
    <s v="Ultramobile Basic, Clamshell"/>
    <s v="Semiconductor Revenue M$"/>
    <x v="1"/>
    <n v="0"/>
  </r>
  <r>
    <s v="Discrete AI"/>
    <x v="0"/>
    <x v="0"/>
    <s v="PC"/>
    <s v="Ultramobile Basic, Clamshell"/>
    <s v="Semiconductor Revenue M$"/>
    <x v="2"/>
    <n v="0"/>
  </r>
  <r>
    <s v="Discrete AI"/>
    <x v="0"/>
    <x v="0"/>
    <s v="PC"/>
    <s v="Ultramobile Basic, Clamshell"/>
    <s v="Semiconductor Revenue M$"/>
    <x v="3"/>
    <n v="0"/>
  </r>
  <r>
    <s v="Discrete AI"/>
    <x v="0"/>
    <x v="0"/>
    <s v="PC"/>
    <s v="Ultramobile Basic, Clamshell"/>
    <s v="Semiconductor Revenue M$"/>
    <x v="4"/>
    <n v="0"/>
  </r>
  <r>
    <s v="Discrete AI"/>
    <x v="0"/>
    <x v="0"/>
    <s v="PC"/>
    <s v="Ultramobile Basic, Clamshell"/>
    <s v="Semiconductor Revenue M$"/>
    <x v="5"/>
    <n v="0"/>
  </r>
  <r>
    <s v="Discrete AI"/>
    <x v="0"/>
    <x v="0"/>
    <s v="PC"/>
    <s v="Ultramobile Basic, Clamshell"/>
    <s v="Semiconductor Revenue M$"/>
    <x v="6"/>
    <n v="0"/>
  </r>
  <r>
    <s v="Discrete AI"/>
    <x v="0"/>
    <x v="0"/>
    <s v="PC"/>
    <s v="Ultramobile Premium, Clamshell"/>
    <s v="Semiconductor Revenue M$"/>
    <x v="0"/>
    <n v="0"/>
  </r>
  <r>
    <s v="Discrete AI"/>
    <x v="0"/>
    <x v="0"/>
    <s v="PC"/>
    <s v="Ultramobile Premium, Clamshell"/>
    <s v="Semiconductor Revenue M$"/>
    <x v="1"/>
    <n v="0"/>
  </r>
  <r>
    <s v="Discrete AI"/>
    <x v="0"/>
    <x v="0"/>
    <s v="PC"/>
    <s v="Ultramobile Premium, Clamshell"/>
    <s v="Semiconductor Revenue M$"/>
    <x v="2"/>
    <n v="0"/>
  </r>
  <r>
    <s v="Discrete AI"/>
    <x v="0"/>
    <x v="0"/>
    <s v="PC"/>
    <s v="Ultramobile Premium, Clamshell"/>
    <s v="Semiconductor Revenue M$"/>
    <x v="3"/>
    <n v="0"/>
  </r>
  <r>
    <s v="Discrete AI"/>
    <x v="0"/>
    <x v="0"/>
    <s v="PC"/>
    <s v="Ultramobile Premium, Clamshell"/>
    <s v="Semiconductor Revenue M$"/>
    <x v="4"/>
    <n v="0"/>
  </r>
  <r>
    <s v="Discrete AI"/>
    <x v="0"/>
    <x v="0"/>
    <s v="PC"/>
    <s v="Ultramobile Premium, Clamshell"/>
    <s v="Semiconductor Revenue M$"/>
    <x v="5"/>
    <n v="0"/>
  </r>
  <r>
    <s v="Discrete AI"/>
    <x v="0"/>
    <x v="0"/>
    <s v="PC"/>
    <s v="Ultramobile Premium, Clamshell"/>
    <s v="Semiconductor Revenue M$"/>
    <x v="6"/>
    <n v="0"/>
  </r>
  <r>
    <s v="Discrete AI"/>
    <x v="0"/>
    <x v="0"/>
    <s v="PC"/>
    <s v="Ultramobile Basic, Hybrid"/>
    <s v="Semiconductor Revenue M$"/>
    <x v="0"/>
    <n v="0"/>
  </r>
  <r>
    <s v="Discrete AI"/>
    <x v="0"/>
    <x v="0"/>
    <s v="PC"/>
    <s v="Ultramobile Basic, Hybrid"/>
    <s v="Semiconductor Revenue M$"/>
    <x v="1"/>
    <n v="0"/>
  </r>
  <r>
    <s v="Discrete AI"/>
    <x v="0"/>
    <x v="0"/>
    <s v="PC"/>
    <s v="Ultramobile Basic, Hybrid"/>
    <s v="Semiconductor Revenue M$"/>
    <x v="2"/>
    <n v="0"/>
  </r>
  <r>
    <s v="Discrete AI"/>
    <x v="0"/>
    <x v="0"/>
    <s v="PC"/>
    <s v="Ultramobile Basic, Hybrid"/>
    <s v="Semiconductor Revenue M$"/>
    <x v="3"/>
    <n v="0"/>
  </r>
  <r>
    <s v="Discrete AI"/>
    <x v="0"/>
    <x v="0"/>
    <s v="PC"/>
    <s v="Ultramobile Basic, Hybrid"/>
    <s v="Semiconductor Revenue M$"/>
    <x v="4"/>
    <n v="0"/>
  </r>
  <r>
    <s v="Discrete AI"/>
    <x v="0"/>
    <x v="0"/>
    <s v="PC"/>
    <s v="Ultramobile Basic, Hybrid"/>
    <s v="Semiconductor Revenue M$"/>
    <x v="5"/>
    <n v="0"/>
  </r>
  <r>
    <s v="Discrete AI"/>
    <x v="0"/>
    <x v="0"/>
    <s v="PC"/>
    <s v="Ultramobile Basic, Hybrid"/>
    <s v="Semiconductor Revenue M$"/>
    <x v="6"/>
    <n v="0"/>
  </r>
  <r>
    <s v="Discrete AI"/>
    <x v="0"/>
    <x v="0"/>
    <s v="PC"/>
    <s v="Ultramobile Premium, Hybrid"/>
    <s v="Semiconductor Revenue M$"/>
    <x v="0"/>
    <n v="0"/>
  </r>
  <r>
    <s v="Discrete AI"/>
    <x v="0"/>
    <x v="0"/>
    <s v="PC"/>
    <s v="Ultramobile Premium, Hybrid"/>
    <s v="Semiconductor Revenue M$"/>
    <x v="1"/>
    <n v="0"/>
  </r>
  <r>
    <s v="Discrete AI"/>
    <x v="0"/>
    <x v="0"/>
    <s v="PC"/>
    <s v="Ultramobile Premium, Hybrid"/>
    <s v="Semiconductor Revenue M$"/>
    <x v="2"/>
    <n v="0"/>
  </r>
  <r>
    <s v="Discrete AI"/>
    <x v="0"/>
    <x v="0"/>
    <s v="PC"/>
    <s v="Ultramobile Premium, Hybrid"/>
    <s v="Semiconductor Revenue M$"/>
    <x v="3"/>
    <n v="0"/>
  </r>
  <r>
    <s v="Discrete AI"/>
    <x v="0"/>
    <x v="0"/>
    <s v="PC"/>
    <s v="Ultramobile Premium, Hybrid"/>
    <s v="Semiconductor Revenue M$"/>
    <x v="4"/>
    <n v="0"/>
  </r>
  <r>
    <s v="Discrete AI"/>
    <x v="0"/>
    <x v="0"/>
    <s v="PC"/>
    <s v="Ultramobile Premium, Hybrid"/>
    <s v="Semiconductor Revenue M$"/>
    <x v="5"/>
    <n v="0"/>
  </r>
  <r>
    <s v="Discrete AI"/>
    <x v="0"/>
    <x v="0"/>
    <s v="PC"/>
    <s v="Ultramobile Premium, Hybrid"/>
    <s v="Semiconductor Revenue M$"/>
    <x v="6"/>
    <n v="0"/>
  </r>
  <r>
    <s v="Discrete AI"/>
    <x v="0"/>
    <x v="0"/>
    <s v="PC"/>
    <s v="Notebook"/>
    <s v="Semiconductor Revenue M$"/>
    <x v="0"/>
    <n v="0"/>
  </r>
  <r>
    <s v="Discrete AI"/>
    <x v="0"/>
    <x v="0"/>
    <s v="PC"/>
    <s v="Notebook"/>
    <s v="Semiconductor Revenue M$"/>
    <x v="1"/>
    <n v="0"/>
  </r>
  <r>
    <s v="Discrete AI"/>
    <x v="0"/>
    <x v="0"/>
    <s v="PC"/>
    <s v="Notebook"/>
    <s v="Semiconductor Revenue M$"/>
    <x v="2"/>
    <n v="0"/>
  </r>
  <r>
    <s v="Discrete AI"/>
    <x v="0"/>
    <x v="0"/>
    <s v="PC"/>
    <s v="Notebook"/>
    <s v="Semiconductor Revenue M$"/>
    <x v="3"/>
    <n v="0"/>
  </r>
  <r>
    <s v="Discrete AI"/>
    <x v="0"/>
    <x v="0"/>
    <s v="PC"/>
    <s v="Notebook"/>
    <s v="Semiconductor Revenue M$"/>
    <x v="4"/>
    <n v="0"/>
  </r>
  <r>
    <s v="Discrete AI"/>
    <x v="0"/>
    <x v="0"/>
    <s v="PC"/>
    <s v="Notebook"/>
    <s v="Semiconductor Revenue M$"/>
    <x v="5"/>
    <n v="0"/>
  </r>
  <r>
    <s v="Discrete AI"/>
    <x v="0"/>
    <x v="0"/>
    <s v="PC"/>
    <s v="Notebook"/>
    <s v="Semiconductor Revenue M$"/>
    <x v="6"/>
    <n v="0"/>
  </r>
  <r>
    <s v="Discrete AI"/>
    <x v="0"/>
    <x v="0"/>
    <s v="Compute"/>
    <s v="Printer/Copier"/>
    <s v="Semiconductor Revenue M$"/>
    <x v="0"/>
    <n v="0"/>
  </r>
  <r>
    <s v="Discrete AI"/>
    <x v="0"/>
    <x v="0"/>
    <s v="Compute"/>
    <s v="Printer/Copier"/>
    <s v="Semiconductor Revenue M$"/>
    <x v="1"/>
    <n v="0"/>
  </r>
  <r>
    <s v="Discrete AI"/>
    <x v="0"/>
    <x v="0"/>
    <s v="Compute"/>
    <s v="Printer/Copier"/>
    <s v="Semiconductor Revenue M$"/>
    <x v="2"/>
    <n v="0"/>
  </r>
  <r>
    <s v="Discrete AI"/>
    <x v="0"/>
    <x v="0"/>
    <s v="Compute"/>
    <s v="Printer/Copier"/>
    <s v="Semiconductor Revenue M$"/>
    <x v="3"/>
    <n v="0"/>
  </r>
  <r>
    <s v="Discrete AI"/>
    <x v="0"/>
    <x v="0"/>
    <s v="Compute"/>
    <s v="Printer/Copier"/>
    <s v="Semiconductor Revenue M$"/>
    <x v="4"/>
    <n v="0"/>
  </r>
  <r>
    <s v="Discrete AI"/>
    <x v="0"/>
    <x v="0"/>
    <s v="Compute"/>
    <s v="Printer/Copier"/>
    <s v="Semiconductor Revenue M$"/>
    <x v="5"/>
    <n v="0"/>
  </r>
  <r>
    <s v="Discrete AI"/>
    <x v="0"/>
    <x v="0"/>
    <s v="Compute"/>
    <s v="Printer/Copier"/>
    <s v="Semiconductor Revenue M$"/>
    <x v="6"/>
    <n v="0"/>
  </r>
  <r>
    <s v="Discrete AI"/>
    <x v="0"/>
    <x v="0"/>
    <s v="Compute"/>
    <s v="Flash Cards"/>
    <s v="Semiconductor Revenue M$"/>
    <x v="0"/>
    <n v="0"/>
  </r>
  <r>
    <s v="Discrete AI"/>
    <x v="0"/>
    <x v="0"/>
    <s v="Compute"/>
    <s v="Flash Cards"/>
    <s v="Semiconductor Revenue M$"/>
    <x v="1"/>
    <n v="0"/>
  </r>
  <r>
    <s v="Discrete AI"/>
    <x v="0"/>
    <x v="0"/>
    <s v="Compute"/>
    <s v="Flash Cards"/>
    <s v="Semiconductor Revenue M$"/>
    <x v="2"/>
    <n v="0"/>
  </r>
  <r>
    <s v="Discrete AI"/>
    <x v="0"/>
    <x v="0"/>
    <s v="Compute"/>
    <s v="Flash Cards"/>
    <s v="Semiconductor Revenue M$"/>
    <x v="3"/>
    <n v="0"/>
  </r>
  <r>
    <s v="Discrete AI"/>
    <x v="0"/>
    <x v="0"/>
    <s v="Compute"/>
    <s v="Flash Cards"/>
    <s v="Semiconductor Revenue M$"/>
    <x v="4"/>
    <n v="0"/>
  </r>
  <r>
    <s v="Discrete AI"/>
    <x v="0"/>
    <x v="0"/>
    <s v="Compute"/>
    <s v="Flash Cards"/>
    <s v="Semiconductor Revenue M$"/>
    <x v="5"/>
    <n v="0"/>
  </r>
  <r>
    <s v="Discrete AI"/>
    <x v="0"/>
    <x v="0"/>
    <s v="Compute"/>
    <s v="Flash Cards"/>
    <s v="Semiconductor Revenue M$"/>
    <x v="6"/>
    <n v="0"/>
  </r>
  <r>
    <s v="Discrete AI"/>
    <x v="0"/>
    <x v="0"/>
    <s v="Compute"/>
    <s v="USB Flash Drives"/>
    <s v="Semiconductor Revenue M$"/>
    <x v="0"/>
    <n v="0"/>
  </r>
  <r>
    <s v="Discrete AI"/>
    <x v="0"/>
    <x v="0"/>
    <s v="Compute"/>
    <s v="USB Flash Drives"/>
    <s v="Semiconductor Revenue M$"/>
    <x v="1"/>
    <n v="0"/>
  </r>
  <r>
    <s v="Discrete AI"/>
    <x v="0"/>
    <x v="0"/>
    <s v="Compute"/>
    <s v="USB Flash Drives"/>
    <s v="Semiconductor Revenue M$"/>
    <x v="2"/>
    <n v="0"/>
  </r>
  <r>
    <s v="Discrete AI"/>
    <x v="0"/>
    <x v="0"/>
    <s v="Compute"/>
    <s v="USB Flash Drives"/>
    <s v="Semiconductor Revenue M$"/>
    <x v="3"/>
    <n v="0"/>
  </r>
  <r>
    <s v="Discrete AI"/>
    <x v="0"/>
    <x v="0"/>
    <s v="Compute"/>
    <s v="USB Flash Drives"/>
    <s v="Semiconductor Revenue M$"/>
    <x v="4"/>
    <n v="0"/>
  </r>
  <r>
    <s v="Discrete AI"/>
    <x v="0"/>
    <x v="0"/>
    <s v="Compute"/>
    <s v="USB Flash Drives"/>
    <s v="Semiconductor Revenue M$"/>
    <x v="5"/>
    <n v="0"/>
  </r>
  <r>
    <s v="Discrete AI"/>
    <x v="0"/>
    <x v="0"/>
    <s v="Compute"/>
    <s v="USB Flash Drives"/>
    <s v="Semiconductor Revenue M$"/>
    <x v="6"/>
    <n v="0"/>
  </r>
  <r>
    <s v="Discrete AI"/>
    <x v="0"/>
    <x v="0"/>
    <s v="Servers"/>
    <s v="Server, 4 CPU sockets and over"/>
    <s v="Semiconductor Revenue M$"/>
    <x v="0"/>
    <n v="0"/>
  </r>
  <r>
    <s v="Discrete AI"/>
    <x v="0"/>
    <x v="0"/>
    <s v="Servers"/>
    <s v="Server, 4 CPU sockets and over"/>
    <s v="Semiconductor Revenue M$"/>
    <x v="1"/>
    <n v="0"/>
  </r>
  <r>
    <s v="Discrete AI"/>
    <x v="0"/>
    <x v="0"/>
    <s v="Servers"/>
    <s v="Server, 4 CPU sockets and over"/>
    <s v="Semiconductor Revenue M$"/>
    <x v="2"/>
    <n v="0"/>
  </r>
  <r>
    <s v="Discrete AI"/>
    <x v="0"/>
    <x v="0"/>
    <s v="Servers"/>
    <s v="Server, 4 CPU sockets and over"/>
    <s v="Semiconductor Revenue M$"/>
    <x v="3"/>
    <n v="0"/>
  </r>
  <r>
    <s v="Discrete AI"/>
    <x v="0"/>
    <x v="0"/>
    <s v="Servers"/>
    <s v="Server, 4 CPU sockets and over"/>
    <s v="Semiconductor Revenue M$"/>
    <x v="4"/>
    <n v="0"/>
  </r>
  <r>
    <s v="Discrete AI"/>
    <x v="0"/>
    <x v="0"/>
    <s v="Servers"/>
    <s v="Server, 4 CPU sockets and over"/>
    <s v="Semiconductor Revenue M$"/>
    <x v="5"/>
    <n v="0"/>
  </r>
  <r>
    <s v="Discrete AI"/>
    <x v="0"/>
    <x v="0"/>
    <s v="Servers"/>
    <s v="Server, 4 CPU sockets and over"/>
    <s v="Semiconductor Revenue M$"/>
    <x v="6"/>
    <n v="0"/>
  </r>
  <r>
    <s v="Discrete AI"/>
    <x v="0"/>
    <x v="0"/>
    <s v="Servers"/>
    <s v="Server, 2 CPU socket"/>
    <s v="Semiconductor Revenue M$"/>
    <x v="0"/>
    <n v="0"/>
  </r>
  <r>
    <s v="Discrete AI"/>
    <x v="0"/>
    <x v="0"/>
    <s v="Servers"/>
    <s v="Server, 2 CPU socket"/>
    <s v="Semiconductor Revenue M$"/>
    <x v="1"/>
    <n v="0"/>
  </r>
  <r>
    <s v="Discrete AI"/>
    <x v="0"/>
    <x v="0"/>
    <s v="Servers"/>
    <s v="Server, 2 CPU socket"/>
    <s v="Semiconductor Revenue M$"/>
    <x v="2"/>
    <n v="0"/>
  </r>
  <r>
    <s v="Discrete AI"/>
    <x v="0"/>
    <x v="0"/>
    <s v="Servers"/>
    <s v="Server, 2 CPU socket"/>
    <s v="Semiconductor Revenue M$"/>
    <x v="3"/>
    <n v="0"/>
  </r>
  <r>
    <s v="Discrete AI"/>
    <x v="0"/>
    <x v="0"/>
    <s v="Servers"/>
    <s v="Server, 2 CPU socket"/>
    <s v="Semiconductor Revenue M$"/>
    <x v="4"/>
    <n v="0"/>
  </r>
  <r>
    <s v="Discrete AI"/>
    <x v="0"/>
    <x v="0"/>
    <s v="Servers"/>
    <s v="Server, 2 CPU socket"/>
    <s v="Semiconductor Revenue M$"/>
    <x v="5"/>
    <n v="0"/>
  </r>
  <r>
    <s v="Discrete AI"/>
    <x v="0"/>
    <x v="0"/>
    <s v="Servers"/>
    <s v="Server, 2 CPU socket"/>
    <s v="Semiconductor Revenue M$"/>
    <x v="6"/>
    <n v="0"/>
  </r>
  <r>
    <s v="Discrete AI"/>
    <x v="0"/>
    <x v="0"/>
    <s v="Servers"/>
    <s v="Server, 1 CPU socket"/>
    <s v="Semiconductor Revenue M$"/>
    <x v="0"/>
    <n v="0"/>
  </r>
  <r>
    <s v="Discrete AI"/>
    <x v="0"/>
    <x v="0"/>
    <s v="Servers"/>
    <s v="Server, 1 CPU socket"/>
    <s v="Semiconductor Revenue M$"/>
    <x v="1"/>
    <n v="0"/>
  </r>
  <r>
    <s v="Discrete AI"/>
    <x v="0"/>
    <x v="0"/>
    <s v="Servers"/>
    <s v="Server, 1 CPU socket"/>
    <s v="Semiconductor Revenue M$"/>
    <x v="2"/>
    <n v="0"/>
  </r>
  <r>
    <s v="Discrete AI"/>
    <x v="0"/>
    <x v="0"/>
    <s v="Servers"/>
    <s v="Server, 1 CPU socket"/>
    <s v="Semiconductor Revenue M$"/>
    <x v="3"/>
    <n v="0"/>
  </r>
  <r>
    <s v="Discrete AI"/>
    <x v="0"/>
    <x v="0"/>
    <s v="Servers"/>
    <s v="Server, 1 CPU socket"/>
    <s v="Semiconductor Revenue M$"/>
    <x v="4"/>
    <n v="0"/>
  </r>
  <r>
    <s v="Discrete AI"/>
    <x v="0"/>
    <x v="0"/>
    <s v="Servers"/>
    <s v="Server, 1 CPU socket"/>
    <s v="Semiconductor Revenue M$"/>
    <x v="5"/>
    <n v="0"/>
  </r>
  <r>
    <s v="Discrete AI"/>
    <x v="0"/>
    <x v="0"/>
    <s v="Servers"/>
    <s v="Server, 1 CPU socket"/>
    <s v="Semiconductor Revenue M$"/>
    <x v="6"/>
    <n v="0"/>
  </r>
  <r>
    <s v="Discrete AI"/>
    <x v="0"/>
    <x v="0"/>
    <s v="Compute"/>
    <s v="Smart Cards"/>
    <s v="Semiconductor Revenue M$"/>
    <x v="0"/>
    <n v="0"/>
  </r>
  <r>
    <s v="Discrete AI"/>
    <x v="0"/>
    <x v="0"/>
    <s v="Compute"/>
    <s v="Smart Cards"/>
    <s v="Semiconductor Revenue M$"/>
    <x v="1"/>
    <n v="0"/>
  </r>
  <r>
    <s v="Discrete AI"/>
    <x v="0"/>
    <x v="0"/>
    <s v="Compute"/>
    <s v="Smart Cards"/>
    <s v="Semiconductor Revenue M$"/>
    <x v="2"/>
    <n v="0"/>
  </r>
  <r>
    <s v="Discrete AI"/>
    <x v="0"/>
    <x v="0"/>
    <s v="Compute"/>
    <s v="Smart Cards"/>
    <s v="Semiconductor Revenue M$"/>
    <x v="3"/>
    <n v="0"/>
  </r>
  <r>
    <s v="Discrete AI"/>
    <x v="0"/>
    <x v="0"/>
    <s v="Compute"/>
    <s v="Smart Cards"/>
    <s v="Semiconductor Revenue M$"/>
    <x v="4"/>
    <n v="0"/>
  </r>
  <r>
    <s v="Discrete AI"/>
    <x v="0"/>
    <x v="0"/>
    <s v="Compute"/>
    <s v="Smart Cards"/>
    <s v="Semiconductor Revenue M$"/>
    <x v="5"/>
    <n v="0"/>
  </r>
  <r>
    <s v="Discrete AI"/>
    <x v="0"/>
    <x v="0"/>
    <s v="Compute"/>
    <s v="Smart Cards"/>
    <s v="Semiconductor Revenue M$"/>
    <x v="6"/>
    <n v="0"/>
  </r>
  <r>
    <s v="Discrete AI"/>
    <x v="0"/>
    <x v="0"/>
    <s v="Servers"/>
    <s v="Accelerator Cards"/>
    <s v="Semiconductor Revenue M$"/>
    <x v="0"/>
    <n v="0"/>
  </r>
  <r>
    <s v="Discrete AI"/>
    <x v="0"/>
    <x v="0"/>
    <s v="Servers"/>
    <s v="Accelerator Cards"/>
    <s v="Semiconductor Revenue M$"/>
    <x v="1"/>
    <n v="0"/>
  </r>
  <r>
    <s v="Discrete AI"/>
    <x v="0"/>
    <x v="0"/>
    <s v="Servers"/>
    <s v="Accelerator Cards"/>
    <s v="Semiconductor Revenue M$"/>
    <x v="2"/>
    <n v="0"/>
  </r>
  <r>
    <s v="Discrete AI"/>
    <x v="0"/>
    <x v="0"/>
    <s v="Servers"/>
    <s v="Accelerator Cards"/>
    <s v="Semiconductor Revenue M$"/>
    <x v="3"/>
    <n v="0"/>
  </r>
  <r>
    <s v="Discrete AI"/>
    <x v="0"/>
    <x v="0"/>
    <s v="Servers"/>
    <s v="Accelerator Cards"/>
    <s v="Semiconductor Revenue M$"/>
    <x v="4"/>
    <n v="0"/>
  </r>
  <r>
    <s v="Discrete AI"/>
    <x v="0"/>
    <x v="0"/>
    <s v="Servers"/>
    <s v="Accelerator Cards"/>
    <s v="Semiconductor Revenue M$"/>
    <x v="5"/>
    <n v="0"/>
  </r>
  <r>
    <s v="Discrete AI"/>
    <x v="0"/>
    <x v="0"/>
    <s v="Servers"/>
    <s v="Accelerator Cards"/>
    <s v="Semiconductor Revenue M$"/>
    <x v="6"/>
    <n v="0"/>
  </r>
  <r>
    <s v="Discrete AI"/>
    <x v="0"/>
    <x v="1"/>
    <s v="Storage"/>
    <s v="Solid-State ECB"/>
    <s v="Semiconductor Revenue M$"/>
    <x v="0"/>
    <n v="0"/>
  </r>
  <r>
    <s v="Discrete AI"/>
    <x v="0"/>
    <x v="1"/>
    <s v="Storage"/>
    <s v="Solid-State ECB"/>
    <s v="Semiconductor Revenue M$"/>
    <x v="1"/>
    <n v="0"/>
  </r>
  <r>
    <s v="Discrete AI"/>
    <x v="0"/>
    <x v="1"/>
    <s v="Storage"/>
    <s v="Solid-State ECB"/>
    <s v="Semiconductor Revenue M$"/>
    <x v="2"/>
    <n v="0"/>
  </r>
  <r>
    <s v="Discrete AI"/>
    <x v="0"/>
    <x v="1"/>
    <s v="Storage"/>
    <s v="Solid-State ECB"/>
    <s v="Semiconductor Revenue M$"/>
    <x v="3"/>
    <n v="0"/>
  </r>
  <r>
    <s v="Discrete AI"/>
    <x v="0"/>
    <x v="1"/>
    <s v="Storage"/>
    <s v="Solid-State ECB"/>
    <s v="Semiconductor Revenue M$"/>
    <x v="4"/>
    <n v="0"/>
  </r>
  <r>
    <s v="Discrete AI"/>
    <x v="0"/>
    <x v="1"/>
    <s v="Storage"/>
    <s v="Solid-State ECB"/>
    <s v="Semiconductor Revenue M$"/>
    <x v="5"/>
    <n v="0"/>
  </r>
  <r>
    <s v="Discrete AI"/>
    <x v="0"/>
    <x v="1"/>
    <s v="Storage"/>
    <s v="Solid-State ECB"/>
    <s v="Semiconductor Revenue M$"/>
    <x v="6"/>
    <n v="0"/>
  </r>
  <r>
    <s v="Discrete AI"/>
    <x v="0"/>
    <x v="1"/>
    <s v="Storage"/>
    <s v="Other ECB (HDD/Hybrid)"/>
    <s v="Semiconductor Revenue M$"/>
    <x v="0"/>
    <n v="0"/>
  </r>
  <r>
    <s v="Discrete AI"/>
    <x v="0"/>
    <x v="1"/>
    <s v="Storage"/>
    <s v="Other ECB (HDD/Hybrid)"/>
    <s v="Semiconductor Revenue M$"/>
    <x v="1"/>
    <n v="0"/>
  </r>
  <r>
    <s v="Discrete AI"/>
    <x v="0"/>
    <x v="1"/>
    <s v="Storage"/>
    <s v="Other ECB (HDD/Hybrid)"/>
    <s v="Semiconductor Revenue M$"/>
    <x v="2"/>
    <n v="0"/>
  </r>
  <r>
    <s v="Discrete AI"/>
    <x v="0"/>
    <x v="1"/>
    <s v="Storage"/>
    <s v="Other ECB (HDD/Hybrid)"/>
    <s v="Semiconductor Revenue M$"/>
    <x v="3"/>
    <n v="0"/>
  </r>
  <r>
    <s v="Discrete AI"/>
    <x v="0"/>
    <x v="1"/>
    <s v="Storage"/>
    <s v="Other ECB (HDD/Hybrid)"/>
    <s v="Semiconductor Revenue M$"/>
    <x v="4"/>
    <n v="0"/>
  </r>
  <r>
    <s v="Discrete AI"/>
    <x v="0"/>
    <x v="1"/>
    <s v="Storage"/>
    <s v="Other ECB (HDD/Hybrid)"/>
    <s v="Semiconductor Revenue M$"/>
    <x v="5"/>
    <n v="0"/>
  </r>
  <r>
    <s v="Discrete AI"/>
    <x v="0"/>
    <x v="1"/>
    <s v="Storage"/>
    <s v="Other ECB (HDD/Hybrid)"/>
    <s v="Semiconductor Revenue M$"/>
    <x v="6"/>
    <n v="0"/>
  </r>
  <r>
    <s v="Discrete AI"/>
    <x v="0"/>
    <x v="1"/>
    <s v="Storage"/>
    <s v="Storage Network Infrastructure"/>
    <s v="Semiconductor Revenue M$"/>
    <x v="0"/>
    <n v="0"/>
  </r>
  <r>
    <s v="Discrete AI"/>
    <x v="0"/>
    <x v="1"/>
    <s v="Storage"/>
    <s v="Storage Network Infrastructure"/>
    <s v="Semiconductor Revenue M$"/>
    <x v="1"/>
    <n v="0"/>
  </r>
  <r>
    <s v="Discrete AI"/>
    <x v="0"/>
    <x v="1"/>
    <s v="Storage"/>
    <s v="Storage Network Infrastructure"/>
    <s v="Semiconductor Revenue M$"/>
    <x v="2"/>
    <n v="0"/>
  </r>
  <r>
    <s v="Discrete AI"/>
    <x v="0"/>
    <x v="1"/>
    <s v="Storage"/>
    <s v="Storage Network Infrastructure"/>
    <s v="Semiconductor Revenue M$"/>
    <x v="3"/>
    <n v="0"/>
  </r>
  <r>
    <s v="Discrete AI"/>
    <x v="0"/>
    <x v="1"/>
    <s v="Storage"/>
    <s v="Storage Network Infrastructure"/>
    <s v="Semiconductor Revenue M$"/>
    <x v="4"/>
    <n v="0"/>
  </r>
  <r>
    <s v="Discrete AI"/>
    <x v="0"/>
    <x v="1"/>
    <s v="Storage"/>
    <s v="Storage Network Infrastructure"/>
    <s v="Semiconductor Revenue M$"/>
    <x v="5"/>
    <n v="0"/>
  </r>
  <r>
    <s v="Discrete AI"/>
    <x v="0"/>
    <x v="1"/>
    <s v="Storage"/>
    <s v="Storage Network Infrastructure"/>
    <s v="Semiconductor Revenue M$"/>
    <x v="6"/>
    <n v="0"/>
  </r>
  <r>
    <s v="Discrete AI"/>
    <x v="0"/>
    <x v="1"/>
    <s v="Storage"/>
    <s v="Hard Disk Drive"/>
    <s v="Semiconductor Revenue M$"/>
    <x v="0"/>
    <n v="0"/>
  </r>
  <r>
    <s v="Discrete AI"/>
    <x v="0"/>
    <x v="1"/>
    <s v="Storage"/>
    <s v="Hard Disk Drive"/>
    <s v="Semiconductor Revenue M$"/>
    <x v="1"/>
    <n v="0"/>
  </r>
  <r>
    <s v="Discrete AI"/>
    <x v="0"/>
    <x v="1"/>
    <s v="Storage"/>
    <s v="Hard Disk Drive"/>
    <s v="Semiconductor Revenue M$"/>
    <x v="2"/>
    <n v="0"/>
  </r>
  <r>
    <s v="Discrete AI"/>
    <x v="0"/>
    <x v="1"/>
    <s v="Storage"/>
    <s v="Hard Disk Drive"/>
    <s v="Semiconductor Revenue M$"/>
    <x v="3"/>
    <n v="0"/>
  </r>
  <r>
    <s v="Discrete AI"/>
    <x v="0"/>
    <x v="1"/>
    <s v="Storage"/>
    <s v="Hard Disk Drive"/>
    <s v="Semiconductor Revenue M$"/>
    <x v="4"/>
    <n v="0"/>
  </r>
  <r>
    <s v="Discrete AI"/>
    <x v="0"/>
    <x v="1"/>
    <s v="Storage"/>
    <s v="Hard Disk Drive"/>
    <s v="Semiconductor Revenue M$"/>
    <x v="5"/>
    <n v="0"/>
  </r>
  <r>
    <s v="Discrete AI"/>
    <x v="0"/>
    <x v="1"/>
    <s v="Storage"/>
    <s v="Hard Disk Drive"/>
    <s v="Semiconductor Revenue M$"/>
    <x v="6"/>
    <n v="0"/>
  </r>
  <r>
    <s v="Discrete AI"/>
    <x v="0"/>
    <x v="1"/>
    <s v="Storage"/>
    <s v="Solid-State Drives"/>
    <s v="Semiconductor Revenue M$"/>
    <x v="0"/>
    <n v="0"/>
  </r>
  <r>
    <s v="Discrete AI"/>
    <x v="0"/>
    <x v="1"/>
    <s v="Storage"/>
    <s v="Solid-State Drives"/>
    <s v="Semiconductor Revenue M$"/>
    <x v="1"/>
    <n v="0"/>
  </r>
  <r>
    <s v="Discrete AI"/>
    <x v="0"/>
    <x v="1"/>
    <s v="Storage"/>
    <s v="Solid-State Drives"/>
    <s v="Semiconductor Revenue M$"/>
    <x v="2"/>
    <n v="0"/>
  </r>
  <r>
    <s v="Discrete AI"/>
    <x v="0"/>
    <x v="1"/>
    <s v="Storage"/>
    <s v="Solid-State Drives"/>
    <s v="Semiconductor Revenue M$"/>
    <x v="3"/>
    <n v="0"/>
  </r>
  <r>
    <s v="Discrete AI"/>
    <x v="0"/>
    <x v="1"/>
    <s v="Storage"/>
    <s v="Solid-State Drives"/>
    <s v="Semiconductor Revenue M$"/>
    <x v="4"/>
    <n v="0"/>
  </r>
  <r>
    <s v="Discrete AI"/>
    <x v="0"/>
    <x v="1"/>
    <s v="Storage"/>
    <s v="Solid-State Drives"/>
    <s v="Semiconductor Revenue M$"/>
    <x v="5"/>
    <n v="0"/>
  </r>
  <r>
    <s v="Discrete AI"/>
    <x v="0"/>
    <x v="1"/>
    <s v="Storage"/>
    <s v="Solid-State Drives"/>
    <s v="Semiconductor Revenue M$"/>
    <x v="6"/>
    <n v="0"/>
  </r>
  <r>
    <s v="Discrete AI"/>
    <x v="0"/>
    <x v="1"/>
    <s v="Storage"/>
    <s v="Other Storage Media"/>
    <s v="Semiconductor Revenue M$"/>
    <x v="0"/>
    <n v="0"/>
  </r>
  <r>
    <s v="Discrete AI"/>
    <x v="0"/>
    <x v="1"/>
    <s v="Storage"/>
    <s v="Other Storage Media"/>
    <s v="Semiconductor Revenue M$"/>
    <x v="1"/>
    <n v="0"/>
  </r>
  <r>
    <s v="Discrete AI"/>
    <x v="0"/>
    <x v="1"/>
    <s v="Storage"/>
    <s v="Other Storage Media"/>
    <s v="Semiconductor Revenue M$"/>
    <x v="2"/>
    <n v="0"/>
  </r>
  <r>
    <s v="Discrete AI"/>
    <x v="0"/>
    <x v="1"/>
    <s v="Storage"/>
    <s v="Other Storage Media"/>
    <s v="Semiconductor Revenue M$"/>
    <x v="3"/>
    <n v="0"/>
  </r>
  <r>
    <s v="Discrete AI"/>
    <x v="0"/>
    <x v="1"/>
    <s v="Storage"/>
    <s v="Other Storage Media"/>
    <s v="Semiconductor Revenue M$"/>
    <x v="4"/>
    <n v="0"/>
  </r>
  <r>
    <s v="Discrete AI"/>
    <x v="0"/>
    <x v="1"/>
    <s v="Storage"/>
    <s v="Other Storage Media"/>
    <s v="Semiconductor Revenue M$"/>
    <x v="5"/>
    <n v="0"/>
  </r>
  <r>
    <s v="Discrete AI"/>
    <x v="0"/>
    <x v="1"/>
    <s v="Storage"/>
    <s v="Other Storage Media"/>
    <s v="Semiconductor Revenue M$"/>
    <x v="6"/>
    <n v="0"/>
  </r>
  <r>
    <s v="Discrete AI"/>
    <x v="0"/>
    <x v="1"/>
    <s v="Storage"/>
    <s v="Other Storage Electronics"/>
    <s v="Semiconductor Revenue M$"/>
    <x v="0"/>
    <n v="0"/>
  </r>
  <r>
    <s v="Discrete AI"/>
    <x v="0"/>
    <x v="1"/>
    <s v="Storage"/>
    <s v="Other Storage Electronics"/>
    <s v="Semiconductor Revenue M$"/>
    <x v="1"/>
    <n v="0"/>
  </r>
  <r>
    <s v="Discrete AI"/>
    <x v="0"/>
    <x v="1"/>
    <s v="Storage"/>
    <s v="Other Storage Electronics"/>
    <s v="Semiconductor Revenue M$"/>
    <x v="2"/>
    <n v="0"/>
  </r>
  <r>
    <s v="Discrete AI"/>
    <x v="0"/>
    <x v="1"/>
    <s v="Storage"/>
    <s v="Other Storage Electronics"/>
    <s v="Semiconductor Revenue M$"/>
    <x v="3"/>
    <n v="0"/>
  </r>
  <r>
    <s v="Discrete AI"/>
    <x v="0"/>
    <x v="1"/>
    <s v="Storage"/>
    <s v="Other Storage Electronics"/>
    <s v="Semiconductor Revenue M$"/>
    <x v="4"/>
    <n v="0"/>
  </r>
  <r>
    <s v="Discrete AI"/>
    <x v="0"/>
    <x v="1"/>
    <s v="Storage"/>
    <s v="Other Storage Electronics"/>
    <s v="Semiconductor Revenue M$"/>
    <x v="5"/>
    <n v="0"/>
  </r>
  <r>
    <s v="Discrete AI"/>
    <x v="0"/>
    <x v="1"/>
    <s v="Storage"/>
    <s v="Other Storage Electronics"/>
    <s v="Semiconductor Revenue M$"/>
    <x v="6"/>
    <n v="0"/>
  </r>
  <r>
    <s v="Discrete AI"/>
    <x v="0"/>
    <x v="2"/>
    <s v="Wireless Communications Electronics"/>
    <s v="Utility Traditional Phone"/>
    <s v="Semiconductor Revenue M$"/>
    <x v="0"/>
    <n v="0"/>
  </r>
  <r>
    <s v="Discrete AI"/>
    <x v="0"/>
    <x v="2"/>
    <s v="Wireless Communications Electronics"/>
    <s v="Utility Traditional Phone"/>
    <s v="Semiconductor Revenue M$"/>
    <x v="1"/>
    <n v="0"/>
  </r>
  <r>
    <s v="Discrete AI"/>
    <x v="0"/>
    <x v="2"/>
    <s v="Wireless Communications Electronics"/>
    <s v="Utility Traditional Phone"/>
    <s v="Semiconductor Revenue M$"/>
    <x v="2"/>
    <n v="0"/>
  </r>
  <r>
    <s v="Discrete AI"/>
    <x v="0"/>
    <x v="2"/>
    <s v="Wireless Communications Electronics"/>
    <s v="Utility Traditional Phone"/>
    <s v="Semiconductor Revenue M$"/>
    <x v="3"/>
    <n v="0"/>
  </r>
  <r>
    <s v="Discrete AI"/>
    <x v="0"/>
    <x v="2"/>
    <s v="Wireless Communications Electronics"/>
    <s v="Utility Traditional Phone"/>
    <s v="Semiconductor Revenue M$"/>
    <x v="4"/>
    <n v="0"/>
  </r>
  <r>
    <s v="Discrete AI"/>
    <x v="0"/>
    <x v="2"/>
    <s v="Wireless Communications Electronics"/>
    <s v="Utility Traditional Phone"/>
    <s v="Semiconductor Revenue M$"/>
    <x v="5"/>
    <n v="0"/>
  </r>
  <r>
    <s v="Discrete AI"/>
    <x v="0"/>
    <x v="2"/>
    <s v="Wireless Communications Electronics"/>
    <s v="Utility Traditional Phone"/>
    <s v="Semiconductor Revenue M$"/>
    <x v="6"/>
    <n v="0"/>
  </r>
  <r>
    <s v="Discrete AI"/>
    <x v="0"/>
    <x v="2"/>
    <s v="Wireless Communications Electronics"/>
    <s v="Basic Smartphone"/>
    <s v="Semiconductor Revenue M$"/>
    <x v="0"/>
    <n v="0"/>
  </r>
  <r>
    <s v="Discrete AI"/>
    <x v="0"/>
    <x v="2"/>
    <s v="Wireless Communications Electronics"/>
    <s v="Basic Smartphone"/>
    <s v="Semiconductor Revenue M$"/>
    <x v="1"/>
    <n v="0"/>
  </r>
  <r>
    <s v="Discrete AI"/>
    <x v="0"/>
    <x v="2"/>
    <s v="Wireless Communications Electronics"/>
    <s v="Basic Smartphone"/>
    <s v="Semiconductor Revenue M$"/>
    <x v="2"/>
    <n v="0"/>
  </r>
  <r>
    <s v="Discrete AI"/>
    <x v="0"/>
    <x v="2"/>
    <s v="Wireless Communications Electronics"/>
    <s v="Basic Smartphone"/>
    <s v="Semiconductor Revenue M$"/>
    <x v="3"/>
    <n v="0"/>
  </r>
  <r>
    <s v="Discrete AI"/>
    <x v="0"/>
    <x v="2"/>
    <s v="Wireless Communications Electronics"/>
    <s v="Basic Smartphone"/>
    <s v="Semiconductor Revenue M$"/>
    <x v="4"/>
    <n v="0"/>
  </r>
  <r>
    <s v="Discrete AI"/>
    <x v="0"/>
    <x v="2"/>
    <s v="Wireless Communications Electronics"/>
    <s v="Basic Smartphone"/>
    <s v="Semiconductor Revenue M$"/>
    <x v="5"/>
    <n v="0"/>
  </r>
  <r>
    <s v="Discrete AI"/>
    <x v="0"/>
    <x v="2"/>
    <s v="Wireless Communications Electronics"/>
    <s v="Basic Smartphone"/>
    <s v="Semiconductor Revenue M$"/>
    <x v="6"/>
    <n v="0"/>
  </r>
  <r>
    <s v="Discrete AI"/>
    <x v="0"/>
    <x v="2"/>
    <s v="Wireless Communications Electronics"/>
    <s v="Utility Smartphone"/>
    <s v="Semiconductor Revenue M$"/>
    <x v="0"/>
    <n v="0"/>
  </r>
  <r>
    <s v="Discrete AI"/>
    <x v="0"/>
    <x v="2"/>
    <s v="Wireless Communications Electronics"/>
    <s v="Utility Smartphone"/>
    <s v="Semiconductor Revenue M$"/>
    <x v="1"/>
    <n v="0"/>
  </r>
  <r>
    <s v="Discrete AI"/>
    <x v="0"/>
    <x v="2"/>
    <s v="Wireless Communications Electronics"/>
    <s v="Utility Smartphone"/>
    <s v="Semiconductor Revenue M$"/>
    <x v="2"/>
    <n v="0"/>
  </r>
  <r>
    <s v="Discrete AI"/>
    <x v="0"/>
    <x v="2"/>
    <s v="Wireless Communications Electronics"/>
    <s v="Utility Smartphone"/>
    <s v="Semiconductor Revenue M$"/>
    <x v="3"/>
    <n v="0"/>
  </r>
  <r>
    <s v="Discrete AI"/>
    <x v="0"/>
    <x v="2"/>
    <s v="Wireless Communications Electronics"/>
    <s v="Utility Smartphone"/>
    <s v="Semiconductor Revenue M$"/>
    <x v="4"/>
    <n v="0"/>
  </r>
  <r>
    <s v="Discrete AI"/>
    <x v="0"/>
    <x v="2"/>
    <s v="Wireless Communications Electronics"/>
    <s v="Utility Smartphone"/>
    <s v="Semiconductor Revenue M$"/>
    <x v="5"/>
    <n v="0"/>
  </r>
  <r>
    <s v="Discrete AI"/>
    <x v="0"/>
    <x v="2"/>
    <s v="Wireless Communications Electronics"/>
    <s v="Utility Smartphone"/>
    <s v="Semiconductor Revenue M$"/>
    <x v="6"/>
    <n v="0"/>
  </r>
  <r>
    <s v="Discrete AI"/>
    <x v="0"/>
    <x v="2"/>
    <s v="Wireless Communications Electronics"/>
    <s v="Premium Smartphone"/>
    <s v="Semiconductor Revenue M$"/>
    <x v="0"/>
    <n v="0"/>
  </r>
  <r>
    <s v="Discrete AI"/>
    <x v="0"/>
    <x v="2"/>
    <s v="Wireless Communications Electronics"/>
    <s v="Premium Smartphone"/>
    <s v="Semiconductor Revenue M$"/>
    <x v="1"/>
    <n v="0"/>
  </r>
  <r>
    <s v="Discrete AI"/>
    <x v="0"/>
    <x v="2"/>
    <s v="Wireless Communications Electronics"/>
    <s v="Premium Smartphone"/>
    <s v="Semiconductor Revenue M$"/>
    <x v="2"/>
    <n v="0"/>
  </r>
  <r>
    <s v="Discrete AI"/>
    <x v="0"/>
    <x v="2"/>
    <s v="Wireless Communications Electronics"/>
    <s v="Premium Smartphone"/>
    <s v="Semiconductor Revenue M$"/>
    <x v="3"/>
    <n v="0"/>
  </r>
  <r>
    <s v="Discrete AI"/>
    <x v="0"/>
    <x v="2"/>
    <s v="Wireless Communications Electronics"/>
    <s v="Premium Smartphone"/>
    <s v="Semiconductor Revenue M$"/>
    <x v="4"/>
    <n v="0"/>
  </r>
  <r>
    <s v="Discrete AI"/>
    <x v="0"/>
    <x v="2"/>
    <s v="Wireless Communications Electronics"/>
    <s v="Premium Smartphone"/>
    <s v="Semiconductor Revenue M$"/>
    <x v="5"/>
    <n v="0"/>
  </r>
  <r>
    <s v="Discrete AI"/>
    <x v="0"/>
    <x v="2"/>
    <s v="Wireless Communications Electronics"/>
    <s v="Premium Smartphone"/>
    <s v="Semiconductor Revenue M$"/>
    <x v="6"/>
    <n v="0"/>
  </r>
  <r>
    <s v="Discrete AI"/>
    <x v="0"/>
    <x v="3"/>
    <s v="Automotive Electronics"/>
    <s v="ADAS-ECU (Level-2+/3/4)"/>
    <s v="Semiconductor Revenue M$"/>
    <x v="0"/>
    <n v="0"/>
  </r>
  <r>
    <s v="Discrete AI"/>
    <x v="0"/>
    <x v="3"/>
    <s v="Automotive Electronics"/>
    <s v="ADAS-ECU (Level-2+/3/4)"/>
    <s v="Semiconductor Revenue M$"/>
    <x v="1"/>
    <n v="0"/>
  </r>
  <r>
    <s v="Discrete AI"/>
    <x v="0"/>
    <x v="3"/>
    <s v="Automotive Electronics"/>
    <s v="ADAS-ECU (Level-2+/3/4)"/>
    <s v="Semiconductor Revenue M$"/>
    <x v="2"/>
    <n v="0"/>
  </r>
  <r>
    <s v="Discrete AI"/>
    <x v="0"/>
    <x v="3"/>
    <s v="Automotive Electronics"/>
    <s v="ADAS-ECU (Level-2+/3/4)"/>
    <s v="Semiconductor Revenue M$"/>
    <x v="3"/>
    <n v="0"/>
  </r>
  <r>
    <s v="Discrete AI"/>
    <x v="0"/>
    <x v="3"/>
    <s v="Automotive Electronics"/>
    <s v="ADAS-ECU (Level-2+/3/4)"/>
    <s v="Semiconductor Revenue M$"/>
    <x v="4"/>
    <n v="0"/>
  </r>
  <r>
    <s v="Discrete AI"/>
    <x v="0"/>
    <x v="3"/>
    <s v="Automotive Electronics"/>
    <s v="ADAS-ECU (Level-2+/3/4)"/>
    <s v="Semiconductor Revenue M$"/>
    <x v="5"/>
    <n v="0"/>
  </r>
  <r>
    <s v="Discrete AI"/>
    <x v="0"/>
    <x v="3"/>
    <s v="Automotive Electronics"/>
    <s v="ADAS-ECU (Level-2+/3/4)"/>
    <s v="Semiconductor Revenue M$"/>
    <x v="6"/>
    <n v="0"/>
  </r>
  <r>
    <s v="Discrete AI"/>
    <x v="0"/>
    <x v="2"/>
    <s v="Wireless Communications Electronics"/>
    <s v="Mobile Infrastructure - Base Station Equipment"/>
    <s v="Semiconductor Revenue M$"/>
    <x v="0"/>
    <n v="0"/>
  </r>
  <r>
    <s v="Discrete AI"/>
    <x v="0"/>
    <x v="2"/>
    <s v="Wireless Communications Electronics"/>
    <s v="Mobile Infrastructure - Base Station Equipment"/>
    <s v="Semiconductor Revenue M$"/>
    <x v="1"/>
    <n v="0"/>
  </r>
  <r>
    <s v="Discrete AI"/>
    <x v="0"/>
    <x v="2"/>
    <s v="Wireless Communications Electronics"/>
    <s v="Mobile Infrastructure - Base Station Equipment"/>
    <s v="Semiconductor Revenue M$"/>
    <x v="2"/>
    <n v="0"/>
  </r>
  <r>
    <s v="Discrete AI"/>
    <x v="0"/>
    <x v="2"/>
    <s v="Wireless Communications Electronics"/>
    <s v="Mobile Infrastructure - Base Station Equipment"/>
    <s v="Semiconductor Revenue M$"/>
    <x v="3"/>
    <n v="0"/>
  </r>
  <r>
    <s v="Discrete AI"/>
    <x v="0"/>
    <x v="2"/>
    <s v="Wireless Communications Electronics"/>
    <s v="Mobile Infrastructure - Base Station Equipment"/>
    <s v="Semiconductor Revenue M$"/>
    <x v="4"/>
    <n v="0"/>
  </r>
  <r>
    <s v="Discrete AI"/>
    <x v="0"/>
    <x v="2"/>
    <s v="Wireless Communications Electronics"/>
    <s v="Mobile Infrastructure - Base Station Equipment"/>
    <s v="Semiconductor Revenue M$"/>
    <x v="5"/>
    <n v="0"/>
  </r>
  <r>
    <s v="Discrete AI"/>
    <x v="0"/>
    <x v="2"/>
    <s v="Wireless Communications Electronics"/>
    <s v="Mobile Infrastructure - Base Station Equipment"/>
    <s v="Semiconductor Revenue M$"/>
    <x v="6"/>
    <n v="0"/>
  </r>
  <r>
    <s v="Discrete AI"/>
    <x v="0"/>
    <x v="2"/>
    <s v="Wireless Communications Electronics"/>
    <s v="Wireless LAN Infrastructure"/>
    <s v="Semiconductor Revenue M$"/>
    <x v="0"/>
    <n v="0"/>
  </r>
  <r>
    <s v="Discrete AI"/>
    <x v="0"/>
    <x v="2"/>
    <s v="Wireless Communications Electronics"/>
    <s v="Wireless LAN Infrastructure"/>
    <s v="Semiconductor Revenue M$"/>
    <x v="1"/>
    <n v="0"/>
  </r>
  <r>
    <s v="Discrete AI"/>
    <x v="0"/>
    <x v="2"/>
    <s v="Wireless Communications Electronics"/>
    <s v="Wireless LAN Infrastructure"/>
    <s v="Semiconductor Revenue M$"/>
    <x v="2"/>
    <n v="0"/>
  </r>
  <r>
    <s v="Discrete AI"/>
    <x v="0"/>
    <x v="2"/>
    <s v="Wireless Communications Electronics"/>
    <s v="Wireless LAN Infrastructure"/>
    <s v="Semiconductor Revenue M$"/>
    <x v="3"/>
    <n v="0"/>
  </r>
  <r>
    <s v="Discrete AI"/>
    <x v="0"/>
    <x v="2"/>
    <s v="Wireless Communications Electronics"/>
    <s v="Wireless LAN Infrastructure"/>
    <s v="Semiconductor Revenue M$"/>
    <x v="4"/>
    <n v="0"/>
  </r>
  <r>
    <s v="Discrete AI"/>
    <x v="0"/>
    <x v="2"/>
    <s v="Wireless Communications Electronics"/>
    <s v="Wireless LAN Infrastructure"/>
    <s v="Semiconductor Revenue M$"/>
    <x v="5"/>
    <n v="0"/>
  </r>
  <r>
    <s v="Discrete AI"/>
    <x v="0"/>
    <x v="2"/>
    <s v="Wireless Communications Electronics"/>
    <s v="Wireless LAN Infrastructure"/>
    <s v="Semiconductor Revenue M$"/>
    <x v="6"/>
    <n v="0"/>
  </r>
  <r>
    <s v="Discrete AI"/>
    <x v="0"/>
    <x v="2"/>
    <s v="Wireless Communications Electronics"/>
    <s v="Cellular Modems"/>
    <s v="Semiconductor Revenue M$"/>
    <x v="0"/>
    <n v="0"/>
  </r>
  <r>
    <s v="Discrete AI"/>
    <x v="0"/>
    <x v="2"/>
    <s v="Wireless Communications Electronics"/>
    <s v="Cellular Modems"/>
    <s v="Semiconductor Revenue M$"/>
    <x v="1"/>
    <n v="0"/>
  </r>
  <r>
    <s v="Discrete AI"/>
    <x v="0"/>
    <x v="2"/>
    <s v="Wireless Communications Electronics"/>
    <s v="Cellular Modems"/>
    <s v="Semiconductor Revenue M$"/>
    <x v="2"/>
    <n v="0"/>
  </r>
  <r>
    <s v="Discrete AI"/>
    <x v="0"/>
    <x v="2"/>
    <s v="Wireless Communications Electronics"/>
    <s v="Cellular Modems"/>
    <s v="Semiconductor Revenue M$"/>
    <x v="3"/>
    <n v="0"/>
  </r>
  <r>
    <s v="Discrete AI"/>
    <x v="0"/>
    <x v="2"/>
    <s v="Wireless Communications Electronics"/>
    <s v="Cellular Modems"/>
    <s v="Semiconductor Revenue M$"/>
    <x v="4"/>
    <n v="0"/>
  </r>
  <r>
    <s v="Discrete AI"/>
    <x v="0"/>
    <x v="2"/>
    <s v="Wireless Communications Electronics"/>
    <s v="Cellular Modems"/>
    <s v="Semiconductor Revenue M$"/>
    <x v="5"/>
    <n v="0"/>
  </r>
  <r>
    <s v="Discrete AI"/>
    <x v="0"/>
    <x v="2"/>
    <s v="Wireless Communications Electronics"/>
    <s v="Cellular Modems"/>
    <s v="Semiconductor Revenue M$"/>
    <x v="6"/>
    <n v="0"/>
  </r>
  <r>
    <s v="Discrete AI"/>
    <x v="0"/>
    <x v="2"/>
    <s v="Wireless Communications Electronics"/>
    <s v="Other Wireless Communications Electronics"/>
    <s v="Semiconductor Revenue M$"/>
    <x v="0"/>
    <n v="0"/>
  </r>
  <r>
    <s v="Discrete AI"/>
    <x v="0"/>
    <x v="2"/>
    <s v="Wireless Communications Electronics"/>
    <s v="Other Wireless Communications Electronics"/>
    <s v="Semiconductor Revenue M$"/>
    <x v="1"/>
    <n v="0"/>
  </r>
  <r>
    <s v="Discrete AI"/>
    <x v="0"/>
    <x v="2"/>
    <s v="Wireless Communications Electronics"/>
    <s v="Other Wireless Communications Electronics"/>
    <s v="Semiconductor Revenue M$"/>
    <x v="2"/>
    <n v="0"/>
  </r>
  <r>
    <s v="Discrete AI"/>
    <x v="0"/>
    <x v="2"/>
    <s v="Wireless Communications Electronics"/>
    <s v="Other Wireless Communications Electronics"/>
    <s v="Semiconductor Revenue M$"/>
    <x v="3"/>
    <n v="0"/>
  </r>
  <r>
    <s v="Discrete AI"/>
    <x v="0"/>
    <x v="2"/>
    <s v="Wireless Communications Electronics"/>
    <s v="Other Wireless Communications Electronics"/>
    <s v="Semiconductor Revenue M$"/>
    <x v="4"/>
    <n v="0"/>
  </r>
  <r>
    <s v="Discrete AI"/>
    <x v="0"/>
    <x v="2"/>
    <s v="Wireless Communications Electronics"/>
    <s v="Other Wireless Communications Electronics"/>
    <s v="Semiconductor Revenue M$"/>
    <x v="5"/>
    <n v="0"/>
  </r>
  <r>
    <s v="Discrete AI"/>
    <x v="0"/>
    <x v="2"/>
    <s v="Wireless Communications Electronics"/>
    <s v="Other Wireless Communications Electronics"/>
    <s v="Semiconductor Revenue M$"/>
    <x v="6"/>
    <n v="0"/>
  </r>
  <r>
    <s v="Discrete AI"/>
    <x v="0"/>
    <x v="2"/>
    <s v="Wired Communications Electronics"/>
    <s v="DSL Broadband Access"/>
    <s v="Semiconductor Revenue M$"/>
    <x v="0"/>
    <n v="0"/>
  </r>
  <r>
    <s v="Discrete AI"/>
    <x v="0"/>
    <x v="2"/>
    <s v="Wired Communications Electronics"/>
    <s v="DSL Broadband Access"/>
    <s v="Semiconductor Revenue M$"/>
    <x v="1"/>
    <n v="0"/>
  </r>
  <r>
    <s v="Discrete AI"/>
    <x v="0"/>
    <x v="2"/>
    <s v="Wired Communications Electronics"/>
    <s v="DSL Broadband Access"/>
    <s v="Semiconductor Revenue M$"/>
    <x v="2"/>
    <n v="0"/>
  </r>
  <r>
    <s v="Discrete AI"/>
    <x v="0"/>
    <x v="2"/>
    <s v="Wired Communications Electronics"/>
    <s v="DSL Broadband Access"/>
    <s v="Semiconductor Revenue M$"/>
    <x v="3"/>
    <n v="0"/>
  </r>
  <r>
    <s v="Discrete AI"/>
    <x v="0"/>
    <x v="2"/>
    <s v="Wired Communications Electronics"/>
    <s v="DSL Broadband Access"/>
    <s v="Semiconductor Revenue M$"/>
    <x v="4"/>
    <n v="0"/>
  </r>
  <r>
    <s v="Discrete AI"/>
    <x v="0"/>
    <x v="2"/>
    <s v="Wired Communications Electronics"/>
    <s v="DSL Broadband Access"/>
    <s v="Semiconductor Revenue M$"/>
    <x v="5"/>
    <n v="0"/>
  </r>
  <r>
    <s v="Discrete AI"/>
    <x v="0"/>
    <x v="2"/>
    <s v="Wired Communications Electronics"/>
    <s v="DSL Broadband Access"/>
    <s v="Semiconductor Revenue M$"/>
    <x v="6"/>
    <n v="0"/>
  </r>
  <r>
    <s v="Discrete AI"/>
    <x v="0"/>
    <x v="2"/>
    <s v="Wired Communications Electronics"/>
    <s v="Fiber Broadband Access"/>
    <s v="Semiconductor Revenue M$"/>
    <x v="0"/>
    <n v="0"/>
  </r>
  <r>
    <s v="Discrete AI"/>
    <x v="0"/>
    <x v="2"/>
    <s v="Wired Communications Electronics"/>
    <s v="Fiber Broadband Access"/>
    <s v="Semiconductor Revenue M$"/>
    <x v="1"/>
    <n v="0"/>
  </r>
  <r>
    <s v="Discrete AI"/>
    <x v="0"/>
    <x v="2"/>
    <s v="Wired Communications Electronics"/>
    <s v="Fiber Broadband Access"/>
    <s v="Semiconductor Revenue M$"/>
    <x v="2"/>
    <n v="0"/>
  </r>
  <r>
    <s v="Discrete AI"/>
    <x v="0"/>
    <x v="2"/>
    <s v="Wired Communications Electronics"/>
    <s v="Fiber Broadband Access"/>
    <s v="Semiconductor Revenue M$"/>
    <x v="3"/>
    <n v="0"/>
  </r>
  <r>
    <s v="Discrete AI"/>
    <x v="0"/>
    <x v="2"/>
    <s v="Wired Communications Electronics"/>
    <s v="Fiber Broadband Access"/>
    <s v="Semiconductor Revenue M$"/>
    <x v="4"/>
    <n v="0"/>
  </r>
  <r>
    <s v="Discrete AI"/>
    <x v="0"/>
    <x v="2"/>
    <s v="Wired Communications Electronics"/>
    <s v="Fiber Broadband Access"/>
    <s v="Semiconductor Revenue M$"/>
    <x v="5"/>
    <n v="0"/>
  </r>
  <r>
    <s v="Discrete AI"/>
    <x v="0"/>
    <x v="2"/>
    <s v="Wired Communications Electronics"/>
    <s v="Fiber Broadband Access"/>
    <s v="Semiconductor Revenue M$"/>
    <x v="6"/>
    <n v="0"/>
  </r>
  <r>
    <s v="Discrete AI"/>
    <x v="0"/>
    <x v="2"/>
    <s v="Wired Communications Electronics"/>
    <s v="Other Broadband Access"/>
    <s v="Semiconductor Revenue M$"/>
    <x v="0"/>
    <n v="0"/>
  </r>
  <r>
    <s v="Discrete AI"/>
    <x v="0"/>
    <x v="2"/>
    <s v="Wired Communications Electronics"/>
    <s v="Other Broadband Access"/>
    <s v="Semiconductor Revenue M$"/>
    <x v="1"/>
    <n v="0"/>
  </r>
  <r>
    <s v="Discrete AI"/>
    <x v="0"/>
    <x v="2"/>
    <s v="Wired Communications Electronics"/>
    <s v="Other Broadband Access"/>
    <s v="Semiconductor Revenue M$"/>
    <x v="2"/>
    <n v="0"/>
  </r>
  <r>
    <s v="Discrete AI"/>
    <x v="0"/>
    <x v="2"/>
    <s v="Wired Communications Electronics"/>
    <s v="Other Broadband Access"/>
    <s v="Semiconductor Revenue M$"/>
    <x v="3"/>
    <n v="0"/>
  </r>
  <r>
    <s v="Discrete AI"/>
    <x v="0"/>
    <x v="2"/>
    <s v="Wired Communications Electronics"/>
    <s v="Other Broadband Access"/>
    <s v="Semiconductor Revenue M$"/>
    <x v="4"/>
    <n v="0"/>
  </r>
  <r>
    <s v="Discrete AI"/>
    <x v="0"/>
    <x v="2"/>
    <s v="Wired Communications Electronics"/>
    <s v="Other Broadband Access"/>
    <s v="Semiconductor Revenue M$"/>
    <x v="5"/>
    <n v="0"/>
  </r>
  <r>
    <s v="Discrete AI"/>
    <x v="0"/>
    <x v="2"/>
    <s v="Wired Communications Electronics"/>
    <s v="Other Broadband Access"/>
    <s v="Semiconductor Revenue M$"/>
    <x v="6"/>
    <n v="0"/>
  </r>
  <r>
    <s v="Discrete AI"/>
    <x v="0"/>
    <x v="2"/>
    <s v="Wired Communications Electronics"/>
    <s v="Enterprise LAN"/>
    <s v="Semiconductor Revenue M$"/>
    <x v="0"/>
    <n v="0"/>
  </r>
  <r>
    <s v="Discrete AI"/>
    <x v="0"/>
    <x v="2"/>
    <s v="Wired Communications Electronics"/>
    <s v="Enterprise LAN"/>
    <s v="Semiconductor Revenue M$"/>
    <x v="1"/>
    <n v="0"/>
  </r>
  <r>
    <s v="Discrete AI"/>
    <x v="0"/>
    <x v="2"/>
    <s v="Wired Communications Electronics"/>
    <s v="Enterprise LAN"/>
    <s v="Semiconductor Revenue M$"/>
    <x v="2"/>
    <n v="0"/>
  </r>
  <r>
    <s v="Discrete AI"/>
    <x v="0"/>
    <x v="2"/>
    <s v="Wired Communications Electronics"/>
    <s v="Enterprise LAN"/>
    <s v="Semiconductor Revenue M$"/>
    <x v="3"/>
    <n v="0"/>
  </r>
  <r>
    <s v="Discrete AI"/>
    <x v="0"/>
    <x v="2"/>
    <s v="Wired Communications Electronics"/>
    <s v="Enterprise LAN"/>
    <s v="Semiconductor Revenue M$"/>
    <x v="4"/>
    <n v="0"/>
  </r>
  <r>
    <s v="Discrete AI"/>
    <x v="0"/>
    <x v="2"/>
    <s v="Wired Communications Electronics"/>
    <s v="Enterprise LAN"/>
    <s v="Semiconductor Revenue M$"/>
    <x v="5"/>
    <n v="0"/>
  </r>
  <r>
    <s v="Discrete AI"/>
    <x v="0"/>
    <x v="2"/>
    <s v="Wired Communications Electronics"/>
    <s v="Enterprise LAN"/>
    <s v="Semiconductor Revenue M$"/>
    <x v="6"/>
    <n v="0"/>
  </r>
  <r>
    <s v="Discrete AI"/>
    <x v="0"/>
    <x v="3"/>
    <s v="Automotive Electronics"/>
    <s v="ADAS-ECU (Level-0/1/2)"/>
    <s v="Semiconductor Revenue M$"/>
    <x v="0"/>
    <n v="0"/>
  </r>
  <r>
    <s v="Discrete AI"/>
    <x v="0"/>
    <x v="3"/>
    <s v="Automotive Electronics"/>
    <s v="ADAS-ECU (Level-0/1/2)"/>
    <s v="Semiconductor Revenue M$"/>
    <x v="1"/>
    <n v="0"/>
  </r>
  <r>
    <s v="Discrete AI"/>
    <x v="0"/>
    <x v="3"/>
    <s v="Automotive Electronics"/>
    <s v="ADAS-ECU (Level-0/1/2)"/>
    <s v="Semiconductor Revenue M$"/>
    <x v="2"/>
    <n v="0"/>
  </r>
  <r>
    <s v="Discrete AI"/>
    <x v="0"/>
    <x v="3"/>
    <s v="Automotive Electronics"/>
    <s v="ADAS-ECU (Level-0/1/2)"/>
    <s v="Semiconductor Revenue M$"/>
    <x v="3"/>
    <n v="0"/>
  </r>
  <r>
    <s v="Discrete AI"/>
    <x v="0"/>
    <x v="3"/>
    <s v="Automotive Electronics"/>
    <s v="ADAS-ECU (Level-0/1/2)"/>
    <s v="Semiconductor Revenue M$"/>
    <x v="4"/>
    <n v="0"/>
  </r>
  <r>
    <s v="Discrete AI"/>
    <x v="0"/>
    <x v="3"/>
    <s v="Automotive Electronics"/>
    <s v="ADAS-ECU (Level-0/1/2)"/>
    <s v="Semiconductor Revenue M$"/>
    <x v="5"/>
    <n v="0"/>
  </r>
  <r>
    <s v="Discrete AI"/>
    <x v="0"/>
    <x v="3"/>
    <s v="Automotive Electronics"/>
    <s v="ADAS-ECU (Level-0/1/2)"/>
    <s v="Semiconductor Revenue M$"/>
    <x v="6"/>
    <n v="0"/>
  </r>
  <r>
    <s v="Discrete AI"/>
    <x v="0"/>
    <x v="2"/>
    <s v="Wired Communications Electronics"/>
    <s v="Enterprise WAN"/>
    <s v="Semiconductor Revenue M$"/>
    <x v="0"/>
    <n v="0"/>
  </r>
  <r>
    <s v="Discrete AI"/>
    <x v="0"/>
    <x v="2"/>
    <s v="Wired Communications Electronics"/>
    <s v="Enterprise WAN"/>
    <s v="Semiconductor Revenue M$"/>
    <x v="1"/>
    <n v="0"/>
  </r>
  <r>
    <s v="Discrete AI"/>
    <x v="0"/>
    <x v="2"/>
    <s v="Wired Communications Electronics"/>
    <s v="Enterprise WAN"/>
    <s v="Semiconductor Revenue M$"/>
    <x v="2"/>
    <n v="0"/>
  </r>
  <r>
    <s v="Discrete AI"/>
    <x v="0"/>
    <x v="2"/>
    <s v="Wired Communications Electronics"/>
    <s v="Enterprise WAN"/>
    <s v="Semiconductor Revenue M$"/>
    <x v="3"/>
    <n v="0"/>
  </r>
  <r>
    <s v="Discrete AI"/>
    <x v="0"/>
    <x v="2"/>
    <s v="Wired Communications Electronics"/>
    <s v="Enterprise WAN"/>
    <s v="Semiconductor Revenue M$"/>
    <x v="4"/>
    <n v="0"/>
  </r>
  <r>
    <s v="Discrete AI"/>
    <x v="0"/>
    <x v="2"/>
    <s v="Wired Communications Electronics"/>
    <s v="Enterprise WAN"/>
    <s v="Semiconductor Revenue M$"/>
    <x v="5"/>
    <n v="0"/>
  </r>
  <r>
    <s v="Discrete AI"/>
    <x v="0"/>
    <x v="2"/>
    <s v="Wired Communications Electronics"/>
    <s v="Enterprise WAN"/>
    <s v="Semiconductor Revenue M$"/>
    <x v="6"/>
    <n v="0"/>
  </r>
  <r>
    <s v="Discrete AI"/>
    <x v="0"/>
    <x v="2"/>
    <s v="Wired Communications Electronics"/>
    <s v="Optical Transport"/>
    <s v="Semiconductor Revenue M$"/>
    <x v="0"/>
    <n v="0"/>
  </r>
  <r>
    <s v="Discrete AI"/>
    <x v="0"/>
    <x v="2"/>
    <s v="Wired Communications Electronics"/>
    <s v="Optical Transport"/>
    <s v="Semiconductor Revenue M$"/>
    <x v="1"/>
    <n v="0"/>
  </r>
  <r>
    <s v="Discrete AI"/>
    <x v="0"/>
    <x v="2"/>
    <s v="Wired Communications Electronics"/>
    <s v="Optical Transport"/>
    <s v="Semiconductor Revenue M$"/>
    <x v="2"/>
    <n v="0"/>
  </r>
  <r>
    <s v="Discrete AI"/>
    <x v="0"/>
    <x v="2"/>
    <s v="Wired Communications Electronics"/>
    <s v="Optical Transport"/>
    <s v="Semiconductor Revenue M$"/>
    <x v="3"/>
    <n v="0"/>
  </r>
  <r>
    <s v="Discrete AI"/>
    <x v="0"/>
    <x v="2"/>
    <s v="Wired Communications Electronics"/>
    <s v="Optical Transport"/>
    <s v="Semiconductor Revenue M$"/>
    <x v="4"/>
    <n v="0"/>
  </r>
  <r>
    <s v="Discrete AI"/>
    <x v="0"/>
    <x v="2"/>
    <s v="Wired Communications Electronics"/>
    <s v="Optical Transport"/>
    <s v="Semiconductor Revenue M$"/>
    <x v="5"/>
    <n v="0"/>
  </r>
  <r>
    <s v="Discrete AI"/>
    <x v="0"/>
    <x v="2"/>
    <s v="Wired Communications Electronics"/>
    <s v="Optical Transport"/>
    <s v="Semiconductor Revenue M$"/>
    <x v="6"/>
    <n v="0"/>
  </r>
  <r>
    <s v="Discrete AI"/>
    <x v="0"/>
    <x v="2"/>
    <s v="Wired Communications Electronics"/>
    <s v="Service Provider Routers and Switches"/>
    <s v="Semiconductor Revenue M$"/>
    <x v="0"/>
    <n v="0"/>
  </r>
  <r>
    <s v="Discrete AI"/>
    <x v="0"/>
    <x v="2"/>
    <s v="Wired Communications Electronics"/>
    <s v="Service Provider Routers and Switches"/>
    <s v="Semiconductor Revenue M$"/>
    <x v="1"/>
    <n v="0"/>
  </r>
  <r>
    <s v="Discrete AI"/>
    <x v="0"/>
    <x v="2"/>
    <s v="Wired Communications Electronics"/>
    <s v="Service Provider Routers and Switches"/>
    <s v="Semiconductor Revenue M$"/>
    <x v="2"/>
    <n v="0"/>
  </r>
  <r>
    <s v="Discrete AI"/>
    <x v="0"/>
    <x v="2"/>
    <s v="Wired Communications Electronics"/>
    <s v="Service Provider Routers and Switches"/>
    <s v="Semiconductor Revenue M$"/>
    <x v="3"/>
    <n v="0"/>
  </r>
  <r>
    <s v="Discrete AI"/>
    <x v="0"/>
    <x v="2"/>
    <s v="Wired Communications Electronics"/>
    <s v="Service Provider Routers and Switches"/>
    <s v="Semiconductor Revenue M$"/>
    <x v="4"/>
    <n v="0"/>
  </r>
  <r>
    <s v="Discrete AI"/>
    <x v="0"/>
    <x v="2"/>
    <s v="Wired Communications Electronics"/>
    <s v="Service Provider Routers and Switches"/>
    <s v="Semiconductor Revenue M$"/>
    <x v="5"/>
    <n v="0"/>
  </r>
  <r>
    <s v="Discrete AI"/>
    <x v="0"/>
    <x v="2"/>
    <s v="Wired Communications Electronics"/>
    <s v="Service Provider Routers and Switches"/>
    <s v="Semiconductor Revenue M$"/>
    <x v="6"/>
    <n v="0"/>
  </r>
  <r>
    <s v="Discrete AI"/>
    <x v="0"/>
    <x v="2"/>
    <s v="Wired Communications Electronics"/>
    <s v="Other Wired Communications Electronics"/>
    <s v="Semiconductor Revenue M$"/>
    <x v="0"/>
    <n v="0"/>
  </r>
  <r>
    <s v="Discrete AI"/>
    <x v="0"/>
    <x v="2"/>
    <s v="Wired Communications Electronics"/>
    <s v="Other Wired Communications Electronics"/>
    <s v="Semiconductor Revenue M$"/>
    <x v="1"/>
    <n v="0"/>
  </r>
  <r>
    <s v="Discrete AI"/>
    <x v="0"/>
    <x v="2"/>
    <s v="Wired Communications Electronics"/>
    <s v="Other Wired Communications Electronics"/>
    <s v="Semiconductor Revenue M$"/>
    <x v="2"/>
    <n v="0"/>
  </r>
  <r>
    <s v="Discrete AI"/>
    <x v="0"/>
    <x v="2"/>
    <s v="Wired Communications Electronics"/>
    <s v="Other Wired Communications Electronics"/>
    <s v="Semiconductor Revenue M$"/>
    <x v="3"/>
    <n v="0"/>
  </r>
  <r>
    <s v="Discrete AI"/>
    <x v="0"/>
    <x v="2"/>
    <s v="Wired Communications Electronics"/>
    <s v="Other Wired Communications Electronics"/>
    <s v="Semiconductor Revenue M$"/>
    <x v="4"/>
    <n v="0"/>
  </r>
  <r>
    <s v="Discrete AI"/>
    <x v="0"/>
    <x v="2"/>
    <s v="Wired Communications Electronics"/>
    <s v="Other Wired Communications Electronics"/>
    <s v="Semiconductor Revenue M$"/>
    <x v="5"/>
    <n v="0"/>
  </r>
  <r>
    <s v="Discrete AI"/>
    <x v="0"/>
    <x v="2"/>
    <s v="Wired Communications Electronics"/>
    <s v="Other Wired Communications Electronics"/>
    <s v="Semiconductor Revenue M$"/>
    <x v="6"/>
    <n v="0"/>
  </r>
  <r>
    <s v="Discrete AI"/>
    <x v="0"/>
    <x v="4"/>
    <s v="Consumer Electronics"/>
    <s v="Appliances"/>
    <s v="Semiconductor Revenue M$"/>
    <x v="0"/>
    <n v="0"/>
  </r>
  <r>
    <s v="Discrete AI"/>
    <x v="0"/>
    <x v="4"/>
    <s v="Consumer Electronics"/>
    <s v="Appliances"/>
    <s v="Semiconductor Revenue M$"/>
    <x v="1"/>
    <n v="0"/>
  </r>
  <r>
    <s v="Discrete AI"/>
    <x v="0"/>
    <x v="4"/>
    <s v="Consumer Electronics"/>
    <s v="Appliances"/>
    <s v="Semiconductor Revenue M$"/>
    <x v="2"/>
    <n v="0"/>
  </r>
  <r>
    <s v="Discrete AI"/>
    <x v="0"/>
    <x v="4"/>
    <s v="Consumer Electronics"/>
    <s v="Appliances"/>
    <s v="Semiconductor Revenue M$"/>
    <x v="3"/>
    <n v="0"/>
  </r>
  <r>
    <s v="Discrete AI"/>
    <x v="0"/>
    <x v="4"/>
    <s v="Consumer Electronics"/>
    <s v="Appliances"/>
    <s v="Semiconductor Revenue M$"/>
    <x v="4"/>
    <n v="0"/>
  </r>
  <r>
    <s v="Discrete AI"/>
    <x v="0"/>
    <x v="4"/>
    <s v="Consumer Electronics"/>
    <s v="Appliances"/>
    <s v="Semiconductor Revenue M$"/>
    <x v="5"/>
    <n v="0"/>
  </r>
  <r>
    <s v="Discrete AI"/>
    <x v="0"/>
    <x v="4"/>
    <s v="Consumer Electronics"/>
    <s v="Appliances"/>
    <s v="Semiconductor Revenue M$"/>
    <x v="6"/>
    <n v="0"/>
  </r>
  <r>
    <s v="Discrete AI"/>
    <x v="0"/>
    <x v="4"/>
    <s v="Consumer Electronics"/>
    <s v="Digital Camcorder"/>
    <s v="Semiconductor Revenue M$"/>
    <x v="0"/>
    <n v="0"/>
  </r>
  <r>
    <s v="Discrete AI"/>
    <x v="0"/>
    <x v="4"/>
    <s v="Consumer Electronics"/>
    <s v="Digital Camcorder"/>
    <s v="Semiconductor Revenue M$"/>
    <x v="1"/>
    <n v="0"/>
  </r>
  <r>
    <s v="Discrete AI"/>
    <x v="0"/>
    <x v="4"/>
    <s v="Consumer Electronics"/>
    <s v="Digital Camcorder"/>
    <s v="Semiconductor Revenue M$"/>
    <x v="2"/>
    <n v="0"/>
  </r>
  <r>
    <s v="Discrete AI"/>
    <x v="0"/>
    <x v="4"/>
    <s v="Consumer Electronics"/>
    <s v="Digital Camcorder"/>
    <s v="Semiconductor Revenue M$"/>
    <x v="3"/>
    <n v="0"/>
  </r>
  <r>
    <s v="Discrete AI"/>
    <x v="0"/>
    <x v="4"/>
    <s v="Consumer Electronics"/>
    <s v="Digital Camcorder"/>
    <s v="Semiconductor Revenue M$"/>
    <x v="4"/>
    <n v="0"/>
  </r>
  <r>
    <s v="Discrete AI"/>
    <x v="0"/>
    <x v="4"/>
    <s v="Consumer Electronics"/>
    <s v="Digital Camcorder"/>
    <s v="Semiconductor Revenue M$"/>
    <x v="5"/>
    <n v="0"/>
  </r>
  <r>
    <s v="Discrete AI"/>
    <x v="0"/>
    <x v="4"/>
    <s v="Consumer Electronics"/>
    <s v="Digital Camcorder"/>
    <s v="Semiconductor Revenue M$"/>
    <x v="6"/>
    <n v="0"/>
  </r>
  <r>
    <s v="Discrete AI"/>
    <x v="0"/>
    <x v="4"/>
    <s v="Consumer Electronics"/>
    <s v="Digital Set-Top Box, Cable"/>
    <s v="Semiconductor Revenue M$"/>
    <x v="0"/>
    <n v="0"/>
  </r>
  <r>
    <s v="Discrete AI"/>
    <x v="0"/>
    <x v="4"/>
    <s v="Consumer Electronics"/>
    <s v="Digital Set-Top Box, Cable"/>
    <s v="Semiconductor Revenue M$"/>
    <x v="1"/>
    <n v="0"/>
  </r>
  <r>
    <s v="Discrete AI"/>
    <x v="0"/>
    <x v="4"/>
    <s v="Consumer Electronics"/>
    <s v="Digital Set-Top Box, Cable"/>
    <s v="Semiconductor Revenue M$"/>
    <x v="2"/>
    <n v="0"/>
  </r>
  <r>
    <s v="Discrete AI"/>
    <x v="0"/>
    <x v="4"/>
    <s v="Consumer Electronics"/>
    <s v="Digital Set-Top Box, Cable"/>
    <s v="Semiconductor Revenue M$"/>
    <x v="3"/>
    <n v="0"/>
  </r>
  <r>
    <s v="Discrete AI"/>
    <x v="0"/>
    <x v="4"/>
    <s v="Consumer Electronics"/>
    <s v="Digital Set-Top Box, Cable"/>
    <s v="Semiconductor Revenue M$"/>
    <x v="4"/>
    <n v="0"/>
  </r>
  <r>
    <s v="Discrete AI"/>
    <x v="0"/>
    <x v="4"/>
    <s v="Consumer Electronics"/>
    <s v="Digital Set-Top Box, Cable"/>
    <s v="Semiconductor Revenue M$"/>
    <x v="5"/>
    <n v="0"/>
  </r>
  <r>
    <s v="Discrete AI"/>
    <x v="0"/>
    <x v="4"/>
    <s v="Consumer Electronics"/>
    <s v="Digital Set-Top Box, Cable"/>
    <s v="Semiconductor Revenue M$"/>
    <x v="6"/>
    <n v="0"/>
  </r>
  <r>
    <s v="Discrete AI"/>
    <x v="0"/>
    <x v="4"/>
    <s v="Consumer Electronics"/>
    <s v="Digital Set-Top Box, Satellite"/>
    <s v="Semiconductor Revenue M$"/>
    <x v="0"/>
    <n v="0"/>
  </r>
  <r>
    <s v="Discrete AI"/>
    <x v="0"/>
    <x v="4"/>
    <s v="Consumer Electronics"/>
    <s v="Digital Set-Top Box, Satellite"/>
    <s v="Semiconductor Revenue M$"/>
    <x v="1"/>
    <n v="0"/>
  </r>
  <r>
    <s v="Discrete AI"/>
    <x v="0"/>
    <x v="4"/>
    <s v="Consumer Electronics"/>
    <s v="Digital Set-Top Box, Satellite"/>
    <s v="Semiconductor Revenue M$"/>
    <x v="2"/>
    <n v="0"/>
  </r>
  <r>
    <s v="Discrete AI"/>
    <x v="0"/>
    <x v="4"/>
    <s v="Consumer Electronics"/>
    <s v="Digital Set-Top Box, Satellite"/>
    <s v="Semiconductor Revenue M$"/>
    <x v="3"/>
    <n v="0"/>
  </r>
  <r>
    <s v="Discrete AI"/>
    <x v="0"/>
    <x v="4"/>
    <s v="Consumer Electronics"/>
    <s v="Digital Set-Top Box, Satellite"/>
    <s v="Semiconductor Revenue M$"/>
    <x v="4"/>
    <n v="0"/>
  </r>
  <r>
    <s v="Discrete AI"/>
    <x v="0"/>
    <x v="4"/>
    <s v="Consumer Electronics"/>
    <s v="Digital Set-Top Box, Satellite"/>
    <s v="Semiconductor Revenue M$"/>
    <x v="5"/>
    <n v="0"/>
  </r>
  <r>
    <s v="Discrete AI"/>
    <x v="0"/>
    <x v="4"/>
    <s v="Consumer Electronics"/>
    <s v="Digital Set-Top Box, Satellite"/>
    <s v="Semiconductor Revenue M$"/>
    <x v="6"/>
    <n v="0"/>
  </r>
  <r>
    <s v="Discrete AI"/>
    <x v="0"/>
    <x v="4"/>
    <s v="Consumer Electronics"/>
    <s v="Digital Set-Top Box, Terrestrial"/>
    <s v="Semiconductor Revenue M$"/>
    <x v="0"/>
    <n v="0"/>
  </r>
  <r>
    <s v="Discrete AI"/>
    <x v="0"/>
    <x v="4"/>
    <s v="Consumer Electronics"/>
    <s v="Digital Set-Top Box, Terrestrial"/>
    <s v="Semiconductor Revenue M$"/>
    <x v="1"/>
    <n v="0"/>
  </r>
  <r>
    <s v="Discrete AI"/>
    <x v="0"/>
    <x v="4"/>
    <s v="Consumer Electronics"/>
    <s v="Digital Set-Top Box, Terrestrial"/>
    <s v="Semiconductor Revenue M$"/>
    <x v="2"/>
    <n v="0"/>
  </r>
  <r>
    <s v="Discrete AI"/>
    <x v="0"/>
    <x v="4"/>
    <s v="Consumer Electronics"/>
    <s v="Digital Set-Top Box, Terrestrial"/>
    <s v="Semiconductor Revenue M$"/>
    <x v="3"/>
    <n v="0"/>
  </r>
  <r>
    <s v="Discrete AI"/>
    <x v="0"/>
    <x v="4"/>
    <s v="Consumer Electronics"/>
    <s v="Digital Set-Top Box, Terrestrial"/>
    <s v="Semiconductor Revenue M$"/>
    <x v="4"/>
    <n v="0"/>
  </r>
  <r>
    <s v="Discrete AI"/>
    <x v="0"/>
    <x v="4"/>
    <s v="Consumer Electronics"/>
    <s v="Digital Set-Top Box, Terrestrial"/>
    <s v="Semiconductor Revenue M$"/>
    <x v="5"/>
    <n v="0"/>
  </r>
  <r>
    <s v="Discrete AI"/>
    <x v="0"/>
    <x v="4"/>
    <s v="Consumer Electronics"/>
    <s v="Digital Set-Top Box, Terrestrial"/>
    <s v="Semiconductor Revenue M$"/>
    <x v="6"/>
    <n v="0"/>
  </r>
  <r>
    <s v="Discrete AI"/>
    <x v="0"/>
    <x v="4"/>
    <s v="Consumer Electronics"/>
    <s v="Digital Set-Top Box, IP/Other"/>
    <s v="Semiconductor Revenue M$"/>
    <x v="0"/>
    <n v="0"/>
  </r>
  <r>
    <s v="Discrete AI"/>
    <x v="0"/>
    <x v="4"/>
    <s v="Consumer Electronics"/>
    <s v="Digital Set-Top Box, IP/Other"/>
    <s v="Semiconductor Revenue M$"/>
    <x v="1"/>
    <n v="0"/>
  </r>
  <r>
    <s v="Discrete AI"/>
    <x v="0"/>
    <x v="4"/>
    <s v="Consumer Electronics"/>
    <s v="Digital Set-Top Box, IP/Other"/>
    <s v="Semiconductor Revenue M$"/>
    <x v="2"/>
    <n v="0"/>
  </r>
  <r>
    <s v="Discrete AI"/>
    <x v="0"/>
    <x v="4"/>
    <s v="Consumer Electronics"/>
    <s v="Digital Set-Top Box, IP/Other"/>
    <s v="Semiconductor Revenue M$"/>
    <x v="3"/>
    <n v="0"/>
  </r>
  <r>
    <s v="Discrete AI"/>
    <x v="0"/>
    <x v="4"/>
    <s v="Consumer Electronics"/>
    <s v="Digital Set-Top Box, IP/Other"/>
    <s v="Semiconductor Revenue M$"/>
    <x v="4"/>
    <n v="0"/>
  </r>
  <r>
    <s v="Discrete AI"/>
    <x v="0"/>
    <x v="4"/>
    <s v="Consumer Electronics"/>
    <s v="Digital Set-Top Box, IP/Other"/>
    <s v="Semiconductor Revenue M$"/>
    <x v="5"/>
    <n v="0"/>
  </r>
  <r>
    <s v="Discrete AI"/>
    <x v="0"/>
    <x v="4"/>
    <s v="Consumer Electronics"/>
    <s v="Digital Set-Top Box, IP/Other"/>
    <s v="Semiconductor Revenue M$"/>
    <x v="6"/>
    <n v="0"/>
  </r>
  <r>
    <s v="Discrete AI"/>
    <x v="0"/>
    <x v="4"/>
    <s v="Consumer Electronics"/>
    <s v="Digital Still Camera"/>
    <s v="Semiconductor Revenue M$"/>
    <x v="0"/>
    <n v="0"/>
  </r>
  <r>
    <s v="Discrete AI"/>
    <x v="0"/>
    <x v="4"/>
    <s v="Consumer Electronics"/>
    <s v="Digital Still Camera"/>
    <s v="Semiconductor Revenue M$"/>
    <x v="1"/>
    <n v="0"/>
  </r>
  <r>
    <s v="Discrete AI"/>
    <x v="0"/>
    <x v="4"/>
    <s v="Consumer Electronics"/>
    <s v="Digital Still Camera"/>
    <s v="Semiconductor Revenue M$"/>
    <x v="2"/>
    <n v="0"/>
  </r>
  <r>
    <s v="Discrete AI"/>
    <x v="0"/>
    <x v="4"/>
    <s v="Consumer Electronics"/>
    <s v="Digital Still Camera"/>
    <s v="Semiconductor Revenue M$"/>
    <x v="3"/>
    <n v="0"/>
  </r>
  <r>
    <s v="Discrete AI"/>
    <x v="0"/>
    <x v="4"/>
    <s v="Consumer Electronics"/>
    <s v="Digital Still Camera"/>
    <s v="Semiconductor Revenue M$"/>
    <x v="4"/>
    <n v="0"/>
  </r>
  <r>
    <s v="Discrete AI"/>
    <x v="0"/>
    <x v="4"/>
    <s v="Consumer Electronics"/>
    <s v="Digital Still Camera"/>
    <s v="Semiconductor Revenue M$"/>
    <x v="5"/>
    <n v="0"/>
  </r>
  <r>
    <s v="Discrete AI"/>
    <x v="0"/>
    <x v="4"/>
    <s v="Consumer Electronics"/>
    <s v="Digital Still Camera"/>
    <s v="Semiconductor Revenue M$"/>
    <x v="6"/>
    <n v="0"/>
  </r>
  <r>
    <s v="Discrete AI"/>
    <x v="0"/>
    <x v="5"/>
    <s v="Industrial Electronics"/>
    <s v="Agriculture"/>
    <s v="Semiconductor Revenue M$"/>
    <x v="0"/>
    <n v="0"/>
  </r>
  <r>
    <s v="Discrete AI"/>
    <x v="0"/>
    <x v="5"/>
    <s v="Industrial Electronics"/>
    <s v="Agriculture"/>
    <s v="Semiconductor Revenue M$"/>
    <x v="1"/>
    <n v="0"/>
  </r>
  <r>
    <s v="Discrete AI"/>
    <x v="0"/>
    <x v="5"/>
    <s v="Industrial Electronics"/>
    <s v="Agriculture"/>
    <s v="Semiconductor Revenue M$"/>
    <x v="2"/>
    <n v="0"/>
  </r>
  <r>
    <s v="Discrete AI"/>
    <x v="0"/>
    <x v="5"/>
    <s v="Industrial Electronics"/>
    <s v="Agriculture"/>
    <s v="Semiconductor Revenue M$"/>
    <x v="3"/>
    <n v="0"/>
  </r>
  <r>
    <s v="Discrete AI"/>
    <x v="0"/>
    <x v="5"/>
    <s v="Industrial Electronics"/>
    <s v="Agriculture"/>
    <s v="Semiconductor Revenue M$"/>
    <x v="4"/>
    <n v="0"/>
  </r>
  <r>
    <s v="Discrete AI"/>
    <x v="0"/>
    <x v="5"/>
    <s v="Industrial Electronics"/>
    <s v="Agriculture"/>
    <s v="Semiconductor Revenue M$"/>
    <x v="5"/>
    <n v="0"/>
  </r>
  <r>
    <s v="Discrete AI"/>
    <x v="0"/>
    <x v="5"/>
    <s v="Industrial Electronics"/>
    <s v="Agriculture"/>
    <s v="Semiconductor Revenue M$"/>
    <x v="6"/>
    <n v="0"/>
  </r>
  <r>
    <s v="Discrete AI"/>
    <x v="0"/>
    <x v="3"/>
    <s v="Automotive Electronics"/>
    <s v="Automotive HPC"/>
    <s v="Semiconductor Revenue M$"/>
    <x v="0"/>
    <n v="0"/>
  </r>
  <r>
    <s v="Discrete AI"/>
    <x v="0"/>
    <x v="3"/>
    <s v="Automotive Electronics"/>
    <s v="Automotive HPC"/>
    <s v="Semiconductor Revenue M$"/>
    <x v="1"/>
    <n v="0"/>
  </r>
  <r>
    <s v="Discrete AI"/>
    <x v="0"/>
    <x v="3"/>
    <s v="Automotive Electronics"/>
    <s v="Automotive HPC"/>
    <s v="Semiconductor Revenue M$"/>
    <x v="2"/>
    <n v="0"/>
  </r>
  <r>
    <s v="Discrete AI"/>
    <x v="0"/>
    <x v="3"/>
    <s v="Automotive Electronics"/>
    <s v="Automotive HPC"/>
    <s v="Semiconductor Revenue M$"/>
    <x v="3"/>
    <n v="0"/>
  </r>
  <r>
    <s v="Discrete AI"/>
    <x v="0"/>
    <x v="3"/>
    <s v="Automotive Electronics"/>
    <s v="Automotive HPC"/>
    <s v="Semiconductor Revenue M$"/>
    <x v="4"/>
    <n v="0"/>
  </r>
  <r>
    <s v="Discrete AI"/>
    <x v="0"/>
    <x v="3"/>
    <s v="Automotive Electronics"/>
    <s v="Automotive HPC"/>
    <s v="Semiconductor Revenue M$"/>
    <x v="5"/>
    <n v="0"/>
  </r>
  <r>
    <s v="Discrete AI"/>
    <x v="0"/>
    <x v="3"/>
    <s v="Automotive Electronics"/>
    <s v="Automotive HPC"/>
    <s v="Semiconductor Revenue M$"/>
    <x v="6"/>
    <n v="0"/>
  </r>
  <r>
    <s v="Discrete AI"/>
    <x v="0"/>
    <x v="5"/>
    <s v="Industrial Electronics"/>
    <s v="Surveillance"/>
    <s v="Semiconductor Revenue M$"/>
    <x v="0"/>
    <n v="0"/>
  </r>
  <r>
    <s v="Discrete AI"/>
    <x v="0"/>
    <x v="5"/>
    <s v="Industrial Electronics"/>
    <s v="Surveillance"/>
    <s v="Semiconductor Revenue M$"/>
    <x v="1"/>
    <n v="0"/>
  </r>
  <r>
    <s v="Discrete AI"/>
    <x v="0"/>
    <x v="5"/>
    <s v="Industrial Electronics"/>
    <s v="Surveillance"/>
    <s v="Semiconductor Revenue M$"/>
    <x v="2"/>
    <n v="0"/>
  </r>
  <r>
    <s v="Discrete AI"/>
    <x v="0"/>
    <x v="5"/>
    <s v="Industrial Electronics"/>
    <s v="Surveillance"/>
    <s v="Semiconductor Revenue M$"/>
    <x v="3"/>
    <n v="0"/>
  </r>
  <r>
    <s v="Discrete AI"/>
    <x v="0"/>
    <x v="5"/>
    <s v="Industrial Electronics"/>
    <s v="Surveillance"/>
    <s v="Semiconductor Revenue M$"/>
    <x v="4"/>
    <n v="0"/>
  </r>
  <r>
    <s v="Discrete AI"/>
    <x v="0"/>
    <x v="5"/>
    <s v="Industrial Electronics"/>
    <s v="Surveillance"/>
    <s v="Semiconductor Revenue M$"/>
    <x v="5"/>
    <n v="0"/>
  </r>
  <r>
    <s v="Discrete AI"/>
    <x v="0"/>
    <x v="5"/>
    <s v="Industrial Electronics"/>
    <s v="Surveillance"/>
    <s v="Semiconductor Revenue M$"/>
    <x v="6"/>
    <n v="0"/>
  </r>
  <r>
    <s v="Discrete AI"/>
    <x v="0"/>
    <x v="4"/>
    <s v="Consumer Electronics"/>
    <s v="Portable Media Players"/>
    <s v="Semiconductor Revenue M$"/>
    <x v="0"/>
    <n v="0"/>
  </r>
  <r>
    <s v="Discrete AI"/>
    <x v="0"/>
    <x v="4"/>
    <s v="Consumer Electronics"/>
    <s v="Portable Media Players"/>
    <s v="Semiconductor Revenue M$"/>
    <x v="1"/>
    <n v="0"/>
  </r>
  <r>
    <s v="Discrete AI"/>
    <x v="0"/>
    <x v="4"/>
    <s v="Consumer Electronics"/>
    <s v="Portable Media Players"/>
    <s v="Semiconductor Revenue M$"/>
    <x v="2"/>
    <n v="0"/>
  </r>
  <r>
    <s v="Discrete AI"/>
    <x v="0"/>
    <x v="4"/>
    <s v="Consumer Electronics"/>
    <s v="Portable Media Players"/>
    <s v="Semiconductor Revenue M$"/>
    <x v="3"/>
    <n v="0"/>
  </r>
  <r>
    <s v="Discrete AI"/>
    <x v="0"/>
    <x v="4"/>
    <s v="Consumer Electronics"/>
    <s v="Portable Media Players"/>
    <s v="Semiconductor Revenue M$"/>
    <x v="4"/>
    <n v="0"/>
  </r>
  <r>
    <s v="Discrete AI"/>
    <x v="0"/>
    <x v="4"/>
    <s v="Consumer Electronics"/>
    <s v="Portable Media Players"/>
    <s v="Semiconductor Revenue M$"/>
    <x v="5"/>
    <n v="0"/>
  </r>
  <r>
    <s v="Discrete AI"/>
    <x v="0"/>
    <x v="4"/>
    <s v="Consumer Electronics"/>
    <s v="Portable Media Players"/>
    <s v="Semiconductor Revenue M$"/>
    <x v="6"/>
    <n v="0"/>
  </r>
  <r>
    <s v="Discrete AI"/>
    <x v="0"/>
    <x v="4"/>
    <s v="Consumer Electronics"/>
    <s v="Smart Speakers"/>
    <s v="Semiconductor Revenue M$"/>
    <x v="0"/>
    <n v="0"/>
  </r>
  <r>
    <s v="Discrete AI"/>
    <x v="0"/>
    <x v="4"/>
    <s v="Consumer Electronics"/>
    <s v="Smart Speakers"/>
    <s v="Semiconductor Revenue M$"/>
    <x v="1"/>
    <n v="0"/>
  </r>
  <r>
    <s v="Discrete AI"/>
    <x v="0"/>
    <x v="4"/>
    <s v="Consumer Electronics"/>
    <s v="Smart Speakers"/>
    <s v="Semiconductor Revenue M$"/>
    <x v="2"/>
    <n v="0"/>
  </r>
  <r>
    <s v="Discrete AI"/>
    <x v="0"/>
    <x v="4"/>
    <s v="Consumer Electronics"/>
    <s v="Smart Speakers"/>
    <s v="Semiconductor Revenue M$"/>
    <x v="3"/>
    <n v="0"/>
  </r>
  <r>
    <s v="Discrete AI"/>
    <x v="0"/>
    <x v="4"/>
    <s v="Consumer Electronics"/>
    <s v="Smart Speakers"/>
    <s v="Semiconductor Revenue M$"/>
    <x v="4"/>
    <n v="0"/>
  </r>
  <r>
    <s v="Discrete AI"/>
    <x v="0"/>
    <x v="4"/>
    <s v="Consumer Electronics"/>
    <s v="Smart Speakers"/>
    <s v="Semiconductor Revenue M$"/>
    <x v="5"/>
    <n v="0"/>
  </r>
  <r>
    <s v="Discrete AI"/>
    <x v="0"/>
    <x v="4"/>
    <s v="Consumer Electronics"/>
    <s v="Smart Speakers"/>
    <s v="Semiconductor Revenue M$"/>
    <x v="6"/>
    <n v="0"/>
  </r>
  <r>
    <s v="Discrete AI"/>
    <x v="0"/>
    <x v="4"/>
    <s v="Consumer Electronics"/>
    <s v="TV, Standard"/>
    <s v="Semiconductor Revenue M$"/>
    <x v="0"/>
    <n v="0"/>
  </r>
  <r>
    <s v="Discrete AI"/>
    <x v="0"/>
    <x v="4"/>
    <s v="Consumer Electronics"/>
    <s v="TV, Standard"/>
    <s v="Semiconductor Revenue M$"/>
    <x v="1"/>
    <n v="0"/>
  </r>
  <r>
    <s v="Discrete AI"/>
    <x v="0"/>
    <x v="4"/>
    <s v="Consumer Electronics"/>
    <s v="TV, Standard"/>
    <s v="Semiconductor Revenue M$"/>
    <x v="2"/>
    <n v="0"/>
  </r>
  <r>
    <s v="Discrete AI"/>
    <x v="0"/>
    <x v="4"/>
    <s v="Consumer Electronics"/>
    <s v="TV, Standard"/>
    <s v="Semiconductor Revenue M$"/>
    <x v="3"/>
    <n v="0"/>
  </r>
  <r>
    <s v="Discrete AI"/>
    <x v="0"/>
    <x v="4"/>
    <s v="Consumer Electronics"/>
    <s v="TV, Standard"/>
    <s v="Semiconductor Revenue M$"/>
    <x v="4"/>
    <n v="0"/>
  </r>
  <r>
    <s v="Discrete AI"/>
    <x v="0"/>
    <x v="4"/>
    <s v="Consumer Electronics"/>
    <s v="TV, Standard"/>
    <s v="Semiconductor Revenue M$"/>
    <x v="5"/>
    <n v="0"/>
  </r>
  <r>
    <s v="Discrete AI"/>
    <x v="0"/>
    <x v="4"/>
    <s v="Consumer Electronics"/>
    <s v="TV, Standard"/>
    <s v="Semiconductor Revenue M$"/>
    <x v="6"/>
    <n v="0"/>
  </r>
  <r>
    <s v="Discrete AI"/>
    <x v="0"/>
    <x v="4"/>
    <s v="Consumer Electronics"/>
    <s v="TV, Smart"/>
    <s v="Semiconductor Revenue M$"/>
    <x v="0"/>
    <n v="0"/>
  </r>
  <r>
    <s v="Discrete AI"/>
    <x v="0"/>
    <x v="4"/>
    <s v="Consumer Electronics"/>
    <s v="TV, Smart"/>
    <s v="Semiconductor Revenue M$"/>
    <x v="1"/>
    <n v="0"/>
  </r>
  <r>
    <s v="Discrete AI"/>
    <x v="0"/>
    <x v="4"/>
    <s v="Consumer Electronics"/>
    <s v="TV, Smart"/>
    <s v="Semiconductor Revenue M$"/>
    <x v="2"/>
    <n v="0"/>
  </r>
  <r>
    <s v="Discrete AI"/>
    <x v="0"/>
    <x v="4"/>
    <s v="Consumer Electronics"/>
    <s v="TV, Smart"/>
    <s v="Semiconductor Revenue M$"/>
    <x v="3"/>
    <n v="0"/>
  </r>
  <r>
    <s v="Discrete AI"/>
    <x v="0"/>
    <x v="4"/>
    <s v="Consumer Electronics"/>
    <s v="TV, Smart"/>
    <s v="Semiconductor Revenue M$"/>
    <x v="4"/>
    <n v="0"/>
  </r>
  <r>
    <s v="Discrete AI"/>
    <x v="0"/>
    <x v="4"/>
    <s v="Consumer Electronics"/>
    <s v="TV, Smart"/>
    <s v="Semiconductor Revenue M$"/>
    <x v="5"/>
    <n v="0"/>
  </r>
  <r>
    <s v="Discrete AI"/>
    <x v="0"/>
    <x v="4"/>
    <s v="Consumer Electronics"/>
    <s v="TV, Smart"/>
    <s v="Semiconductor Revenue M$"/>
    <x v="6"/>
    <n v="0"/>
  </r>
  <r>
    <s v="Discrete AI"/>
    <x v="0"/>
    <x v="4"/>
    <s v="Consumer Electronics"/>
    <s v="Video Game Consoles"/>
    <s v="Semiconductor Revenue M$"/>
    <x v="0"/>
    <n v="0"/>
  </r>
  <r>
    <s v="Discrete AI"/>
    <x v="0"/>
    <x v="4"/>
    <s v="Consumer Electronics"/>
    <s v="Video Game Consoles"/>
    <s v="Semiconductor Revenue M$"/>
    <x v="1"/>
    <n v="0"/>
  </r>
  <r>
    <s v="Discrete AI"/>
    <x v="0"/>
    <x v="4"/>
    <s v="Consumer Electronics"/>
    <s v="Video Game Consoles"/>
    <s v="Semiconductor Revenue M$"/>
    <x v="2"/>
    <n v="0"/>
  </r>
  <r>
    <s v="Discrete AI"/>
    <x v="0"/>
    <x v="4"/>
    <s v="Consumer Electronics"/>
    <s v="Video Game Consoles"/>
    <s v="Semiconductor Revenue M$"/>
    <x v="3"/>
    <n v="0"/>
  </r>
  <r>
    <s v="Discrete AI"/>
    <x v="0"/>
    <x v="4"/>
    <s v="Consumer Electronics"/>
    <s v="Video Game Consoles"/>
    <s v="Semiconductor Revenue M$"/>
    <x v="4"/>
    <n v="0"/>
  </r>
  <r>
    <s v="Discrete AI"/>
    <x v="0"/>
    <x v="4"/>
    <s v="Consumer Electronics"/>
    <s v="Video Game Consoles"/>
    <s v="Semiconductor Revenue M$"/>
    <x v="5"/>
    <n v="0"/>
  </r>
  <r>
    <s v="Discrete AI"/>
    <x v="0"/>
    <x v="4"/>
    <s v="Consumer Electronics"/>
    <s v="Video Game Consoles"/>
    <s v="Semiconductor Revenue M$"/>
    <x v="6"/>
    <n v="0"/>
  </r>
  <r>
    <s v="Discrete AI"/>
    <x v="0"/>
    <x v="4"/>
    <s v="Consumer Electronics"/>
    <s v="Video Game Handhelds"/>
    <s v="Semiconductor Revenue M$"/>
    <x v="0"/>
    <n v="0"/>
  </r>
  <r>
    <s v="Discrete AI"/>
    <x v="0"/>
    <x v="4"/>
    <s v="Consumer Electronics"/>
    <s v="Video Game Handhelds"/>
    <s v="Semiconductor Revenue M$"/>
    <x v="1"/>
    <n v="0"/>
  </r>
  <r>
    <s v="Discrete AI"/>
    <x v="0"/>
    <x v="4"/>
    <s v="Consumer Electronics"/>
    <s v="Video Game Handhelds"/>
    <s v="Semiconductor Revenue M$"/>
    <x v="2"/>
    <n v="0"/>
  </r>
  <r>
    <s v="Discrete AI"/>
    <x v="0"/>
    <x v="4"/>
    <s v="Consumer Electronics"/>
    <s v="Video Game Handhelds"/>
    <s v="Semiconductor Revenue M$"/>
    <x v="3"/>
    <n v="0"/>
  </r>
  <r>
    <s v="Discrete AI"/>
    <x v="0"/>
    <x v="4"/>
    <s v="Consumer Electronics"/>
    <s v="Video Game Handhelds"/>
    <s v="Semiconductor Revenue M$"/>
    <x v="4"/>
    <n v="0"/>
  </r>
  <r>
    <s v="Discrete AI"/>
    <x v="0"/>
    <x v="4"/>
    <s v="Consumer Electronics"/>
    <s v="Video Game Handhelds"/>
    <s v="Semiconductor Revenue M$"/>
    <x v="5"/>
    <n v="0"/>
  </r>
  <r>
    <s v="Discrete AI"/>
    <x v="0"/>
    <x v="4"/>
    <s v="Consumer Electronics"/>
    <s v="Video Game Handhelds"/>
    <s v="Semiconductor Revenue M$"/>
    <x v="6"/>
    <n v="0"/>
  </r>
  <r>
    <s v="Discrete AI"/>
    <x v="0"/>
    <x v="4"/>
    <s v="Consumer Electronics"/>
    <s v="Wristbands"/>
    <s v="Semiconductor Revenue M$"/>
    <x v="0"/>
    <n v="0"/>
  </r>
  <r>
    <s v="Discrete AI"/>
    <x v="0"/>
    <x v="4"/>
    <s v="Consumer Electronics"/>
    <s v="Wristbands"/>
    <s v="Semiconductor Revenue M$"/>
    <x v="1"/>
    <n v="0"/>
  </r>
  <r>
    <s v="Discrete AI"/>
    <x v="0"/>
    <x v="4"/>
    <s v="Consumer Electronics"/>
    <s v="Wristbands"/>
    <s v="Semiconductor Revenue M$"/>
    <x v="2"/>
    <n v="0"/>
  </r>
  <r>
    <s v="Discrete AI"/>
    <x v="0"/>
    <x v="4"/>
    <s v="Consumer Electronics"/>
    <s v="Wristbands"/>
    <s v="Semiconductor Revenue M$"/>
    <x v="3"/>
    <n v="0"/>
  </r>
  <r>
    <s v="Discrete AI"/>
    <x v="0"/>
    <x v="4"/>
    <s v="Consumer Electronics"/>
    <s v="Wristbands"/>
    <s v="Semiconductor Revenue M$"/>
    <x v="4"/>
    <n v="0"/>
  </r>
  <r>
    <s v="Discrete AI"/>
    <x v="0"/>
    <x v="4"/>
    <s v="Consumer Electronics"/>
    <s v="Wristbands"/>
    <s v="Semiconductor Revenue M$"/>
    <x v="5"/>
    <n v="0"/>
  </r>
  <r>
    <s v="Discrete AI"/>
    <x v="0"/>
    <x v="4"/>
    <s v="Consumer Electronics"/>
    <s v="Wristbands"/>
    <s v="Semiconductor Revenue M$"/>
    <x v="6"/>
    <n v="0"/>
  </r>
  <r>
    <s v="Discrete AI"/>
    <x v="0"/>
    <x v="4"/>
    <s v="Consumer Electronics"/>
    <s v="Head Mounted Display"/>
    <s v="Semiconductor Revenue M$"/>
    <x v="0"/>
    <n v="0"/>
  </r>
  <r>
    <s v="Discrete AI"/>
    <x v="0"/>
    <x v="4"/>
    <s v="Consumer Electronics"/>
    <s v="Head Mounted Display"/>
    <s v="Semiconductor Revenue M$"/>
    <x v="1"/>
    <n v="0"/>
  </r>
  <r>
    <s v="Discrete AI"/>
    <x v="0"/>
    <x v="4"/>
    <s v="Consumer Electronics"/>
    <s v="Head Mounted Display"/>
    <s v="Semiconductor Revenue M$"/>
    <x v="2"/>
    <n v="0"/>
  </r>
  <r>
    <s v="Discrete AI"/>
    <x v="0"/>
    <x v="4"/>
    <s v="Consumer Electronics"/>
    <s v="Head Mounted Display"/>
    <s v="Semiconductor Revenue M$"/>
    <x v="3"/>
    <n v="0"/>
  </r>
  <r>
    <s v="Discrete AI"/>
    <x v="0"/>
    <x v="4"/>
    <s v="Consumer Electronics"/>
    <s v="Head Mounted Display"/>
    <s v="Semiconductor Revenue M$"/>
    <x v="4"/>
    <n v="0"/>
  </r>
  <r>
    <s v="Discrete AI"/>
    <x v="0"/>
    <x v="4"/>
    <s v="Consumer Electronics"/>
    <s v="Head Mounted Display"/>
    <s v="Semiconductor Revenue M$"/>
    <x v="5"/>
    <n v="0"/>
  </r>
  <r>
    <s v="Discrete AI"/>
    <x v="0"/>
    <x v="4"/>
    <s v="Consumer Electronics"/>
    <s v="Head Mounted Display"/>
    <s v="Semiconductor Revenue M$"/>
    <x v="6"/>
    <n v="0"/>
  </r>
  <r>
    <s v="Discrete AI"/>
    <x v="0"/>
    <x v="4"/>
    <s v="Consumer Electronics"/>
    <s v="Smart Watches"/>
    <s v="Semiconductor Revenue M$"/>
    <x v="0"/>
    <n v="0"/>
  </r>
  <r>
    <s v="Discrete AI"/>
    <x v="0"/>
    <x v="4"/>
    <s v="Consumer Electronics"/>
    <s v="Smart Watches"/>
    <s v="Semiconductor Revenue M$"/>
    <x v="1"/>
    <n v="0"/>
  </r>
  <r>
    <s v="Discrete AI"/>
    <x v="0"/>
    <x v="4"/>
    <s v="Consumer Electronics"/>
    <s v="Smart Watches"/>
    <s v="Semiconductor Revenue M$"/>
    <x v="2"/>
    <n v="0"/>
  </r>
  <r>
    <s v="Discrete AI"/>
    <x v="0"/>
    <x v="4"/>
    <s v="Consumer Electronics"/>
    <s v="Smart Watches"/>
    <s v="Semiconductor Revenue M$"/>
    <x v="3"/>
    <n v="0"/>
  </r>
  <r>
    <s v="Discrete AI"/>
    <x v="0"/>
    <x v="4"/>
    <s v="Consumer Electronics"/>
    <s v="Smart Watches"/>
    <s v="Semiconductor Revenue M$"/>
    <x v="4"/>
    <n v="0"/>
  </r>
  <r>
    <s v="Discrete AI"/>
    <x v="0"/>
    <x v="4"/>
    <s v="Consumer Electronics"/>
    <s v="Smart Watches"/>
    <s v="Semiconductor Revenue M$"/>
    <x v="5"/>
    <n v="0"/>
  </r>
  <r>
    <s v="Discrete AI"/>
    <x v="0"/>
    <x v="4"/>
    <s v="Consumer Electronics"/>
    <s v="Smart Watches"/>
    <s v="Semiconductor Revenue M$"/>
    <x v="6"/>
    <n v="0"/>
  </r>
  <r>
    <s v="Discrete AI"/>
    <x v="0"/>
    <x v="4"/>
    <s v="Consumer Electronics"/>
    <s v="Sports Watches"/>
    <s v="Semiconductor Revenue M$"/>
    <x v="0"/>
    <n v="0"/>
  </r>
  <r>
    <s v="Discrete AI"/>
    <x v="0"/>
    <x v="4"/>
    <s v="Consumer Electronics"/>
    <s v="Sports Watches"/>
    <s v="Semiconductor Revenue M$"/>
    <x v="1"/>
    <n v="0"/>
  </r>
  <r>
    <s v="Discrete AI"/>
    <x v="0"/>
    <x v="4"/>
    <s v="Consumer Electronics"/>
    <s v="Sports Watches"/>
    <s v="Semiconductor Revenue M$"/>
    <x v="2"/>
    <n v="0"/>
  </r>
  <r>
    <s v="Discrete AI"/>
    <x v="0"/>
    <x v="4"/>
    <s v="Consumer Electronics"/>
    <s v="Sports Watches"/>
    <s v="Semiconductor Revenue M$"/>
    <x v="3"/>
    <n v="0"/>
  </r>
  <r>
    <s v="Discrete AI"/>
    <x v="0"/>
    <x v="4"/>
    <s v="Consumer Electronics"/>
    <s v="Sports Watches"/>
    <s v="Semiconductor Revenue M$"/>
    <x v="4"/>
    <n v="0"/>
  </r>
  <r>
    <s v="Discrete AI"/>
    <x v="0"/>
    <x v="4"/>
    <s v="Consumer Electronics"/>
    <s v="Sports Watches"/>
    <s v="Semiconductor Revenue M$"/>
    <x v="5"/>
    <n v="0"/>
  </r>
  <r>
    <s v="Discrete AI"/>
    <x v="0"/>
    <x v="4"/>
    <s v="Consumer Electronics"/>
    <s v="Sports Watches"/>
    <s v="Semiconductor Revenue M$"/>
    <x v="6"/>
    <n v="0"/>
  </r>
  <r>
    <s v="Discrete AI"/>
    <x v="0"/>
    <x v="4"/>
    <s v="Consumer Electronics"/>
    <s v="Other Consumer Electronics"/>
    <s v="Semiconductor Revenue M$"/>
    <x v="0"/>
    <n v="0"/>
  </r>
  <r>
    <s v="Discrete AI"/>
    <x v="0"/>
    <x v="4"/>
    <s v="Consumer Electronics"/>
    <s v="Other Consumer Electronics"/>
    <s v="Semiconductor Revenue M$"/>
    <x v="1"/>
    <n v="0"/>
  </r>
  <r>
    <s v="Discrete AI"/>
    <x v="0"/>
    <x v="4"/>
    <s v="Consumer Electronics"/>
    <s v="Other Consumer Electronics"/>
    <s v="Semiconductor Revenue M$"/>
    <x v="2"/>
    <n v="0"/>
  </r>
  <r>
    <s v="Discrete AI"/>
    <x v="0"/>
    <x v="4"/>
    <s v="Consumer Electronics"/>
    <s v="Other Consumer Electronics"/>
    <s v="Semiconductor Revenue M$"/>
    <x v="3"/>
    <n v="0"/>
  </r>
  <r>
    <s v="Discrete AI"/>
    <x v="0"/>
    <x v="4"/>
    <s v="Consumer Electronics"/>
    <s v="Other Consumer Electronics"/>
    <s v="Semiconductor Revenue M$"/>
    <x v="4"/>
    <n v="0"/>
  </r>
  <r>
    <s v="Discrete AI"/>
    <x v="0"/>
    <x v="4"/>
    <s v="Consumer Electronics"/>
    <s v="Other Consumer Electronics"/>
    <s v="Semiconductor Revenue M$"/>
    <x v="5"/>
    <n v="0"/>
  </r>
  <r>
    <s v="Discrete AI"/>
    <x v="0"/>
    <x v="4"/>
    <s v="Consumer Electronics"/>
    <s v="Other Consumer Electronics"/>
    <s v="Semiconductor Revenue M$"/>
    <x v="6"/>
    <n v="0"/>
  </r>
  <r>
    <s v="Discrete AI"/>
    <x v="0"/>
    <x v="3"/>
    <s v="Automotive Electronics"/>
    <s v="ADAS-Sensors and Connectivity"/>
    <s v="Semiconductor Revenue M$"/>
    <x v="0"/>
    <n v="0"/>
  </r>
  <r>
    <s v="Discrete AI"/>
    <x v="0"/>
    <x v="3"/>
    <s v="Automotive Electronics"/>
    <s v="ADAS-Sensors and Connectivity"/>
    <s v="Semiconductor Revenue M$"/>
    <x v="1"/>
    <n v="0"/>
  </r>
  <r>
    <s v="Discrete AI"/>
    <x v="0"/>
    <x v="3"/>
    <s v="Automotive Electronics"/>
    <s v="ADAS-Sensors and Connectivity"/>
    <s v="Semiconductor Revenue M$"/>
    <x v="2"/>
    <n v="0"/>
  </r>
  <r>
    <s v="Discrete AI"/>
    <x v="0"/>
    <x v="3"/>
    <s v="Automotive Electronics"/>
    <s v="ADAS-Sensors and Connectivity"/>
    <s v="Semiconductor Revenue M$"/>
    <x v="3"/>
    <n v="0"/>
  </r>
  <r>
    <s v="Discrete AI"/>
    <x v="0"/>
    <x v="3"/>
    <s v="Automotive Electronics"/>
    <s v="ADAS-Sensors and Connectivity"/>
    <s v="Semiconductor Revenue M$"/>
    <x v="4"/>
    <n v="0"/>
  </r>
  <r>
    <s v="Discrete AI"/>
    <x v="0"/>
    <x v="3"/>
    <s v="Automotive Electronics"/>
    <s v="ADAS-Sensors and Connectivity"/>
    <s v="Semiconductor Revenue M$"/>
    <x v="5"/>
    <n v="0"/>
  </r>
  <r>
    <s v="Discrete AI"/>
    <x v="0"/>
    <x v="3"/>
    <s v="Automotive Electronics"/>
    <s v="ADAS-Sensors and Connectivity"/>
    <s v="Semiconductor Revenue M$"/>
    <x v="6"/>
    <n v="0"/>
  </r>
  <r>
    <s v="Discrete AI"/>
    <x v="0"/>
    <x v="3"/>
    <s v="Automotive Electronics"/>
    <s v="Body"/>
    <s v="Semiconductor Revenue M$"/>
    <x v="0"/>
    <n v="0"/>
  </r>
  <r>
    <s v="Discrete AI"/>
    <x v="0"/>
    <x v="3"/>
    <s v="Automotive Electronics"/>
    <s v="Body"/>
    <s v="Semiconductor Revenue M$"/>
    <x v="1"/>
    <n v="0"/>
  </r>
  <r>
    <s v="Discrete AI"/>
    <x v="0"/>
    <x v="3"/>
    <s v="Automotive Electronics"/>
    <s v="Body"/>
    <s v="Semiconductor Revenue M$"/>
    <x v="2"/>
    <n v="0"/>
  </r>
  <r>
    <s v="Discrete AI"/>
    <x v="0"/>
    <x v="3"/>
    <s v="Automotive Electronics"/>
    <s v="Body"/>
    <s v="Semiconductor Revenue M$"/>
    <x v="3"/>
    <n v="0"/>
  </r>
  <r>
    <s v="Discrete AI"/>
    <x v="0"/>
    <x v="3"/>
    <s v="Automotive Electronics"/>
    <s v="Body"/>
    <s v="Semiconductor Revenue M$"/>
    <x v="4"/>
    <n v="0"/>
  </r>
  <r>
    <s v="Discrete AI"/>
    <x v="0"/>
    <x v="3"/>
    <s v="Automotive Electronics"/>
    <s v="Body"/>
    <s v="Semiconductor Revenue M$"/>
    <x v="5"/>
    <n v="0"/>
  </r>
  <r>
    <s v="Discrete AI"/>
    <x v="0"/>
    <x v="3"/>
    <s v="Automotive Electronics"/>
    <s v="Body"/>
    <s v="Semiconductor Revenue M$"/>
    <x v="6"/>
    <n v="0"/>
  </r>
  <r>
    <s v="Discrete AI"/>
    <x v="0"/>
    <x v="3"/>
    <s v="Automotive Electronics"/>
    <s v="Chassis"/>
    <s v="Semiconductor Revenue M$"/>
    <x v="0"/>
    <n v="0"/>
  </r>
  <r>
    <s v="Discrete AI"/>
    <x v="0"/>
    <x v="3"/>
    <s v="Automotive Electronics"/>
    <s v="Chassis"/>
    <s v="Semiconductor Revenue M$"/>
    <x v="1"/>
    <n v="0"/>
  </r>
  <r>
    <s v="Discrete AI"/>
    <x v="0"/>
    <x v="3"/>
    <s v="Automotive Electronics"/>
    <s v="Chassis"/>
    <s v="Semiconductor Revenue M$"/>
    <x v="2"/>
    <n v="0"/>
  </r>
  <r>
    <s v="Discrete AI"/>
    <x v="0"/>
    <x v="3"/>
    <s v="Automotive Electronics"/>
    <s v="Chassis"/>
    <s v="Semiconductor Revenue M$"/>
    <x v="3"/>
    <n v="0"/>
  </r>
  <r>
    <s v="Discrete AI"/>
    <x v="0"/>
    <x v="3"/>
    <s v="Automotive Electronics"/>
    <s v="Chassis"/>
    <s v="Semiconductor Revenue M$"/>
    <x v="4"/>
    <n v="0"/>
  </r>
  <r>
    <s v="Discrete AI"/>
    <x v="0"/>
    <x v="3"/>
    <s v="Automotive Electronics"/>
    <s v="Chassis"/>
    <s v="Semiconductor Revenue M$"/>
    <x v="5"/>
    <n v="0"/>
  </r>
  <r>
    <s v="Discrete AI"/>
    <x v="0"/>
    <x v="3"/>
    <s v="Automotive Electronics"/>
    <s v="Chassis"/>
    <s v="Semiconductor Revenue M$"/>
    <x v="6"/>
    <n v="0"/>
  </r>
  <r>
    <s v="Discrete AI"/>
    <x v="0"/>
    <x v="3"/>
    <s v="Automotive Electronics"/>
    <s v="EV/HEV"/>
    <s v="Semiconductor Revenue M$"/>
    <x v="0"/>
    <n v="0"/>
  </r>
  <r>
    <s v="Discrete AI"/>
    <x v="0"/>
    <x v="3"/>
    <s v="Automotive Electronics"/>
    <s v="EV/HEV"/>
    <s v="Semiconductor Revenue M$"/>
    <x v="1"/>
    <n v="0"/>
  </r>
  <r>
    <s v="Discrete AI"/>
    <x v="0"/>
    <x v="3"/>
    <s v="Automotive Electronics"/>
    <s v="EV/HEV"/>
    <s v="Semiconductor Revenue M$"/>
    <x v="2"/>
    <n v="0"/>
  </r>
  <r>
    <s v="Discrete AI"/>
    <x v="0"/>
    <x v="3"/>
    <s v="Automotive Electronics"/>
    <s v="EV/HEV"/>
    <s v="Semiconductor Revenue M$"/>
    <x v="3"/>
    <n v="0"/>
  </r>
  <r>
    <s v="Discrete AI"/>
    <x v="0"/>
    <x v="3"/>
    <s v="Automotive Electronics"/>
    <s v="EV/HEV"/>
    <s v="Semiconductor Revenue M$"/>
    <x v="4"/>
    <n v="0"/>
  </r>
  <r>
    <s v="Discrete AI"/>
    <x v="0"/>
    <x v="3"/>
    <s v="Automotive Electronics"/>
    <s v="EV/HEV"/>
    <s v="Semiconductor Revenue M$"/>
    <x v="5"/>
    <n v="0"/>
  </r>
  <r>
    <s v="Discrete AI"/>
    <x v="0"/>
    <x v="3"/>
    <s v="Automotive Electronics"/>
    <s v="EV/HEV"/>
    <s v="Semiconductor Revenue M$"/>
    <x v="6"/>
    <n v="0"/>
  </r>
  <r>
    <s v="Discrete AI"/>
    <x v="0"/>
    <x v="3"/>
    <s v="Automotive Electronics"/>
    <s v="Infotainment"/>
    <s v="Semiconductor Revenue M$"/>
    <x v="0"/>
    <n v="0"/>
  </r>
  <r>
    <s v="Discrete AI"/>
    <x v="0"/>
    <x v="3"/>
    <s v="Automotive Electronics"/>
    <s v="Infotainment"/>
    <s v="Semiconductor Revenue M$"/>
    <x v="1"/>
    <n v="0"/>
  </r>
  <r>
    <s v="Discrete AI"/>
    <x v="0"/>
    <x v="3"/>
    <s v="Automotive Electronics"/>
    <s v="Infotainment"/>
    <s v="Semiconductor Revenue M$"/>
    <x v="2"/>
    <n v="0"/>
  </r>
  <r>
    <s v="Discrete AI"/>
    <x v="0"/>
    <x v="3"/>
    <s v="Automotive Electronics"/>
    <s v="Infotainment"/>
    <s v="Semiconductor Revenue M$"/>
    <x v="3"/>
    <n v="0"/>
  </r>
  <r>
    <s v="Discrete AI"/>
    <x v="0"/>
    <x v="3"/>
    <s v="Automotive Electronics"/>
    <s v="Infotainment"/>
    <s v="Semiconductor Revenue M$"/>
    <x v="4"/>
    <n v="0"/>
  </r>
  <r>
    <s v="Discrete AI"/>
    <x v="0"/>
    <x v="3"/>
    <s v="Automotive Electronics"/>
    <s v="Infotainment"/>
    <s v="Semiconductor Revenue M$"/>
    <x v="5"/>
    <n v="0"/>
  </r>
  <r>
    <s v="Discrete AI"/>
    <x v="0"/>
    <x v="3"/>
    <s v="Automotive Electronics"/>
    <s v="Infotainment"/>
    <s v="Semiconductor Revenue M$"/>
    <x v="6"/>
    <n v="0"/>
  </r>
  <r>
    <s v="Discrete AI"/>
    <x v="0"/>
    <x v="3"/>
    <s v="Automotive Electronics"/>
    <s v="Instrument Cluster"/>
    <s v="Semiconductor Revenue M$"/>
    <x v="0"/>
    <n v="0"/>
  </r>
  <r>
    <s v="Discrete AI"/>
    <x v="0"/>
    <x v="3"/>
    <s v="Automotive Electronics"/>
    <s v="Instrument Cluster"/>
    <s v="Semiconductor Revenue M$"/>
    <x v="1"/>
    <n v="0"/>
  </r>
  <r>
    <s v="Discrete AI"/>
    <x v="0"/>
    <x v="3"/>
    <s v="Automotive Electronics"/>
    <s v="Instrument Cluster"/>
    <s v="Semiconductor Revenue M$"/>
    <x v="2"/>
    <n v="0"/>
  </r>
  <r>
    <s v="Discrete AI"/>
    <x v="0"/>
    <x v="3"/>
    <s v="Automotive Electronics"/>
    <s v="Instrument Cluster"/>
    <s v="Semiconductor Revenue M$"/>
    <x v="3"/>
    <n v="0"/>
  </r>
  <r>
    <s v="Discrete AI"/>
    <x v="0"/>
    <x v="3"/>
    <s v="Automotive Electronics"/>
    <s v="Instrument Cluster"/>
    <s v="Semiconductor Revenue M$"/>
    <x v="4"/>
    <n v="0"/>
  </r>
  <r>
    <s v="Discrete AI"/>
    <x v="0"/>
    <x v="3"/>
    <s v="Automotive Electronics"/>
    <s v="Instrument Cluster"/>
    <s v="Semiconductor Revenue M$"/>
    <x v="5"/>
    <n v="0"/>
  </r>
  <r>
    <s v="Discrete AI"/>
    <x v="0"/>
    <x v="3"/>
    <s v="Automotive Electronics"/>
    <s v="Instrument Cluster"/>
    <s v="Semiconductor Revenue M$"/>
    <x v="6"/>
    <n v="0"/>
  </r>
  <r>
    <s v="Discrete AI"/>
    <x v="0"/>
    <x v="3"/>
    <s v="Automotive Electronics"/>
    <s v="Powertrain"/>
    <s v="Semiconductor Revenue M$"/>
    <x v="0"/>
    <n v="0"/>
  </r>
  <r>
    <s v="Discrete AI"/>
    <x v="0"/>
    <x v="3"/>
    <s v="Automotive Electronics"/>
    <s v="Powertrain"/>
    <s v="Semiconductor Revenue M$"/>
    <x v="1"/>
    <n v="0"/>
  </r>
  <r>
    <s v="Discrete AI"/>
    <x v="0"/>
    <x v="3"/>
    <s v="Automotive Electronics"/>
    <s v="Powertrain"/>
    <s v="Semiconductor Revenue M$"/>
    <x v="2"/>
    <n v="0"/>
  </r>
  <r>
    <s v="Discrete AI"/>
    <x v="0"/>
    <x v="3"/>
    <s v="Automotive Electronics"/>
    <s v="Powertrain"/>
    <s v="Semiconductor Revenue M$"/>
    <x v="3"/>
    <n v="0"/>
  </r>
  <r>
    <s v="Discrete AI"/>
    <x v="0"/>
    <x v="3"/>
    <s v="Automotive Electronics"/>
    <s v="Powertrain"/>
    <s v="Semiconductor Revenue M$"/>
    <x v="4"/>
    <n v="0"/>
  </r>
  <r>
    <s v="Discrete AI"/>
    <x v="0"/>
    <x v="3"/>
    <s v="Automotive Electronics"/>
    <s v="Powertrain"/>
    <s v="Semiconductor Revenue M$"/>
    <x v="5"/>
    <n v="0"/>
  </r>
  <r>
    <s v="Discrete AI"/>
    <x v="0"/>
    <x v="3"/>
    <s v="Automotive Electronics"/>
    <s v="Powertrain"/>
    <s v="Semiconductor Revenue M$"/>
    <x v="6"/>
    <n v="0"/>
  </r>
  <r>
    <s v="Discrete AI"/>
    <x v="0"/>
    <x v="3"/>
    <s v="Automotive Electronics"/>
    <s v="Safety"/>
    <s v="Semiconductor Revenue M$"/>
    <x v="0"/>
    <n v="0"/>
  </r>
  <r>
    <s v="Discrete AI"/>
    <x v="0"/>
    <x v="3"/>
    <s v="Automotive Electronics"/>
    <s v="Safety"/>
    <s v="Semiconductor Revenue M$"/>
    <x v="1"/>
    <n v="0"/>
  </r>
  <r>
    <s v="Discrete AI"/>
    <x v="0"/>
    <x v="3"/>
    <s v="Automotive Electronics"/>
    <s v="Safety"/>
    <s v="Semiconductor Revenue M$"/>
    <x v="2"/>
    <n v="0"/>
  </r>
  <r>
    <s v="Discrete AI"/>
    <x v="0"/>
    <x v="3"/>
    <s v="Automotive Electronics"/>
    <s v="Safety"/>
    <s v="Semiconductor Revenue M$"/>
    <x v="3"/>
    <n v="0"/>
  </r>
  <r>
    <s v="Discrete AI"/>
    <x v="0"/>
    <x v="3"/>
    <s v="Automotive Electronics"/>
    <s v="Safety"/>
    <s v="Semiconductor Revenue M$"/>
    <x v="4"/>
    <n v="0"/>
  </r>
  <r>
    <s v="Discrete AI"/>
    <x v="0"/>
    <x v="3"/>
    <s v="Automotive Electronics"/>
    <s v="Safety"/>
    <s v="Semiconductor Revenue M$"/>
    <x v="5"/>
    <n v="0"/>
  </r>
  <r>
    <s v="Discrete AI"/>
    <x v="0"/>
    <x v="3"/>
    <s v="Automotive Electronics"/>
    <s v="Safety"/>
    <s v="Semiconductor Revenue M$"/>
    <x v="6"/>
    <n v="0"/>
  </r>
  <r>
    <s v="Discrete AI"/>
    <x v="0"/>
    <x v="3"/>
    <s v="Automotive Electronics"/>
    <s v="Aftermarket"/>
    <s v="Semiconductor Revenue M$"/>
    <x v="0"/>
    <n v="0"/>
  </r>
  <r>
    <s v="Discrete AI"/>
    <x v="0"/>
    <x v="3"/>
    <s v="Automotive Electronics"/>
    <s v="Aftermarket"/>
    <s v="Semiconductor Revenue M$"/>
    <x v="1"/>
    <n v="0"/>
  </r>
  <r>
    <s v="Discrete AI"/>
    <x v="0"/>
    <x v="3"/>
    <s v="Automotive Electronics"/>
    <s v="Aftermarket"/>
    <s v="Semiconductor Revenue M$"/>
    <x v="2"/>
    <n v="0"/>
  </r>
  <r>
    <s v="Discrete AI"/>
    <x v="0"/>
    <x v="3"/>
    <s v="Automotive Electronics"/>
    <s v="Aftermarket"/>
    <s v="Semiconductor Revenue M$"/>
    <x v="3"/>
    <n v="0"/>
  </r>
  <r>
    <s v="Discrete AI"/>
    <x v="0"/>
    <x v="3"/>
    <s v="Automotive Electronics"/>
    <s v="Aftermarket"/>
    <s v="Semiconductor Revenue M$"/>
    <x v="4"/>
    <n v="0"/>
  </r>
  <r>
    <s v="Discrete AI"/>
    <x v="0"/>
    <x v="3"/>
    <s v="Automotive Electronics"/>
    <s v="Aftermarket"/>
    <s v="Semiconductor Revenue M$"/>
    <x v="5"/>
    <n v="0"/>
  </r>
  <r>
    <s v="Discrete AI"/>
    <x v="0"/>
    <x v="3"/>
    <s v="Automotive Electronics"/>
    <s v="Aftermarket"/>
    <s v="Semiconductor Revenue M$"/>
    <x v="6"/>
    <n v="0"/>
  </r>
  <r>
    <s v="Discrete AI"/>
    <x v="0"/>
    <x v="5"/>
    <s v="Industrial Electronics"/>
    <s v="Commercial Amusement"/>
    <s v="Semiconductor Revenue M$"/>
    <x v="0"/>
    <n v="0"/>
  </r>
  <r>
    <s v="Discrete AI"/>
    <x v="0"/>
    <x v="5"/>
    <s v="Industrial Electronics"/>
    <s v="Commercial Amusement"/>
    <s v="Semiconductor Revenue M$"/>
    <x v="1"/>
    <n v="0"/>
  </r>
  <r>
    <s v="Discrete AI"/>
    <x v="0"/>
    <x v="5"/>
    <s v="Industrial Electronics"/>
    <s v="Commercial Amusement"/>
    <s v="Semiconductor Revenue M$"/>
    <x v="2"/>
    <n v="0"/>
  </r>
  <r>
    <s v="Discrete AI"/>
    <x v="0"/>
    <x v="5"/>
    <s v="Industrial Electronics"/>
    <s v="Commercial Amusement"/>
    <s v="Semiconductor Revenue M$"/>
    <x v="3"/>
    <n v="0"/>
  </r>
  <r>
    <s v="Discrete AI"/>
    <x v="0"/>
    <x v="5"/>
    <s v="Industrial Electronics"/>
    <s v="Commercial Amusement"/>
    <s v="Semiconductor Revenue M$"/>
    <x v="4"/>
    <n v="0"/>
  </r>
  <r>
    <s v="Discrete AI"/>
    <x v="0"/>
    <x v="5"/>
    <s v="Industrial Electronics"/>
    <s v="Commercial Amusement"/>
    <s v="Semiconductor Revenue M$"/>
    <x v="5"/>
    <n v="0"/>
  </r>
  <r>
    <s v="Discrete AI"/>
    <x v="0"/>
    <x v="5"/>
    <s v="Industrial Electronics"/>
    <s v="Commercial Amusement"/>
    <s v="Semiconductor Revenue M$"/>
    <x v="6"/>
    <n v="0"/>
  </r>
  <r>
    <s v="Discrete AI"/>
    <x v="0"/>
    <x v="5"/>
    <s v="Industrial Electronics"/>
    <s v="Automation"/>
    <s v="Semiconductor Revenue M$"/>
    <x v="0"/>
    <n v="0"/>
  </r>
  <r>
    <s v="Discrete AI"/>
    <x v="0"/>
    <x v="5"/>
    <s v="Industrial Electronics"/>
    <s v="Automation"/>
    <s v="Semiconductor Revenue M$"/>
    <x v="1"/>
    <n v="0"/>
  </r>
  <r>
    <s v="Discrete AI"/>
    <x v="0"/>
    <x v="5"/>
    <s v="Industrial Electronics"/>
    <s v="Automation"/>
    <s v="Semiconductor Revenue M$"/>
    <x v="2"/>
    <n v="0"/>
  </r>
  <r>
    <s v="Discrete AI"/>
    <x v="0"/>
    <x v="5"/>
    <s v="Industrial Electronics"/>
    <s v="Automation"/>
    <s v="Semiconductor Revenue M$"/>
    <x v="3"/>
    <n v="0"/>
  </r>
  <r>
    <s v="Discrete AI"/>
    <x v="0"/>
    <x v="5"/>
    <s v="Industrial Electronics"/>
    <s v="Automation"/>
    <s v="Semiconductor Revenue M$"/>
    <x v="4"/>
    <n v="0"/>
  </r>
  <r>
    <s v="Discrete AI"/>
    <x v="0"/>
    <x v="5"/>
    <s v="Industrial Electronics"/>
    <s v="Automation"/>
    <s v="Semiconductor Revenue M$"/>
    <x v="5"/>
    <n v="0"/>
  </r>
  <r>
    <s v="Discrete AI"/>
    <x v="0"/>
    <x v="5"/>
    <s v="Industrial Electronics"/>
    <s v="Automation"/>
    <s v="Semiconductor Revenue M$"/>
    <x v="6"/>
    <n v="0"/>
  </r>
  <r>
    <s v="Discrete AI"/>
    <x v="0"/>
    <x v="5"/>
    <s v="Industrial Electronics"/>
    <s v="Energy Management"/>
    <s v="Semiconductor Revenue M$"/>
    <x v="0"/>
    <n v="0"/>
  </r>
  <r>
    <s v="Discrete AI"/>
    <x v="0"/>
    <x v="5"/>
    <s v="Industrial Electronics"/>
    <s v="Energy Management"/>
    <s v="Semiconductor Revenue M$"/>
    <x v="1"/>
    <n v="0"/>
  </r>
  <r>
    <s v="Discrete AI"/>
    <x v="0"/>
    <x v="5"/>
    <s v="Industrial Electronics"/>
    <s v="Energy Management"/>
    <s v="Semiconductor Revenue M$"/>
    <x v="2"/>
    <n v="0"/>
  </r>
  <r>
    <s v="Discrete AI"/>
    <x v="0"/>
    <x v="5"/>
    <s v="Industrial Electronics"/>
    <s v="Energy Management"/>
    <s v="Semiconductor Revenue M$"/>
    <x v="3"/>
    <n v="0"/>
  </r>
  <r>
    <s v="Discrete AI"/>
    <x v="0"/>
    <x v="5"/>
    <s v="Industrial Electronics"/>
    <s v="Energy Management"/>
    <s v="Semiconductor Revenue M$"/>
    <x v="4"/>
    <n v="0"/>
  </r>
  <r>
    <s v="Discrete AI"/>
    <x v="0"/>
    <x v="5"/>
    <s v="Industrial Electronics"/>
    <s v="Energy Management"/>
    <s v="Semiconductor Revenue M$"/>
    <x v="5"/>
    <n v="0"/>
  </r>
  <r>
    <s v="Discrete AI"/>
    <x v="0"/>
    <x v="5"/>
    <s v="Industrial Electronics"/>
    <s v="Energy Management"/>
    <s v="Semiconductor Revenue M$"/>
    <x v="6"/>
    <n v="0"/>
  </r>
  <r>
    <s v="Discrete AI"/>
    <x v="0"/>
    <x v="5"/>
    <s v="Industrial Electronics"/>
    <s v="Solid-State Lighting"/>
    <s v="Semiconductor Revenue M$"/>
    <x v="0"/>
    <n v="0"/>
  </r>
  <r>
    <s v="Discrete AI"/>
    <x v="0"/>
    <x v="5"/>
    <s v="Industrial Electronics"/>
    <s v="Solid-State Lighting"/>
    <s v="Semiconductor Revenue M$"/>
    <x v="1"/>
    <n v="0"/>
  </r>
  <r>
    <s v="Discrete AI"/>
    <x v="0"/>
    <x v="5"/>
    <s v="Industrial Electronics"/>
    <s v="Solid-State Lighting"/>
    <s v="Semiconductor Revenue M$"/>
    <x v="2"/>
    <n v="0"/>
  </r>
  <r>
    <s v="Discrete AI"/>
    <x v="0"/>
    <x v="5"/>
    <s v="Industrial Electronics"/>
    <s v="Solid-State Lighting"/>
    <s v="Semiconductor Revenue M$"/>
    <x v="3"/>
    <n v="0"/>
  </r>
  <r>
    <s v="Discrete AI"/>
    <x v="0"/>
    <x v="5"/>
    <s v="Industrial Electronics"/>
    <s v="Solid-State Lighting"/>
    <s v="Semiconductor Revenue M$"/>
    <x v="4"/>
    <n v="0"/>
  </r>
  <r>
    <s v="Discrete AI"/>
    <x v="0"/>
    <x v="5"/>
    <s v="Industrial Electronics"/>
    <s v="Solid-State Lighting"/>
    <s v="Semiconductor Revenue M$"/>
    <x v="5"/>
    <n v="0"/>
  </r>
  <r>
    <s v="Discrete AI"/>
    <x v="0"/>
    <x v="5"/>
    <s v="Industrial Electronics"/>
    <s v="Solid-State Lighting"/>
    <s v="Semiconductor Revenue M$"/>
    <x v="6"/>
    <n v="0"/>
  </r>
  <r>
    <s v="Discrete AI"/>
    <x v="0"/>
    <x v="5"/>
    <s v="Industrial Electronics"/>
    <s v="Medical/Healthcare"/>
    <s v="Semiconductor Revenue M$"/>
    <x v="0"/>
    <n v="0"/>
  </r>
  <r>
    <s v="Discrete AI"/>
    <x v="0"/>
    <x v="5"/>
    <s v="Industrial Electronics"/>
    <s v="Medical/Healthcare"/>
    <s v="Semiconductor Revenue M$"/>
    <x v="1"/>
    <n v="0"/>
  </r>
  <r>
    <s v="Discrete AI"/>
    <x v="0"/>
    <x v="5"/>
    <s v="Industrial Electronics"/>
    <s v="Medical/Healthcare"/>
    <s v="Semiconductor Revenue M$"/>
    <x v="2"/>
    <n v="0"/>
  </r>
  <r>
    <s v="Discrete AI"/>
    <x v="0"/>
    <x v="5"/>
    <s v="Industrial Electronics"/>
    <s v="Medical/Healthcare"/>
    <s v="Semiconductor Revenue M$"/>
    <x v="3"/>
    <n v="0"/>
  </r>
  <r>
    <s v="Discrete AI"/>
    <x v="0"/>
    <x v="5"/>
    <s v="Industrial Electronics"/>
    <s v="Medical/Healthcare"/>
    <s v="Semiconductor Revenue M$"/>
    <x v="4"/>
    <n v="0"/>
  </r>
  <r>
    <s v="Discrete AI"/>
    <x v="0"/>
    <x v="5"/>
    <s v="Industrial Electronics"/>
    <s v="Medical/Healthcare"/>
    <s v="Semiconductor Revenue M$"/>
    <x v="5"/>
    <n v="0"/>
  </r>
  <r>
    <s v="Discrete AI"/>
    <x v="0"/>
    <x v="5"/>
    <s v="Industrial Electronics"/>
    <s v="Medical/Healthcare"/>
    <s v="Semiconductor Revenue M$"/>
    <x v="6"/>
    <n v="0"/>
  </r>
  <r>
    <s v="Discrete AI"/>
    <x v="0"/>
    <x v="5"/>
    <s v="Industrial Electronics"/>
    <s v="Test/Measurement"/>
    <s v="Semiconductor Revenue M$"/>
    <x v="0"/>
    <n v="0"/>
  </r>
  <r>
    <s v="Discrete AI"/>
    <x v="0"/>
    <x v="5"/>
    <s v="Industrial Electronics"/>
    <s v="Test/Measurement"/>
    <s v="Semiconductor Revenue M$"/>
    <x v="1"/>
    <n v="0"/>
  </r>
  <r>
    <s v="Discrete AI"/>
    <x v="0"/>
    <x v="5"/>
    <s v="Industrial Electronics"/>
    <s v="Test/Measurement"/>
    <s v="Semiconductor Revenue M$"/>
    <x v="2"/>
    <n v="0"/>
  </r>
  <r>
    <s v="Discrete AI"/>
    <x v="0"/>
    <x v="5"/>
    <s v="Industrial Electronics"/>
    <s v="Test/Measurement"/>
    <s v="Semiconductor Revenue M$"/>
    <x v="3"/>
    <n v="0"/>
  </r>
  <r>
    <s v="Discrete AI"/>
    <x v="0"/>
    <x v="5"/>
    <s v="Industrial Electronics"/>
    <s v="Test/Measurement"/>
    <s v="Semiconductor Revenue M$"/>
    <x v="4"/>
    <n v="0"/>
  </r>
  <r>
    <s v="Discrete AI"/>
    <x v="0"/>
    <x v="5"/>
    <s v="Industrial Electronics"/>
    <s v="Test/Measurement"/>
    <s v="Semiconductor Revenue M$"/>
    <x v="5"/>
    <n v="0"/>
  </r>
  <r>
    <s v="Discrete AI"/>
    <x v="0"/>
    <x v="5"/>
    <s v="Industrial Electronics"/>
    <s v="Test/Measurement"/>
    <s v="Semiconductor Revenue M$"/>
    <x v="6"/>
    <n v="0"/>
  </r>
  <r>
    <s v="Discrete AI"/>
    <x v="0"/>
    <x v="5"/>
    <s v="Industrial Electronics"/>
    <s v="Other Security"/>
    <s v="Semiconductor Revenue M$"/>
    <x v="0"/>
    <n v="0"/>
  </r>
  <r>
    <s v="Discrete AI"/>
    <x v="0"/>
    <x v="5"/>
    <s v="Industrial Electronics"/>
    <s v="Other Security"/>
    <s v="Semiconductor Revenue M$"/>
    <x v="1"/>
    <n v="0"/>
  </r>
  <r>
    <s v="Discrete AI"/>
    <x v="0"/>
    <x v="5"/>
    <s v="Industrial Electronics"/>
    <s v="Other Security"/>
    <s v="Semiconductor Revenue M$"/>
    <x v="2"/>
    <n v="0"/>
  </r>
  <r>
    <s v="Discrete AI"/>
    <x v="0"/>
    <x v="5"/>
    <s v="Industrial Electronics"/>
    <s v="Other Security"/>
    <s v="Semiconductor Revenue M$"/>
    <x v="3"/>
    <n v="0"/>
  </r>
  <r>
    <s v="Discrete AI"/>
    <x v="0"/>
    <x v="5"/>
    <s v="Industrial Electronics"/>
    <s v="Other Security"/>
    <s v="Semiconductor Revenue M$"/>
    <x v="4"/>
    <n v="0"/>
  </r>
  <r>
    <s v="Discrete AI"/>
    <x v="0"/>
    <x v="5"/>
    <s v="Industrial Electronics"/>
    <s v="Other Security"/>
    <s v="Semiconductor Revenue M$"/>
    <x v="5"/>
    <n v="0"/>
  </r>
  <r>
    <s v="Discrete AI"/>
    <x v="0"/>
    <x v="5"/>
    <s v="Industrial Electronics"/>
    <s v="Other Security"/>
    <s v="Semiconductor Revenue M$"/>
    <x v="6"/>
    <n v="0"/>
  </r>
  <r>
    <s v="Discrete AI"/>
    <x v="0"/>
    <x v="5"/>
    <s v="Industrial Electronics"/>
    <s v="Transportation"/>
    <s v="Semiconductor Revenue M$"/>
    <x v="0"/>
    <n v="0"/>
  </r>
  <r>
    <s v="Discrete AI"/>
    <x v="0"/>
    <x v="5"/>
    <s v="Industrial Electronics"/>
    <s v="Transportation"/>
    <s v="Semiconductor Revenue M$"/>
    <x v="1"/>
    <n v="0"/>
  </r>
  <r>
    <s v="Discrete AI"/>
    <x v="0"/>
    <x v="5"/>
    <s v="Industrial Electronics"/>
    <s v="Transportation"/>
    <s v="Semiconductor Revenue M$"/>
    <x v="2"/>
    <n v="0"/>
  </r>
  <r>
    <s v="Discrete AI"/>
    <x v="0"/>
    <x v="5"/>
    <s v="Industrial Electronics"/>
    <s v="Transportation"/>
    <s v="Semiconductor Revenue M$"/>
    <x v="3"/>
    <n v="0"/>
  </r>
  <r>
    <s v="Discrete AI"/>
    <x v="0"/>
    <x v="5"/>
    <s v="Industrial Electronics"/>
    <s v="Transportation"/>
    <s v="Semiconductor Revenue M$"/>
    <x v="4"/>
    <n v="0"/>
  </r>
  <r>
    <s v="Discrete AI"/>
    <x v="0"/>
    <x v="5"/>
    <s v="Industrial Electronics"/>
    <s v="Transportation"/>
    <s v="Semiconductor Revenue M$"/>
    <x v="5"/>
    <n v="0"/>
  </r>
  <r>
    <s v="Discrete AI"/>
    <x v="0"/>
    <x v="5"/>
    <s v="Industrial Electronics"/>
    <s v="Transportation"/>
    <s v="Semiconductor Revenue M$"/>
    <x v="6"/>
    <n v="0"/>
  </r>
  <r>
    <s v="Discrete AI"/>
    <x v="0"/>
    <x v="5"/>
    <s v="Industrial Electronics"/>
    <s v="Other Industrial Electronics"/>
    <s v="Semiconductor Revenue M$"/>
    <x v="0"/>
    <n v="0"/>
  </r>
  <r>
    <s v="Discrete AI"/>
    <x v="0"/>
    <x v="5"/>
    <s v="Industrial Electronics"/>
    <s v="Other Industrial Electronics"/>
    <s v="Semiconductor Revenue M$"/>
    <x v="1"/>
    <n v="0"/>
  </r>
  <r>
    <s v="Discrete AI"/>
    <x v="0"/>
    <x v="5"/>
    <s v="Industrial Electronics"/>
    <s v="Other Industrial Electronics"/>
    <s v="Semiconductor Revenue M$"/>
    <x v="2"/>
    <n v="0"/>
  </r>
  <r>
    <s v="Discrete AI"/>
    <x v="0"/>
    <x v="5"/>
    <s v="Industrial Electronics"/>
    <s v="Other Industrial Electronics"/>
    <s v="Semiconductor Revenue M$"/>
    <x v="3"/>
    <n v="0"/>
  </r>
  <r>
    <s v="Discrete AI"/>
    <x v="0"/>
    <x v="5"/>
    <s v="Industrial Electronics"/>
    <s v="Other Industrial Electronics"/>
    <s v="Semiconductor Revenue M$"/>
    <x v="4"/>
    <n v="0"/>
  </r>
  <r>
    <s v="Discrete AI"/>
    <x v="0"/>
    <x v="5"/>
    <s v="Industrial Electronics"/>
    <s v="Other Industrial Electronics"/>
    <s v="Semiconductor Revenue M$"/>
    <x v="5"/>
    <n v="0"/>
  </r>
  <r>
    <s v="Discrete AI"/>
    <x v="0"/>
    <x v="5"/>
    <s v="Industrial Electronics"/>
    <s v="Other Industrial Electronics"/>
    <s v="Semiconductor Revenue M$"/>
    <x v="6"/>
    <n v="0"/>
  </r>
  <r>
    <s v="Discrete AI"/>
    <x v="0"/>
    <x v="5"/>
    <s v="Industrial Electronics"/>
    <s v="Military/Civil Aerospace Electronics"/>
    <s v="Semiconductor Revenue M$"/>
    <x v="0"/>
    <n v="0"/>
  </r>
  <r>
    <s v="Discrete AI"/>
    <x v="0"/>
    <x v="5"/>
    <s v="Industrial Electronics"/>
    <s v="Military/Civil Aerospace Electronics"/>
    <s v="Semiconductor Revenue M$"/>
    <x v="1"/>
    <n v="0"/>
  </r>
  <r>
    <s v="Discrete AI"/>
    <x v="0"/>
    <x v="5"/>
    <s v="Industrial Electronics"/>
    <s v="Military/Civil Aerospace Electronics"/>
    <s v="Semiconductor Revenue M$"/>
    <x v="2"/>
    <n v="0"/>
  </r>
  <r>
    <s v="Discrete AI"/>
    <x v="0"/>
    <x v="5"/>
    <s v="Industrial Electronics"/>
    <s v="Military/Civil Aerospace Electronics"/>
    <s v="Semiconductor Revenue M$"/>
    <x v="3"/>
    <n v="0"/>
  </r>
  <r>
    <s v="Discrete AI"/>
    <x v="0"/>
    <x v="5"/>
    <s v="Industrial Electronics"/>
    <s v="Military/Civil Aerospace Electronics"/>
    <s v="Semiconductor Revenue M$"/>
    <x v="4"/>
    <n v="0"/>
  </r>
  <r>
    <s v="Discrete AI"/>
    <x v="0"/>
    <x v="5"/>
    <s v="Industrial Electronics"/>
    <s v="Military/Civil Aerospace Electronics"/>
    <s v="Semiconductor Revenue M$"/>
    <x v="5"/>
    <n v="0"/>
  </r>
  <r>
    <s v="Discrete AI"/>
    <x v="0"/>
    <x v="5"/>
    <s v="Industrial Electronics"/>
    <s v="Military/Civil Aerospace Electronics"/>
    <s v="Semiconductor Revenue M$"/>
    <x v="6"/>
    <n v="0"/>
  </r>
  <r>
    <s v="Discrete AI"/>
    <x v="1"/>
    <x v="0"/>
    <s v="Compute"/>
    <s v="External Monitor"/>
    <s v="Semiconductor Revenue M$"/>
    <x v="0"/>
    <n v="0"/>
  </r>
  <r>
    <s v="Discrete AI"/>
    <x v="1"/>
    <x v="0"/>
    <s v="Compute"/>
    <s v="External Monitor"/>
    <s v="Semiconductor Revenue M$"/>
    <x v="1"/>
    <n v="0"/>
  </r>
  <r>
    <s v="Discrete AI"/>
    <x v="1"/>
    <x v="0"/>
    <s v="Compute"/>
    <s v="External Monitor"/>
    <s v="Semiconductor Revenue M$"/>
    <x v="2"/>
    <n v="0"/>
  </r>
  <r>
    <s v="Discrete AI"/>
    <x v="1"/>
    <x v="0"/>
    <s v="Compute"/>
    <s v="External Monitor"/>
    <s v="Semiconductor Revenue M$"/>
    <x v="3"/>
    <n v="0"/>
  </r>
  <r>
    <s v="Discrete AI"/>
    <x v="1"/>
    <x v="0"/>
    <s v="Compute"/>
    <s v="External Monitor"/>
    <s v="Semiconductor Revenue M$"/>
    <x v="4"/>
    <n v="0"/>
  </r>
  <r>
    <s v="Discrete AI"/>
    <x v="1"/>
    <x v="0"/>
    <s v="Compute"/>
    <s v="External Monitor"/>
    <s v="Semiconductor Revenue M$"/>
    <x v="5"/>
    <n v="0"/>
  </r>
  <r>
    <s v="Discrete AI"/>
    <x v="1"/>
    <x v="0"/>
    <s v="Compute"/>
    <s v="External Monitor"/>
    <s v="Semiconductor Revenue M$"/>
    <x v="6"/>
    <n v="0"/>
  </r>
  <r>
    <s v="Discrete AI"/>
    <x v="1"/>
    <x v="0"/>
    <s v="PC"/>
    <s v="Graphics Cards"/>
    <s v="Semiconductor Revenue M$"/>
    <x v="0"/>
    <n v="0"/>
  </r>
  <r>
    <s v="Discrete AI"/>
    <x v="1"/>
    <x v="0"/>
    <s v="PC"/>
    <s v="Graphics Cards"/>
    <s v="Semiconductor Revenue M$"/>
    <x v="1"/>
    <n v="0"/>
  </r>
  <r>
    <s v="Discrete AI"/>
    <x v="1"/>
    <x v="0"/>
    <s v="PC"/>
    <s v="Graphics Cards"/>
    <s v="Semiconductor Revenue M$"/>
    <x v="2"/>
    <n v="0"/>
  </r>
  <r>
    <s v="Discrete AI"/>
    <x v="1"/>
    <x v="0"/>
    <s v="PC"/>
    <s v="Graphics Cards"/>
    <s v="Semiconductor Revenue M$"/>
    <x v="3"/>
    <n v="0"/>
  </r>
  <r>
    <s v="Discrete AI"/>
    <x v="1"/>
    <x v="0"/>
    <s v="PC"/>
    <s v="Graphics Cards"/>
    <s v="Semiconductor Revenue M$"/>
    <x v="4"/>
    <n v="0"/>
  </r>
  <r>
    <s v="Discrete AI"/>
    <x v="1"/>
    <x v="0"/>
    <s v="PC"/>
    <s v="Graphics Cards"/>
    <s v="Semiconductor Revenue M$"/>
    <x v="5"/>
    <n v="0"/>
  </r>
  <r>
    <s v="Discrete AI"/>
    <x v="1"/>
    <x v="0"/>
    <s v="PC"/>
    <s v="Graphics Cards"/>
    <s v="Semiconductor Revenue M$"/>
    <x v="6"/>
    <n v="0"/>
  </r>
  <r>
    <s v="Discrete AI"/>
    <x v="1"/>
    <x v="0"/>
    <s v="PC"/>
    <s v="Desk-Based PC"/>
    <s v="Semiconductor Revenue M$"/>
    <x v="0"/>
    <n v="0"/>
  </r>
  <r>
    <s v="Discrete AI"/>
    <x v="1"/>
    <x v="0"/>
    <s v="PC"/>
    <s v="Desk-Based PC"/>
    <s v="Semiconductor Revenue M$"/>
    <x v="1"/>
    <n v="0"/>
  </r>
  <r>
    <s v="Discrete AI"/>
    <x v="1"/>
    <x v="0"/>
    <s v="PC"/>
    <s v="Desk-Based PC"/>
    <s v="Semiconductor Revenue M$"/>
    <x v="2"/>
    <n v="0"/>
  </r>
  <r>
    <s v="Discrete AI"/>
    <x v="1"/>
    <x v="0"/>
    <s v="PC"/>
    <s v="Desk-Based PC"/>
    <s v="Semiconductor Revenue M$"/>
    <x v="3"/>
    <n v="0"/>
  </r>
  <r>
    <s v="Discrete AI"/>
    <x v="1"/>
    <x v="0"/>
    <s v="PC"/>
    <s v="Desk-Based PC"/>
    <s v="Semiconductor Revenue M$"/>
    <x v="4"/>
    <n v="0"/>
  </r>
  <r>
    <s v="Discrete AI"/>
    <x v="1"/>
    <x v="0"/>
    <s v="PC"/>
    <s v="Desk-Based PC"/>
    <s v="Semiconductor Revenue M$"/>
    <x v="5"/>
    <n v="0"/>
  </r>
  <r>
    <s v="Discrete AI"/>
    <x v="1"/>
    <x v="0"/>
    <s v="PC"/>
    <s v="Desk-Based PC"/>
    <s v="Semiconductor Revenue M$"/>
    <x v="6"/>
    <n v="0"/>
  </r>
  <r>
    <s v="Discrete AI"/>
    <x v="1"/>
    <x v="0"/>
    <s v="PC"/>
    <s v="Ultramobile Basic, Tablet"/>
    <s v="Semiconductor Revenue M$"/>
    <x v="0"/>
    <n v="0"/>
  </r>
  <r>
    <s v="Discrete AI"/>
    <x v="1"/>
    <x v="0"/>
    <s v="PC"/>
    <s v="Ultramobile Basic, Tablet"/>
    <s v="Semiconductor Revenue M$"/>
    <x v="1"/>
    <n v="0"/>
  </r>
  <r>
    <s v="Discrete AI"/>
    <x v="1"/>
    <x v="0"/>
    <s v="PC"/>
    <s v="Ultramobile Basic, Tablet"/>
    <s v="Semiconductor Revenue M$"/>
    <x v="2"/>
    <n v="0"/>
  </r>
  <r>
    <s v="Discrete AI"/>
    <x v="1"/>
    <x v="0"/>
    <s v="PC"/>
    <s v="Ultramobile Basic, Tablet"/>
    <s v="Semiconductor Revenue M$"/>
    <x v="3"/>
    <n v="0"/>
  </r>
  <r>
    <s v="Discrete AI"/>
    <x v="1"/>
    <x v="0"/>
    <s v="PC"/>
    <s v="Ultramobile Basic, Tablet"/>
    <s v="Semiconductor Revenue M$"/>
    <x v="4"/>
    <n v="0"/>
  </r>
  <r>
    <s v="Discrete AI"/>
    <x v="1"/>
    <x v="0"/>
    <s v="PC"/>
    <s v="Ultramobile Basic, Tablet"/>
    <s v="Semiconductor Revenue M$"/>
    <x v="5"/>
    <n v="0"/>
  </r>
  <r>
    <s v="Discrete AI"/>
    <x v="1"/>
    <x v="0"/>
    <s v="PC"/>
    <s v="Ultramobile Basic, Tablet"/>
    <s v="Semiconductor Revenue M$"/>
    <x v="6"/>
    <n v="0"/>
  </r>
  <r>
    <s v="Discrete AI"/>
    <x v="1"/>
    <x v="0"/>
    <s v="PC"/>
    <s v="Ultramobile Utility, Tablet"/>
    <s v="Semiconductor Revenue M$"/>
    <x v="0"/>
    <n v="0"/>
  </r>
  <r>
    <s v="Discrete AI"/>
    <x v="1"/>
    <x v="0"/>
    <s v="PC"/>
    <s v="Ultramobile Utility, Tablet"/>
    <s v="Semiconductor Revenue M$"/>
    <x v="1"/>
    <n v="0"/>
  </r>
  <r>
    <s v="Discrete AI"/>
    <x v="1"/>
    <x v="0"/>
    <s v="PC"/>
    <s v="Ultramobile Utility, Tablet"/>
    <s v="Semiconductor Revenue M$"/>
    <x v="2"/>
    <n v="0"/>
  </r>
  <r>
    <s v="Discrete AI"/>
    <x v="1"/>
    <x v="0"/>
    <s v="PC"/>
    <s v="Ultramobile Utility, Tablet"/>
    <s v="Semiconductor Revenue M$"/>
    <x v="3"/>
    <n v="0"/>
  </r>
  <r>
    <s v="Discrete AI"/>
    <x v="1"/>
    <x v="0"/>
    <s v="PC"/>
    <s v="Ultramobile Utility, Tablet"/>
    <s v="Semiconductor Revenue M$"/>
    <x v="4"/>
    <n v="0"/>
  </r>
  <r>
    <s v="Discrete AI"/>
    <x v="1"/>
    <x v="0"/>
    <s v="PC"/>
    <s v="Ultramobile Utility, Tablet"/>
    <s v="Semiconductor Revenue M$"/>
    <x v="5"/>
    <n v="0"/>
  </r>
  <r>
    <s v="Discrete AI"/>
    <x v="1"/>
    <x v="0"/>
    <s v="PC"/>
    <s v="Ultramobile Utility, Tablet"/>
    <s v="Semiconductor Revenue M$"/>
    <x v="6"/>
    <n v="0"/>
  </r>
  <r>
    <s v="Discrete AI"/>
    <x v="1"/>
    <x v="0"/>
    <s v="PC"/>
    <s v="Ultramobile Premium, Tablet"/>
    <s v="Semiconductor Revenue M$"/>
    <x v="0"/>
    <n v="0"/>
  </r>
  <r>
    <s v="Discrete AI"/>
    <x v="1"/>
    <x v="0"/>
    <s v="PC"/>
    <s v="Ultramobile Premium, Tablet"/>
    <s v="Semiconductor Revenue M$"/>
    <x v="1"/>
    <n v="0"/>
  </r>
  <r>
    <s v="Discrete AI"/>
    <x v="1"/>
    <x v="0"/>
    <s v="PC"/>
    <s v="Ultramobile Premium, Tablet"/>
    <s v="Semiconductor Revenue M$"/>
    <x v="2"/>
    <n v="0"/>
  </r>
  <r>
    <s v="Discrete AI"/>
    <x v="1"/>
    <x v="0"/>
    <s v="PC"/>
    <s v="Ultramobile Premium, Tablet"/>
    <s v="Semiconductor Revenue M$"/>
    <x v="3"/>
    <n v="0"/>
  </r>
  <r>
    <s v="Discrete AI"/>
    <x v="1"/>
    <x v="0"/>
    <s v="PC"/>
    <s v="Ultramobile Premium, Tablet"/>
    <s v="Semiconductor Revenue M$"/>
    <x v="4"/>
    <n v="0"/>
  </r>
  <r>
    <s v="Discrete AI"/>
    <x v="1"/>
    <x v="0"/>
    <s v="PC"/>
    <s v="Ultramobile Premium, Tablet"/>
    <s v="Semiconductor Revenue M$"/>
    <x v="5"/>
    <n v="0"/>
  </r>
  <r>
    <s v="Discrete AI"/>
    <x v="1"/>
    <x v="0"/>
    <s v="PC"/>
    <s v="Ultramobile Premium, Tablet"/>
    <s v="Semiconductor Revenue M$"/>
    <x v="6"/>
    <n v="0"/>
  </r>
  <r>
    <s v="Discrete AI"/>
    <x v="1"/>
    <x v="0"/>
    <s v="PC"/>
    <s v="Ultramobile Basic, Clamshell"/>
    <s v="Semiconductor Revenue M$"/>
    <x v="0"/>
    <n v="0"/>
  </r>
  <r>
    <s v="Discrete AI"/>
    <x v="1"/>
    <x v="0"/>
    <s v="PC"/>
    <s v="Ultramobile Basic, Clamshell"/>
    <s v="Semiconductor Revenue M$"/>
    <x v="1"/>
    <n v="0"/>
  </r>
  <r>
    <s v="Discrete AI"/>
    <x v="1"/>
    <x v="0"/>
    <s v="PC"/>
    <s v="Ultramobile Basic, Clamshell"/>
    <s v="Semiconductor Revenue M$"/>
    <x v="2"/>
    <n v="0"/>
  </r>
  <r>
    <s v="Discrete AI"/>
    <x v="1"/>
    <x v="0"/>
    <s v="PC"/>
    <s v="Ultramobile Basic, Clamshell"/>
    <s v="Semiconductor Revenue M$"/>
    <x v="3"/>
    <n v="0"/>
  </r>
  <r>
    <s v="Discrete AI"/>
    <x v="1"/>
    <x v="0"/>
    <s v="PC"/>
    <s v="Ultramobile Basic, Clamshell"/>
    <s v="Semiconductor Revenue M$"/>
    <x v="4"/>
    <n v="0"/>
  </r>
  <r>
    <s v="Discrete AI"/>
    <x v="1"/>
    <x v="0"/>
    <s v="PC"/>
    <s v="Ultramobile Basic, Clamshell"/>
    <s v="Semiconductor Revenue M$"/>
    <x v="5"/>
    <n v="0"/>
  </r>
  <r>
    <s v="Discrete AI"/>
    <x v="1"/>
    <x v="0"/>
    <s v="PC"/>
    <s v="Ultramobile Basic, Clamshell"/>
    <s v="Semiconductor Revenue M$"/>
    <x v="6"/>
    <n v="0"/>
  </r>
  <r>
    <s v="Discrete AI"/>
    <x v="1"/>
    <x v="0"/>
    <s v="PC"/>
    <s v="Ultramobile Premium, Clamshell"/>
    <s v="Semiconductor Revenue M$"/>
    <x v="0"/>
    <n v="0"/>
  </r>
  <r>
    <s v="Discrete AI"/>
    <x v="1"/>
    <x v="0"/>
    <s v="PC"/>
    <s v="Ultramobile Premium, Clamshell"/>
    <s v="Semiconductor Revenue M$"/>
    <x v="1"/>
    <n v="0"/>
  </r>
  <r>
    <s v="Discrete AI"/>
    <x v="1"/>
    <x v="0"/>
    <s v="PC"/>
    <s v="Ultramobile Premium, Clamshell"/>
    <s v="Semiconductor Revenue M$"/>
    <x v="2"/>
    <n v="0"/>
  </r>
  <r>
    <s v="Discrete AI"/>
    <x v="1"/>
    <x v="0"/>
    <s v="PC"/>
    <s v="Ultramobile Premium, Clamshell"/>
    <s v="Semiconductor Revenue M$"/>
    <x v="3"/>
    <n v="0"/>
  </r>
  <r>
    <s v="Discrete AI"/>
    <x v="1"/>
    <x v="0"/>
    <s v="PC"/>
    <s v="Ultramobile Premium, Clamshell"/>
    <s v="Semiconductor Revenue M$"/>
    <x v="4"/>
    <n v="0"/>
  </r>
  <r>
    <s v="Discrete AI"/>
    <x v="1"/>
    <x v="0"/>
    <s v="PC"/>
    <s v="Ultramobile Premium, Clamshell"/>
    <s v="Semiconductor Revenue M$"/>
    <x v="5"/>
    <n v="0"/>
  </r>
  <r>
    <s v="Discrete AI"/>
    <x v="1"/>
    <x v="0"/>
    <s v="PC"/>
    <s v="Ultramobile Premium, Clamshell"/>
    <s v="Semiconductor Revenue M$"/>
    <x v="6"/>
    <n v="0"/>
  </r>
  <r>
    <s v="Discrete AI"/>
    <x v="1"/>
    <x v="0"/>
    <s v="PC"/>
    <s v="Ultramobile Basic, Hybrid"/>
    <s v="Semiconductor Revenue M$"/>
    <x v="0"/>
    <n v="0"/>
  </r>
  <r>
    <s v="Discrete AI"/>
    <x v="1"/>
    <x v="0"/>
    <s v="PC"/>
    <s v="Ultramobile Basic, Hybrid"/>
    <s v="Semiconductor Revenue M$"/>
    <x v="1"/>
    <n v="0"/>
  </r>
  <r>
    <s v="Discrete AI"/>
    <x v="1"/>
    <x v="0"/>
    <s v="PC"/>
    <s v="Ultramobile Basic, Hybrid"/>
    <s v="Semiconductor Revenue M$"/>
    <x v="2"/>
    <n v="0"/>
  </r>
  <r>
    <s v="Discrete AI"/>
    <x v="1"/>
    <x v="0"/>
    <s v="PC"/>
    <s v="Ultramobile Basic, Hybrid"/>
    <s v="Semiconductor Revenue M$"/>
    <x v="3"/>
    <n v="0"/>
  </r>
  <r>
    <s v="Discrete AI"/>
    <x v="1"/>
    <x v="0"/>
    <s v="PC"/>
    <s v="Ultramobile Basic, Hybrid"/>
    <s v="Semiconductor Revenue M$"/>
    <x v="4"/>
    <n v="0"/>
  </r>
  <r>
    <s v="Discrete AI"/>
    <x v="1"/>
    <x v="0"/>
    <s v="PC"/>
    <s v="Ultramobile Basic, Hybrid"/>
    <s v="Semiconductor Revenue M$"/>
    <x v="5"/>
    <n v="0"/>
  </r>
  <r>
    <s v="Discrete AI"/>
    <x v="1"/>
    <x v="0"/>
    <s v="PC"/>
    <s v="Ultramobile Basic, Hybrid"/>
    <s v="Semiconductor Revenue M$"/>
    <x v="6"/>
    <n v="0"/>
  </r>
  <r>
    <s v="Discrete AI"/>
    <x v="1"/>
    <x v="0"/>
    <s v="PC"/>
    <s v="Ultramobile Premium, Hybrid"/>
    <s v="Semiconductor Revenue M$"/>
    <x v="0"/>
    <n v="0"/>
  </r>
  <r>
    <s v="Discrete AI"/>
    <x v="1"/>
    <x v="0"/>
    <s v="PC"/>
    <s v="Ultramobile Premium, Hybrid"/>
    <s v="Semiconductor Revenue M$"/>
    <x v="1"/>
    <n v="0"/>
  </r>
  <r>
    <s v="Discrete AI"/>
    <x v="1"/>
    <x v="0"/>
    <s v="PC"/>
    <s v="Ultramobile Premium, Hybrid"/>
    <s v="Semiconductor Revenue M$"/>
    <x v="2"/>
    <n v="0"/>
  </r>
  <r>
    <s v="Discrete AI"/>
    <x v="1"/>
    <x v="0"/>
    <s v="PC"/>
    <s v="Ultramobile Premium, Hybrid"/>
    <s v="Semiconductor Revenue M$"/>
    <x v="3"/>
    <n v="0"/>
  </r>
  <r>
    <s v="Discrete AI"/>
    <x v="1"/>
    <x v="0"/>
    <s v="PC"/>
    <s v="Ultramobile Premium, Hybrid"/>
    <s v="Semiconductor Revenue M$"/>
    <x v="4"/>
    <n v="0"/>
  </r>
  <r>
    <s v="Discrete AI"/>
    <x v="1"/>
    <x v="0"/>
    <s v="PC"/>
    <s v="Ultramobile Premium, Hybrid"/>
    <s v="Semiconductor Revenue M$"/>
    <x v="5"/>
    <n v="0"/>
  </r>
  <r>
    <s v="Discrete AI"/>
    <x v="1"/>
    <x v="0"/>
    <s v="PC"/>
    <s v="Ultramobile Premium, Hybrid"/>
    <s v="Semiconductor Revenue M$"/>
    <x v="6"/>
    <n v="0"/>
  </r>
  <r>
    <s v="Discrete AI"/>
    <x v="1"/>
    <x v="0"/>
    <s v="PC"/>
    <s v="Notebook"/>
    <s v="Semiconductor Revenue M$"/>
    <x v="0"/>
    <n v="0"/>
  </r>
  <r>
    <s v="Discrete AI"/>
    <x v="1"/>
    <x v="0"/>
    <s v="PC"/>
    <s v="Notebook"/>
    <s v="Semiconductor Revenue M$"/>
    <x v="1"/>
    <n v="0"/>
  </r>
  <r>
    <s v="Discrete AI"/>
    <x v="1"/>
    <x v="0"/>
    <s v="PC"/>
    <s v="Notebook"/>
    <s v="Semiconductor Revenue M$"/>
    <x v="2"/>
    <n v="0"/>
  </r>
  <r>
    <s v="Discrete AI"/>
    <x v="1"/>
    <x v="0"/>
    <s v="PC"/>
    <s v="Notebook"/>
    <s v="Semiconductor Revenue M$"/>
    <x v="3"/>
    <n v="0"/>
  </r>
  <r>
    <s v="Discrete AI"/>
    <x v="1"/>
    <x v="0"/>
    <s v="PC"/>
    <s v="Notebook"/>
    <s v="Semiconductor Revenue M$"/>
    <x v="4"/>
    <n v="0"/>
  </r>
  <r>
    <s v="Discrete AI"/>
    <x v="1"/>
    <x v="0"/>
    <s v="PC"/>
    <s v="Notebook"/>
    <s v="Semiconductor Revenue M$"/>
    <x v="5"/>
    <n v="0"/>
  </r>
  <r>
    <s v="Discrete AI"/>
    <x v="1"/>
    <x v="0"/>
    <s v="PC"/>
    <s v="Notebook"/>
    <s v="Semiconductor Revenue M$"/>
    <x v="6"/>
    <n v="0"/>
  </r>
  <r>
    <s v="Discrete AI"/>
    <x v="1"/>
    <x v="0"/>
    <s v="Compute"/>
    <s v="Printer/Copier"/>
    <s v="Semiconductor Revenue M$"/>
    <x v="0"/>
    <n v="0"/>
  </r>
  <r>
    <s v="Discrete AI"/>
    <x v="1"/>
    <x v="0"/>
    <s v="Compute"/>
    <s v="Printer/Copier"/>
    <s v="Semiconductor Revenue M$"/>
    <x v="1"/>
    <n v="0"/>
  </r>
  <r>
    <s v="Discrete AI"/>
    <x v="1"/>
    <x v="0"/>
    <s v="Compute"/>
    <s v="Printer/Copier"/>
    <s v="Semiconductor Revenue M$"/>
    <x v="2"/>
    <n v="0"/>
  </r>
  <r>
    <s v="Discrete AI"/>
    <x v="1"/>
    <x v="0"/>
    <s v="Compute"/>
    <s v="Printer/Copier"/>
    <s v="Semiconductor Revenue M$"/>
    <x v="3"/>
    <n v="0"/>
  </r>
  <r>
    <s v="Discrete AI"/>
    <x v="1"/>
    <x v="0"/>
    <s v="Compute"/>
    <s v="Printer/Copier"/>
    <s v="Semiconductor Revenue M$"/>
    <x v="4"/>
    <n v="0"/>
  </r>
  <r>
    <s v="Discrete AI"/>
    <x v="1"/>
    <x v="0"/>
    <s v="Compute"/>
    <s v="Printer/Copier"/>
    <s v="Semiconductor Revenue M$"/>
    <x v="5"/>
    <n v="0"/>
  </r>
  <r>
    <s v="Discrete AI"/>
    <x v="1"/>
    <x v="0"/>
    <s v="Compute"/>
    <s v="Printer/Copier"/>
    <s v="Semiconductor Revenue M$"/>
    <x v="6"/>
    <n v="0"/>
  </r>
  <r>
    <s v="Discrete AI"/>
    <x v="1"/>
    <x v="0"/>
    <s v="Compute"/>
    <s v="Flash Cards"/>
    <s v="Semiconductor Revenue M$"/>
    <x v="0"/>
    <n v="0"/>
  </r>
  <r>
    <s v="Discrete AI"/>
    <x v="1"/>
    <x v="0"/>
    <s v="Compute"/>
    <s v="Flash Cards"/>
    <s v="Semiconductor Revenue M$"/>
    <x v="1"/>
    <n v="0"/>
  </r>
  <r>
    <s v="Discrete AI"/>
    <x v="1"/>
    <x v="0"/>
    <s v="Compute"/>
    <s v="Flash Cards"/>
    <s v="Semiconductor Revenue M$"/>
    <x v="2"/>
    <n v="0"/>
  </r>
  <r>
    <s v="Discrete AI"/>
    <x v="1"/>
    <x v="0"/>
    <s v="Compute"/>
    <s v="Flash Cards"/>
    <s v="Semiconductor Revenue M$"/>
    <x v="3"/>
    <n v="0"/>
  </r>
  <r>
    <s v="Discrete AI"/>
    <x v="1"/>
    <x v="0"/>
    <s v="Compute"/>
    <s v="Flash Cards"/>
    <s v="Semiconductor Revenue M$"/>
    <x v="4"/>
    <n v="0"/>
  </r>
  <r>
    <s v="Discrete AI"/>
    <x v="1"/>
    <x v="0"/>
    <s v="Compute"/>
    <s v="Flash Cards"/>
    <s v="Semiconductor Revenue M$"/>
    <x v="5"/>
    <n v="0"/>
  </r>
  <r>
    <s v="Discrete AI"/>
    <x v="1"/>
    <x v="0"/>
    <s v="Compute"/>
    <s v="Flash Cards"/>
    <s v="Semiconductor Revenue M$"/>
    <x v="6"/>
    <n v="0"/>
  </r>
  <r>
    <s v="Discrete AI"/>
    <x v="1"/>
    <x v="0"/>
    <s v="Compute"/>
    <s v="USB Flash Drives"/>
    <s v="Semiconductor Revenue M$"/>
    <x v="0"/>
    <n v="0"/>
  </r>
  <r>
    <s v="Discrete AI"/>
    <x v="1"/>
    <x v="0"/>
    <s v="Compute"/>
    <s v="USB Flash Drives"/>
    <s v="Semiconductor Revenue M$"/>
    <x v="1"/>
    <n v="0"/>
  </r>
  <r>
    <s v="Discrete AI"/>
    <x v="1"/>
    <x v="0"/>
    <s v="Compute"/>
    <s v="USB Flash Drives"/>
    <s v="Semiconductor Revenue M$"/>
    <x v="2"/>
    <n v="0"/>
  </r>
  <r>
    <s v="Discrete AI"/>
    <x v="1"/>
    <x v="0"/>
    <s v="Compute"/>
    <s v="USB Flash Drives"/>
    <s v="Semiconductor Revenue M$"/>
    <x v="3"/>
    <n v="0"/>
  </r>
  <r>
    <s v="Discrete AI"/>
    <x v="1"/>
    <x v="0"/>
    <s v="Compute"/>
    <s v="USB Flash Drives"/>
    <s v="Semiconductor Revenue M$"/>
    <x v="4"/>
    <n v="0"/>
  </r>
  <r>
    <s v="Discrete AI"/>
    <x v="1"/>
    <x v="0"/>
    <s v="Compute"/>
    <s v="USB Flash Drives"/>
    <s v="Semiconductor Revenue M$"/>
    <x v="5"/>
    <n v="0"/>
  </r>
  <r>
    <s v="Discrete AI"/>
    <x v="1"/>
    <x v="0"/>
    <s v="Compute"/>
    <s v="USB Flash Drives"/>
    <s v="Semiconductor Revenue M$"/>
    <x v="6"/>
    <n v="0"/>
  </r>
  <r>
    <s v="Discrete AI"/>
    <x v="1"/>
    <x v="0"/>
    <s v="Servers"/>
    <s v="Server, 4 CPU sockets and over"/>
    <s v="Semiconductor Revenue M$"/>
    <x v="0"/>
    <n v="0"/>
  </r>
  <r>
    <s v="Discrete AI"/>
    <x v="1"/>
    <x v="0"/>
    <s v="Servers"/>
    <s v="Server, 4 CPU sockets and over"/>
    <s v="Semiconductor Revenue M$"/>
    <x v="1"/>
    <n v="0"/>
  </r>
  <r>
    <s v="Discrete AI"/>
    <x v="1"/>
    <x v="0"/>
    <s v="Servers"/>
    <s v="Server, 4 CPU sockets and over"/>
    <s v="Semiconductor Revenue M$"/>
    <x v="2"/>
    <n v="0"/>
  </r>
  <r>
    <s v="Discrete AI"/>
    <x v="1"/>
    <x v="0"/>
    <s v="Servers"/>
    <s v="Server, 4 CPU sockets and over"/>
    <s v="Semiconductor Revenue M$"/>
    <x v="3"/>
    <n v="0"/>
  </r>
  <r>
    <s v="Discrete AI"/>
    <x v="1"/>
    <x v="0"/>
    <s v="Servers"/>
    <s v="Server, 4 CPU sockets and over"/>
    <s v="Semiconductor Revenue M$"/>
    <x v="4"/>
    <n v="0"/>
  </r>
  <r>
    <s v="Discrete AI"/>
    <x v="1"/>
    <x v="0"/>
    <s v="Servers"/>
    <s v="Server, 4 CPU sockets and over"/>
    <s v="Semiconductor Revenue M$"/>
    <x v="5"/>
    <n v="0"/>
  </r>
  <r>
    <s v="Discrete AI"/>
    <x v="1"/>
    <x v="0"/>
    <s v="Servers"/>
    <s v="Server, 4 CPU sockets and over"/>
    <s v="Semiconductor Revenue M$"/>
    <x v="6"/>
    <n v="0"/>
  </r>
  <r>
    <s v="Discrete AI"/>
    <x v="1"/>
    <x v="0"/>
    <s v="Servers"/>
    <s v="Server, 2 CPU socket"/>
    <s v="Semiconductor Revenue M$"/>
    <x v="0"/>
    <n v="0"/>
  </r>
  <r>
    <s v="Discrete AI"/>
    <x v="1"/>
    <x v="0"/>
    <s v="Servers"/>
    <s v="Server, 2 CPU socket"/>
    <s v="Semiconductor Revenue M$"/>
    <x v="1"/>
    <n v="0"/>
  </r>
  <r>
    <s v="Discrete AI"/>
    <x v="1"/>
    <x v="0"/>
    <s v="Servers"/>
    <s v="Server, 2 CPU socket"/>
    <s v="Semiconductor Revenue M$"/>
    <x v="2"/>
    <n v="0"/>
  </r>
  <r>
    <s v="Discrete AI"/>
    <x v="1"/>
    <x v="0"/>
    <s v="Servers"/>
    <s v="Server, 2 CPU socket"/>
    <s v="Semiconductor Revenue M$"/>
    <x v="3"/>
    <n v="0"/>
  </r>
  <r>
    <s v="Discrete AI"/>
    <x v="1"/>
    <x v="0"/>
    <s v="Servers"/>
    <s v="Server, 2 CPU socket"/>
    <s v="Semiconductor Revenue M$"/>
    <x v="4"/>
    <n v="0"/>
  </r>
  <r>
    <s v="Discrete AI"/>
    <x v="1"/>
    <x v="0"/>
    <s v="Servers"/>
    <s v="Server, 2 CPU socket"/>
    <s v="Semiconductor Revenue M$"/>
    <x v="5"/>
    <n v="0"/>
  </r>
  <r>
    <s v="Discrete AI"/>
    <x v="1"/>
    <x v="0"/>
    <s v="Servers"/>
    <s v="Server, 2 CPU socket"/>
    <s v="Semiconductor Revenue M$"/>
    <x v="6"/>
    <n v="0"/>
  </r>
  <r>
    <s v="Discrete AI"/>
    <x v="1"/>
    <x v="0"/>
    <s v="Servers"/>
    <s v="Server, 1 CPU socket"/>
    <s v="Semiconductor Revenue M$"/>
    <x v="0"/>
    <n v="0"/>
  </r>
  <r>
    <s v="Discrete AI"/>
    <x v="1"/>
    <x v="0"/>
    <s v="Servers"/>
    <s v="Server, 1 CPU socket"/>
    <s v="Semiconductor Revenue M$"/>
    <x v="1"/>
    <n v="0"/>
  </r>
  <r>
    <s v="Discrete AI"/>
    <x v="1"/>
    <x v="0"/>
    <s v="Servers"/>
    <s v="Server, 1 CPU socket"/>
    <s v="Semiconductor Revenue M$"/>
    <x v="2"/>
    <n v="0"/>
  </r>
  <r>
    <s v="Discrete AI"/>
    <x v="1"/>
    <x v="0"/>
    <s v="Servers"/>
    <s v="Server, 1 CPU socket"/>
    <s v="Semiconductor Revenue M$"/>
    <x v="3"/>
    <n v="0"/>
  </r>
  <r>
    <s v="Discrete AI"/>
    <x v="1"/>
    <x v="0"/>
    <s v="Servers"/>
    <s v="Server, 1 CPU socket"/>
    <s v="Semiconductor Revenue M$"/>
    <x v="4"/>
    <n v="0"/>
  </r>
  <r>
    <s v="Discrete AI"/>
    <x v="1"/>
    <x v="0"/>
    <s v="Servers"/>
    <s v="Server, 1 CPU socket"/>
    <s v="Semiconductor Revenue M$"/>
    <x v="5"/>
    <n v="0"/>
  </r>
  <r>
    <s v="Discrete AI"/>
    <x v="1"/>
    <x v="0"/>
    <s v="Servers"/>
    <s v="Server, 1 CPU socket"/>
    <s v="Semiconductor Revenue M$"/>
    <x v="6"/>
    <n v="0"/>
  </r>
  <r>
    <s v="Discrete AI"/>
    <x v="1"/>
    <x v="0"/>
    <s v="Compute"/>
    <s v="Smart Cards"/>
    <s v="Semiconductor Revenue M$"/>
    <x v="0"/>
    <n v="0"/>
  </r>
  <r>
    <s v="Discrete AI"/>
    <x v="1"/>
    <x v="0"/>
    <s v="Compute"/>
    <s v="Smart Cards"/>
    <s v="Semiconductor Revenue M$"/>
    <x v="1"/>
    <n v="0"/>
  </r>
  <r>
    <s v="Discrete AI"/>
    <x v="1"/>
    <x v="0"/>
    <s v="Compute"/>
    <s v="Smart Cards"/>
    <s v="Semiconductor Revenue M$"/>
    <x v="2"/>
    <n v="0"/>
  </r>
  <r>
    <s v="Discrete AI"/>
    <x v="1"/>
    <x v="0"/>
    <s v="Compute"/>
    <s v="Smart Cards"/>
    <s v="Semiconductor Revenue M$"/>
    <x v="3"/>
    <n v="0"/>
  </r>
  <r>
    <s v="Discrete AI"/>
    <x v="1"/>
    <x v="0"/>
    <s v="Compute"/>
    <s v="Smart Cards"/>
    <s v="Semiconductor Revenue M$"/>
    <x v="4"/>
    <n v="0"/>
  </r>
  <r>
    <s v="Discrete AI"/>
    <x v="1"/>
    <x v="0"/>
    <s v="Compute"/>
    <s v="Smart Cards"/>
    <s v="Semiconductor Revenue M$"/>
    <x v="5"/>
    <n v="0"/>
  </r>
  <r>
    <s v="Discrete AI"/>
    <x v="1"/>
    <x v="0"/>
    <s v="Compute"/>
    <s v="Smart Cards"/>
    <s v="Semiconductor Revenue M$"/>
    <x v="6"/>
    <n v="0"/>
  </r>
  <r>
    <s v="Discrete AI"/>
    <x v="1"/>
    <x v="0"/>
    <s v="Servers"/>
    <s v="Accelerator Cards"/>
    <s v="Semiconductor Revenue M$"/>
    <x v="0"/>
    <n v="0"/>
  </r>
  <r>
    <s v="Discrete AI"/>
    <x v="1"/>
    <x v="0"/>
    <s v="Servers"/>
    <s v="Accelerator Cards"/>
    <s v="Semiconductor Revenue M$"/>
    <x v="1"/>
    <n v="0"/>
  </r>
  <r>
    <s v="Discrete AI"/>
    <x v="1"/>
    <x v="0"/>
    <s v="Servers"/>
    <s v="Accelerator Cards"/>
    <s v="Semiconductor Revenue M$"/>
    <x v="2"/>
    <n v="0"/>
  </r>
  <r>
    <s v="Discrete AI"/>
    <x v="1"/>
    <x v="0"/>
    <s v="Servers"/>
    <s v="Accelerator Cards"/>
    <s v="Semiconductor Revenue M$"/>
    <x v="3"/>
    <n v="0"/>
  </r>
  <r>
    <s v="Discrete AI"/>
    <x v="1"/>
    <x v="0"/>
    <s v="Servers"/>
    <s v="Accelerator Cards"/>
    <s v="Semiconductor Revenue M$"/>
    <x v="4"/>
    <n v="0"/>
  </r>
  <r>
    <s v="Discrete AI"/>
    <x v="1"/>
    <x v="0"/>
    <s v="Servers"/>
    <s v="Accelerator Cards"/>
    <s v="Semiconductor Revenue M$"/>
    <x v="5"/>
    <n v="0"/>
  </r>
  <r>
    <s v="Discrete AI"/>
    <x v="1"/>
    <x v="0"/>
    <s v="Servers"/>
    <s v="Accelerator Cards"/>
    <s v="Semiconductor Revenue M$"/>
    <x v="6"/>
    <n v="0"/>
  </r>
  <r>
    <s v="Discrete AI"/>
    <x v="1"/>
    <x v="1"/>
    <s v="Storage"/>
    <s v="Solid-State ECB"/>
    <s v="Semiconductor Revenue M$"/>
    <x v="0"/>
    <n v="0"/>
  </r>
  <r>
    <s v="Discrete AI"/>
    <x v="1"/>
    <x v="1"/>
    <s v="Storage"/>
    <s v="Solid-State ECB"/>
    <s v="Semiconductor Revenue M$"/>
    <x v="1"/>
    <n v="0"/>
  </r>
  <r>
    <s v="Discrete AI"/>
    <x v="1"/>
    <x v="1"/>
    <s v="Storage"/>
    <s v="Solid-State ECB"/>
    <s v="Semiconductor Revenue M$"/>
    <x v="2"/>
    <n v="0"/>
  </r>
  <r>
    <s v="Discrete AI"/>
    <x v="1"/>
    <x v="1"/>
    <s v="Storage"/>
    <s v="Solid-State ECB"/>
    <s v="Semiconductor Revenue M$"/>
    <x v="3"/>
    <n v="0"/>
  </r>
  <r>
    <s v="Discrete AI"/>
    <x v="1"/>
    <x v="1"/>
    <s v="Storage"/>
    <s v="Solid-State ECB"/>
    <s v="Semiconductor Revenue M$"/>
    <x v="4"/>
    <n v="0"/>
  </r>
  <r>
    <s v="Discrete AI"/>
    <x v="1"/>
    <x v="1"/>
    <s v="Storage"/>
    <s v="Solid-State ECB"/>
    <s v="Semiconductor Revenue M$"/>
    <x v="5"/>
    <n v="0"/>
  </r>
  <r>
    <s v="Discrete AI"/>
    <x v="1"/>
    <x v="1"/>
    <s v="Storage"/>
    <s v="Solid-State ECB"/>
    <s v="Semiconductor Revenue M$"/>
    <x v="6"/>
    <n v="0"/>
  </r>
  <r>
    <s v="Discrete AI"/>
    <x v="1"/>
    <x v="1"/>
    <s v="Storage"/>
    <s v="Other ECB (HDD/Hybrid)"/>
    <s v="Semiconductor Revenue M$"/>
    <x v="0"/>
    <n v="0"/>
  </r>
  <r>
    <s v="Discrete AI"/>
    <x v="1"/>
    <x v="1"/>
    <s v="Storage"/>
    <s v="Other ECB (HDD/Hybrid)"/>
    <s v="Semiconductor Revenue M$"/>
    <x v="1"/>
    <n v="0"/>
  </r>
  <r>
    <s v="Discrete AI"/>
    <x v="1"/>
    <x v="1"/>
    <s v="Storage"/>
    <s v="Other ECB (HDD/Hybrid)"/>
    <s v="Semiconductor Revenue M$"/>
    <x v="2"/>
    <n v="0"/>
  </r>
  <r>
    <s v="Discrete AI"/>
    <x v="1"/>
    <x v="1"/>
    <s v="Storage"/>
    <s v="Other ECB (HDD/Hybrid)"/>
    <s v="Semiconductor Revenue M$"/>
    <x v="3"/>
    <n v="0"/>
  </r>
  <r>
    <s v="Discrete AI"/>
    <x v="1"/>
    <x v="1"/>
    <s v="Storage"/>
    <s v="Other ECB (HDD/Hybrid)"/>
    <s v="Semiconductor Revenue M$"/>
    <x v="4"/>
    <n v="0"/>
  </r>
  <r>
    <s v="Discrete AI"/>
    <x v="1"/>
    <x v="1"/>
    <s v="Storage"/>
    <s v="Other ECB (HDD/Hybrid)"/>
    <s v="Semiconductor Revenue M$"/>
    <x v="5"/>
    <n v="0"/>
  </r>
  <r>
    <s v="Discrete AI"/>
    <x v="1"/>
    <x v="1"/>
    <s v="Storage"/>
    <s v="Other ECB (HDD/Hybrid)"/>
    <s v="Semiconductor Revenue M$"/>
    <x v="6"/>
    <n v="0"/>
  </r>
  <r>
    <s v="Discrete AI"/>
    <x v="1"/>
    <x v="1"/>
    <s v="Storage"/>
    <s v="Storage Network Infrastructure"/>
    <s v="Semiconductor Revenue M$"/>
    <x v="0"/>
    <n v="0"/>
  </r>
  <r>
    <s v="Discrete AI"/>
    <x v="1"/>
    <x v="1"/>
    <s v="Storage"/>
    <s v="Storage Network Infrastructure"/>
    <s v="Semiconductor Revenue M$"/>
    <x v="1"/>
    <n v="0"/>
  </r>
  <r>
    <s v="Discrete AI"/>
    <x v="1"/>
    <x v="1"/>
    <s v="Storage"/>
    <s v="Storage Network Infrastructure"/>
    <s v="Semiconductor Revenue M$"/>
    <x v="2"/>
    <n v="0"/>
  </r>
  <r>
    <s v="Discrete AI"/>
    <x v="1"/>
    <x v="1"/>
    <s v="Storage"/>
    <s v="Storage Network Infrastructure"/>
    <s v="Semiconductor Revenue M$"/>
    <x v="3"/>
    <n v="0"/>
  </r>
  <r>
    <s v="Discrete AI"/>
    <x v="1"/>
    <x v="1"/>
    <s v="Storage"/>
    <s v="Storage Network Infrastructure"/>
    <s v="Semiconductor Revenue M$"/>
    <x v="4"/>
    <n v="0"/>
  </r>
  <r>
    <s v="Discrete AI"/>
    <x v="1"/>
    <x v="1"/>
    <s v="Storage"/>
    <s v="Storage Network Infrastructure"/>
    <s v="Semiconductor Revenue M$"/>
    <x v="5"/>
    <n v="0"/>
  </r>
  <r>
    <s v="Discrete AI"/>
    <x v="1"/>
    <x v="1"/>
    <s v="Storage"/>
    <s v="Storage Network Infrastructure"/>
    <s v="Semiconductor Revenue M$"/>
    <x v="6"/>
    <n v="0"/>
  </r>
  <r>
    <s v="Discrete AI"/>
    <x v="1"/>
    <x v="1"/>
    <s v="Storage"/>
    <s v="Hard Disk Drive"/>
    <s v="Semiconductor Revenue M$"/>
    <x v="0"/>
    <n v="0"/>
  </r>
  <r>
    <s v="Discrete AI"/>
    <x v="1"/>
    <x v="1"/>
    <s v="Storage"/>
    <s v="Hard Disk Drive"/>
    <s v="Semiconductor Revenue M$"/>
    <x v="1"/>
    <n v="0"/>
  </r>
  <r>
    <s v="Discrete AI"/>
    <x v="1"/>
    <x v="1"/>
    <s v="Storage"/>
    <s v="Hard Disk Drive"/>
    <s v="Semiconductor Revenue M$"/>
    <x v="2"/>
    <n v="0"/>
  </r>
  <r>
    <s v="Discrete AI"/>
    <x v="1"/>
    <x v="1"/>
    <s v="Storage"/>
    <s v="Hard Disk Drive"/>
    <s v="Semiconductor Revenue M$"/>
    <x v="3"/>
    <n v="0"/>
  </r>
  <r>
    <s v="Discrete AI"/>
    <x v="1"/>
    <x v="1"/>
    <s v="Storage"/>
    <s v="Hard Disk Drive"/>
    <s v="Semiconductor Revenue M$"/>
    <x v="4"/>
    <n v="0"/>
  </r>
  <r>
    <s v="Discrete AI"/>
    <x v="1"/>
    <x v="1"/>
    <s v="Storage"/>
    <s v="Hard Disk Drive"/>
    <s v="Semiconductor Revenue M$"/>
    <x v="5"/>
    <n v="0"/>
  </r>
  <r>
    <s v="Discrete AI"/>
    <x v="1"/>
    <x v="1"/>
    <s v="Storage"/>
    <s v="Hard Disk Drive"/>
    <s v="Semiconductor Revenue M$"/>
    <x v="6"/>
    <n v="0"/>
  </r>
  <r>
    <s v="Discrete AI"/>
    <x v="1"/>
    <x v="1"/>
    <s v="Storage"/>
    <s v="Solid-State Drives"/>
    <s v="Semiconductor Revenue M$"/>
    <x v="0"/>
    <n v="0"/>
  </r>
  <r>
    <s v="Discrete AI"/>
    <x v="1"/>
    <x v="1"/>
    <s v="Storage"/>
    <s v="Solid-State Drives"/>
    <s v="Semiconductor Revenue M$"/>
    <x v="1"/>
    <n v="0"/>
  </r>
  <r>
    <s v="Discrete AI"/>
    <x v="1"/>
    <x v="1"/>
    <s v="Storage"/>
    <s v="Solid-State Drives"/>
    <s v="Semiconductor Revenue M$"/>
    <x v="2"/>
    <n v="0"/>
  </r>
  <r>
    <s v="Discrete AI"/>
    <x v="1"/>
    <x v="1"/>
    <s v="Storage"/>
    <s v="Solid-State Drives"/>
    <s v="Semiconductor Revenue M$"/>
    <x v="3"/>
    <n v="0"/>
  </r>
  <r>
    <s v="Discrete AI"/>
    <x v="1"/>
    <x v="1"/>
    <s v="Storage"/>
    <s v="Solid-State Drives"/>
    <s v="Semiconductor Revenue M$"/>
    <x v="4"/>
    <n v="0"/>
  </r>
  <r>
    <s v="Discrete AI"/>
    <x v="1"/>
    <x v="1"/>
    <s v="Storage"/>
    <s v="Solid-State Drives"/>
    <s v="Semiconductor Revenue M$"/>
    <x v="5"/>
    <n v="0"/>
  </r>
  <r>
    <s v="Discrete AI"/>
    <x v="1"/>
    <x v="1"/>
    <s v="Storage"/>
    <s v="Solid-State Drives"/>
    <s v="Semiconductor Revenue M$"/>
    <x v="6"/>
    <n v="0"/>
  </r>
  <r>
    <s v="Discrete AI"/>
    <x v="1"/>
    <x v="1"/>
    <s v="Storage"/>
    <s v="Other Storage Media"/>
    <s v="Semiconductor Revenue M$"/>
    <x v="0"/>
    <n v="0"/>
  </r>
  <r>
    <s v="Discrete AI"/>
    <x v="1"/>
    <x v="1"/>
    <s v="Storage"/>
    <s v="Other Storage Media"/>
    <s v="Semiconductor Revenue M$"/>
    <x v="1"/>
    <n v="0"/>
  </r>
  <r>
    <s v="Discrete AI"/>
    <x v="1"/>
    <x v="1"/>
    <s v="Storage"/>
    <s v="Other Storage Media"/>
    <s v="Semiconductor Revenue M$"/>
    <x v="2"/>
    <n v="0"/>
  </r>
  <r>
    <s v="Discrete AI"/>
    <x v="1"/>
    <x v="1"/>
    <s v="Storage"/>
    <s v="Other Storage Media"/>
    <s v="Semiconductor Revenue M$"/>
    <x v="3"/>
    <n v="0"/>
  </r>
  <r>
    <s v="Discrete AI"/>
    <x v="1"/>
    <x v="1"/>
    <s v="Storage"/>
    <s v="Other Storage Media"/>
    <s v="Semiconductor Revenue M$"/>
    <x v="4"/>
    <n v="0"/>
  </r>
  <r>
    <s v="Discrete AI"/>
    <x v="1"/>
    <x v="1"/>
    <s v="Storage"/>
    <s v="Other Storage Media"/>
    <s v="Semiconductor Revenue M$"/>
    <x v="5"/>
    <n v="0"/>
  </r>
  <r>
    <s v="Discrete AI"/>
    <x v="1"/>
    <x v="1"/>
    <s v="Storage"/>
    <s v="Other Storage Media"/>
    <s v="Semiconductor Revenue M$"/>
    <x v="6"/>
    <n v="0"/>
  </r>
  <r>
    <s v="Discrete AI"/>
    <x v="1"/>
    <x v="1"/>
    <s v="Storage"/>
    <s v="Other Storage Electronics"/>
    <s v="Semiconductor Revenue M$"/>
    <x v="0"/>
    <n v="0"/>
  </r>
  <r>
    <s v="Discrete AI"/>
    <x v="1"/>
    <x v="1"/>
    <s v="Storage"/>
    <s v="Other Storage Electronics"/>
    <s v="Semiconductor Revenue M$"/>
    <x v="1"/>
    <n v="0"/>
  </r>
  <r>
    <s v="Discrete AI"/>
    <x v="1"/>
    <x v="1"/>
    <s v="Storage"/>
    <s v="Other Storage Electronics"/>
    <s v="Semiconductor Revenue M$"/>
    <x v="2"/>
    <n v="0"/>
  </r>
  <r>
    <s v="Discrete AI"/>
    <x v="1"/>
    <x v="1"/>
    <s v="Storage"/>
    <s v="Other Storage Electronics"/>
    <s v="Semiconductor Revenue M$"/>
    <x v="3"/>
    <n v="0"/>
  </r>
  <r>
    <s v="Discrete AI"/>
    <x v="1"/>
    <x v="1"/>
    <s v="Storage"/>
    <s v="Other Storage Electronics"/>
    <s v="Semiconductor Revenue M$"/>
    <x v="4"/>
    <n v="0"/>
  </r>
  <r>
    <s v="Discrete AI"/>
    <x v="1"/>
    <x v="1"/>
    <s v="Storage"/>
    <s v="Other Storage Electronics"/>
    <s v="Semiconductor Revenue M$"/>
    <x v="5"/>
    <n v="0"/>
  </r>
  <r>
    <s v="Discrete AI"/>
    <x v="1"/>
    <x v="1"/>
    <s v="Storage"/>
    <s v="Other Storage Electronics"/>
    <s v="Semiconductor Revenue M$"/>
    <x v="6"/>
    <n v="0"/>
  </r>
  <r>
    <s v="Discrete AI"/>
    <x v="1"/>
    <x v="2"/>
    <s v="Wireless Communications Electronics"/>
    <s v="Utility Traditional Phone"/>
    <s v="Semiconductor Revenue M$"/>
    <x v="0"/>
    <n v="0"/>
  </r>
  <r>
    <s v="Discrete AI"/>
    <x v="1"/>
    <x v="2"/>
    <s v="Wireless Communications Electronics"/>
    <s v="Utility Traditional Phone"/>
    <s v="Semiconductor Revenue M$"/>
    <x v="1"/>
    <n v="0"/>
  </r>
  <r>
    <s v="Discrete AI"/>
    <x v="1"/>
    <x v="2"/>
    <s v="Wireless Communications Electronics"/>
    <s v="Utility Traditional Phone"/>
    <s v="Semiconductor Revenue M$"/>
    <x v="2"/>
    <n v="0"/>
  </r>
  <r>
    <s v="Discrete AI"/>
    <x v="1"/>
    <x v="2"/>
    <s v="Wireless Communications Electronics"/>
    <s v="Utility Traditional Phone"/>
    <s v="Semiconductor Revenue M$"/>
    <x v="3"/>
    <n v="0"/>
  </r>
  <r>
    <s v="Discrete AI"/>
    <x v="1"/>
    <x v="2"/>
    <s v="Wireless Communications Electronics"/>
    <s v="Utility Traditional Phone"/>
    <s v="Semiconductor Revenue M$"/>
    <x v="4"/>
    <n v="0"/>
  </r>
  <r>
    <s v="Discrete AI"/>
    <x v="1"/>
    <x v="2"/>
    <s v="Wireless Communications Electronics"/>
    <s v="Utility Traditional Phone"/>
    <s v="Semiconductor Revenue M$"/>
    <x v="5"/>
    <n v="0"/>
  </r>
  <r>
    <s v="Discrete AI"/>
    <x v="1"/>
    <x v="2"/>
    <s v="Wireless Communications Electronics"/>
    <s v="Utility Traditional Phone"/>
    <s v="Semiconductor Revenue M$"/>
    <x v="6"/>
    <n v="0"/>
  </r>
  <r>
    <s v="Discrete AI"/>
    <x v="1"/>
    <x v="2"/>
    <s v="Wireless Communications Electronics"/>
    <s v="Basic Smartphone"/>
    <s v="Semiconductor Revenue M$"/>
    <x v="0"/>
    <n v="0"/>
  </r>
  <r>
    <s v="Discrete AI"/>
    <x v="1"/>
    <x v="2"/>
    <s v="Wireless Communications Electronics"/>
    <s v="Basic Smartphone"/>
    <s v="Semiconductor Revenue M$"/>
    <x v="1"/>
    <n v="0"/>
  </r>
  <r>
    <s v="Discrete AI"/>
    <x v="1"/>
    <x v="2"/>
    <s v="Wireless Communications Electronics"/>
    <s v="Basic Smartphone"/>
    <s v="Semiconductor Revenue M$"/>
    <x v="2"/>
    <n v="0"/>
  </r>
  <r>
    <s v="Discrete AI"/>
    <x v="1"/>
    <x v="2"/>
    <s v="Wireless Communications Electronics"/>
    <s v="Basic Smartphone"/>
    <s v="Semiconductor Revenue M$"/>
    <x v="3"/>
    <n v="0"/>
  </r>
  <r>
    <s v="Discrete AI"/>
    <x v="1"/>
    <x v="2"/>
    <s v="Wireless Communications Electronics"/>
    <s v="Basic Smartphone"/>
    <s v="Semiconductor Revenue M$"/>
    <x v="4"/>
    <n v="0"/>
  </r>
  <r>
    <s v="Discrete AI"/>
    <x v="1"/>
    <x v="2"/>
    <s v="Wireless Communications Electronics"/>
    <s v="Basic Smartphone"/>
    <s v="Semiconductor Revenue M$"/>
    <x v="5"/>
    <n v="0"/>
  </r>
  <r>
    <s v="Discrete AI"/>
    <x v="1"/>
    <x v="2"/>
    <s v="Wireless Communications Electronics"/>
    <s v="Basic Smartphone"/>
    <s v="Semiconductor Revenue M$"/>
    <x v="6"/>
    <n v="0"/>
  </r>
  <r>
    <s v="Discrete AI"/>
    <x v="1"/>
    <x v="2"/>
    <s v="Wireless Communications Electronics"/>
    <s v="Utility Smartphone"/>
    <s v="Semiconductor Revenue M$"/>
    <x v="0"/>
    <n v="0"/>
  </r>
  <r>
    <s v="Discrete AI"/>
    <x v="1"/>
    <x v="2"/>
    <s v="Wireless Communications Electronics"/>
    <s v="Utility Smartphone"/>
    <s v="Semiconductor Revenue M$"/>
    <x v="1"/>
    <n v="0"/>
  </r>
  <r>
    <s v="Discrete AI"/>
    <x v="1"/>
    <x v="2"/>
    <s v="Wireless Communications Electronics"/>
    <s v="Utility Smartphone"/>
    <s v="Semiconductor Revenue M$"/>
    <x v="2"/>
    <n v="0"/>
  </r>
  <r>
    <s v="Discrete AI"/>
    <x v="1"/>
    <x v="2"/>
    <s v="Wireless Communications Electronics"/>
    <s v="Utility Smartphone"/>
    <s v="Semiconductor Revenue M$"/>
    <x v="3"/>
    <n v="0"/>
  </r>
  <r>
    <s v="Discrete AI"/>
    <x v="1"/>
    <x v="2"/>
    <s v="Wireless Communications Electronics"/>
    <s v="Utility Smartphone"/>
    <s v="Semiconductor Revenue M$"/>
    <x v="4"/>
    <n v="0"/>
  </r>
  <r>
    <s v="Discrete AI"/>
    <x v="1"/>
    <x v="2"/>
    <s v="Wireless Communications Electronics"/>
    <s v="Utility Smartphone"/>
    <s v="Semiconductor Revenue M$"/>
    <x v="5"/>
    <n v="0"/>
  </r>
  <r>
    <s v="Discrete AI"/>
    <x v="1"/>
    <x v="2"/>
    <s v="Wireless Communications Electronics"/>
    <s v="Utility Smartphone"/>
    <s v="Semiconductor Revenue M$"/>
    <x v="6"/>
    <n v="0"/>
  </r>
  <r>
    <s v="Discrete AI"/>
    <x v="1"/>
    <x v="2"/>
    <s v="Wireless Communications Electronics"/>
    <s v="Premium Smartphone"/>
    <s v="Semiconductor Revenue M$"/>
    <x v="0"/>
    <n v="0"/>
  </r>
  <r>
    <s v="Discrete AI"/>
    <x v="1"/>
    <x v="2"/>
    <s v="Wireless Communications Electronics"/>
    <s v="Premium Smartphone"/>
    <s v="Semiconductor Revenue M$"/>
    <x v="1"/>
    <n v="0"/>
  </r>
  <r>
    <s v="Discrete AI"/>
    <x v="1"/>
    <x v="2"/>
    <s v="Wireless Communications Electronics"/>
    <s v="Premium Smartphone"/>
    <s v="Semiconductor Revenue M$"/>
    <x v="2"/>
    <n v="0"/>
  </r>
  <r>
    <s v="Discrete AI"/>
    <x v="1"/>
    <x v="2"/>
    <s v="Wireless Communications Electronics"/>
    <s v="Premium Smartphone"/>
    <s v="Semiconductor Revenue M$"/>
    <x v="3"/>
    <n v="0"/>
  </r>
  <r>
    <s v="Discrete AI"/>
    <x v="1"/>
    <x v="2"/>
    <s v="Wireless Communications Electronics"/>
    <s v="Premium Smartphone"/>
    <s v="Semiconductor Revenue M$"/>
    <x v="4"/>
    <n v="0"/>
  </r>
  <r>
    <s v="Discrete AI"/>
    <x v="1"/>
    <x v="2"/>
    <s v="Wireless Communications Electronics"/>
    <s v="Premium Smartphone"/>
    <s v="Semiconductor Revenue M$"/>
    <x v="5"/>
    <n v="0"/>
  </r>
  <r>
    <s v="Discrete AI"/>
    <x v="1"/>
    <x v="2"/>
    <s v="Wireless Communications Electronics"/>
    <s v="Premium Smartphone"/>
    <s v="Semiconductor Revenue M$"/>
    <x v="6"/>
    <n v="0"/>
  </r>
  <r>
    <s v="Discrete AI"/>
    <x v="1"/>
    <x v="3"/>
    <s v="Automotive Electronics"/>
    <s v="ADAS-ECU (Level-2+/3/4)"/>
    <s v="Semiconductor Revenue M$"/>
    <x v="0"/>
    <n v="0"/>
  </r>
  <r>
    <s v="Discrete AI"/>
    <x v="1"/>
    <x v="3"/>
    <s v="Automotive Electronics"/>
    <s v="ADAS-ECU (Level-2+/3/4)"/>
    <s v="Semiconductor Revenue M$"/>
    <x v="1"/>
    <n v="0"/>
  </r>
  <r>
    <s v="Discrete AI"/>
    <x v="1"/>
    <x v="3"/>
    <s v="Automotive Electronics"/>
    <s v="ADAS-ECU (Level-2+/3/4)"/>
    <s v="Semiconductor Revenue M$"/>
    <x v="2"/>
    <n v="0"/>
  </r>
  <r>
    <s v="Discrete AI"/>
    <x v="1"/>
    <x v="3"/>
    <s v="Automotive Electronics"/>
    <s v="ADAS-ECU (Level-2+/3/4)"/>
    <s v="Semiconductor Revenue M$"/>
    <x v="3"/>
    <n v="0"/>
  </r>
  <r>
    <s v="Discrete AI"/>
    <x v="1"/>
    <x v="3"/>
    <s v="Automotive Electronics"/>
    <s v="ADAS-ECU (Level-2+/3/4)"/>
    <s v="Semiconductor Revenue M$"/>
    <x v="4"/>
    <n v="0"/>
  </r>
  <r>
    <s v="Discrete AI"/>
    <x v="1"/>
    <x v="3"/>
    <s v="Automotive Electronics"/>
    <s v="ADAS-ECU (Level-2+/3/4)"/>
    <s v="Semiconductor Revenue M$"/>
    <x v="5"/>
    <n v="0"/>
  </r>
  <r>
    <s v="Discrete AI"/>
    <x v="1"/>
    <x v="3"/>
    <s v="Automotive Electronics"/>
    <s v="ADAS-ECU (Level-2+/3/4)"/>
    <s v="Semiconductor Revenue M$"/>
    <x v="6"/>
    <n v="0"/>
  </r>
  <r>
    <s v="Discrete AI"/>
    <x v="1"/>
    <x v="2"/>
    <s v="Wireless Communications Electronics"/>
    <s v="Mobile Infrastructure - Base Station Equipment"/>
    <s v="Semiconductor Revenue M$"/>
    <x v="0"/>
    <n v="0"/>
  </r>
  <r>
    <s v="Discrete AI"/>
    <x v="1"/>
    <x v="2"/>
    <s v="Wireless Communications Electronics"/>
    <s v="Mobile Infrastructure - Base Station Equipment"/>
    <s v="Semiconductor Revenue M$"/>
    <x v="1"/>
    <n v="0"/>
  </r>
  <r>
    <s v="Discrete AI"/>
    <x v="1"/>
    <x v="2"/>
    <s v="Wireless Communications Electronics"/>
    <s v="Mobile Infrastructure - Base Station Equipment"/>
    <s v="Semiconductor Revenue M$"/>
    <x v="2"/>
    <n v="0"/>
  </r>
  <r>
    <s v="Discrete AI"/>
    <x v="1"/>
    <x v="2"/>
    <s v="Wireless Communications Electronics"/>
    <s v="Mobile Infrastructure - Base Station Equipment"/>
    <s v="Semiconductor Revenue M$"/>
    <x v="3"/>
    <n v="0"/>
  </r>
  <r>
    <s v="Discrete AI"/>
    <x v="1"/>
    <x v="2"/>
    <s v="Wireless Communications Electronics"/>
    <s v="Mobile Infrastructure - Base Station Equipment"/>
    <s v="Semiconductor Revenue M$"/>
    <x v="4"/>
    <n v="0"/>
  </r>
  <r>
    <s v="Discrete AI"/>
    <x v="1"/>
    <x v="2"/>
    <s v="Wireless Communications Electronics"/>
    <s v="Mobile Infrastructure - Base Station Equipment"/>
    <s v="Semiconductor Revenue M$"/>
    <x v="5"/>
    <n v="0"/>
  </r>
  <r>
    <s v="Discrete AI"/>
    <x v="1"/>
    <x v="2"/>
    <s v="Wireless Communications Electronics"/>
    <s v="Mobile Infrastructure - Base Station Equipment"/>
    <s v="Semiconductor Revenue M$"/>
    <x v="6"/>
    <n v="0"/>
  </r>
  <r>
    <s v="Discrete AI"/>
    <x v="1"/>
    <x v="2"/>
    <s v="Wireless Communications Electronics"/>
    <s v="Wireless LAN Infrastructure"/>
    <s v="Semiconductor Revenue M$"/>
    <x v="0"/>
    <n v="0"/>
  </r>
  <r>
    <s v="Discrete AI"/>
    <x v="1"/>
    <x v="2"/>
    <s v="Wireless Communications Electronics"/>
    <s v="Wireless LAN Infrastructure"/>
    <s v="Semiconductor Revenue M$"/>
    <x v="1"/>
    <n v="0"/>
  </r>
  <r>
    <s v="Discrete AI"/>
    <x v="1"/>
    <x v="2"/>
    <s v="Wireless Communications Electronics"/>
    <s v="Wireless LAN Infrastructure"/>
    <s v="Semiconductor Revenue M$"/>
    <x v="2"/>
    <n v="0"/>
  </r>
  <r>
    <s v="Discrete AI"/>
    <x v="1"/>
    <x v="2"/>
    <s v="Wireless Communications Electronics"/>
    <s v="Wireless LAN Infrastructure"/>
    <s v="Semiconductor Revenue M$"/>
    <x v="3"/>
    <n v="0"/>
  </r>
  <r>
    <s v="Discrete AI"/>
    <x v="1"/>
    <x v="2"/>
    <s v="Wireless Communications Electronics"/>
    <s v="Wireless LAN Infrastructure"/>
    <s v="Semiconductor Revenue M$"/>
    <x v="4"/>
    <n v="0"/>
  </r>
  <r>
    <s v="Discrete AI"/>
    <x v="1"/>
    <x v="2"/>
    <s v="Wireless Communications Electronics"/>
    <s v="Wireless LAN Infrastructure"/>
    <s v="Semiconductor Revenue M$"/>
    <x v="5"/>
    <n v="0"/>
  </r>
  <r>
    <s v="Discrete AI"/>
    <x v="1"/>
    <x v="2"/>
    <s v="Wireless Communications Electronics"/>
    <s v="Wireless LAN Infrastructure"/>
    <s v="Semiconductor Revenue M$"/>
    <x v="6"/>
    <n v="0"/>
  </r>
  <r>
    <s v="Discrete AI"/>
    <x v="1"/>
    <x v="2"/>
    <s v="Wireless Communications Electronics"/>
    <s v="Cellular Modems"/>
    <s v="Semiconductor Revenue M$"/>
    <x v="0"/>
    <n v="0"/>
  </r>
  <r>
    <s v="Discrete AI"/>
    <x v="1"/>
    <x v="2"/>
    <s v="Wireless Communications Electronics"/>
    <s v="Cellular Modems"/>
    <s v="Semiconductor Revenue M$"/>
    <x v="1"/>
    <n v="0"/>
  </r>
  <r>
    <s v="Discrete AI"/>
    <x v="1"/>
    <x v="2"/>
    <s v="Wireless Communications Electronics"/>
    <s v="Cellular Modems"/>
    <s v="Semiconductor Revenue M$"/>
    <x v="2"/>
    <n v="0"/>
  </r>
  <r>
    <s v="Discrete AI"/>
    <x v="1"/>
    <x v="2"/>
    <s v="Wireless Communications Electronics"/>
    <s v="Cellular Modems"/>
    <s v="Semiconductor Revenue M$"/>
    <x v="3"/>
    <n v="0"/>
  </r>
  <r>
    <s v="Discrete AI"/>
    <x v="1"/>
    <x v="2"/>
    <s v="Wireless Communications Electronics"/>
    <s v="Cellular Modems"/>
    <s v="Semiconductor Revenue M$"/>
    <x v="4"/>
    <n v="0"/>
  </r>
  <r>
    <s v="Discrete AI"/>
    <x v="1"/>
    <x v="2"/>
    <s v="Wireless Communications Electronics"/>
    <s v="Cellular Modems"/>
    <s v="Semiconductor Revenue M$"/>
    <x v="5"/>
    <n v="0"/>
  </r>
  <r>
    <s v="Discrete AI"/>
    <x v="1"/>
    <x v="2"/>
    <s v="Wireless Communications Electronics"/>
    <s v="Cellular Modems"/>
    <s v="Semiconductor Revenue M$"/>
    <x v="6"/>
    <n v="0"/>
  </r>
  <r>
    <s v="Discrete AI"/>
    <x v="1"/>
    <x v="2"/>
    <s v="Wireless Communications Electronics"/>
    <s v="Other Wireless Communications Electronics"/>
    <s v="Semiconductor Revenue M$"/>
    <x v="0"/>
    <n v="0"/>
  </r>
  <r>
    <s v="Discrete AI"/>
    <x v="1"/>
    <x v="2"/>
    <s v="Wireless Communications Electronics"/>
    <s v="Other Wireless Communications Electronics"/>
    <s v="Semiconductor Revenue M$"/>
    <x v="1"/>
    <n v="0"/>
  </r>
  <r>
    <s v="Discrete AI"/>
    <x v="1"/>
    <x v="2"/>
    <s v="Wireless Communications Electronics"/>
    <s v="Other Wireless Communications Electronics"/>
    <s v="Semiconductor Revenue M$"/>
    <x v="2"/>
    <n v="0"/>
  </r>
  <r>
    <s v="Discrete AI"/>
    <x v="1"/>
    <x v="2"/>
    <s v="Wireless Communications Electronics"/>
    <s v="Other Wireless Communications Electronics"/>
    <s v="Semiconductor Revenue M$"/>
    <x v="3"/>
    <n v="0"/>
  </r>
  <r>
    <s v="Discrete AI"/>
    <x v="1"/>
    <x v="2"/>
    <s v="Wireless Communications Electronics"/>
    <s v="Other Wireless Communications Electronics"/>
    <s v="Semiconductor Revenue M$"/>
    <x v="4"/>
    <n v="0"/>
  </r>
  <r>
    <s v="Discrete AI"/>
    <x v="1"/>
    <x v="2"/>
    <s v="Wireless Communications Electronics"/>
    <s v="Other Wireless Communications Electronics"/>
    <s v="Semiconductor Revenue M$"/>
    <x v="5"/>
    <n v="0"/>
  </r>
  <r>
    <s v="Discrete AI"/>
    <x v="1"/>
    <x v="2"/>
    <s v="Wireless Communications Electronics"/>
    <s v="Other Wireless Communications Electronics"/>
    <s v="Semiconductor Revenue M$"/>
    <x v="6"/>
    <n v="0"/>
  </r>
  <r>
    <s v="Discrete AI"/>
    <x v="1"/>
    <x v="2"/>
    <s v="Wired Communications Electronics"/>
    <s v="DSL Broadband Access"/>
    <s v="Semiconductor Revenue M$"/>
    <x v="0"/>
    <n v="0"/>
  </r>
  <r>
    <s v="Discrete AI"/>
    <x v="1"/>
    <x v="2"/>
    <s v="Wired Communications Electronics"/>
    <s v="DSL Broadband Access"/>
    <s v="Semiconductor Revenue M$"/>
    <x v="1"/>
    <n v="0"/>
  </r>
  <r>
    <s v="Discrete AI"/>
    <x v="1"/>
    <x v="2"/>
    <s v="Wired Communications Electronics"/>
    <s v="DSL Broadband Access"/>
    <s v="Semiconductor Revenue M$"/>
    <x v="2"/>
    <n v="0"/>
  </r>
  <r>
    <s v="Discrete AI"/>
    <x v="1"/>
    <x v="2"/>
    <s v="Wired Communications Electronics"/>
    <s v="DSL Broadband Access"/>
    <s v="Semiconductor Revenue M$"/>
    <x v="3"/>
    <n v="0"/>
  </r>
  <r>
    <s v="Discrete AI"/>
    <x v="1"/>
    <x v="2"/>
    <s v="Wired Communications Electronics"/>
    <s v="DSL Broadband Access"/>
    <s v="Semiconductor Revenue M$"/>
    <x v="4"/>
    <n v="0"/>
  </r>
  <r>
    <s v="Discrete AI"/>
    <x v="1"/>
    <x v="2"/>
    <s v="Wired Communications Electronics"/>
    <s v="DSL Broadband Access"/>
    <s v="Semiconductor Revenue M$"/>
    <x v="5"/>
    <n v="0"/>
  </r>
  <r>
    <s v="Discrete AI"/>
    <x v="1"/>
    <x v="2"/>
    <s v="Wired Communications Electronics"/>
    <s v="DSL Broadband Access"/>
    <s v="Semiconductor Revenue M$"/>
    <x v="6"/>
    <n v="0"/>
  </r>
  <r>
    <s v="Discrete AI"/>
    <x v="1"/>
    <x v="2"/>
    <s v="Wired Communications Electronics"/>
    <s v="Fiber Broadband Access"/>
    <s v="Semiconductor Revenue M$"/>
    <x v="0"/>
    <n v="0"/>
  </r>
  <r>
    <s v="Discrete AI"/>
    <x v="1"/>
    <x v="2"/>
    <s v="Wired Communications Electronics"/>
    <s v="Fiber Broadband Access"/>
    <s v="Semiconductor Revenue M$"/>
    <x v="1"/>
    <n v="0"/>
  </r>
  <r>
    <s v="Discrete AI"/>
    <x v="1"/>
    <x v="2"/>
    <s v="Wired Communications Electronics"/>
    <s v="Fiber Broadband Access"/>
    <s v="Semiconductor Revenue M$"/>
    <x v="2"/>
    <n v="0"/>
  </r>
  <r>
    <s v="Discrete AI"/>
    <x v="1"/>
    <x v="2"/>
    <s v="Wired Communications Electronics"/>
    <s v="Fiber Broadband Access"/>
    <s v="Semiconductor Revenue M$"/>
    <x v="3"/>
    <n v="0"/>
  </r>
  <r>
    <s v="Discrete AI"/>
    <x v="1"/>
    <x v="2"/>
    <s v="Wired Communications Electronics"/>
    <s v="Fiber Broadband Access"/>
    <s v="Semiconductor Revenue M$"/>
    <x v="4"/>
    <n v="0"/>
  </r>
  <r>
    <s v="Discrete AI"/>
    <x v="1"/>
    <x v="2"/>
    <s v="Wired Communications Electronics"/>
    <s v="Fiber Broadband Access"/>
    <s v="Semiconductor Revenue M$"/>
    <x v="5"/>
    <n v="0"/>
  </r>
  <r>
    <s v="Discrete AI"/>
    <x v="1"/>
    <x v="2"/>
    <s v="Wired Communications Electronics"/>
    <s v="Fiber Broadband Access"/>
    <s v="Semiconductor Revenue M$"/>
    <x v="6"/>
    <n v="0"/>
  </r>
  <r>
    <s v="Discrete AI"/>
    <x v="1"/>
    <x v="2"/>
    <s v="Wired Communications Electronics"/>
    <s v="Other Broadband Access"/>
    <s v="Semiconductor Revenue M$"/>
    <x v="0"/>
    <n v="0"/>
  </r>
  <r>
    <s v="Discrete AI"/>
    <x v="1"/>
    <x v="2"/>
    <s v="Wired Communications Electronics"/>
    <s v="Other Broadband Access"/>
    <s v="Semiconductor Revenue M$"/>
    <x v="1"/>
    <n v="0"/>
  </r>
  <r>
    <s v="Discrete AI"/>
    <x v="1"/>
    <x v="2"/>
    <s v="Wired Communications Electronics"/>
    <s v="Other Broadband Access"/>
    <s v="Semiconductor Revenue M$"/>
    <x v="2"/>
    <n v="0"/>
  </r>
  <r>
    <s v="Discrete AI"/>
    <x v="1"/>
    <x v="2"/>
    <s v="Wired Communications Electronics"/>
    <s v="Other Broadband Access"/>
    <s v="Semiconductor Revenue M$"/>
    <x v="3"/>
    <n v="0"/>
  </r>
  <r>
    <s v="Discrete AI"/>
    <x v="1"/>
    <x v="2"/>
    <s v="Wired Communications Electronics"/>
    <s v="Other Broadband Access"/>
    <s v="Semiconductor Revenue M$"/>
    <x v="4"/>
    <n v="0"/>
  </r>
  <r>
    <s v="Discrete AI"/>
    <x v="1"/>
    <x v="2"/>
    <s v="Wired Communications Electronics"/>
    <s v="Other Broadband Access"/>
    <s v="Semiconductor Revenue M$"/>
    <x v="5"/>
    <n v="0"/>
  </r>
  <r>
    <s v="Discrete AI"/>
    <x v="1"/>
    <x v="2"/>
    <s v="Wired Communications Electronics"/>
    <s v="Other Broadband Access"/>
    <s v="Semiconductor Revenue M$"/>
    <x v="6"/>
    <n v="0"/>
  </r>
  <r>
    <s v="Discrete AI"/>
    <x v="1"/>
    <x v="2"/>
    <s v="Wired Communications Electronics"/>
    <s v="Enterprise LAN"/>
    <s v="Semiconductor Revenue M$"/>
    <x v="0"/>
    <n v="0"/>
  </r>
  <r>
    <s v="Discrete AI"/>
    <x v="1"/>
    <x v="2"/>
    <s v="Wired Communications Electronics"/>
    <s v="Enterprise LAN"/>
    <s v="Semiconductor Revenue M$"/>
    <x v="1"/>
    <n v="0"/>
  </r>
  <r>
    <s v="Discrete AI"/>
    <x v="1"/>
    <x v="2"/>
    <s v="Wired Communications Electronics"/>
    <s v="Enterprise LAN"/>
    <s v="Semiconductor Revenue M$"/>
    <x v="2"/>
    <n v="0"/>
  </r>
  <r>
    <s v="Discrete AI"/>
    <x v="1"/>
    <x v="2"/>
    <s v="Wired Communications Electronics"/>
    <s v="Enterprise LAN"/>
    <s v="Semiconductor Revenue M$"/>
    <x v="3"/>
    <n v="0"/>
  </r>
  <r>
    <s v="Discrete AI"/>
    <x v="1"/>
    <x v="2"/>
    <s v="Wired Communications Electronics"/>
    <s v="Enterprise LAN"/>
    <s v="Semiconductor Revenue M$"/>
    <x v="4"/>
    <n v="0"/>
  </r>
  <r>
    <s v="Discrete AI"/>
    <x v="1"/>
    <x v="2"/>
    <s v="Wired Communications Electronics"/>
    <s v="Enterprise LAN"/>
    <s v="Semiconductor Revenue M$"/>
    <x v="5"/>
    <n v="0"/>
  </r>
  <r>
    <s v="Discrete AI"/>
    <x v="1"/>
    <x v="2"/>
    <s v="Wired Communications Electronics"/>
    <s v="Enterprise LAN"/>
    <s v="Semiconductor Revenue M$"/>
    <x v="6"/>
    <n v="0"/>
  </r>
  <r>
    <s v="Discrete AI"/>
    <x v="1"/>
    <x v="3"/>
    <s v="Automotive Electronics"/>
    <s v="ADAS-ECU (Level-0/1/2)"/>
    <s v="Semiconductor Revenue M$"/>
    <x v="0"/>
    <n v="0"/>
  </r>
  <r>
    <s v="Discrete AI"/>
    <x v="1"/>
    <x v="3"/>
    <s v="Automotive Electronics"/>
    <s v="ADAS-ECU (Level-0/1/2)"/>
    <s v="Semiconductor Revenue M$"/>
    <x v="1"/>
    <n v="0"/>
  </r>
  <r>
    <s v="Discrete AI"/>
    <x v="1"/>
    <x v="3"/>
    <s v="Automotive Electronics"/>
    <s v="ADAS-ECU (Level-0/1/2)"/>
    <s v="Semiconductor Revenue M$"/>
    <x v="2"/>
    <n v="0"/>
  </r>
  <r>
    <s v="Discrete AI"/>
    <x v="1"/>
    <x v="3"/>
    <s v="Automotive Electronics"/>
    <s v="ADAS-ECU (Level-0/1/2)"/>
    <s v="Semiconductor Revenue M$"/>
    <x v="3"/>
    <n v="0"/>
  </r>
  <r>
    <s v="Discrete AI"/>
    <x v="1"/>
    <x v="3"/>
    <s v="Automotive Electronics"/>
    <s v="ADAS-ECU (Level-0/1/2)"/>
    <s v="Semiconductor Revenue M$"/>
    <x v="4"/>
    <n v="0"/>
  </r>
  <r>
    <s v="Discrete AI"/>
    <x v="1"/>
    <x v="3"/>
    <s v="Automotive Electronics"/>
    <s v="ADAS-ECU (Level-0/1/2)"/>
    <s v="Semiconductor Revenue M$"/>
    <x v="5"/>
    <n v="0"/>
  </r>
  <r>
    <s v="Discrete AI"/>
    <x v="1"/>
    <x v="3"/>
    <s v="Automotive Electronics"/>
    <s v="ADAS-ECU (Level-0/1/2)"/>
    <s v="Semiconductor Revenue M$"/>
    <x v="6"/>
    <n v="0"/>
  </r>
  <r>
    <s v="Discrete AI"/>
    <x v="1"/>
    <x v="2"/>
    <s v="Wired Communications Electronics"/>
    <s v="Enterprise WAN"/>
    <s v="Semiconductor Revenue M$"/>
    <x v="0"/>
    <n v="0"/>
  </r>
  <r>
    <s v="Discrete AI"/>
    <x v="1"/>
    <x v="2"/>
    <s v="Wired Communications Electronics"/>
    <s v="Enterprise WAN"/>
    <s v="Semiconductor Revenue M$"/>
    <x v="1"/>
    <n v="0"/>
  </r>
  <r>
    <s v="Discrete AI"/>
    <x v="1"/>
    <x v="2"/>
    <s v="Wired Communications Electronics"/>
    <s v="Enterprise WAN"/>
    <s v="Semiconductor Revenue M$"/>
    <x v="2"/>
    <n v="0"/>
  </r>
  <r>
    <s v="Discrete AI"/>
    <x v="1"/>
    <x v="2"/>
    <s v="Wired Communications Electronics"/>
    <s v="Enterprise WAN"/>
    <s v="Semiconductor Revenue M$"/>
    <x v="3"/>
    <n v="0"/>
  </r>
  <r>
    <s v="Discrete AI"/>
    <x v="1"/>
    <x v="2"/>
    <s v="Wired Communications Electronics"/>
    <s v="Enterprise WAN"/>
    <s v="Semiconductor Revenue M$"/>
    <x v="4"/>
    <n v="0"/>
  </r>
  <r>
    <s v="Discrete AI"/>
    <x v="1"/>
    <x v="2"/>
    <s v="Wired Communications Electronics"/>
    <s v="Enterprise WAN"/>
    <s v="Semiconductor Revenue M$"/>
    <x v="5"/>
    <n v="0"/>
  </r>
  <r>
    <s v="Discrete AI"/>
    <x v="1"/>
    <x v="2"/>
    <s v="Wired Communications Electronics"/>
    <s v="Enterprise WAN"/>
    <s v="Semiconductor Revenue M$"/>
    <x v="6"/>
    <n v="0"/>
  </r>
  <r>
    <s v="Discrete AI"/>
    <x v="1"/>
    <x v="2"/>
    <s v="Wired Communications Electronics"/>
    <s v="Optical Transport"/>
    <s v="Semiconductor Revenue M$"/>
    <x v="0"/>
    <n v="0"/>
  </r>
  <r>
    <s v="Discrete AI"/>
    <x v="1"/>
    <x v="2"/>
    <s v="Wired Communications Electronics"/>
    <s v="Optical Transport"/>
    <s v="Semiconductor Revenue M$"/>
    <x v="1"/>
    <n v="0"/>
  </r>
  <r>
    <s v="Discrete AI"/>
    <x v="1"/>
    <x v="2"/>
    <s v="Wired Communications Electronics"/>
    <s v="Optical Transport"/>
    <s v="Semiconductor Revenue M$"/>
    <x v="2"/>
    <n v="0"/>
  </r>
  <r>
    <s v="Discrete AI"/>
    <x v="1"/>
    <x v="2"/>
    <s v="Wired Communications Electronics"/>
    <s v="Optical Transport"/>
    <s v="Semiconductor Revenue M$"/>
    <x v="3"/>
    <n v="0"/>
  </r>
  <r>
    <s v="Discrete AI"/>
    <x v="1"/>
    <x v="2"/>
    <s v="Wired Communications Electronics"/>
    <s v="Optical Transport"/>
    <s v="Semiconductor Revenue M$"/>
    <x v="4"/>
    <n v="0"/>
  </r>
  <r>
    <s v="Discrete AI"/>
    <x v="1"/>
    <x v="2"/>
    <s v="Wired Communications Electronics"/>
    <s v="Optical Transport"/>
    <s v="Semiconductor Revenue M$"/>
    <x v="5"/>
    <n v="0"/>
  </r>
  <r>
    <s v="Discrete AI"/>
    <x v="1"/>
    <x v="2"/>
    <s v="Wired Communications Electronics"/>
    <s v="Optical Transport"/>
    <s v="Semiconductor Revenue M$"/>
    <x v="6"/>
    <n v="0"/>
  </r>
  <r>
    <s v="Discrete AI"/>
    <x v="1"/>
    <x v="2"/>
    <s v="Wired Communications Electronics"/>
    <s v="Service Provider Routers and Switches"/>
    <s v="Semiconductor Revenue M$"/>
    <x v="0"/>
    <n v="0"/>
  </r>
  <r>
    <s v="Discrete AI"/>
    <x v="1"/>
    <x v="2"/>
    <s v="Wired Communications Electronics"/>
    <s v="Service Provider Routers and Switches"/>
    <s v="Semiconductor Revenue M$"/>
    <x v="1"/>
    <n v="0"/>
  </r>
  <r>
    <s v="Discrete AI"/>
    <x v="1"/>
    <x v="2"/>
    <s v="Wired Communications Electronics"/>
    <s v="Service Provider Routers and Switches"/>
    <s v="Semiconductor Revenue M$"/>
    <x v="2"/>
    <n v="0"/>
  </r>
  <r>
    <s v="Discrete AI"/>
    <x v="1"/>
    <x v="2"/>
    <s v="Wired Communications Electronics"/>
    <s v="Service Provider Routers and Switches"/>
    <s v="Semiconductor Revenue M$"/>
    <x v="3"/>
    <n v="0"/>
  </r>
  <r>
    <s v="Discrete AI"/>
    <x v="1"/>
    <x v="2"/>
    <s v="Wired Communications Electronics"/>
    <s v="Service Provider Routers and Switches"/>
    <s v="Semiconductor Revenue M$"/>
    <x v="4"/>
    <n v="0"/>
  </r>
  <r>
    <s v="Discrete AI"/>
    <x v="1"/>
    <x v="2"/>
    <s v="Wired Communications Electronics"/>
    <s v="Service Provider Routers and Switches"/>
    <s v="Semiconductor Revenue M$"/>
    <x v="5"/>
    <n v="0"/>
  </r>
  <r>
    <s v="Discrete AI"/>
    <x v="1"/>
    <x v="2"/>
    <s v="Wired Communications Electronics"/>
    <s v="Service Provider Routers and Switches"/>
    <s v="Semiconductor Revenue M$"/>
    <x v="6"/>
    <n v="0"/>
  </r>
  <r>
    <s v="Discrete AI"/>
    <x v="1"/>
    <x v="2"/>
    <s v="Wired Communications Electronics"/>
    <s v="Other Wired Communications Electronics"/>
    <s v="Semiconductor Revenue M$"/>
    <x v="0"/>
    <n v="0"/>
  </r>
  <r>
    <s v="Discrete AI"/>
    <x v="1"/>
    <x v="2"/>
    <s v="Wired Communications Electronics"/>
    <s v="Other Wired Communications Electronics"/>
    <s v="Semiconductor Revenue M$"/>
    <x v="1"/>
    <n v="0"/>
  </r>
  <r>
    <s v="Discrete AI"/>
    <x v="1"/>
    <x v="2"/>
    <s v="Wired Communications Electronics"/>
    <s v="Other Wired Communications Electronics"/>
    <s v="Semiconductor Revenue M$"/>
    <x v="2"/>
    <n v="0"/>
  </r>
  <r>
    <s v="Discrete AI"/>
    <x v="1"/>
    <x v="2"/>
    <s v="Wired Communications Electronics"/>
    <s v="Other Wired Communications Electronics"/>
    <s v="Semiconductor Revenue M$"/>
    <x v="3"/>
    <n v="0"/>
  </r>
  <r>
    <s v="Discrete AI"/>
    <x v="1"/>
    <x v="2"/>
    <s v="Wired Communications Electronics"/>
    <s v="Other Wired Communications Electronics"/>
    <s v="Semiconductor Revenue M$"/>
    <x v="4"/>
    <n v="0"/>
  </r>
  <r>
    <s v="Discrete AI"/>
    <x v="1"/>
    <x v="2"/>
    <s v="Wired Communications Electronics"/>
    <s v="Other Wired Communications Electronics"/>
    <s v="Semiconductor Revenue M$"/>
    <x v="5"/>
    <n v="0"/>
  </r>
  <r>
    <s v="Discrete AI"/>
    <x v="1"/>
    <x v="2"/>
    <s v="Wired Communications Electronics"/>
    <s v="Other Wired Communications Electronics"/>
    <s v="Semiconductor Revenue M$"/>
    <x v="6"/>
    <n v="0"/>
  </r>
  <r>
    <s v="Discrete AI"/>
    <x v="1"/>
    <x v="4"/>
    <s v="Consumer Electronics"/>
    <s v="Appliances"/>
    <s v="Semiconductor Revenue M$"/>
    <x v="0"/>
    <n v="0"/>
  </r>
  <r>
    <s v="Discrete AI"/>
    <x v="1"/>
    <x v="4"/>
    <s v="Consumer Electronics"/>
    <s v="Appliances"/>
    <s v="Semiconductor Revenue M$"/>
    <x v="1"/>
    <n v="0"/>
  </r>
  <r>
    <s v="Discrete AI"/>
    <x v="1"/>
    <x v="4"/>
    <s v="Consumer Electronics"/>
    <s v="Appliances"/>
    <s v="Semiconductor Revenue M$"/>
    <x v="2"/>
    <n v="0"/>
  </r>
  <r>
    <s v="Discrete AI"/>
    <x v="1"/>
    <x v="4"/>
    <s v="Consumer Electronics"/>
    <s v="Appliances"/>
    <s v="Semiconductor Revenue M$"/>
    <x v="3"/>
    <n v="0"/>
  </r>
  <r>
    <s v="Discrete AI"/>
    <x v="1"/>
    <x v="4"/>
    <s v="Consumer Electronics"/>
    <s v="Appliances"/>
    <s v="Semiconductor Revenue M$"/>
    <x v="4"/>
    <n v="0"/>
  </r>
  <r>
    <s v="Discrete AI"/>
    <x v="1"/>
    <x v="4"/>
    <s v="Consumer Electronics"/>
    <s v="Appliances"/>
    <s v="Semiconductor Revenue M$"/>
    <x v="5"/>
    <n v="0"/>
  </r>
  <r>
    <s v="Discrete AI"/>
    <x v="1"/>
    <x v="4"/>
    <s v="Consumer Electronics"/>
    <s v="Appliances"/>
    <s v="Semiconductor Revenue M$"/>
    <x v="6"/>
    <n v="0"/>
  </r>
  <r>
    <s v="Discrete AI"/>
    <x v="1"/>
    <x v="4"/>
    <s v="Consumer Electronics"/>
    <s v="Digital Camcorder"/>
    <s v="Semiconductor Revenue M$"/>
    <x v="0"/>
    <n v="0"/>
  </r>
  <r>
    <s v="Discrete AI"/>
    <x v="1"/>
    <x v="4"/>
    <s v="Consumer Electronics"/>
    <s v="Digital Camcorder"/>
    <s v="Semiconductor Revenue M$"/>
    <x v="1"/>
    <n v="0"/>
  </r>
  <r>
    <s v="Discrete AI"/>
    <x v="1"/>
    <x v="4"/>
    <s v="Consumer Electronics"/>
    <s v="Digital Camcorder"/>
    <s v="Semiconductor Revenue M$"/>
    <x v="2"/>
    <n v="0"/>
  </r>
  <r>
    <s v="Discrete AI"/>
    <x v="1"/>
    <x v="4"/>
    <s v="Consumer Electronics"/>
    <s v="Digital Camcorder"/>
    <s v="Semiconductor Revenue M$"/>
    <x v="3"/>
    <n v="0"/>
  </r>
  <r>
    <s v="Discrete AI"/>
    <x v="1"/>
    <x v="4"/>
    <s v="Consumer Electronics"/>
    <s v="Digital Camcorder"/>
    <s v="Semiconductor Revenue M$"/>
    <x v="4"/>
    <n v="0"/>
  </r>
  <r>
    <s v="Discrete AI"/>
    <x v="1"/>
    <x v="4"/>
    <s v="Consumer Electronics"/>
    <s v="Digital Camcorder"/>
    <s v="Semiconductor Revenue M$"/>
    <x v="5"/>
    <n v="0"/>
  </r>
  <r>
    <s v="Discrete AI"/>
    <x v="1"/>
    <x v="4"/>
    <s v="Consumer Electronics"/>
    <s v="Digital Camcorder"/>
    <s v="Semiconductor Revenue M$"/>
    <x v="6"/>
    <n v="0"/>
  </r>
  <r>
    <s v="Discrete AI"/>
    <x v="1"/>
    <x v="4"/>
    <s v="Consumer Electronics"/>
    <s v="Digital Set-Top Box, Cable"/>
    <s v="Semiconductor Revenue M$"/>
    <x v="0"/>
    <n v="0"/>
  </r>
  <r>
    <s v="Discrete AI"/>
    <x v="1"/>
    <x v="4"/>
    <s v="Consumer Electronics"/>
    <s v="Digital Set-Top Box, Cable"/>
    <s v="Semiconductor Revenue M$"/>
    <x v="1"/>
    <n v="0"/>
  </r>
  <r>
    <s v="Discrete AI"/>
    <x v="1"/>
    <x v="4"/>
    <s v="Consumer Electronics"/>
    <s v="Digital Set-Top Box, Cable"/>
    <s v="Semiconductor Revenue M$"/>
    <x v="2"/>
    <n v="0"/>
  </r>
  <r>
    <s v="Discrete AI"/>
    <x v="1"/>
    <x v="4"/>
    <s v="Consumer Electronics"/>
    <s v="Digital Set-Top Box, Cable"/>
    <s v="Semiconductor Revenue M$"/>
    <x v="3"/>
    <n v="0"/>
  </r>
  <r>
    <s v="Discrete AI"/>
    <x v="1"/>
    <x v="4"/>
    <s v="Consumer Electronics"/>
    <s v="Digital Set-Top Box, Cable"/>
    <s v="Semiconductor Revenue M$"/>
    <x v="4"/>
    <n v="0"/>
  </r>
  <r>
    <s v="Discrete AI"/>
    <x v="1"/>
    <x v="4"/>
    <s v="Consumer Electronics"/>
    <s v="Digital Set-Top Box, Cable"/>
    <s v="Semiconductor Revenue M$"/>
    <x v="5"/>
    <n v="0"/>
  </r>
  <r>
    <s v="Discrete AI"/>
    <x v="1"/>
    <x v="4"/>
    <s v="Consumer Electronics"/>
    <s v="Digital Set-Top Box, Cable"/>
    <s v="Semiconductor Revenue M$"/>
    <x v="6"/>
    <n v="0"/>
  </r>
  <r>
    <s v="Discrete AI"/>
    <x v="1"/>
    <x v="4"/>
    <s v="Consumer Electronics"/>
    <s v="Digital Set-Top Box, Satellite"/>
    <s v="Semiconductor Revenue M$"/>
    <x v="0"/>
    <n v="0"/>
  </r>
  <r>
    <s v="Discrete AI"/>
    <x v="1"/>
    <x v="4"/>
    <s v="Consumer Electronics"/>
    <s v="Digital Set-Top Box, Satellite"/>
    <s v="Semiconductor Revenue M$"/>
    <x v="1"/>
    <n v="0"/>
  </r>
  <r>
    <s v="Discrete AI"/>
    <x v="1"/>
    <x v="4"/>
    <s v="Consumer Electronics"/>
    <s v="Digital Set-Top Box, Satellite"/>
    <s v="Semiconductor Revenue M$"/>
    <x v="2"/>
    <n v="0"/>
  </r>
  <r>
    <s v="Discrete AI"/>
    <x v="1"/>
    <x v="4"/>
    <s v="Consumer Electronics"/>
    <s v="Digital Set-Top Box, Satellite"/>
    <s v="Semiconductor Revenue M$"/>
    <x v="3"/>
    <n v="0"/>
  </r>
  <r>
    <s v="Discrete AI"/>
    <x v="1"/>
    <x v="4"/>
    <s v="Consumer Electronics"/>
    <s v="Digital Set-Top Box, Satellite"/>
    <s v="Semiconductor Revenue M$"/>
    <x v="4"/>
    <n v="0"/>
  </r>
  <r>
    <s v="Discrete AI"/>
    <x v="1"/>
    <x v="4"/>
    <s v="Consumer Electronics"/>
    <s v="Digital Set-Top Box, Satellite"/>
    <s v="Semiconductor Revenue M$"/>
    <x v="5"/>
    <n v="0"/>
  </r>
  <r>
    <s v="Discrete AI"/>
    <x v="1"/>
    <x v="4"/>
    <s v="Consumer Electronics"/>
    <s v="Digital Set-Top Box, Satellite"/>
    <s v="Semiconductor Revenue M$"/>
    <x v="6"/>
    <n v="0"/>
  </r>
  <r>
    <s v="Discrete AI"/>
    <x v="1"/>
    <x v="4"/>
    <s v="Consumer Electronics"/>
    <s v="Digital Set-Top Box, Terrestrial"/>
    <s v="Semiconductor Revenue M$"/>
    <x v="0"/>
    <n v="0"/>
  </r>
  <r>
    <s v="Discrete AI"/>
    <x v="1"/>
    <x v="4"/>
    <s v="Consumer Electronics"/>
    <s v="Digital Set-Top Box, Terrestrial"/>
    <s v="Semiconductor Revenue M$"/>
    <x v="1"/>
    <n v="0"/>
  </r>
  <r>
    <s v="Discrete AI"/>
    <x v="1"/>
    <x v="4"/>
    <s v="Consumer Electronics"/>
    <s v="Digital Set-Top Box, Terrestrial"/>
    <s v="Semiconductor Revenue M$"/>
    <x v="2"/>
    <n v="0"/>
  </r>
  <r>
    <s v="Discrete AI"/>
    <x v="1"/>
    <x v="4"/>
    <s v="Consumer Electronics"/>
    <s v="Digital Set-Top Box, Terrestrial"/>
    <s v="Semiconductor Revenue M$"/>
    <x v="3"/>
    <n v="0"/>
  </r>
  <r>
    <s v="Discrete AI"/>
    <x v="1"/>
    <x v="4"/>
    <s v="Consumer Electronics"/>
    <s v="Digital Set-Top Box, Terrestrial"/>
    <s v="Semiconductor Revenue M$"/>
    <x v="4"/>
    <n v="0"/>
  </r>
  <r>
    <s v="Discrete AI"/>
    <x v="1"/>
    <x v="4"/>
    <s v="Consumer Electronics"/>
    <s v="Digital Set-Top Box, Terrestrial"/>
    <s v="Semiconductor Revenue M$"/>
    <x v="5"/>
    <n v="0"/>
  </r>
  <r>
    <s v="Discrete AI"/>
    <x v="1"/>
    <x v="4"/>
    <s v="Consumer Electronics"/>
    <s v="Digital Set-Top Box, Terrestrial"/>
    <s v="Semiconductor Revenue M$"/>
    <x v="6"/>
    <n v="0"/>
  </r>
  <r>
    <s v="Discrete AI"/>
    <x v="1"/>
    <x v="4"/>
    <s v="Consumer Electronics"/>
    <s v="Digital Set-Top Box, IP/Other"/>
    <s v="Semiconductor Revenue M$"/>
    <x v="0"/>
    <n v="0"/>
  </r>
  <r>
    <s v="Discrete AI"/>
    <x v="1"/>
    <x v="4"/>
    <s v="Consumer Electronics"/>
    <s v="Digital Set-Top Box, IP/Other"/>
    <s v="Semiconductor Revenue M$"/>
    <x v="1"/>
    <n v="0"/>
  </r>
  <r>
    <s v="Discrete AI"/>
    <x v="1"/>
    <x v="4"/>
    <s v="Consumer Electronics"/>
    <s v="Digital Set-Top Box, IP/Other"/>
    <s v="Semiconductor Revenue M$"/>
    <x v="2"/>
    <n v="0"/>
  </r>
  <r>
    <s v="Discrete AI"/>
    <x v="1"/>
    <x v="4"/>
    <s v="Consumer Electronics"/>
    <s v="Digital Set-Top Box, IP/Other"/>
    <s v="Semiconductor Revenue M$"/>
    <x v="3"/>
    <n v="0"/>
  </r>
  <r>
    <s v="Discrete AI"/>
    <x v="1"/>
    <x v="4"/>
    <s v="Consumer Electronics"/>
    <s v="Digital Set-Top Box, IP/Other"/>
    <s v="Semiconductor Revenue M$"/>
    <x v="4"/>
    <n v="0"/>
  </r>
  <r>
    <s v="Discrete AI"/>
    <x v="1"/>
    <x v="4"/>
    <s v="Consumer Electronics"/>
    <s v="Digital Set-Top Box, IP/Other"/>
    <s v="Semiconductor Revenue M$"/>
    <x v="5"/>
    <n v="0"/>
  </r>
  <r>
    <s v="Discrete AI"/>
    <x v="1"/>
    <x v="4"/>
    <s v="Consumer Electronics"/>
    <s v="Digital Set-Top Box, IP/Other"/>
    <s v="Semiconductor Revenue M$"/>
    <x v="6"/>
    <n v="0"/>
  </r>
  <r>
    <s v="Discrete AI"/>
    <x v="1"/>
    <x v="4"/>
    <s v="Consumer Electronics"/>
    <s v="Digital Still Camera"/>
    <s v="Semiconductor Revenue M$"/>
    <x v="0"/>
    <n v="0"/>
  </r>
  <r>
    <s v="Discrete AI"/>
    <x v="1"/>
    <x v="4"/>
    <s v="Consumer Electronics"/>
    <s v="Digital Still Camera"/>
    <s v="Semiconductor Revenue M$"/>
    <x v="1"/>
    <n v="0"/>
  </r>
  <r>
    <s v="Discrete AI"/>
    <x v="1"/>
    <x v="4"/>
    <s v="Consumer Electronics"/>
    <s v="Digital Still Camera"/>
    <s v="Semiconductor Revenue M$"/>
    <x v="2"/>
    <n v="0"/>
  </r>
  <r>
    <s v="Discrete AI"/>
    <x v="1"/>
    <x v="4"/>
    <s v="Consumer Electronics"/>
    <s v="Digital Still Camera"/>
    <s v="Semiconductor Revenue M$"/>
    <x v="3"/>
    <n v="0"/>
  </r>
  <r>
    <s v="Discrete AI"/>
    <x v="1"/>
    <x v="4"/>
    <s v="Consumer Electronics"/>
    <s v="Digital Still Camera"/>
    <s v="Semiconductor Revenue M$"/>
    <x v="4"/>
    <n v="0"/>
  </r>
  <r>
    <s v="Discrete AI"/>
    <x v="1"/>
    <x v="4"/>
    <s v="Consumer Electronics"/>
    <s v="Digital Still Camera"/>
    <s v="Semiconductor Revenue M$"/>
    <x v="5"/>
    <n v="0"/>
  </r>
  <r>
    <s v="Discrete AI"/>
    <x v="1"/>
    <x v="4"/>
    <s v="Consumer Electronics"/>
    <s v="Digital Still Camera"/>
    <s v="Semiconductor Revenue M$"/>
    <x v="6"/>
    <n v="0"/>
  </r>
  <r>
    <s v="Discrete AI"/>
    <x v="1"/>
    <x v="5"/>
    <s v="Industrial Electronics"/>
    <s v="Agriculture"/>
    <s v="Semiconductor Revenue M$"/>
    <x v="0"/>
    <n v="0"/>
  </r>
  <r>
    <s v="Discrete AI"/>
    <x v="1"/>
    <x v="5"/>
    <s v="Industrial Electronics"/>
    <s v="Agriculture"/>
    <s v="Semiconductor Revenue M$"/>
    <x v="1"/>
    <n v="0"/>
  </r>
  <r>
    <s v="Discrete AI"/>
    <x v="1"/>
    <x v="5"/>
    <s v="Industrial Electronics"/>
    <s v="Agriculture"/>
    <s v="Semiconductor Revenue M$"/>
    <x v="2"/>
    <n v="0"/>
  </r>
  <r>
    <s v="Discrete AI"/>
    <x v="1"/>
    <x v="5"/>
    <s v="Industrial Electronics"/>
    <s v="Agriculture"/>
    <s v="Semiconductor Revenue M$"/>
    <x v="3"/>
    <n v="0"/>
  </r>
  <r>
    <s v="Discrete AI"/>
    <x v="1"/>
    <x v="5"/>
    <s v="Industrial Electronics"/>
    <s v="Agriculture"/>
    <s v="Semiconductor Revenue M$"/>
    <x v="4"/>
    <n v="0"/>
  </r>
  <r>
    <s v="Discrete AI"/>
    <x v="1"/>
    <x v="5"/>
    <s v="Industrial Electronics"/>
    <s v="Agriculture"/>
    <s v="Semiconductor Revenue M$"/>
    <x v="5"/>
    <n v="0"/>
  </r>
  <r>
    <s v="Discrete AI"/>
    <x v="1"/>
    <x v="5"/>
    <s v="Industrial Electronics"/>
    <s v="Agriculture"/>
    <s v="Semiconductor Revenue M$"/>
    <x v="6"/>
    <n v="0"/>
  </r>
  <r>
    <s v="Discrete AI"/>
    <x v="1"/>
    <x v="3"/>
    <s v="Automotive Electronics"/>
    <s v="Automotive HPC"/>
    <s v="Semiconductor Revenue M$"/>
    <x v="0"/>
    <n v="0"/>
  </r>
  <r>
    <s v="Discrete AI"/>
    <x v="1"/>
    <x v="3"/>
    <s v="Automotive Electronics"/>
    <s v="Automotive HPC"/>
    <s v="Semiconductor Revenue M$"/>
    <x v="1"/>
    <n v="0"/>
  </r>
  <r>
    <s v="Discrete AI"/>
    <x v="1"/>
    <x v="3"/>
    <s v="Automotive Electronics"/>
    <s v="Automotive HPC"/>
    <s v="Semiconductor Revenue M$"/>
    <x v="2"/>
    <n v="0"/>
  </r>
  <r>
    <s v="Discrete AI"/>
    <x v="1"/>
    <x v="3"/>
    <s v="Automotive Electronics"/>
    <s v="Automotive HPC"/>
    <s v="Semiconductor Revenue M$"/>
    <x v="3"/>
    <n v="0"/>
  </r>
  <r>
    <s v="Discrete AI"/>
    <x v="1"/>
    <x v="3"/>
    <s v="Automotive Electronics"/>
    <s v="Automotive HPC"/>
    <s v="Semiconductor Revenue M$"/>
    <x v="4"/>
    <n v="0"/>
  </r>
  <r>
    <s v="Discrete AI"/>
    <x v="1"/>
    <x v="3"/>
    <s v="Automotive Electronics"/>
    <s v="Automotive HPC"/>
    <s v="Semiconductor Revenue M$"/>
    <x v="5"/>
    <n v="0"/>
  </r>
  <r>
    <s v="Discrete AI"/>
    <x v="1"/>
    <x v="3"/>
    <s v="Automotive Electronics"/>
    <s v="Automotive HPC"/>
    <s v="Semiconductor Revenue M$"/>
    <x v="6"/>
    <n v="0"/>
  </r>
  <r>
    <s v="Discrete AI"/>
    <x v="1"/>
    <x v="5"/>
    <s v="Industrial Electronics"/>
    <s v="Surveillance"/>
    <s v="Semiconductor Revenue M$"/>
    <x v="0"/>
    <n v="0"/>
  </r>
  <r>
    <s v="Discrete AI"/>
    <x v="1"/>
    <x v="5"/>
    <s v="Industrial Electronics"/>
    <s v="Surveillance"/>
    <s v="Semiconductor Revenue M$"/>
    <x v="1"/>
    <n v="0"/>
  </r>
  <r>
    <s v="Discrete AI"/>
    <x v="1"/>
    <x v="5"/>
    <s v="Industrial Electronics"/>
    <s v="Surveillance"/>
    <s v="Semiconductor Revenue M$"/>
    <x v="2"/>
    <n v="0"/>
  </r>
  <r>
    <s v="Discrete AI"/>
    <x v="1"/>
    <x v="5"/>
    <s v="Industrial Electronics"/>
    <s v="Surveillance"/>
    <s v="Semiconductor Revenue M$"/>
    <x v="3"/>
    <n v="0"/>
  </r>
  <r>
    <s v="Discrete AI"/>
    <x v="1"/>
    <x v="5"/>
    <s v="Industrial Electronics"/>
    <s v="Surveillance"/>
    <s v="Semiconductor Revenue M$"/>
    <x v="4"/>
    <n v="0"/>
  </r>
  <r>
    <s v="Discrete AI"/>
    <x v="1"/>
    <x v="5"/>
    <s v="Industrial Electronics"/>
    <s v="Surveillance"/>
    <s v="Semiconductor Revenue M$"/>
    <x v="5"/>
    <n v="0"/>
  </r>
  <r>
    <s v="Discrete AI"/>
    <x v="1"/>
    <x v="5"/>
    <s v="Industrial Electronics"/>
    <s v="Surveillance"/>
    <s v="Semiconductor Revenue M$"/>
    <x v="6"/>
    <n v="0"/>
  </r>
  <r>
    <s v="Discrete AI"/>
    <x v="1"/>
    <x v="4"/>
    <s v="Consumer Electronics"/>
    <s v="Portable Media Players"/>
    <s v="Semiconductor Revenue M$"/>
    <x v="0"/>
    <n v="0"/>
  </r>
  <r>
    <s v="Discrete AI"/>
    <x v="1"/>
    <x v="4"/>
    <s v="Consumer Electronics"/>
    <s v="Portable Media Players"/>
    <s v="Semiconductor Revenue M$"/>
    <x v="1"/>
    <n v="0"/>
  </r>
  <r>
    <s v="Discrete AI"/>
    <x v="1"/>
    <x v="4"/>
    <s v="Consumer Electronics"/>
    <s v="Portable Media Players"/>
    <s v="Semiconductor Revenue M$"/>
    <x v="2"/>
    <n v="0"/>
  </r>
  <r>
    <s v="Discrete AI"/>
    <x v="1"/>
    <x v="4"/>
    <s v="Consumer Electronics"/>
    <s v="Portable Media Players"/>
    <s v="Semiconductor Revenue M$"/>
    <x v="3"/>
    <n v="0"/>
  </r>
  <r>
    <s v="Discrete AI"/>
    <x v="1"/>
    <x v="4"/>
    <s v="Consumer Electronics"/>
    <s v="Portable Media Players"/>
    <s v="Semiconductor Revenue M$"/>
    <x v="4"/>
    <n v="0"/>
  </r>
  <r>
    <s v="Discrete AI"/>
    <x v="1"/>
    <x v="4"/>
    <s v="Consumer Electronics"/>
    <s v="Portable Media Players"/>
    <s v="Semiconductor Revenue M$"/>
    <x v="5"/>
    <n v="0"/>
  </r>
  <r>
    <s v="Discrete AI"/>
    <x v="1"/>
    <x v="4"/>
    <s v="Consumer Electronics"/>
    <s v="Portable Media Players"/>
    <s v="Semiconductor Revenue M$"/>
    <x v="6"/>
    <n v="0"/>
  </r>
  <r>
    <s v="Discrete AI"/>
    <x v="1"/>
    <x v="4"/>
    <s v="Consumer Electronics"/>
    <s v="Smart Speakers"/>
    <s v="Semiconductor Revenue M$"/>
    <x v="0"/>
    <n v="0"/>
  </r>
  <r>
    <s v="Discrete AI"/>
    <x v="1"/>
    <x v="4"/>
    <s v="Consumer Electronics"/>
    <s v="Smart Speakers"/>
    <s v="Semiconductor Revenue M$"/>
    <x v="1"/>
    <n v="0"/>
  </r>
  <r>
    <s v="Discrete AI"/>
    <x v="1"/>
    <x v="4"/>
    <s v="Consumer Electronics"/>
    <s v="Smart Speakers"/>
    <s v="Semiconductor Revenue M$"/>
    <x v="2"/>
    <n v="0"/>
  </r>
  <r>
    <s v="Discrete AI"/>
    <x v="1"/>
    <x v="4"/>
    <s v="Consumer Electronics"/>
    <s v="Smart Speakers"/>
    <s v="Semiconductor Revenue M$"/>
    <x v="3"/>
    <n v="0"/>
  </r>
  <r>
    <s v="Discrete AI"/>
    <x v="1"/>
    <x v="4"/>
    <s v="Consumer Electronics"/>
    <s v="Smart Speakers"/>
    <s v="Semiconductor Revenue M$"/>
    <x v="4"/>
    <n v="0"/>
  </r>
  <r>
    <s v="Discrete AI"/>
    <x v="1"/>
    <x v="4"/>
    <s v="Consumer Electronics"/>
    <s v="Smart Speakers"/>
    <s v="Semiconductor Revenue M$"/>
    <x v="5"/>
    <n v="0"/>
  </r>
  <r>
    <s v="Discrete AI"/>
    <x v="1"/>
    <x v="4"/>
    <s v="Consumer Electronics"/>
    <s v="Smart Speakers"/>
    <s v="Semiconductor Revenue M$"/>
    <x v="6"/>
    <n v="0"/>
  </r>
  <r>
    <s v="Discrete AI"/>
    <x v="1"/>
    <x v="4"/>
    <s v="Consumer Electronics"/>
    <s v="TV, Standard"/>
    <s v="Semiconductor Revenue M$"/>
    <x v="0"/>
    <n v="0"/>
  </r>
  <r>
    <s v="Discrete AI"/>
    <x v="1"/>
    <x v="4"/>
    <s v="Consumer Electronics"/>
    <s v="TV, Standard"/>
    <s v="Semiconductor Revenue M$"/>
    <x v="1"/>
    <n v="0"/>
  </r>
  <r>
    <s v="Discrete AI"/>
    <x v="1"/>
    <x v="4"/>
    <s v="Consumer Electronics"/>
    <s v="TV, Standard"/>
    <s v="Semiconductor Revenue M$"/>
    <x v="2"/>
    <n v="0"/>
  </r>
  <r>
    <s v="Discrete AI"/>
    <x v="1"/>
    <x v="4"/>
    <s v="Consumer Electronics"/>
    <s v="TV, Standard"/>
    <s v="Semiconductor Revenue M$"/>
    <x v="3"/>
    <n v="0"/>
  </r>
  <r>
    <s v="Discrete AI"/>
    <x v="1"/>
    <x v="4"/>
    <s v="Consumer Electronics"/>
    <s v="TV, Standard"/>
    <s v="Semiconductor Revenue M$"/>
    <x v="4"/>
    <n v="0"/>
  </r>
  <r>
    <s v="Discrete AI"/>
    <x v="1"/>
    <x v="4"/>
    <s v="Consumer Electronics"/>
    <s v="TV, Standard"/>
    <s v="Semiconductor Revenue M$"/>
    <x v="5"/>
    <n v="0"/>
  </r>
  <r>
    <s v="Discrete AI"/>
    <x v="1"/>
    <x v="4"/>
    <s v="Consumer Electronics"/>
    <s v="TV, Standard"/>
    <s v="Semiconductor Revenue M$"/>
    <x v="6"/>
    <n v="0"/>
  </r>
  <r>
    <s v="Discrete AI"/>
    <x v="1"/>
    <x v="4"/>
    <s v="Consumer Electronics"/>
    <s v="TV, Smart"/>
    <s v="Semiconductor Revenue M$"/>
    <x v="0"/>
    <n v="0"/>
  </r>
  <r>
    <s v="Discrete AI"/>
    <x v="1"/>
    <x v="4"/>
    <s v="Consumer Electronics"/>
    <s v="TV, Smart"/>
    <s v="Semiconductor Revenue M$"/>
    <x v="1"/>
    <n v="0"/>
  </r>
  <r>
    <s v="Discrete AI"/>
    <x v="1"/>
    <x v="4"/>
    <s v="Consumer Electronics"/>
    <s v="TV, Smart"/>
    <s v="Semiconductor Revenue M$"/>
    <x v="2"/>
    <n v="0"/>
  </r>
  <r>
    <s v="Discrete AI"/>
    <x v="1"/>
    <x v="4"/>
    <s v="Consumer Electronics"/>
    <s v="TV, Smart"/>
    <s v="Semiconductor Revenue M$"/>
    <x v="3"/>
    <n v="0"/>
  </r>
  <r>
    <s v="Discrete AI"/>
    <x v="1"/>
    <x v="4"/>
    <s v="Consumer Electronics"/>
    <s v="TV, Smart"/>
    <s v="Semiconductor Revenue M$"/>
    <x v="4"/>
    <n v="0"/>
  </r>
  <r>
    <s v="Discrete AI"/>
    <x v="1"/>
    <x v="4"/>
    <s v="Consumer Electronics"/>
    <s v="TV, Smart"/>
    <s v="Semiconductor Revenue M$"/>
    <x v="5"/>
    <n v="0"/>
  </r>
  <r>
    <s v="Discrete AI"/>
    <x v="1"/>
    <x v="4"/>
    <s v="Consumer Electronics"/>
    <s v="TV, Smart"/>
    <s v="Semiconductor Revenue M$"/>
    <x v="6"/>
    <n v="0"/>
  </r>
  <r>
    <s v="Discrete AI"/>
    <x v="1"/>
    <x v="4"/>
    <s v="Consumer Electronics"/>
    <s v="Video Game Consoles"/>
    <s v="Semiconductor Revenue M$"/>
    <x v="0"/>
    <n v="0"/>
  </r>
  <r>
    <s v="Discrete AI"/>
    <x v="1"/>
    <x v="4"/>
    <s v="Consumer Electronics"/>
    <s v="Video Game Consoles"/>
    <s v="Semiconductor Revenue M$"/>
    <x v="1"/>
    <n v="0"/>
  </r>
  <r>
    <s v="Discrete AI"/>
    <x v="1"/>
    <x v="4"/>
    <s v="Consumer Electronics"/>
    <s v="Video Game Consoles"/>
    <s v="Semiconductor Revenue M$"/>
    <x v="2"/>
    <n v="0"/>
  </r>
  <r>
    <s v="Discrete AI"/>
    <x v="1"/>
    <x v="4"/>
    <s v="Consumer Electronics"/>
    <s v="Video Game Consoles"/>
    <s v="Semiconductor Revenue M$"/>
    <x v="3"/>
    <n v="0"/>
  </r>
  <r>
    <s v="Discrete AI"/>
    <x v="1"/>
    <x v="4"/>
    <s v="Consumer Electronics"/>
    <s v="Video Game Consoles"/>
    <s v="Semiconductor Revenue M$"/>
    <x v="4"/>
    <n v="0"/>
  </r>
  <r>
    <s v="Discrete AI"/>
    <x v="1"/>
    <x v="4"/>
    <s v="Consumer Electronics"/>
    <s v="Video Game Consoles"/>
    <s v="Semiconductor Revenue M$"/>
    <x v="5"/>
    <n v="0"/>
  </r>
  <r>
    <s v="Discrete AI"/>
    <x v="1"/>
    <x v="4"/>
    <s v="Consumer Electronics"/>
    <s v="Video Game Consoles"/>
    <s v="Semiconductor Revenue M$"/>
    <x v="6"/>
    <n v="0"/>
  </r>
  <r>
    <s v="Discrete AI"/>
    <x v="1"/>
    <x v="4"/>
    <s v="Consumer Electronics"/>
    <s v="Video Game Handhelds"/>
    <s v="Semiconductor Revenue M$"/>
    <x v="0"/>
    <n v="0"/>
  </r>
  <r>
    <s v="Discrete AI"/>
    <x v="1"/>
    <x v="4"/>
    <s v="Consumer Electronics"/>
    <s v="Video Game Handhelds"/>
    <s v="Semiconductor Revenue M$"/>
    <x v="1"/>
    <n v="0"/>
  </r>
  <r>
    <s v="Discrete AI"/>
    <x v="1"/>
    <x v="4"/>
    <s v="Consumer Electronics"/>
    <s v="Video Game Handhelds"/>
    <s v="Semiconductor Revenue M$"/>
    <x v="2"/>
    <n v="0"/>
  </r>
  <r>
    <s v="Discrete AI"/>
    <x v="1"/>
    <x v="4"/>
    <s v="Consumer Electronics"/>
    <s v="Video Game Handhelds"/>
    <s v="Semiconductor Revenue M$"/>
    <x v="3"/>
    <n v="0"/>
  </r>
  <r>
    <s v="Discrete AI"/>
    <x v="1"/>
    <x v="4"/>
    <s v="Consumer Electronics"/>
    <s v="Video Game Handhelds"/>
    <s v="Semiconductor Revenue M$"/>
    <x v="4"/>
    <n v="0"/>
  </r>
  <r>
    <s v="Discrete AI"/>
    <x v="1"/>
    <x v="4"/>
    <s v="Consumer Electronics"/>
    <s v="Video Game Handhelds"/>
    <s v="Semiconductor Revenue M$"/>
    <x v="5"/>
    <n v="0"/>
  </r>
  <r>
    <s v="Discrete AI"/>
    <x v="1"/>
    <x v="4"/>
    <s v="Consumer Electronics"/>
    <s v="Video Game Handhelds"/>
    <s v="Semiconductor Revenue M$"/>
    <x v="6"/>
    <n v="0"/>
  </r>
  <r>
    <s v="Discrete AI"/>
    <x v="1"/>
    <x v="4"/>
    <s v="Consumer Electronics"/>
    <s v="Wristbands"/>
    <s v="Semiconductor Revenue M$"/>
    <x v="0"/>
    <n v="0"/>
  </r>
  <r>
    <s v="Discrete AI"/>
    <x v="1"/>
    <x v="4"/>
    <s v="Consumer Electronics"/>
    <s v="Wristbands"/>
    <s v="Semiconductor Revenue M$"/>
    <x v="1"/>
    <n v="0"/>
  </r>
  <r>
    <s v="Discrete AI"/>
    <x v="1"/>
    <x v="4"/>
    <s v="Consumer Electronics"/>
    <s v="Wristbands"/>
    <s v="Semiconductor Revenue M$"/>
    <x v="2"/>
    <n v="0"/>
  </r>
  <r>
    <s v="Discrete AI"/>
    <x v="1"/>
    <x v="4"/>
    <s v="Consumer Electronics"/>
    <s v="Wristbands"/>
    <s v="Semiconductor Revenue M$"/>
    <x v="3"/>
    <n v="0"/>
  </r>
  <r>
    <s v="Discrete AI"/>
    <x v="1"/>
    <x v="4"/>
    <s v="Consumer Electronics"/>
    <s v="Wristbands"/>
    <s v="Semiconductor Revenue M$"/>
    <x v="4"/>
    <n v="0"/>
  </r>
  <r>
    <s v="Discrete AI"/>
    <x v="1"/>
    <x v="4"/>
    <s v="Consumer Electronics"/>
    <s v="Wristbands"/>
    <s v="Semiconductor Revenue M$"/>
    <x v="5"/>
    <n v="0"/>
  </r>
  <r>
    <s v="Discrete AI"/>
    <x v="1"/>
    <x v="4"/>
    <s v="Consumer Electronics"/>
    <s v="Wristbands"/>
    <s v="Semiconductor Revenue M$"/>
    <x v="6"/>
    <n v="0"/>
  </r>
  <r>
    <s v="Discrete AI"/>
    <x v="1"/>
    <x v="4"/>
    <s v="Consumer Electronics"/>
    <s v="Head Mounted Display"/>
    <s v="Semiconductor Revenue M$"/>
    <x v="0"/>
    <n v="0"/>
  </r>
  <r>
    <s v="Discrete AI"/>
    <x v="1"/>
    <x v="4"/>
    <s v="Consumer Electronics"/>
    <s v="Head Mounted Display"/>
    <s v="Semiconductor Revenue M$"/>
    <x v="1"/>
    <n v="0"/>
  </r>
  <r>
    <s v="Discrete AI"/>
    <x v="1"/>
    <x v="4"/>
    <s v="Consumer Electronics"/>
    <s v="Head Mounted Display"/>
    <s v="Semiconductor Revenue M$"/>
    <x v="2"/>
    <n v="0"/>
  </r>
  <r>
    <s v="Discrete AI"/>
    <x v="1"/>
    <x v="4"/>
    <s v="Consumer Electronics"/>
    <s v="Head Mounted Display"/>
    <s v="Semiconductor Revenue M$"/>
    <x v="3"/>
    <n v="0"/>
  </r>
  <r>
    <s v="Discrete AI"/>
    <x v="1"/>
    <x v="4"/>
    <s v="Consumer Electronics"/>
    <s v="Head Mounted Display"/>
    <s v="Semiconductor Revenue M$"/>
    <x v="4"/>
    <n v="0"/>
  </r>
  <r>
    <s v="Discrete AI"/>
    <x v="1"/>
    <x v="4"/>
    <s v="Consumer Electronics"/>
    <s v="Head Mounted Display"/>
    <s v="Semiconductor Revenue M$"/>
    <x v="5"/>
    <n v="0"/>
  </r>
  <r>
    <s v="Discrete AI"/>
    <x v="1"/>
    <x v="4"/>
    <s v="Consumer Electronics"/>
    <s v="Head Mounted Display"/>
    <s v="Semiconductor Revenue M$"/>
    <x v="6"/>
    <n v="0"/>
  </r>
  <r>
    <s v="Discrete AI"/>
    <x v="1"/>
    <x v="4"/>
    <s v="Consumer Electronics"/>
    <s v="Smart Watches"/>
    <s v="Semiconductor Revenue M$"/>
    <x v="0"/>
    <n v="0"/>
  </r>
  <r>
    <s v="Discrete AI"/>
    <x v="1"/>
    <x v="4"/>
    <s v="Consumer Electronics"/>
    <s v="Smart Watches"/>
    <s v="Semiconductor Revenue M$"/>
    <x v="1"/>
    <n v="0"/>
  </r>
  <r>
    <s v="Discrete AI"/>
    <x v="1"/>
    <x v="4"/>
    <s v="Consumer Electronics"/>
    <s v="Smart Watches"/>
    <s v="Semiconductor Revenue M$"/>
    <x v="2"/>
    <n v="0"/>
  </r>
  <r>
    <s v="Discrete AI"/>
    <x v="1"/>
    <x v="4"/>
    <s v="Consumer Electronics"/>
    <s v="Smart Watches"/>
    <s v="Semiconductor Revenue M$"/>
    <x v="3"/>
    <n v="0"/>
  </r>
  <r>
    <s v="Discrete AI"/>
    <x v="1"/>
    <x v="4"/>
    <s v="Consumer Electronics"/>
    <s v="Smart Watches"/>
    <s v="Semiconductor Revenue M$"/>
    <x v="4"/>
    <n v="0"/>
  </r>
  <r>
    <s v="Discrete AI"/>
    <x v="1"/>
    <x v="4"/>
    <s v="Consumer Electronics"/>
    <s v="Smart Watches"/>
    <s v="Semiconductor Revenue M$"/>
    <x v="5"/>
    <n v="0"/>
  </r>
  <r>
    <s v="Discrete AI"/>
    <x v="1"/>
    <x v="4"/>
    <s v="Consumer Electronics"/>
    <s v="Smart Watches"/>
    <s v="Semiconductor Revenue M$"/>
    <x v="6"/>
    <n v="0"/>
  </r>
  <r>
    <s v="Discrete AI"/>
    <x v="1"/>
    <x v="4"/>
    <s v="Consumer Electronics"/>
    <s v="Sports Watches"/>
    <s v="Semiconductor Revenue M$"/>
    <x v="0"/>
    <n v="0"/>
  </r>
  <r>
    <s v="Discrete AI"/>
    <x v="1"/>
    <x v="4"/>
    <s v="Consumer Electronics"/>
    <s v="Sports Watches"/>
    <s v="Semiconductor Revenue M$"/>
    <x v="1"/>
    <n v="0"/>
  </r>
  <r>
    <s v="Discrete AI"/>
    <x v="1"/>
    <x v="4"/>
    <s v="Consumer Electronics"/>
    <s v="Sports Watches"/>
    <s v="Semiconductor Revenue M$"/>
    <x v="2"/>
    <n v="0"/>
  </r>
  <r>
    <s v="Discrete AI"/>
    <x v="1"/>
    <x v="4"/>
    <s v="Consumer Electronics"/>
    <s v="Sports Watches"/>
    <s v="Semiconductor Revenue M$"/>
    <x v="3"/>
    <n v="0"/>
  </r>
  <r>
    <s v="Discrete AI"/>
    <x v="1"/>
    <x v="4"/>
    <s v="Consumer Electronics"/>
    <s v="Sports Watches"/>
    <s v="Semiconductor Revenue M$"/>
    <x v="4"/>
    <n v="0"/>
  </r>
  <r>
    <s v="Discrete AI"/>
    <x v="1"/>
    <x v="4"/>
    <s v="Consumer Electronics"/>
    <s v="Sports Watches"/>
    <s v="Semiconductor Revenue M$"/>
    <x v="5"/>
    <n v="0"/>
  </r>
  <r>
    <s v="Discrete AI"/>
    <x v="1"/>
    <x v="4"/>
    <s v="Consumer Electronics"/>
    <s v="Sports Watches"/>
    <s v="Semiconductor Revenue M$"/>
    <x v="6"/>
    <n v="0"/>
  </r>
  <r>
    <s v="Discrete AI"/>
    <x v="1"/>
    <x v="4"/>
    <s v="Consumer Electronics"/>
    <s v="Other Consumer Electronics"/>
    <s v="Semiconductor Revenue M$"/>
    <x v="0"/>
    <n v="0"/>
  </r>
  <r>
    <s v="Discrete AI"/>
    <x v="1"/>
    <x v="4"/>
    <s v="Consumer Electronics"/>
    <s v="Other Consumer Electronics"/>
    <s v="Semiconductor Revenue M$"/>
    <x v="1"/>
    <n v="0"/>
  </r>
  <r>
    <s v="Discrete AI"/>
    <x v="1"/>
    <x v="4"/>
    <s v="Consumer Electronics"/>
    <s v="Other Consumer Electronics"/>
    <s v="Semiconductor Revenue M$"/>
    <x v="2"/>
    <n v="0"/>
  </r>
  <r>
    <s v="Discrete AI"/>
    <x v="1"/>
    <x v="4"/>
    <s v="Consumer Electronics"/>
    <s v="Other Consumer Electronics"/>
    <s v="Semiconductor Revenue M$"/>
    <x v="3"/>
    <n v="0"/>
  </r>
  <r>
    <s v="Discrete AI"/>
    <x v="1"/>
    <x v="4"/>
    <s v="Consumer Electronics"/>
    <s v="Other Consumer Electronics"/>
    <s v="Semiconductor Revenue M$"/>
    <x v="4"/>
    <n v="0"/>
  </r>
  <r>
    <s v="Discrete AI"/>
    <x v="1"/>
    <x v="4"/>
    <s v="Consumer Electronics"/>
    <s v="Other Consumer Electronics"/>
    <s v="Semiconductor Revenue M$"/>
    <x v="5"/>
    <n v="0"/>
  </r>
  <r>
    <s v="Discrete AI"/>
    <x v="1"/>
    <x v="4"/>
    <s v="Consumer Electronics"/>
    <s v="Other Consumer Electronics"/>
    <s v="Semiconductor Revenue M$"/>
    <x v="6"/>
    <n v="0"/>
  </r>
  <r>
    <s v="Discrete AI"/>
    <x v="1"/>
    <x v="3"/>
    <s v="Automotive Electronics"/>
    <s v="ADAS-Sensors and Connectivity"/>
    <s v="Semiconductor Revenue M$"/>
    <x v="0"/>
    <n v="0"/>
  </r>
  <r>
    <s v="Discrete AI"/>
    <x v="1"/>
    <x v="3"/>
    <s v="Automotive Electronics"/>
    <s v="ADAS-Sensors and Connectivity"/>
    <s v="Semiconductor Revenue M$"/>
    <x v="1"/>
    <n v="0"/>
  </r>
  <r>
    <s v="Discrete AI"/>
    <x v="1"/>
    <x v="3"/>
    <s v="Automotive Electronics"/>
    <s v="ADAS-Sensors and Connectivity"/>
    <s v="Semiconductor Revenue M$"/>
    <x v="2"/>
    <n v="0"/>
  </r>
  <r>
    <s v="Discrete AI"/>
    <x v="1"/>
    <x v="3"/>
    <s v="Automotive Electronics"/>
    <s v="ADAS-Sensors and Connectivity"/>
    <s v="Semiconductor Revenue M$"/>
    <x v="3"/>
    <n v="0"/>
  </r>
  <r>
    <s v="Discrete AI"/>
    <x v="1"/>
    <x v="3"/>
    <s v="Automotive Electronics"/>
    <s v="ADAS-Sensors and Connectivity"/>
    <s v="Semiconductor Revenue M$"/>
    <x v="4"/>
    <n v="0"/>
  </r>
  <r>
    <s v="Discrete AI"/>
    <x v="1"/>
    <x v="3"/>
    <s v="Automotive Electronics"/>
    <s v="ADAS-Sensors and Connectivity"/>
    <s v="Semiconductor Revenue M$"/>
    <x v="5"/>
    <n v="0"/>
  </r>
  <r>
    <s v="Discrete AI"/>
    <x v="1"/>
    <x v="3"/>
    <s v="Automotive Electronics"/>
    <s v="ADAS-Sensors and Connectivity"/>
    <s v="Semiconductor Revenue M$"/>
    <x v="6"/>
    <n v="0"/>
  </r>
  <r>
    <s v="Discrete AI"/>
    <x v="1"/>
    <x v="3"/>
    <s v="Automotive Electronics"/>
    <s v="Body"/>
    <s v="Semiconductor Revenue M$"/>
    <x v="0"/>
    <n v="0"/>
  </r>
  <r>
    <s v="Discrete AI"/>
    <x v="1"/>
    <x v="3"/>
    <s v="Automotive Electronics"/>
    <s v="Body"/>
    <s v="Semiconductor Revenue M$"/>
    <x v="1"/>
    <n v="0"/>
  </r>
  <r>
    <s v="Discrete AI"/>
    <x v="1"/>
    <x v="3"/>
    <s v="Automotive Electronics"/>
    <s v="Body"/>
    <s v="Semiconductor Revenue M$"/>
    <x v="2"/>
    <n v="0"/>
  </r>
  <r>
    <s v="Discrete AI"/>
    <x v="1"/>
    <x v="3"/>
    <s v="Automotive Electronics"/>
    <s v="Body"/>
    <s v="Semiconductor Revenue M$"/>
    <x v="3"/>
    <n v="0"/>
  </r>
  <r>
    <s v="Discrete AI"/>
    <x v="1"/>
    <x v="3"/>
    <s v="Automotive Electronics"/>
    <s v="Body"/>
    <s v="Semiconductor Revenue M$"/>
    <x v="4"/>
    <n v="0"/>
  </r>
  <r>
    <s v="Discrete AI"/>
    <x v="1"/>
    <x v="3"/>
    <s v="Automotive Electronics"/>
    <s v="Body"/>
    <s v="Semiconductor Revenue M$"/>
    <x v="5"/>
    <n v="0"/>
  </r>
  <r>
    <s v="Discrete AI"/>
    <x v="1"/>
    <x v="3"/>
    <s v="Automotive Electronics"/>
    <s v="Body"/>
    <s v="Semiconductor Revenue M$"/>
    <x v="6"/>
    <n v="0"/>
  </r>
  <r>
    <s v="Discrete AI"/>
    <x v="1"/>
    <x v="3"/>
    <s v="Automotive Electronics"/>
    <s v="Chassis"/>
    <s v="Semiconductor Revenue M$"/>
    <x v="0"/>
    <n v="0"/>
  </r>
  <r>
    <s v="Discrete AI"/>
    <x v="1"/>
    <x v="3"/>
    <s v="Automotive Electronics"/>
    <s v="Chassis"/>
    <s v="Semiconductor Revenue M$"/>
    <x v="1"/>
    <n v="0"/>
  </r>
  <r>
    <s v="Discrete AI"/>
    <x v="1"/>
    <x v="3"/>
    <s v="Automotive Electronics"/>
    <s v="Chassis"/>
    <s v="Semiconductor Revenue M$"/>
    <x v="2"/>
    <n v="0"/>
  </r>
  <r>
    <s v="Discrete AI"/>
    <x v="1"/>
    <x v="3"/>
    <s v="Automotive Electronics"/>
    <s v="Chassis"/>
    <s v="Semiconductor Revenue M$"/>
    <x v="3"/>
    <n v="0"/>
  </r>
  <r>
    <s v="Discrete AI"/>
    <x v="1"/>
    <x v="3"/>
    <s v="Automotive Electronics"/>
    <s v="Chassis"/>
    <s v="Semiconductor Revenue M$"/>
    <x v="4"/>
    <n v="0"/>
  </r>
  <r>
    <s v="Discrete AI"/>
    <x v="1"/>
    <x v="3"/>
    <s v="Automotive Electronics"/>
    <s v="Chassis"/>
    <s v="Semiconductor Revenue M$"/>
    <x v="5"/>
    <n v="0"/>
  </r>
  <r>
    <s v="Discrete AI"/>
    <x v="1"/>
    <x v="3"/>
    <s v="Automotive Electronics"/>
    <s v="Chassis"/>
    <s v="Semiconductor Revenue M$"/>
    <x v="6"/>
    <n v="0"/>
  </r>
  <r>
    <s v="Discrete AI"/>
    <x v="1"/>
    <x v="3"/>
    <s v="Automotive Electronics"/>
    <s v="EV/HEV"/>
    <s v="Semiconductor Revenue M$"/>
    <x v="0"/>
    <n v="0"/>
  </r>
  <r>
    <s v="Discrete AI"/>
    <x v="1"/>
    <x v="3"/>
    <s v="Automotive Electronics"/>
    <s v="EV/HEV"/>
    <s v="Semiconductor Revenue M$"/>
    <x v="1"/>
    <n v="0"/>
  </r>
  <r>
    <s v="Discrete AI"/>
    <x v="1"/>
    <x v="3"/>
    <s v="Automotive Electronics"/>
    <s v="EV/HEV"/>
    <s v="Semiconductor Revenue M$"/>
    <x v="2"/>
    <n v="0"/>
  </r>
  <r>
    <s v="Discrete AI"/>
    <x v="1"/>
    <x v="3"/>
    <s v="Automotive Electronics"/>
    <s v="EV/HEV"/>
    <s v="Semiconductor Revenue M$"/>
    <x v="3"/>
    <n v="0"/>
  </r>
  <r>
    <s v="Discrete AI"/>
    <x v="1"/>
    <x v="3"/>
    <s v="Automotive Electronics"/>
    <s v="EV/HEV"/>
    <s v="Semiconductor Revenue M$"/>
    <x v="4"/>
    <n v="0"/>
  </r>
  <r>
    <s v="Discrete AI"/>
    <x v="1"/>
    <x v="3"/>
    <s v="Automotive Electronics"/>
    <s v="EV/HEV"/>
    <s v="Semiconductor Revenue M$"/>
    <x v="5"/>
    <n v="0"/>
  </r>
  <r>
    <s v="Discrete AI"/>
    <x v="1"/>
    <x v="3"/>
    <s v="Automotive Electronics"/>
    <s v="EV/HEV"/>
    <s v="Semiconductor Revenue M$"/>
    <x v="6"/>
    <n v="0"/>
  </r>
  <r>
    <s v="Discrete AI"/>
    <x v="1"/>
    <x v="3"/>
    <s v="Automotive Electronics"/>
    <s v="Infotainment"/>
    <s v="Semiconductor Revenue M$"/>
    <x v="0"/>
    <n v="0"/>
  </r>
  <r>
    <s v="Discrete AI"/>
    <x v="1"/>
    <x v="3"/>
    <s v="Automotive Electronics"/>
    <s v="Infotainment"/>
    <s v="Semiconductor Revenue M$"/>
    <x v="1"/>
    <n v="0"/>
  </r>
  <r>
    <s v="Discrete AI"/>
    <x v="1"/>
    <x v="3"/>
    <s v="Automotive Electronics"/>
    <s v="Infotainment"/>
    <s v="Semiconductor Revenue M$"/>
    <x v="2"/>
    <n v="0"/>
  </r>
  <r>
    <s v="Discrete AI"/>
    <x v="1"/>
    <x v="3"/>
    <s v="Automotive Electronics"/>
    <s v="Infotainment"/>
    <s v="Semiconductor Revenue M$"/>
    <x v="3"/>
    <n v="0"/>
  </r>
  <r>
    <s v="Discrete AI"/>
    <x v="1"/>
    <x v="3"/>
    <s v="Automotive Electronics"/>
    <s v="Infotainment"/>
    <s v="Semiconductor Revenue M$"/>
    <x v="4"/>
    <n v="0"/>
  </r>
  <r>
    <s v="Discrete AI"/>
    <x v="1"/>
    <x v="3"/>
    <s v="Automotive Electronics"/>
    <s v="Infotainment"/>
    <s v="Semiconductor Revenue M$"/>
    <x v="5"/>
    <n v="0"/>
  </r>
  <r>
    <s v="Discrete AI"/>
    <x v="1"/>
    <x v="3"/>
    <s v="Automotive Electronics"/>
    <s v="Infotainment"/>
    <s v="Semiconductor Revenue M$"/>
    <x v="6"/>
    <n v="0"/>
  </r>
  <r>
    <s v="Discrete AI"/>
    <x v="1"/>
    <x v="3"/>
    <s v="Automotive Electronics"/>
    <s v="Instrument Cluster"/>
    <s v="Semiconductor Revenue M$"/>
    <x v="0"/>
    <n v="0"/>
  </r>
  <r>
    <s v="Discrete AI"/>
    <x v="1"/>
    <x v="3"/>
    <s v="Automotive Electronics"/>
    <s v="Instrument Cluster"/>
    <s v="Semiconductor Revenue M$"/>
    <x v="1"/>
    <n v="0"/>
  </r>
  <r>
    <s v="Discrete AI"/>
    <x v="1"/>
    <x v="3"/>
    <s v="Automotive Electronics"/>
    <s v="Instrument Cluster"/>
    <s v="Semiconductor Revenue M$"/>
    <x v="2"/>
    <n v="0"/>
  </r>
  <r>
    <s v="Discrete AI"/>
    <x v="1"/>
    <x v="3"/>
    <s v="Automotive Electronics"/>
    <s v="Instrument Cluster"/>
    <s v="Semiconductor Revenue M$"/>
    <x v="3"/>
    <n v="0"/>
  </r>
  <r>
    <s v="Discrete AI"/>
    <x v="1"/>
    <x v="3"/>
    <s v="Automotive Electronics"/>
    <s v="Instrument Cluster"/>
    <s v="Semiconductor Revenue M$"/>
    <x v="4"/>
    <n v="0"/>
  </r>
  <r>
    <s v="Discrete AI"/>
    <x v="1"/>
    <x v="3"/>
    <s v="Automotive Electronics"/>
    <s v="Instrument Cluster"/>
    <s v="Semiconductor Revenue M$"/>
    <x v="5"/>
    <n v="0"/>
  </r>
  <r>
    <s v="Discrete AI"/>
    <x v="1"/>
    <x v="3"/>
    <s v="Automotive Electronics"/>
    <s v="Instrument Cluster"/>
    <s v="Semiconductor Revenue M$"/>
    <x v="6"/>
    <n v="0"/>
  </r>
  <r>
    <s v="Discrete AI"/>
    <x v="1"/>
    <x v="3"/>
    <s v="Automotive Electronics"/>
    <s v="Powertrain"/>
    <s v="Semiconductor Revenue M$"/>
    <x v="0"/>
    <n v="0"/>
  </r>
  <r>
    <s v="Discrete AI"/>
    <x v="1"/>
    <x v="3"/>
    <s v="Automotive Electronics"/>
    <s v="Powertrain"/>
    <s v="Semiconductor Revenue M$"/>
    <x v="1"/>
    <n v="0"/>
  </r>
  <r>
    <s v="Discrete AI"/>
    <x v="1"/>
    <x v="3"/>
    <s v="Automotive Electronics"/>
    <s v="Powertrain"/>
    <s v="Semiconductor Revenue M$"/>
    <x v="2"/>
    <n v="0"/>
  </r>
  <r>
    <s v="Discrete AI"/>
    <x v="1"/>
    <x v="3"/>
    <s v="Automotive Electronics"/>
    <s v="Powertrain"/>
    <s v="Semiconductor Revenue M$"/>
    <x v="3"/>
    <n v="0"/>
  </r>
  <r>
    <s v="Discrete AI"/>
    <x v="1"/>
    <x v="3"/>
    <s v="Automotive Electronics"/>
    <s v="Powertrain"/>
    <s v="Semiconductor Revenue M$"/>
    <x v="4"/>
    <n v="0"/>
  </r>
  <r>
    <s v="Discrete AI"/>
    <x v="1"/>
    <x v="3"/>
    <s v="Automotive Electronics"/>
    <s v="Powertrain"/>
    <s v="Semiconductor Revenue M$"/>
    <x v="5"/>
    <n v="0"/>
  </r>
  <r>
    <s v="Discrete AI"/>
    <x v="1"/>
    <x v="3"/>
    <s v="Automotive Electronics"/>
    <s v="Powertrain"/>
    <s v="Semiconductor Revenue M$"/>
    <x v="6"/>
    <n v="0"/>
  </r>
  <r>
    <s v="Discrete AI"/>
    <x v="1"/>
    <x v="3"/>
    <s v="Automotive Electronics"/>
    <s v="Safety"/>
    <s v="Semiconductor Revenue M$"/>
    <x v="0"/>
    <n v="0"/>
  </r>
  <r>
    <s v="Discrete AI"/>
    <x v="1"/>
    <x v="3"/>
    <s v="Automotive Electronics"/>
    <s v="Safety"/>
    <s v="Semiconductor Revenue M$"/>
    <x v="1"/>
    <n v="0"/>
  </r>
  <r>
    <s v="Discrete AI"/>
    <x v="1"/>
    <x v="3"/>
    <s v="Automotive Electronics"/>
    <s v="Safety"/>
    <s v="Semiconductor Revenue M$"/>
    <x v="2"/>
    <n v="0"/>
  </r>
  <r>
    <s v="Discrete AI"/>
    <x v="1"/>
    <x v="3"/>
    <s v="Automotive Electronics"/>
    <s v="Safety"/>
    <s v="Semiconductor Revenue M$"/>
    <x v="3"/>
    <n v="0"/>
  </r>
  <r>
    <s v="Discrete AI"/>
    <x v="1"/>
    <x v="3"/>
    <s v="Automotive Electronics"/>
    <s v="Safety"/>
    <s v="Semiconductor Revenue M$"/>
    <x v="4"/>
    <n v="0"/>
  </r>
  <r>
    <s v="Discrete AI"/>
    <x v="1"/>
    <x v="3"/>
    <s v="Automotive Electronics"/>
    <s v="Safety"/>
    <s v="Semiconductor Revenue M$"/>
    <x v="5"/>
    <n v="0"/>
  </r>
  <r>
    <s v="Discrete AI"/>
    <x v="1"/>
    <x v="3"/>
    <s v="Automotive Electronics"/>
    <s v="Safety"/>
    <s v="Semiconductor Revenue M$"/>
    <x v="6"/>
    <n v="0"/>
  </r>
  <r>
    <s v="Discrete AI"/>
    <x v="1"/>
    <x v="3"/>
    <s v="Automotive Electronics"/>
    <s v="Aftermarket"/>
    <s v="Semiconductor Revenue M$"/>
    <x v="0"/>
    <n v="0"/>
  </r>
  <r>
    <s v="Discrete AI"/>
    <x v="1"/>
    <x v="3"/>
    <s v="Automotive Electronics"/>
    <s v="Aftermarket"/>
    <s v="Semiconductor Revenue M$"/>
    <x v="1"/>
    <n v="0"/>
  </r>
  <r>
    <s v="Discrete AI"/>
    <x v="1"/>
    <x v="3"/>
    <s v="Automotive Electronics"/>
    <s v="Aftermarket"/>
    <s v="Semiconductor Revenue M$"/>
    <x v="2"/>
    <n v="0"/>
  </r>
  <r>
    <s v="Discrete AI"/>
    <x v="1"/>
    <x v="3"/>
    <s v="Automotive Electronics"/>
    <s v="Aftermarket"/>
    <s v="Semiconductor Revenue M$"/>
    <x v="3"/>
    <n v="0"/>
  </r>
  <r>
    <s v="Discrete AI"/>
    <x v="1"/>
    <x v="3"/>
    <s v="Automotive Electronics"/>
    <s v="Aftermarket"/>
    <s v="Semiconductor Revenue M$"/>
    <x v="4"/>
    <n v="0"/>
  </r>
  <r>
    <s v="Discrete AI"/>
    <x v="1"/>
    <x v="3"/>
    <s v="Automotive Electronics"/>
    <s v="Aftermarket"/>
    <s v="Semiconductor Revenue M$"/>
    <x v="5"/>
    <n v="0"/>
  </r>
  <r>
    <s v="Discrete AI"/>
    <x v="1"/>
    <x v="3"/>
    <s v="Automotive Electronics"/>
    <s v="Aftermarket"/>
    <s v="Semiconductor Revenue M$"/>
    <x v="6"/>
    <n v="0"/>
  </r>
  <r>
    <s v="Discrete AI"/>
    <x v="1"/>
    <x v="5"/>
    <s v="Industrial Electronics"/>
    <s v="Commercial Amusement"/>
    <s v="Semiconductor Revenue M$"/>
    <x v="0"/>
    <n v="0"/>
  </r>
  <r>
    <s v="Discrete AI"/>
    <x v="1"/>
    <x v="5"/>
    <s v="Industrial Electronics"/>
    <s v="Commercial Amusement"/>
    <s v="Semiconductor Revenue M$"/>
    <x v="1"/>
    <n v="0"/>
  </r>
  <r>
    <s v="Discrete AI"/>
    <x v="1"/>
    <x v="5"/>
    <s v="Industrial Electronics"/>
    <s v="Commercial Amusement"/>
    <s v="Semiconductor Revenue M$"/>
    <x v="2"/>
    <n v="0"/>
  </r>
  <r>
    <s v="Discrete AI"/>
    <x v="1"/>
    <x v="5"/>
    <s v="Industrial Electronics"/>
    <s v="Commercial Amusement"/>
    <s v="Semiconductor Revenue M$"/>
    <x v="3"/>
    <n v="0"/>
  </r>
  <r>
    <s v="Discrete AI"/>
    <x v="1"/>
    <x v="5"/>
    <s v="Industrial Electronics"/>
    <s v="Commercial Amusement"/>
    <s v="Semiconductor Revenue M$"/>
    <x v="4"/>
    <n v="0"/>
  </r>
  <r>
    <s v="Discrete AI"/>
    <x v="1"/>
    <x v="5"/>
    <s v="Industrial Electronics"/>
    <s v="Commercial Amusement"/>
    <s v="Semiconductor Revenue M$"/>
    <x v="5"/>
    <n v="0"/>
  </r>
  <r>
    <s v="Discrete AI"/>
    <x v="1"/>
    <x v="5"/>
    <s v="Industrial Electronics"/>
    <s v="Commercial Amusement"/>
    <s v="Semiconductor Revenue M$"/>
    <x v="6"/>
    <n v="0"/>
  </r>
  <r>
    <s v="Discrete AI"/>
    <x v="1"/>
    <x v="5"/>
    <s v="Industrial Electronics"/>
    <s v="Automation"/>
    <s v="Semiconductor Revenue M$"/>
    <x v="0"/>
    <n v="0"/>
  </r>
  <r>
    <s v="Discrete AI"/>
    <x v="1"/>
    <x v="5"/>
    <s v="Industrial Electronics"/>
    <s v="Automation"/>
    <s v="Semiconductor Revenue M$"/>
    <x v="1"/>
    <n v="0"/>
  </r>
  <r>
    <s v="Discrete AI"/>
    <x v="1"/>
    <x v="5"/>
    <s v="Industrial Electronics"/>
    <s v="Automation"/>
    <s v="Semiconductor Revenue M$"/>
    <x v="2"/>
    <n v="0"/>
  </r>
  <r>
    <s v="Discrete AI"/>
    <x v="1"/>
    <x v="5"/>
    <s v="Industrial Electronics"/>
    <s v="Automation"/>
    <s v="Semiconductor Revenue M$"/>
    <x v="3"/>
    <n v="0"/>
  </r>
  <r>
    <s v="Discrete AI"/>
    <x v="1"/>
    <x v="5"/>
    <s v="Industrial Electronics"/>
    <s v="Automation"/>
    <s v="Semiconductor Revenue M$"/>
    <x v="4"/>
    <n v="0"/>
  </r>
  <r>
    <s v="Discrete AI"/>
    <x v="1"/>
    <x v="5"/>
    <s v="Industrial Electronics"/>
    <s v="Automation"/>
    <s v="Semiconductor Revenue M$"/>
    <x v="5"/>
    <n v="0"/>
  </r>
  <r>
    <s v="Discrete AI"/>
    <x v="1"/>
    <x v="5"/>
    <s v="Industrial Electronics"/>
    <s v="Automation"/>
    <s v="Semiconductor Revenue M$"/>
    <x v="6"/>
    <n v="0"/>
  </r>
  <r>
    <s v="Discrete AI"/>
    <x v="1"/>
    <x v="5"/>
    <s v="Industrial Electronics"/>
    <s v="Energy Management"/>
    <s v="Semiconductor Revenue M$"/>
    <x v="0"/>
    <n v="0"/>
  </r>
  <r>
    <s v="Discrete AI"/>
    <x v="1"/>
    <x v="5"/>
    <s v="Industrial Electronics"/>
    <s v="Energy Management"/>
    <s v="Semiconductor Revenue M$"/>
    <x v="1"/>
    <n v="0"/>
  </r>
  <r>
    <s v="Discrete AI"/>
    <x v="1"/>
    <x v="5"/>
    <s v="Industrial Electronics"/>
    <s v="Energy Management"/>
    <s v="Semiconductor Revenue M$"/>
    <x v="2"/>
    <n v="0"/>
  </r>
  <r>
    <s v="Discrete AI"/>
    <x v="1"/>
    <x v="5"/>
    <s v="Industrial Electronics"/>
    <s v="Energy Management"/>
    <s v="Semiconductor Revenue M$"/>
    <x v="3"/>
    <n v="0"/>
  </r>
  <r>
    <s v="Discrete AI"/>
    <x v="1"/>
    <x v="5"/>
    <s v="Industrial Electronics"/>
    <s v="Energy Management"/>
    <s v="Semiconductor Revenue M$"/>
    <x v="4"/>
    <n v="0"/>
  </r>
  <r>
    <s v="Discrete AI"/>
    <x v="1"/>
    <x v="5"/>
    <s v="Industrial Electronics"/>
    <s v="Energy Management"/>
    <s v="Semiconductor Revenue M$"/>
    <x v="5"/>
    <n v="0"/>
  </r>
  <r>
    <s v="Discrete AI"/>
    <x v="1"/>
    <x v="5"/>
    <s v="Industrial Electronics"/>
    <s v="Energy Management"/>
    <s v="Semiconductor Revenue M$"/>
    <x v="6"/>
    <n v="0"/>
  </r>
  <r>
    <s v="Discrete AI"/>
    <x v="1"/>
    <x v="5"/>
    <s v="Industrial Electronics"/>
    <s v="Solid-State Lighting"/>
    <s v="Semiconductor Revenue M$"/>
    <x v="0"/>
    <n v="0"/>
  </r>
  <r>
    <s v="Discrete AI"/>
    <x v="1"/>
    <x v="5"/>
    <s v="Industrial Electronics"/>
    <s v="Solid-State Lighting"/>
    <s v="Semiconductor Revenue M$"/>
    <x v="1"/>
    <n v="0"/>
  </r>
  <r>
    <s v="Discrete AI"/>
    <x v="1"/>
    <x v="5"/>
    <s v="Industrial Electronics"/>
    <s v="Solid-State Lighting"/>
    <s v="Semiconductor Revenue M$"/>
    <x v="2"/>
    <n v="0"/>
  </r>
  <r>
    <s v="Discrete AI"/>
    <x v="1"/>
    <x v="5"/>
    <s v="Industrial Electronics"/>
    <s v="Solid-State Lighting"/>
    <s v="Semiconductor Revenue M$"/>
    <x v="3"/>
    <n v="0"/>
  </r>
  <r>
    <s v="Discrete AI"/>
    <x v="1"/>
    <x v="5"/>
    <s v="Industrial Electronics"/>
    <s v="Solid-State Lighting"/>
    <s v="Semiconductor Revenue M$"/>
    <x v="4"/>
    <n v="0"/>
  </r>
  <r>
    <s v="Discrete AI"/>
    <x v="1"/>
    <x v="5"/>
    <s v="Industrial Electronics"/>
    <s v="Solid-State Lighting"/>
    <s v="Semiconductor Revenue M$"/>
    <x v="5"/>
    <n v="0"/>
  </r>
  <r>
    <s v="Discrete AI"/>
    <x v="1"/>
    <x v="5"/>
    <s v="Industrial Electronics"/>
    <s v="Solid-State Lighting"/>
    <s v="Semiconductor Revenue M$"/>
    <x v="6"/>
    <n v="0"/>
  </r>
  <r>
    <s v="Discrete AI"/>
    <x v="1"/>
    <x v="5"/>
    <s v="Industrial Electronics"/>
    <s v="Medical/Healthcare"/>
    <s v="Semiconductor Revenue M$"/>
    <x v="0"/>
    <n v="0"/>
  </r>
  <r>
    <s v="Discrete AI"/>
    <x v="1"/>
    <x v="5"/>
    <s v="Industrial Electronics"/>
    <s v="Medical/Healthcare"/>
    <s v="Semiconductor Revenue M$"/>
    <x v="1"/>
    <n v="0"/>
  </r>
  <r>
    <s v="Discrete AI"/>
    <x v="1"/>
    <x v="5"/>
    <s v="Industrial Electronics"/>
    <s v="Medical/Healthcare"/>
    <s v="Semiconductor Revenue M$"/>
    <x v="2"/>
    <n v="0"/>
  </r>
  <r>
    <s v="Discrete AI"/>
    <x v="1"/>
    <x v="5"/>
    <s v="Industrial Electronics"/>
    <s v="Medical/Healthcare"/>
    <s v="Semiconductor Revenue M$"/>
    <x v="3"/>
    <n v="0"/>
  </r>
  <r>
    <s v="Discrete AI"/>
    <x v="1"/>
    <x v="5"/>
    <s v="Industrial Electronics"/>
    <s v="Medical/Healthcare"/>
    <s v="Semiconductor Revenue M$"/>
    <x v="4"/>
    <n v="0"/>
  </r>
  <r>
    <s v="Discrete AI"/>
    <x v="1"/>
    <x v="5"/>
    <s v="Industrial Electronics"/>
    <s v="Medical/Healthcare"/>
    <s v="Semiconductor Revenue M$"/>
    <x v="5"/>
    <n v="0"/>
  </r>
  <r>
    <s v="Discrete AI"/>
    <x v="1"/>
    <x v="5"/>
    <s v="Industrial Electronics"/>
    <s v="Medical/Healthcare"/>
    <s v="Semiconductor Revenue M$"/>
    <x v="6"/>
    <n v="0"/>
  </r>
  <r>
    <s v="Discrete AI"/>
    <x v="1"/>
    <x v="5"/>
    <s v="Industrial Electronics"/>
    <s v="Test/Measurement"/>
    <s v="Semiconductor Revenue M$"/>
    <x v="0"/>
    <n v="0"/>
  </r>
  <r>
    <s v="Discrete AI"/>
    <x v="1"/>
    <x v="5"/>
    <s v="Industrial Electronics"/>
    <s v="Test/Measurement"/>
    <s v="Semiconductor Revenue M$"/>
    <x v="1"/>
    <n v="0"/>
  </r>
  <r>
    <s v="Discrete AI"/>
    <x v="1"/>
    <x v="5"/>
    <s v="Industrial Electronics"/>
    <s v="Test/Measurement"/>
    <s v="Semiconductor Revenue M$"/>
    <x v="2"/>
    <n v="0"/>
  </r>
  <r>
    <s v="Discrete AI"/>
    <x v="1"/>
    <x v="5"/>
    <s v="Industrial Electronics"/>
    <s v="Test/Measurement"/>
    <s v="Semiconductor Revenue M$"/>
    <x v="3"/>
    <n v="0"/>
  </r>
  <r>
    <s v="Discrete AI"/>
    <x v="1"/>
    <x v="5"/>
    <s v="Industrial Electronics"/>
    <s v="Test/Measurement"/>
    <s v="Semiconductor Revenue M$"/>
    <x v="4"/>
    <n v="0"/>
  </r>
  <r>
    <s v="Discrete AI"/>
    <x v="1"/>
    <x v="5"/>
    <s v="Industrial Electronics"/>
    <s v="Test/Measurement"/>
    <s v="Semiconductor Revenue M$"/>
    <x v="5"/>
    <n v="0"/>
  </r>
  <r>
    <s v="Discrete AI"/>
    <x v="1"/>
    <x v="5"/>
    <s v="Industrial Electronics"/>
    <s v="Test/Measurement"/>
    <s v="Semiconductor Revenue M$"/>
    <x v="6"/>
    <n v="0"/>
  </r>
  <r>
    <s v="Discrete AI"/>
    <x v="1"/>
    <x v="5"/>
    <s v="Industrial Electronics"/>
    <s v="Other Security"/>
    <s v="Semiconductor Revenue M$"/>
    <x v="0"/>
    <n v="0"/>
  </r>
  <r>
    <s v="Discrete AI"/>
    <x v="1"/>
    <x v="5"/>
    <s v="Industrial Electronics"/>
    <s v="Other Security"/>
    <s v="Semiconductor Revenue M$"/>
    <x v="1"/>
    <n v="0"/>
  </r>
  <r>
    <s v="Discrete AI"/>
    <x v="1"/>
    <x v="5"/>
    <s v="Industrial Electronics"/>
    <s v="Other Security"/>
    <s v="Semiconductor Revenue M$"/>
    <x v="2"/>
    <n v="0"/>
  </r>
  <r>
    <s v="Discrete AI"/>
    <x v="1"/>
    <x v="5"/>
    <s v="Industrial Electronics"/>
    <s v="Other Security"/>
    <s v="Semiconductor Revenue M$"/>
    <x v="3"/>
    <n v="0"/>
  </r>
  <r>
    <s v="Discrete AI"/>
    <x v="1"/>
    <x v="5"/>
    <s v="Industrial Electronics"/>
    <s v="Other Security"/>
    <s v="Semiconductor Revenue M$"/>
    <x v="4"/>
    <n v="0"/>
  </r>
  <r>
    <s v="Discrete AI"/>
    <x v="1"/>
    <x v="5"/>
    <s v="Industrial Electronics"/>
    <s v="Other Security"/>
    <s v="Semiconductor Revenue M$"/>
    <x v="5"/>
    <n v="0"/>
  </r>
  <r>
    <s v="Discrete AI"/>
    <x v="1"/>
    <x v="5"/>
    <s v="Industrial Electronics"/>
    <s v="Other Security"/>
    <s v="Semiconductor Revenue M$"/>
    <x v="6"/>
    <n v="0"/>
  </r>
  <r>
    <s v="Discrete AI"/>
    <x v="1"/>
    <x v="5"/>
    <s v="Industrial Electronics"/>
    <s v="Transportation"/>
    <s v="Semiconductor Revenue M$"/>
    <x v="0"/>
    <n v="0"/>
  </r>
  <r>
    <s v="Discrete AI"/>
    <x v="1"/>
    <x v="5"/>
    <s v="Industrial Electronics"/>
    <s v="Transportation"/>
    <s v="Semiconductor Revenue M$"/>
    <x v="1"/>
    <n v="0"/>
  </r>
  <r>
    <s v="Discrete AI"/>
    <x v="1"/>
    <x v="5"/>
    <s v="Industrial Electronics"/>
    <s v="Transportation"/>
    <s v="Semiconductor Revenue M$"/>
    <x v="2"/>
    <n v="0"/>
  </r>
  <r>
    <s v="Discrete AI"/>
    <x v="1"/>
    <x v="5"/>
    <s v="Industrial Electronics"/>
    <s v="Transportation"/>
    <s v="Semiconductor Revenue M$"/>
    <x v="3"/>
    <n v="0"/>
  </r>
  <r>
    <s v="Discrete AI"/>
    <x v="1"/>
    <x v="5"/>
    <s v="Industrial Electronics"/>
    <s v="Transportation"/>
    <s v="Semiconductor Revenue M$"/>
    <x v="4"/>
    <n v="0"/>
  </r>
  <r>
    <s v="Discrete AI"/>
    <x v="1"/>
    <x v="5"/>
    <s v="Industrial Electronics"/>
    <s v="Transportation"/>
    <s v="Semiconductor Revenue M$"/>
    <x v="5"/>
    <n v="0"/>
  </r>
  <r>
    <s v="Discrete AI"/>
    <x v="1"/>
    <x v="5"/>
    <s v="Industrial Electronics"/>
    <s v="Transportation"/>
    <s v="Semiconductor Revenue M$"/>
    <x v="6"/>
    <n v="0"/>
  </r>
  <r>
    <s v="Discrete AI"/>
    <x v="1"/>
    <x v="5"/>
    <s v="Industrial Electronics"/>
    <s v="Other Industrial Electronics"/>
    <s v="Semiconductor Revenue M$"/>
    <x v="0"/>
    <n v="0"/>
  </r>
  <r>
    <s v="Discrete AI"/>
    <x v="1"/>
    <x v="5"/>
    <s v="Industrial Electronics"/>
    <s v="Other Industrial Electronics"/>
    <s v="Semiconductor Revenue M$"/>
    <x v="1"/>
    <n v="0"/>
  </r>
  <r>
    <s v="Discrete AI"/>
    <x v="1"/>
    <x v="5"/>
    <s v="Industrial Electronics"/>
    <s v="Other Industrial Electronics"/>
    <s v="Semiconductor Revenue M$"/>
    <x v="2"/>
    <n v="0"/>
  </r>
  <r>
    <s v="Discrete AI"/>
    <x v="1"/>
    <x v="5"/>
    <s v="Industrial Electronics"/>
    <s v="Other Industrial Electronics"/>
    <s v="Semiconductor Revenue M$"/>
    <x v="3"/>
    <n v="0"/>
  </r>
  <r>
    <s v="Discrete AI"/>
    <x v="1"/>
    <x v="5"/>
    <s v="Industrial Electronics"/>
    <s v="Other Industrial Electronics"/>
    <s v="Semiconductor Revenue M$"/>
    <x v="4"/>
    <n v="0"/>
  </r>
  <r>
    <s v="Discrete AI"/>
    <x v="1"/>
    <x v="5"/>
    <s v="Industrial Electronics"/>
    <s v="Other Industrial Electronics"/>
    <s v="Semiconductor Revenue M$"/>
    <x v="5"/>
    <n v="0"/>
  </r>
  <r>
    <s v="Discrete AI"/>
    <x v="1"/>
    <x v="5"/>
    <s v="Industrial Electronics"/>
    <s v="Other Industrial Electronics"/>
    <s v="Semiconductor Revenue M$"/>
    <x v="6"/>
    <n v="0"/>
  </r>
  <r>
    <s v="Discrete AI"/>
    <x v="1"/>
    <x v="5"/>
    <s v="Industrial Electronics"/>
    <s v="Military/Civil Aerospace Electronics"/>
    <s v="Semiconductor Revenue M$"/>
    <x v="0"/>
    <n v="0"/>
  </r>
  <r>
    <s v="Discrete AI"/>
    <x v="1"/>
    <x v="5"/>
    <s v="Industrial Electronics"/>
    <s v="Military/Civil Aerospace Electronics"/>
    <s v="Semiconductor Revenue M$"/>
    <x v="1"/>
    <n v="0"/>
  </r>
  <r>
    <s v="Discrete AI"/>
    <x v="1"/>
    <x v="5"/>
    <s v="Industrial Electronics"/>
    <s v="Military/Civil Aerospace Electronics"/>
    <s v="Semiconductor Revenue M$"/>
    <x v="2"/>
    <n v="0"/>
  </r>
  <r>
    <s v="Discrete AI"/>
    <x v="1"/>
    <x v="5"/>
    <s v="Industrial Electronics"/>
    <s v="Military/Civil Aerospace Electronics"/>
    <s v="Semiconductor Revenue M$"/>
    <x v="3"/>
    <n v="0"/>
  </r>
  <r>
    <s v="Discrete AI"/>
    <x v="1"/>
    <x v="5"/>
    <s v="Industrial Electronics"/>
    <s v="Military/Civil Aerospace Electronics"/>
    <s v="Semiconductor Revenue M$"/>
    <x v="4"/>
    <n v="0"/>
  </r>
  <r>
    <s v="Discrete AI"/>
    <x v="1"/>
    <x v="5"/>
    <s v="Industrial Electronics"/>
    <s v="Military/Civil Aerospace Electronics"/>
    <s v="Semiconductor Revenue M$"/>
    <x v="5"/>
    <n v="0"/>
  </r>
  <r>
    <s v="Discrete AI"/>
    <x v="1"/>
    <x v="5"/>
    <s v="Industrial Electronics"/>
    <s v="Military/Civil Aerospace Electronics"/>
    <s v="Semiconductor Revenue M$"/>
    <x v="6"/>
    <n v="0"/>
  </r>
  <r>
    <s v="Discrete AI"/>
    <x v="2"/>
    <x v="0"/>
    <s v="Compute"/>
    <s v="External Monitor"/>
    <s v="Semiconductor Revenue M$"/>
    <x v="0"/>
    <n v="0"/>
  </r>
  <r>
    <s v="Discrete AI"/>
    <x v="2"/>
    <x v="0"/>
    <s v="Compute"/>
    <s v="External Monitor"/>
    <s v="Semiconductor Revenue M$"/>
    <x v="1"/>
    <n v="0"/>
  </r>
  <r>
    <s v="Discrete AI"/>
    <x v="2"/>
    <x v="0"/>
    <s v="Compute"/>
    <s v="External Monitor"/>
    <s v="Semiconductor Revenue M$"/>
    <x v="2"/>
    <n v="0"/>
  </r>
  <r>
    <s v="Discrete AI"/>
    <x v="2"/>
    <x v="0"/>
    <s v="Compute"/>
    <s v="External Monitor"/>
    <s v="Semiconductor Revenue M$"/>
    <x v="3"/>
    <n v="0"/>
  </r>
  <r>
    <s v="Discrete AI"/>
    <x v="2"/>
    <x v="0"/>
    <s v="Compute"/>
    <s v="External Monitor"/>
    <s v="Semiconductor Revenue M$"/>
    <x v="4"/>
    <n v="0"/>
  </r>
  <r>
    <s v="Discrete AI"/>
    <x v="2"/>
    <x v="0"/>
    <s v="Compute"/>
    <s v="External Monitor"/>
    <s v="Semiconductor Revenue M$"/>
    <x v="5"/>
    <n v="0"/>
  </r>
  <r>
    <s v="Discrete AI"/>
    <x v="2"/>
    <x v="0"/>
    <s v="Compute"/>
    <s v="External Monitor"/>
    <s v="Semiconductor Revenue M$"/>
    <x v="6"/>
    <n v="0"/>
  </r>
  <r>
    <s v="Discrete AI"/>
    <x v="2"/>
    <x v="0"/>
    <s v="PC"/>
    <s v="Graphics Cards"/>
    <s v="Semiconductor Revenue M$"/>
    <x v="0"/>
    <n v="31.742862492372211"/>
  </r>
  <r>
    <s v="Discrete AI"/>
    <x v="2"/>
    <x v="0"/>
    <s v="PC"/>
    <s v="Graphics Cards"/>
    <s v="Semiconductor Revenue M$"/>
    <x v="1"/>
    <n v="141.55078147514084"/>
  </r>
  <r>
    <s v="Discrete AI"/>
    <x v="2"/>
    <x v="0"/>
    <s v="PC"/>
    <s v="Graphics Cards"/>
    <s v="Semiconductor Revenue M$"/>
    <x v="2"/>
    <n v="257.90701965056542"/>
  </r>
  <r>
    <s v="Discrete AI"/>
    <x v="2"/>
    <x v="0"/>
    <s v="PC"/>
    <s v="Graphics Cards"/>
    <s v="Semiconductor Revenue M$"/>
    <x v="3"/>
    <n v="583.56325375024267"/>
  </r>
  <r>
    <s v="Discrete AI"/>
    <x v="2"/>
    <x v="0"/>
    <s v="PC"/>
    <s v="Graphics Cards"/>
    <s v="Semiconductor Revenue M$"/>
    <x v="4"/>
    <n v="999.84935549462011"/>
  </r>
  <r>
    <s v="Discrete AI"/>
    <x v="2"/>
    <x v="0"/>
    <s v="PC"/>
    <s v="Graphics Cards"/>
    <s v="Semiconductor Revenue M$"/>
    <x v="5"/>
    <n v="1529.0998755700198"/>
  </r>
  <r>
    <s v="Discrete AI"/>
    <x v="2"/>
    <x v="0"/>
    <s v="PC"/>
    <s v="Graphics Cards"/>
    <s v="Semiconductor Revenue M$"/>
    <x v="6"/>
    <n v="2000.7173647800726"/>
  </r>
  <r>
    <s v="Discrete AI"/>
    <x v="2"/>
    <x v="0"/>
    <s v="PC"/>
    <s v="Desk-Based PC"/>
    <s v="Semiconductor Revenue M$"/>
    <x v="0"/>
    <n v="2.5321561556065038"/>
  </r>
  <r>
    <s v="Discrete AI"/>
    <x v="2"/>
    <x v="0"/>
    <s v="PC"/>
    <s v="Desk-Based PC"/>
    <s v="Semiconductor Revenue M$"/>
    <x v="1"/>
    <n v="6.0154890606531959"/>
  </r>
  <r>
    <s v="Discrete AI"/>
    <x v="2"/>
    <x v="0"/>
    <s v="PC"/>
    <s v="Desk-Based PC"/>
    <s v="Semiconductor Revenue M$"/>
    <x v="2"/>
    <n v="26.089073810832584"/>
  </r>
  <r>
    <s v="Discrete AI"/>
    <x v="2"/>
    <x v="0"/>
    <s v="PC"/>
    <s v="Desk-Based PC"/>
    <s v="Semiconductor Revenue M$"/>
    <x v="3"/>
    <n v="29.975513818834269"/>
  </r>
  <r>
    <s v="Discrete AI"/>
    <x v="2"/>
    <x v="0"/>
    <s v="PC"/>
    <s v="Desk-Based PC"/>
    <s v="Semiconductor Revenue M$"/>
    <x v="4"/>
    <n v="34.009566189433926"/>
  </r>
  <r>
    <s v="Discrete AI"/>
    <x v="2"/>
    <x v="0"/>
    <s v="PC"/>
    <s v="Desk-Based PC"/>
    <s v="Semiconductor Revenue M$"/>
    <x v="5"/>
    <n v="40.709440831257993"/>
  </r>
  <r>
    <s v="Discrete AI"/>
    <x v="2"/>
    <x v="0"/>
    <s v="PC"/>
    <s v="Desk-Based PC"/>
    <s v="Semiconductor Revenue M$"/>
    <x v="6"/>
    <n v="42.974476836200971"/>
  </r>
  <r>
    <s v="Discrete AI"/>
    <x v="2"/>
    <x v="0"/>
    <s v="PC"/>
    <s v="Ultramobile Basic, Tablet"/>
    <s v="Semiconductor Revenue M$"/>
    <x v="0"/>
    <n v="0"/>
  </r>
  <r>
    <s v="Discrete AI"/>
    <x v="2"/>
    <x v="0"/>
    <s v="PC"/>
    <s v="Ultramobile Basic, Tablet"/>
    <s v="Semiconductor Revenue M$"/>
    <x v="1"/>
    <n v="0"/>
  </r>
  <r>
    <s v="Discrete AI"/>
    <x v="2"/>
    <x v="0"/>
    <s v="PC"/>
    <s v="Ultramobile Basic, Tablet"/>
    <s v="Semiconductor Revenue M$"/>
    <x v="2"/>
    <n v="0"/>
  </r>
  <r>
    <s v="Discrete AI"/>
    <x v="2"/>
    <x v="0"/>
    <s v="PC"/>
    <s v="Ultramobile Basic, Tablet"/>
    <s v="Semiconductor Revenue M$"/>
    <x v="3"/>
    <n v="0"/>
  </r>
  <r>
    <s v="Discrete AI"/>
    <x v="2"/>
    <x v="0"/>
    <s v="PC"/>
    <s v="Ultramobile Basic, Tablet"/>
    <s v="Semiconductor Revenue M$"/>
    <x v="4"/>
    <n v="0"/>
  </r>
  <r>
    <s v="Discrete AI"/>
    <x v="2"/>
    <x v="0"/>
    <s v="PC"/>
    <s v="Ultramobile Basic, Tablet"/>
    <s v="Semiconductor Revenue M$"/>
    <x v="5"/>
    <n v="0"/>
  </r>
  <r>
    <s v="Discrete AI"/>
    <x v="2"/>
    <x v="0"/>
    <s v="PC"/>
    <s v="Ultramobile Basic, Tablet"/>
    <s v="Semiconductor Revenue M$"/>
    <x v="6"/>
    <n v="0"/>
  </r>
  <r>
    <s v="Discrete AI"/>
    <x v="2"/>
    <x v="0"/>
    <s v="PC"/>
    <s v="Ultramobile Utility, Tablet"/>
    <s v="Semiconductor Revenue M$"/>
    <x v="0"/>
    <n v="0"/>
  </r>
  <r>
    <s v="Discrete AI"/>
    <x v="2"/>
    <x v="0"/>
    <s v="PC"/>
    <s v="Ultramobile Utility, Tablet"/>
    <s v="Semiconductor Revenue M$"/>
    <x v="1"/>
    <n v="0"/>
  </r>
  <r>
    <s v="Discrete AI"/>
    <x v="2"/>
    <x v="0"/>
    <s v="PC"/>
    <s v="Ultramobile Utility, Tablet"/>
    <s v="Semiconductor Revenue M$"/>
    <x v="2"/>
    <n v="0"/>
  </r>
  <r>
    <s v="Discrete AI"/>
    <x v="2"/>
    <x v="0"/>
    <s v="PC"/>
    <s v="Ultramobile Utility, Tablet"/>
    <s v="Semiconductor Revenue M$"/>
    <x v="3"/>
    <n v="0"/>
  </r>
  <r>
    <s v="Discrete AI"/>
    <x v="2"/>
    <x v="0"/>
    <s v="PC"/>
    <s v="Ultramobile Utility, Tablet"/>
    <s v="Semiconductor Revenue M$"/>
    <x v="4"/>
    <n v="0"/>
  </r>
  <r>
    <s v="Discrete AI"/>
    <x v="2"/>
    <x v="0"/>
    <s v="PC"/>
    <s v="Ultramobile Utility, Tablet"/>
    <s v="Semiconductor Revenue M$"/>
    <x v="5"/>
    <n v="0"/>
  </r>
  <r>
    <s v="Discrete AI"/>
    <x v="2"/>
    <x v="0"/>
    <s v="PC"/>
    <s v="Ultramobile Utility, Tablet"/>
    <s v="Semiconductor Revenue M$"/>
    <x v="6"/>
    <n v="0"/>
  </r>
  <r>
    <s v="Discrete AI"/>
    <x v="2"/>
    <x v="0"/>
    <s v="PC"/>
    <s v="Ultramobile Premium, Tablet"/>
    <s v="Semiconductor Revenue M$"/>
    <x v="0"/>
    <n v="7.5769741492581241E-2"/>
  </r>
  <r>
    <s v="Discrete AI"/>
    <x v="2"/>
    <x v="0"/>
    <s v="PC"/>
    <s v="Ultramobile Premium, Tablet"/>
    <s v="Semiconductor Revenue M$"/>
    <x v="1"/>
    <n v="0.18486450430762846"/>
  </r>
  <r>
    <s v="Discrete AI"/>
    <x v="2"/>
    <x v="0"/>
    <s v="PC"/>
    <s v="Ultramobile Premium, Tablet"/>
    <s v="Semiconductor Revenue M$"/>
    <x v="2"/>
    <n v="0.21839429704945412"/>
  </r>
  <r>
    <s v="Discrete AI"/>
    <x v="2"/>
    <x v="0"/>
    <s v="PC"/>
    <s v="Ultramobile Premium, Tablet"/>
    <s v="Semiconductor Revenue M$"/>
    <x v="3"/>
    <n v="0.31008881403971134"/>
  </r>
  <r>
    <s v="Discrete AI"/>
    <x v="2"/>
    <x v="0"/>
    <s v="PC"/>
    <s v="Ultramobile Premium, Tablet"/>
    <s v="Semiconductor Revenue M$"/>
    <x v="4"/>
    <n v="0.37529994683576778"/>
  </r>
  <r>
    <s v="Discrete AI"/>
    <x v="2"/>
    <x v="0"/>
    <s v="PC"/>
    <s v="Ultramobile Premium, Tablet"/>
    <s v="Semiconductor Revenue M$"/>
    <x v="5"/>
    <n v="0.47981475017579295"/>
  </r>
  <r>
    <s v="Discrete AI"/>
    <x v="2"/>
    <x v="0"/>
    <s v="PC"/>
    <s v="Ultramobile Premium, Tablet"/>
    <s v="Semiconductor Revenue M$"/>
    <x v="6"/>
    <n v="0.48194341338708485"/>
  </r>
  <r>
    <s v="Discrete AI"/>
    <x v="2"/>
    <x v="0"/>
    <s v="PC"/>
    <s v="Ultramobile Basic, Clamshell"/>
    <s v="Semiconductor Revenue M$"/>
    <x v="0"/>
    <n v="0"/>
  </r>
  <r>
    <s v="Discrete AI"/>
    <x v="2"/>
    <x v="0"/>
    <s v="PC"/>
    <s v="Ultramobile Basic, Clamshell"/>
    <s v="Semiconductor Revenue M$"/>
    <x v="1"/>
    <n v="0"/>
  </r>
  <r>
    <s v="Discrete AI"/>
    <x v="2"/>
    <x v="0"/>
    <s v="PC"/>
    <s v="Ultramobile Basic, Clamshell"/>
    <s v="Semiconductor Revenue M$"/>
    <x v="2"/>
    <n v="0"/>
  </r>
  <r>
    <s v="Discrete AI"/>
    <x v="2"/>
    <x v="0"/>
    <s v="PC"/>
    <s v="Ultramobile Basic, Clamshell"/>
    <s v="Semiconductor Revenue M$"/>
    <x v="3"/>
    <n v="0"/>
  </r>
  <r>
    <s v="Discrete AI"/>
    <x v="2"/>
    <x v="0"/>
    <s v="PC"/>
    <s v="Ultramobile Basic, Clamshell"/>
    <s v="Semiconductor Revenue M$"/>
    <x v="4"/>
    <n v="0"/>
  </r>
  <r>
    <s v="Discrete AI"/>
    <x v="2"/>
    <x v="0"/>
    <s v="PC"/>
    <s v="Ultramobile Basic, Clamshell"/>
    <s v="Semiconductor Revenue M$"/>
    <x v="5"/>
    <n v="0"/>
  </r>
  <r>
    <s v="Discrete AI"/>
    <x v="2"/>
    <x v="0"/>
    <s v="PC"/>
    <s v="Ultramobile Basic, Clamshell"/>
    <s v="Semiconductor Revenue M$"/>
    <x v="6"/>
    <n v="0"/>
  </r>
  <r>
    <s v="Discrete AI"/>
    <x v="2"/>
    <x v="0"/>
    <s v="PC"/>
    <s v="Ultramobile Premium, Clamshell"/>
    <s v="Semiconductor Revenue M$"/>
    <x v="0"/>
    <n v="1.3272031933227928"/>
  </r>
  <r>
    <s v="Discrete AI"/>
    <x v="2"/>
    <x v="0"/>
    <s v="PC"/>
    <s v="Ultramobile Premium, Clamshell"/>
    <s v="Semiconductor Revenue M$"/>
    <x v="1"/>
    <n v="3.300898764548267"/>
  </r>
  <r>
    <s v="Discrete AI"/>
    <x v="2"/>
    <x v="0"/>
    <s v="PC"/>
    <s v="Ultramobile Premium, Clamshell"/>
    <s v="Semiconductor Revenue M$"/>
    <x v="2"/>
    <n v="5.8004681613768314"/>
  </r>
  <r>
    <s v="Discrete AI"/>
    <x v="2"/>
    <x v="0"/>
    <s v="PC"/>
    <s v="Ultramobile Premium, Clamshell"/>
    <s v="Semiconductor Revenue M$"/>
    <x v="3"/>
    <n v="6.1400729132540208"/>
  </r>
  <r>
    <s v="Discrete AI"/>
    <x v="2"/>
    <x v="0"/>
    <s v="PC"/>
    <s v="Ultramobile Premium, Clamshell"/>
    <s v="Semiconductor Revenue M$"/>
    <x v="4"/>
    <n v="4.4278465193315597"/>
  </r>
  <r>
    <s v="Discrete AI"/>
    <x v="2"/>
    <x v="0"/>
    <s v="PC"/>
    <s v="Ultramobile Premium, Clamshell"/>
    <s v="Semiconductor Revenue M$"/>
    <x v="5"/>
    <n v="5.4653085859146939"/>
  </r>
  <r>
    <s v="Discrete AI"/>
    <x v="2"/>
    <x v="0"/>
    <s v="PC"/>
    <s v="Ultramobile Premium, Clamshell"/>
    <s v="Semiconductor Revenue M$"/>
    <x v="6"/>
    <n v="4.9010038836680172"/>
  </r>
  <r>
    <s v="Discrete AI"/>
    <x v="2"/>
    <x v="0"/>
    <s v="PC"/>
    <s v="Ultramobile Basic, Hybrid"/>
    <s v="Semiconductor Revenue M$"/>
    <x v="0"/>
    <n v="0"/>
  </r>
  <r>
    <s v="Discrete AI"/>
    <x v="2"/>
    <x v="0"/>
    <s v="PC"/>
    <s v="Ultramobile Basic, Hybrid"/>
    <s v="Semiconductor Revenue M$"/>
    <x v="1"/>
    <n v="0"/>
  </r>
  <r>
    <s v="Discrete AI"/>
    <x v="2"/>
    <x v="0"/>
    <s v="PC"/>
    <s v="Ultramobile Basic, Hybrid"/>
    <s v="Semiconductor Revenue M$"/>
    <x v="2"/>
    <n v="0"/>
  </r>
  <r>
    <s v="Discrete AI"/>
    <x v="2"/>
    <x v="0"/>
    <s v="PC"/>
    <s v="Ultramobile Basic, Hybrid"/>
    <s v="Semiconductor Revenue M$"/>
    <x v="3"/>
    <n v="0"/>
  </r>
  <r>
    <s v="Discrete AI"/>
    <x v="2"/>
    <x v="0"/>
    <s v="PC"/>
    <s v="Ultramobile Basic, Hybrid"/>
    <s v="Semiconductor Revenue M$"/>
    <x v="4"/>
    <n v="0"/>
  </r>
  <r>
    <s v="Discrete AI"/>
    <x v="2"/>
    <x v="0"/>
    <s v="PC"/>
    <s v="Ultramobile Basic, Hybrid"/>
    <s v="Semiconductor Revenue M$"/>
    <x v="5"/>
    <n v="0"/>
  </r>
  <r>
    <s v="Discrete AI"/>
    <x v="2"/>
    <x v="0"/>
    <s v="PC"/>
    <s v="Ultramobile Basic, Hybrid"/>
    <s v="Semiconductor Revenue M$"/>
    <x v="6"/>
    <n v="0"/>
  </r>
  <r>
    <s v="Discrete AI"/>
    <x v="2"/>
    <x v="0"/>
    <s v="PC"/>
    <s v="Ultramobile Premium, Hybrid"/>
    <s v="Semiconductor Revenue M$"/>
    <x v="0"/>
    <n v="0.30353377002074761"/>
  </r>
  <r>
    <s v="Discrete AI"/>
    <x v="2"/>
    <x v="0"/>
    <s v="PC"/>
    <s v="Ultramobile Premium, Hybrid"/>
    <s v="Semiconductor Revenue M$"/>
    <x v="1"/>
    <n v="0.66144363247220439"/>
  </r>
  <r>
    <s v="Discrete AI"/>
    <x v="2"/>
    <x v="0"/>
    <s v="PC"/>
    <s v="Ultramobile Premium, Hybrid"/>
    <s v="Semiconductor Revenue M$"/>
    <x v="2"/>
    <n v="1.0879762498840402"/>
  </r>
  <r>
    <s v="Discrete AI"/>
    <x v="2"/>
    <x v="0"/>
    <s v="PC"/>
    <s v="Ultramobile Premium, Hybrid"/>
    <s v="Semiconductor Revenue M$"/>
    <x v="3"/>
    <n v="1.5739340295300721"/>
  </r>
  <r>
    <s v="Discrete AI"/>
    <x v="2"/>
    <x v="0"/>
    <s v="PC"/>
    <s v="Ultramobile Premium, Hybrid"/>
    <s v="Semiconductor Revenue M$"/>
    <x v="4"/>
    <n v="2.0015905690909648"/>
  </r>
  <r>
    <s v="Discrete AI"/>
    <x v="2"/>
    <x v="0"/>
    <s v="PC"/>
    <s v="Ultramobile Premium, Hybrid"/>
    <s v="Semiconductor Revenue M$"/>
    <x v="5"/>
    <n v="2.8877510136772231"/>
  </r>
  <r>
    <s v="Discrete AI"/>
    <x v="2"/>
    <x v="0"/>
    <s v="PC"/>
    <s v="Ultramobile Premium, Hybrid"/>
    <s v="Semiconductor Revenue M$"/>
    <x v="6"/>
    <n v="3.1782458771453541"/>
  </r>
  <r>
    <s v="Discrete AI"/>
    <x v="2"/>
    <x v="0"/>
    <s v="PC"/>
    <s v="Notebook"/>
    <s v="Semiconductor Revenue M$"/>
    <x v="0"/>
    <n v="3.1763934056465932"/>
  </r>
  <r>
    <s v="Discrete AI"/>
    <x v="2"/>
    <x v="0"/>
    <s v="PC"/>
    <s v="Notebook"/>
    <s v="Semiconductor Revenue M$"/>
    <x v="1"/>
    <n v="7.5408842488027759"/>
  </r>
  <r>
    <s v="Discrete AI"/>
    <x v="2"/>
    <x v="0"/>
    <s v="PC"/>
    <s v="Notebook"/>
    <s v="Semiconductor Revenue M$"/>
    <x v="2"/>
    <n v="13.025666334256632"/>
  </r>
  <r>
    <s v="Discrete AI"/>
    <x v="2"/>
    <x v="0"/>
    <s v="PC"/>
    <s v="Notebook"/>
    <s v="Semiconductor Revenue M$"/>
    <x v="3"/>
    <n v="19.804476270702956"/>
  </r>
  <r>
    <s v="Discrete AI"/>
    <x v="2"/>
    <x v="0"/>
    <s v="PC"/>
    <s v="Notebook"/>
    <s v="Semiconductor Revenue M$"/>
    <x v="4"/>
    <n v="23.438356151641266"/>
  </r>
  <r>
    <s v="Discrete AI"/>
    <x v="2"/>
    <x v="0"/>
    <s v="PC"/>
    <s v="Notebook"/>
    <s v="Semiconductor Revenue M$"/>
    <x v="5"/>
    <n v="42.308749296948797"/>
  </r>
  <r>
    <s v="Discrete AI"/>
    <x v="2"/>
    <x v="0"/>
    <s v="PC"/>
    <s v="Notebook"/>
    <s v="Semiconductor Revenue M$"/>
    <x v="6"/>
    <n v="54.666131110664779"/>
  </r>
  <r>
    <s v="Discrete AI"/>
    <x v="2"/>
    <x v="0"/>
    <s v="Compute"/>
    <s v="Printer/Copier"/>
    <s v="Semiconductor Revenue M$"/>
    <x v="0"/>
    <n v="0"/>
  </r>
  <r>
    <s v="Discrete AI"/>
    <x v="2"/>
    <x v="0"/>
    <s v="Compute"/>
    <s v="Printer/Copier"/>
    <s v="Semiconductor Revenue M$"/>
    <x v="1"/>
    <n v="0"/>
  </r>
  <r>
    <s v="Discrete AI"/>
    <x v="2"/>
    <x v="0"/>
    <s v="Compute"/>
    <s v="Printer/Copier"/>
    <s v="Semiconductor Revenue M$"/>
    <x v="2"/>
    <n v="0"/>
  </r>
  <r>
    <s v="Discrete AI"/>
    <x v="2"/>
    <x v="0"/>
    <s v="Compute"/>
    <s v="Printer/Copier"/>
    <s v="Semiconductor Revenue M$"/>
    <x v="3"/>
    <n v="0"/>
  </r>
  <r>
    <s v="Discrete AI"/>
    <x v="2"/>
    <x v="0"/>
    <s v="Compute"/>
    <s v="Printer/Copier"/>
    <s v="Semiconductor Revenue M$"/>
    <x v="4"/>
    <n v="0"/>
  </r>
  <r>
    <s v="Discrete AI"/>
    <x v="2"/>
    <x v="0"/>
    <s v="Compute"/>
    <s v="Printer/Copier"/>
    <s v="Semiconductor Revenue M$"/>
    <x v="5"/>
    <n v="0"/>
  </r>
  <r>
    <s v="Discrete AI"/>
    <x v="2"/>
    <x v="0"/>
    <s v="Compute"/>
    <s v="Printer/Copier"/>
    <s v="Semiconductor Revenue M$"/>
    <x v="6"/>
    <n v="0"/>
  </r>
  <r>
    <s v="Discrete AI"/>
    <x v="2"/>
    <x v="0"/>
    <s v="Compute"/>
    <s v="Flash Cards"/>
    <s v="Semiconductor Revenue M$"/>
    <x v="0"/>
    <n v="0"/>
  </r>
  <r>
    <s v="Discrete AI"/>
    <x v="2"/>
    <x v="0"/>
    <s v="Compute"/>
    <s v="Flash Cards"/>
    <s v="Semiconductor Revenue M$"/>
    <x v="1"/>
    <n v="0"/>
  </r>
  <r>
    <s v="Discrete AI"/>
    <x v="2"/>
    <x v="0"/>
    <s v="Compute"/>
    <s v="Flash Cards"/>
    <s v="Semiconductor Revenue M$"/>
    <x v="2"/>
    <n v="0"/>
  </r>
  <r>
    <s v="Discrete AI"/>
    <x v="2"/>
    <x v="0"/>
    <s v="Compute"/>
    <s v="Flash Cards"/>
    <s v="Semiconductor Revenue M$"/>
    <x v="3"/>
    <n v="0"/>
  </r>
  <r>
    <s v="Discrete AI"/>
    <x v="2"/>
    <x v="0"/>
    <s v="Compute"/>
    <s v="Flash Cards"/>
    <s v="Semiconductor Revenue M$"/>
    <x v="4"/>
    <n v="0"/>
  </r>
  <r>
    <s v="Discrete AI"/>
    <x v="2"/>
    <x v="0"/>
    <s v="Compute"/>
    <s v="Flash Cards"/>
    <s v="Semiconductor Revenue M$"/>
    <x v="5"/>
    <n v="0"/>
  </r>
  <r>
    <s v="Discrete AI"/>
    <x v="2"/>
    <x v="0"/>
    <s v="Compute"/>
    <s v="Flash Cards"/>
    <s v="Semiconductor Revenue M$"/>
    <x v="6"/>
    <n v="0"/>
  </r>
  <r>
    <s v="Discrete AI"/>
    <x v="2"/>
    <x v="0"/>
    <s v="Compute"/>
    <s v="USB Flash Drives"/>
    <s v="Semiconductor Revenue M$"/>
    <x v="0"/>
    <n v="0"/>
  </r>
  <r>
    <s v="Discrete AI"/>
    <x v="2"/>
    <x v="0"/>
    <s v="Compute"/>
    <s v="USB Flash Drives"/>
    <s v="Semiconductor Revenue M$"/>
    <x v="1"/>
    <n v="0"/>
  </r>
  <r>
    <s v="Discrete AI"/>
    <x v="2"/>
    <x v="0"/>
    <s v="Compute"/>
    <s v="USB Flash Drives"/>
    <s v="Semiconductor Revenue M$"/>
    <x v="2"/>
    <n v="0"/>
  </r>
  <r>
    <s v="Discrete AI"/>
    <x v="2"/>
    <x v="0"/>
    <s v="Compute"/>
    <s v="USB Flash Drives"/>
    <s v="Semiconductor Revenue M$"/>
    <x v="3"/>
    <n v="0"/>
  </r>
  <r>
    <s v="Discrete AI"/>
    <x v="2"/>
    <x v="0"/>
    <s v="Compute"/>
    <s v="USB Flash Drives"/>
    <s v="Semiconductor Revenue M$"/>
    <x v="4"/>
    <n v="0"/>
  </r>
  <r>
    <s v="Discrete AI"/>
    <x v="2"/>
    <x v="0"/>
    <s v="Compute"/>
    <s v="USB Flash Drives"/>
    <s v="Semiconductor Revenue M$"/>
    <x v="5"/>
    <n v="0"/>
  </r>
  <r>
    <s v="Discrete AI"/>
    <x v="2"/>
    <x v="0"/>
    <s v="Compute"/>
    <s v="USB Flash Drives"/>
    <s v="Semiconductor Revenue M$"/>
    <x v="6"/>
    <n v="0"/>
  </r>
  <r>
    <s v="Discrete AI"/>
    <x v="2"/>
    <x v="0"/>
    <s v="Servers"/>
    <s v="Server, 4 CPU sockets and over"/>
    <s v="Semiconductor Revenue M$"/>
    <x v="0"/>
    <n v="0"/>
  </r>
  <r>
    <s v="Discrete AI"/>
    <x v="2"/>
    <x v="0"/>
    <s v="Servers"/>
    <s v="Server, 4 CPU sockets and over"/>
    <s v="Semiconductor Revenue M$"/>
    <x v="1"/>
    <n v="0"/>
  </r>
  <r>
    <s v="Discrete AI"/>
    <x v="2"/>
    <x v="0"/>
    <s v="Servers"/>
    <s v="Server, 4 CPU sockets and over"/>
    <s v="Semiconductor Revenue M$"/>
    <x v="2"/>
    <n v="0"/>
  </r>
  <r>
    <s v="Discrete AI"/>
    <x v="2"/>
    <x v="0"/>
    <s v="Servers"/>
    <s v="Server, 4 CPU sockets and over"/>
    <s v="Semiconductor Revenue M$"/>
    <x v="3"/>
    <n v="0"/>
  </r>
  <r>
    <s v="Discrete AI"/>
    <x v="2"/>
    <x v="0"/>
    <s v="Servers"/>
    <s v="Server, 4 CPU sockets and over"/>
    <s v="Semiconductor Revenue M$"/>
    <x v="4"/>
    <n v="0"/>
  </r>
  <r>
    <s v="Discrete AI"/>
    <x v="2"/>
    <x v="0"/>
    <s v="Servers"/>
    <s v="Server, 4 CPU sockets and over"/>
    <s v="Semiconductor Revenue M$"/>
    <x v="5"/>
    <n v="0"/>
  </r>
  <r>
    <s v="Discrete AI"/>
    <x v="2"/>
    <x v="0"/>
    <s v="Servers"/>
    <s v="Server, 4 CPU sockets and over"/>
    <s v="Semiconductor Revenue M$"/>
    <x v="6"/>
    <n v="0"/>
  </r>
  <r>
    <s v="Discrete AI"/>
    <x v="2"/>
    <x v="0"/>
    <s v="Servers"/>
    <s v="Server, 2 CPU socket"/>
    <s v="Semiconductor Revenue M$"/>
    <x v="0"/>
    <n v="901.38333629354622"/>
  </r>
  <r>
    <s v="Discrete AI"/>
    <x v="2"/>
    <x v="0"/>
    <s v="Servers"/>
    <s v="Server, 2 CPU socket"/>
    <s v="Semiconductor Revenue M$"/>
    <x v="1"/>
    <n v="1534.3349119398683"/>
  </r>
  <r>
    <s v="Discrete AI"/>
    <x v="2"/>
    <x v="0"/>
    <s v="Servers"/>
    <s v="Server, 2 CPU socket"/>
    <s v="Semiconductor Revenue M$"/>
    <x v="2"/>
    <n v="1834.7926081706703"/>
  </r>
  <r>
    <s v="Discrete AI"/>
    <x v="2"/>
    <x v="0"/>
    <s v="Servers"/>
    <s v="Server, 2 CPU socket"/>
    <s v="Semiconductor Revenue M$"/>
    <x v="3"/>
    <n v="2284.876769968675"/>
  </r>
  <r>
    <s v="Discrete AI"/>
    <x v="2"/>
    <x v="0"/>
    <s v="Servers"/>
    <s v="Server, 2 CPU socket"/>
    <s v="Semiconductor Revenue M$"/>
    <x v="4"/>
    <n v="2646.4550935762904"/>
  </r>
  <r>
    <s v="Discrete AI"/>
    <x v="2"/>
    <x v="0"/>
    <s v="Servers"/>
    <s v="Server, 2 CPU socket"/>
    <s v="Semiconductor Revenue M$"/>
    <x v="5"/>
    <n v="3120.1190592617809"/>
  </r>
  <r>
    <s v="Discrete AI"/>
    <x v="2"/>
    <x v="0"/>
    <s v="Servers"/>
    <s v="Server, 2 CPU socket"/>
    <s v="Semiconductor Revenue M$"/>
    <x v="6"/>
    <n v="3561.7001135982478"/>
  </r>
  <r>
    <s v="Discrete AI"/>
    <x v="2"/>
    <x v="0"/>
    <s v="Servers"/>
    <s v="Server, 1 CPU socket"/>
    <s v="Semiconductor Revenue M$"/>
    <x v="0"/>
    <n v="9.494617210047597"/>
  </r>
  <r>
    <s v="Discrete AI"/>
    <x v="2"/>
    <x v="0"/>
    <s v="Servers"/>
    <s v="Server, 1 CPU socket"/>
    <s v="Semiconductor Revenue M$"/>
    <x v="1"/>
    <n v="27.86425401561592"/>
  </r>
  <r>
    <s v="Discrete AI"/>
    <x v="2"/>
    <x v="0"/>
    <s v="Servers"/>
    <s v="Server, 1 CPU socket"/>
    <s v="Semiconductor Revenue M$"/>
    <x v="2"/>
    <n v="47.842168015370653"/>
  </r>
  <r>
    <s v="Discrete AI"/>
    <x v="2"/>
    <x v="0"/>
    <s v="Servers"/>
    <s v="Server, 1 CPU socket"/>
    <s v="Semiconductor Revenue M$"/>
    <x v="3"/>
    <n v="70.54887102216918"/>
  </r>
  <r>
    <s v="Discrete AI"/>
    <x v="2"/>
    <x v="0"/>
    <s v="Servers"/>
    <s v="Server, 1 CPU socket"/>
    <s v="Semiconductor Revenue M$"/>
    <x v="4"/>
    <n v="179.84243346644644"/>
  </r>
  <r>
    <s v="Discrete AI"/>
    <x v="2"/>
    <x v="0"/>
    <s v="Servers"/>
    <s v="Server, 1 CPU socket"/>
    <s v="Semiconductor Revenue M$"/>
    <x v="5"/>
    <n v="282.39180169201614"/>
  </r>
  <r>
    <s v="Discrete AI"/>
    <x v="2"/>
    <x v="0"/>
    <s v="Servers"/>
    <s v="Server, 1 CPU socket"/>
    <s v="Semiconductor Revenue M$"/>
    <x v="6"/>
    <n v="455.81509213002806"/>
  </r>
  <r>
    <s v="Discrete AI"/>
    <x v="2"/>
    <x v="0"/>
    <s v="Compute"/>
    <s v="Smart Cards"/>
    <s v="Semiconductor Revenue M$"/>
    <x v="0"/>
    <n v="0"/>
  </r>
  <r>
    <s v="Discrete AI"/>
    <x v="2"/>
    <x v="0"/>
    <s v="Compute"/>
    <s v="Smart Cards"/>
    <s v="Semiconductor Revenue M$"/>
    <x v="1"/>
    <n v="0"/>
  </r>
  <r>
    <s v="Discrete AI"/>
    <x v="2"/>
    <x v="0"/>
    <s v="Compute"/>
    <s v="Smart Cards"/>
    <s v="Semiconductor Revenue M$"/>
    <x v="2"/>
    <n v="0"/>
  </r>
  <r>
    <s v="Discrete AI"/>
    <x v="2"/>
    <x v="0"/>
    <s v="Compute"/>
    <s v="Smart Cards"/>
    <s v="Semiconductor Revenue M$"/>
    <x v="3"/>
    <n v="0"/>
  </r>
  <r>
    <s v="Discrete AI"/>
    <x v="2"/>
    <x v="0"/>
    <s v="Compute"/>
    <s v="Smart Cards"/>
    <s v="Semiconductor Revenue M$"/>
    <x v="4"/>
    <n v="0"/>
  </r>
  <r>
    <s v="Discrete AI"/>
    <x v="2"/>
    <x v="0"/>
    <s v="Compute"/>
    <s v="Smart Cards"/>
    <s v="Semiconductor Revenue M$"/>
    <x v="5"/>
    <n v="0"/>
  </r>
  <r>
    <s v="Discrete AI"/>
    <x v="2"/>
    <x v="0"/>
    <s v="Compute"/>
    <s v="Smart Cards"/>
    <s v="Semiconductor Revenue M$"/>
    <x v="6"/>
    <n v="0"/>
  </r>
  <r>
    <s v="Discrete AI"/>
    <x v="2"/>
    <x v="0"/>
    <s v="Servers"/>
    <s v="Accelerator Cards"/>
    <s v="Semiconductor Revenue M$"/>
    <x v="0"/>
    <n v="1627.1040610135983"/>
  </r>
  <r>
    <s v="Discrete AI"/>
    <x v="2"/>
    <x v="0"/>
    <s v="Servers"/>
    <s v="Accelerator Cards"/>
    <s v="Semiconductor Revenue M$"/>
    <x v="1"/>
    <n v="3022.7073235183793"/>
  </r>
  <r>
    <s v="Discrete AI"/>
    <x v="2"/>
    <x v="0"/>
    <s v="Servers"/>
    <s v="Accelerator Cards"/>
    <s v="Semiconductor Revenue M$"/>
    <x v="2"/>
    <n v="3615.4939673171057"/>
  </r>
  <r>
    <s v="Discrete AI"/>
    <x v="2"/>
    <x v="0"/>
    <s v="Servers"/>
    <s v="Accelerator Cards"/>
    <s v="Semiconductor Revenue M$"/>
    <x v="3"/>
    <n v="4145.2037380283691"/>
  </r>
  <r>
    <s v="Discrete AI"/>
    <x v="2"/>
    <x v="0"/>
    <s v="Servers"/>
    <s v="Accelerator Cards"/>
    <s v="Semiconductor Revenue M$"/>
    <x v="4"/>
    <n v="4888.5766873724779"/>
  </r>
  <r>
    <s v="Discrete AI"/>
    <x v="2"/>
    <x v="0"/>
    <s v="Servers"/>
    <s v="Accelerator Cards"/>
    <s v="Semiconductor Revenue M$"/>
    <x v="5"/>
    <n v="5374.3741877283874"/>
  </r>
  <r>
    <s v="Discrete AI"/>
    <x v="2"/>
    <x v="0"/>
    <s v="Servers"/>
    <s v="Accelerator Cards"/>
    <s v="Semiconductor Revenue M$"/>
    <x v="6"/>
    <n v="5843.8725932363204"/>
  </r>
  <r>
    <s v="Discrete AI"/>
    <x v="2"/>
    <x v="1"/>
    <s v="Storage"/>
    <s v="Solid-State ECB"/>
    <s v="Semiconductor Revenue M$"/>
    <x v="0"/>
    <n v="0"/>
  </r>
  <r>
    <s v="Discrete AI"/>
    <x v="2"/>
    <x v="1"/>
    <s v="Storage"/>
    <s v="Solid-State ECB"/>
    <s v="Semiconductor Revenue M$"/>
    <x v="1"/>
    <n v="0"/>
  </r>
  <r>
    <s v="Discrete AI"/>
    <x v="2"/>
    <x v="1"/>
    <s v="Storage"/>
    <s v="Solid-State ECB"/>
    <s v="Semiconductor Revenue M$"/>
    <x v="2"/>
    <n v="0"/>
  </r>
  <r>
    <s v="Discrete AI"/>
    <x v="2"/>
    <x v="1"/>
    <s v="Storage"/>
    <s v="Solid-State ECB"/>
    <s v="Semiconductor Revenue M$"/>
    <x v="3"/>
    <n v="0"/>
  </r>
  <r>
    <s v="Discrete AI"/>
    <x v="2"/>
    <x v="1"/>
    <s v="Storage"/>
    <s v="Solid-State ECB"/>
    <s v="Semiconductor Revenue M$"/>
    <x v="4"/>
    <n v="0"/>
  </r>
  <r>
    <s v="Discrete AI"/>
    <x v="2"/>
    <x v="1"/>
    <s v="Storage"/>
    <s v="Solid-State ECB"/>
    <s v="Semiconductor Revenue M$"/>
    <x v="5"/>
    <n v="0"/>
  </r>
  <r>
    <s v="Discrete AI"/>
    <x v="2"/>
    <x v="1"/>
    <s v="Storage"/>
    <s v="Solid-State ECB"/>
    <s v="Semiconductor Revenue M$"/>
    <x v="6"/>
    <n v="0"/>
  </r>
  <r>
    <s v="Discrete AI"/>
    <x v="2"/>
    <x v="1"/>
    <s v="Storage"/>
    <s v="Other ECB (HDD/Hybrid)"/>
    <s v="Semiconductor Revenue M$"/>
    <x v="0"/>
    <n v="0"/>
  </r>
  <r>
    <s v="Discrete AI"/>
    <x v="2"/>
    <x v="1"/>
    <s v="Storage"/>
    <s v="Other ECB (HDD/Hybrid)"/>
    <s v="Semiconductor Revenue M$"/>
    <x v="1"/>
    <n v="0"/>
  </r>
  <r>
    <s v="Discrete AI"/>
    <x v="2"/>
    <x v="1"/>
    <s v="Storage"/>
    <s v="Other ECB (HDD/Hybrid)"/>
    <s v="Semiconductor Revenue M$"/>
    <x v="2"/>
    <n v="0"/>
  </r>
  <r>
    <s v="Discrete AI"/>
    <x v="2"/>
    <x v="1"/>
    <s v="Storage"/>
    <s v="Other ECB (HDD/Hybrid)"/>
    <s v="Semiconductor Revenue M$"/>
    <x v="3"/>
    <n v="0"/>
  </r>
  <r>
    <s v="Discrete AI"/>
    <x v="2"/>
    <x v="1"/>
    <s v="Storage"/>
    <s v="Other ECB (HDD/Hybrid)"/>
    <s v="Semiconductor Revenue M$"/>
    <x v="4"/>
    <n v="0"/>
  </r>
  <r>
    <s v="Discrete AI"/>
    <x v="2"/>
    <x v="1"/>
    <s v="Storage"/>
    <s v="Other ECB (HDD/Hybrid)"/>
    <s v="Semiconductor Revenue M$"/>
    <x v="5"/>
    <n v="0"/>
  </r>
  <r>
    <s v="Discrete AI"/>
    <x v="2"/>
    <x v="1"/>
    <s v="Storage"/>
    <s v="Other ECB (HDD/Hybrid)"/>
    <s v="Semiconductor Revenue M$"/>
    <x v="6"/>
    <n v="0"/>
  </r>
  <r>
    <s v="Discrete AI"/>
    <x v="2"/>
    <x v="1"/>
    <s v="Storage"/>
    <s v="Storage Network Infrastructure"/>
    <s v="Semiconductor Revenue M$"/>
    <x v="0"/>
    <n v="0"/>
  </r>
  <r>
    <s v="Discrete AI"/>
    <x v="2"/>
    <x v="1"/>
    <s v="Storage"/>
    <s v="Storage Network Infrastructure"/>
    <s v="Semiconductor Revenue M$"/>
    <x v="1"/>
    <n v="0"/>
  </r>
  <r>
    <s v="Discrete AI"/>
    <x v="2"/>
    <x v="1"/>
    <s v="Storage"/>
    <s v="Storage Network Infrastructure"/>
    <s v="Semiconductor Revenue M$"/>
    <x v="2"/>
    <n v="0"/>
  </r>
  <r>
    <s v="Discrete AI"/>
    <x v="2"/>
    <x v="1"/>
    <s v="Storage"/>
    <s v="Storage Network Infrastructure"/>
    <s v="Semiconductor Revenue M$"/>
    <x v="3"/>
    <n v="0"/>
  </r>
  <r>
    <s v="Discrete AI"/>
    <x v="2"/>
    <x v="1"/>
    <s v="Storage"/>
    <s v="Storage Network Infrastructure"/>
    <s v="Semiconductor Revenue M$"/>
    <x v="4"/>
    <n v="0"/>
  </r>
  <r>
    <s v="Discrete AI"/>
    <x v="2"/>
    <x v="1"/>
    <s v="Storage"/>
    <s v="Storage Network Infrastructure"/>
    <s v="Semiconductor Revenue M$"/>
    <x v="5"/>
    <n v="0"/>
  </r>
  <r>
    <s v="Discrete AI"/>
    <x v="2"/>
    <x v="1"/>
    <s v="Storage"/>
    <s v="Storage Network Infrastructure"/>
    <s v="Semiconductor Revenue M$"/>
    <x v="6"/>
    <n v="0"/>
  </r>
  <r>
    <s v="Discrete AI"/>
    <x v="2"/>
    <x v="1"/>
    <s v="Storage"/>
    <s v="Hard Disk Drive"/>
    <s v="Semiconductor Revenue M$"/>
    <x v="0"/>
    <n v="0"/>
  </r>
  <r>
    <s v="Discrete AI"/>
    <x v="2"/>
    <x v="1"/>
    <s v="Storage"/>
    <s v="Hard Disk Drive"/>
    <s v="Semiconductor Revenue M$"/>
    <x v="1"/>
    <n v="0"/>
  </r>
  <r>
    <s v="Discrete AI"/>
    <x v="2"/>
    <x v="1"/>
    <s v="Storage"/>
    <s v="Hard Disk Drive"/>
    <s v="Semiconductor Revenue M$"/>
    <x v="2"/>
    <n v="0"/>
  </r>
  <r>
    <s v="Discrete AI"/>
    <x v="2"/>
    <x v="1"/>
    <s v="Storage"/>
    <s v="Hard Disk Drive"/>
    <s v="Semiconductor Revenue M$"/>
    <x v="3"/>
    <n v="0"/>
  </r>
  <r>
    <s v="Discrete AI"/>
    <x v="2"/>
    <x v="1"/>
    <s v="Storage"/>
    <s v="Hard Disk Drive"/>
    <s v="Semiconductor Revenue M$"/>
    <x v="4"/>
    <n v="0"/>
  </r>
  <r>
    <s v="Discrete AI"/>
    <x v="2"/>
    <x v="1"/>
    <s v="Storage"/>
    <s v="Hard Disk Drive"/>
    <s v="Semiconductor Revenue M$"/>
    <x v="5"/>
    <n v="0"/>
  </r>
  <r>
    <s v="Discrete AI"/>
    <x v="2"/>
    <x v="1"/>
    <s v="Storage"/>
    <s v="Hard Disk Drive"/>
    <s v="Semiconductor Revenue M$"/>
    <x v="6"/>
    <n v="0"/>
  </r>
  <r>
    <s v="Discrete AI"/>
    <x v="2"/>
    <x v="1"/>
    <s v="Storage"/>
    <s v="Solid-State Drives"/>
    <s v="Semiconductor Revenue M$"/>
    <x v="0"/>
    <n v="0"/>
  </r>
  <r>
    <s v="Discrete AI"/>
    <x v="2"/>
    <x v="1"/>
    <s v="Storage"/>
    <s v="Solid-State Drives"/>
    <s v="Semiconductor Revenue M$"/>
    <x v="1"/>
    <n v="0"/>
  </r>
  <r>
    <s v="Discrete AI"/>
    <x v="2"/>
    <x v="1"/>
    <s v="Storage"/>
    <s v="Solid-State Drives"/>
    <s v="Semiconductor Revenue M$"/>
    <x v="2"/>
    <n v="0"/>
  </r>
  <r>
    <s v="Discrete AI"/>
    <x v="2"/>
    <x v="1"/>
    <s v="Storage"/>
    <s v="Solid-State Drives"/>
    <s v="Semiconductor Revenue M$"/>
    <x v="3"/>
    <n v="0"/>
  </r>
  <r>
    <s v="Discrete AI"/>
    <x v="2"/>
    <x v="1"/>
    <s v="Storage"/>
    <s v="Solid-State Drives"/>
    <s v="Semiconductor Revenue M$"/>
    <x v="4"/>
    <n v="0"/>
  </r>
  <r>
    <s v="Discrete AI"/>
    <x v="2"/>
    <x v="1"/>
    <s v="Storage"/>
    <s v="Solid-State Drives"/>
    <s v="Semiconductor Revenue M$"/>
    <x v="5"/>
    <n v="0"/>
  </r>
  <r>
    <s v="Discrete AI"/>
    <x v="2"/>
    <x v="1"/>
    <s v="Storage"/>
    <s v="Solid-State Drives"/>
    <s v="Semiconductor Revenue M$"/>
    <x v="6"/>
    <n v="0"/>
  </r>
  <r>
    <s v="Discrete AI"/>
    <x v="2"/>
    <x v="1"/>
    <s v="Storage"/>
    <s v="Other Storage Media"/>
    <s v="Semiconductor Revenue M$"/>
    <x v="0"/>
    <n v="0"/>
  </r>
  <r>
    <s v="Discrete AI"/>
    <x v="2"/>
    <x v="1"/>
    <s v="Storage"/>
    <s v="Other Storage Media"/>
    <s v="Semiconductor Revenue M$"/>
    <x v="1"/>
    <n v="0"/>
  </r>
  <r>
    <s v="Discrete AI"/>
    <x v="2"/>
    <x v="1"/>
    <s v="Storage"/>
    <s v="Other Storage Media"/>
    <s v="Semiconductor Revenue M$"/>
    <x v="2"/>
    <n v="0"/>
  </r>
  <r>
    <s v="Discrete AI"/>
    <x v="2"/>
    <x v="1"/>
    <s v="Storage"/>
    <s v="Other Storage Media"/>
    <s v="Semiconductor Revenue M$"/>
    <x v="3"/>
    <n v="0"/>
  </r>
  <r>
    <s v="Discrete AI"/>
    <x v="2"/>
    <x v="1"/>
    <s v="Storage"/>
    <s v="Other Storage Media"/>
    <s v="Semiconductor Revenue M$"/>
    <x v="4"/>
    <n v="0"/>
  </r>
  <r>
    <s v="Discrete AI"/>
    <x v="2"/>
    <x v="1"/>
    <s v="Storage"/>
    <s v="Other Storage Media"/>
    <s v="Semiconductor Revenue M$"/>
    <x v="5"/>
    <n v="0"/>
  </r>
  <r>
    <s v="Discrete AI"/>
    <x v="2"/>
    <x v="1"/>
    <s v="Storage"/>
    <s v="Other Storage Media"/>
    <s v="Semiconductor Revenue M$"/>
    <x v="6"/>
    <n v="0"/>
  </r>
  <r>
    <s v="Discrete AI"/>
    <x v="2"/>
    <x v="1"/>
    <s v="Storage"/>
    <s v="Other Storage Electronics"/>
    <s v="Semiconductor Revenue M$"/>
    <x v="0"/>
    <n v="0"/>
  </r>
  <r>
    <s v="Discrete AI"/>
    <x v="2"/>
    <x v="1"/>
    <s v="Storage"/>
    <s v="Other Storage Electronics"/>
    <s v="Semiconductor Revenue M$"/>
    <x v="1"/>
    <n v="0"/>
  </r>
  <r>
    <s v="Discrete AI"/>
    <x v="2"/>
    <x v="1"/>
    <s v="Storage"/>
    <s v="Other Storage Electronics"/>
    <s v="Semiconductor Revenue M$"/>
    <x v="2"/>
    <n v="0"/>
  </r>
  <r>
    <s v="Discrete AI"/>
    <x v="2"/>
    <x v="1"/>
    <s v="Storage"/>
    <s v="Other Storage Electronics"/>
    <s v="Semiconductor Revenue M$"/>
    <x v="3"/>
    <n v="0"/>
  </r>
  <r>
    <s v="Discrete AI"/>
    <x v="2"/>
    <x v="1"/>
    <s v="Storage"/>
    <s v="Other Storage Electronics"/>
    <s v="Semiconductor Revenue M$"/>
    <x v="4"/>
    <n v="0"/>
  </r>
  <r>
    <s v="Discrete AI"/>
    <x v="2"/>
    <x v="1"/>
    <s v="Storage"/>
    <s v="Other Storage Electronics"/>
    <s v="Semiconductor Revenue M$"/>
    <x v="5"/>
    <n v="0"/>
  </r>
  <r>
    <s v="Discrete AI"/>
    <x v="2"/>
    <x v="1"/>
    <s v="Storage"/>
    <s v="Other Storage Electronics"/>
    <s v="Semiconductor Revenue M$"/>
    <x v="6"/>
    <n v="0"/>
  </r>
  <r>
    <s v="Discrete AI"/>
    <x v="2"/>
    <x v="2"/>
    <s v="Wireless Communications Electronics"/>
    <s v="Utility Traditional Phone"/>
    <s v="Semiconductor Revenue M$"/>
    <x v="0"/>
    <n v="0"/>
  </r>
  <r>
    <s v="Discrete AI"/>
    <x v="2"/>
    <x v="2"/>
    <s v="Wireless Communications Electronics"/>
    <s v="Utility Traditional Phone"/>
    <s v="Semiconductor Revenue M$"/>
    <x v="1"/>
    <n v="0"/>
  </r>
  <r>
    <s v="Discrete AI"/>
    <x v="2"/>
    <x v="2"/>
    <s v="Wireless Communications Electronics"/>
    <s v="Utility Traditional Phone"/>
    <s v="Semiconductor Revenue M$"/>
    <x v="2"/>
    <n v="0"/>
  </r>
  <r>
    <s v="Discrete AI"/>
    <x v="2"/>
    <x v="2"/>
    <s v="Wireless Communications Electronics"/>
    <s v="Utility Traditional Phone"/>
    <s v="Semiconductor Revenue M$"/>
    <x v="3"/>
    <n v="0"/>
  </r>
  <r>
    <s v="Discrete AI"/>
    <x v="2"/>
    <x v="2"/>
    <s v="Wireless Communications Electronics"/>
    <s v="Utility Traditional Phone"/>
    <s v="Semiconductor Revenue M$"/>
    <x v="4"/>
    <n v="0"/>
  </r>
  <r>
    <s v="Discrete AI"/>
    <x v="2"/>
    <x v="2"/>
    <s v="Wireless Communications Electronics"/>
    <s v="Utility Traditional Phone"/>
    <s v="Semiconductor Revenue M$"/>
    <x v="5"/>
    <n v="0"/>
  </r>
  <r>
    <s v="Discrete AI"/>
    <x v="2"/>
    <x v="2"/>
    <s v="Wireless Communications Electronics"/>
    <s v="Utility Traditional Phone"/>
    <s v="Semiconductor Revenue M$"/>
    <x v="6"/>
    <n v="0"/>
  </r>
  <r>
    <s v="Discrete AI"/>
    <x v="2"/>
    <x v="2"/>
    <s v="Wireless Communications Electronics"/>
    <s v="Basic Smartphone"/>
    <s v="Semiconductor Revenue M$"/>
    <x v="0"/>
    <n v="0"/>
  </r>
  <r>
    <s v="Discrete AI"/>
    <x v="2"/>
    <x v="2"/>
    <s v="Wireless Communications Electronics"/>
    <s v="Basic Smartphone"/>
    <s v="Semiconductor Revenue M$"/>
    <x v="1"/>
    <n v="0"/>
  </r>
  <r>
    <s v="Discrete AI"/>
    <x v="2"/>
    <x v="2"/>
    <s v="Wireless Communications Electronics"/>
    <s v="Basic Smartphone"/>
    <s v="Semiconductor Revenue M$"/>
    <x v="2"/>
    <n v="0"/>
  </r>
  <r>
    <s v="Discrete AI"/>
    <x v="2"/>
    <x v="2"/>
    <s v="Wireless Communications Electronics"/>
    <s v="Basic Smartphone"/>
    <s v="Semiconductor Revenue M$"/>
    <x v="3"/>
    <n v="0"/>
  </r>
  <r>
    <s v="Discrete AI"/>
    <x v="2"/>
    <x v="2"/>
    <s v="Wireless Communications Electronics"/>
    <s v="Basic Smartphone"/>
    <s v="Semiconductor Revenue M$"/>
    <x v="4"/>
    <n v="0"/>
  </r>
  <r>
    <s v="Discrete AI"/>
    <x v="2"/>
    <x v="2"/>
    <s v="Wireless Communications Electronics"/>
    <s v="Basic Smartphone"/>
    <s v="Semiconductor Revenue M$"/>
    <x v="5"/>
    <n v="0"/>
  </r>
  <r>
    <s v="Discrete AI"/>
    <x v="2"/>
    <x v="2"/>
    <s v="Wireless Communications Electronics"/>
    <s v="Basic Smartphone"/>
    <s v="Semiconductor Revenue M$"/>
    <x v="6"/>
    <n v="0"/>
  </r>
  <r>
    <s v="Discrete AI"/>
    <x v="2"/>
    <x v="2"/>
    <s v="Wireless Communications Electronics"/>
    <s v="Utility Smartphone"/>
    <s v="Semiconductor Revenue M$"/>
    <x v="0"/>
    <n v="0"/>
  </r>
  <r>
    <s v="Discrete AI"/>
    <x v="2"/>
    <x v="2"/>
    <s v="Wireless Communications Electronics"/>
    <s v="Utility Smartphone"/>
    <s v="Semiconductor Revenue M$"/>
    <x v="1"/>
    <n v="0"/>
  </r>
  <r>
    <s v="Discrete AI"/>
    <x v="2"/>
    <x v="2"/>
    <s v="Wireless Communications Electronics"/>
    <s v="Utility Smartphone"/>
    <s v="Semiconductor Revenue M$"/>
    <x v="2"/>
    <n v="0"/>
  </r>
  <r>
    <s v="Discrete AI"/>
    <x v="2"/>
    <x v="2"/>
    <s v="Wireless Communications Electronics"/>
    <s v="Utility Smartphone"/>
    <s v="Semiconductor Revenue M$"/>
    <x v="3"/>
    <n v="0"/>
  </r>
  <r>
    <s v="Discrete AI"/>
    <x v="2"/>
    <x v="2"/>
    <s v="Wireless Communications Electronics"/>
    <s v="Utility Smartphone"/>
    <s v="Semiconductor Revenue M$"/>
    <x v="4"/>
    <n v="0"/>
  </r>
  <r>
    <s v="Discrete AI"/>
    <x v="2"/>
    <x v="2"/>
    <s v="Wireless Communications Electronics"/>
    <s v="Utility Smartphone"/>
    <s v="Semiconductor Revenue M$"/>
    <x v="5"/>
    <n v="0"/>
  </r>
  <r>
    <s v="Discrete AI"/>
    <x v="2"/>
    <x v="2"/>
    <s v="Wireless Communications Electronics"/>
    <s v="Utility Smartphone"/>
    <s v="Semiconductor Revenue M$"/>
    <x v="6"/>
    <n v="0"/>
  </r>
  <r>
    <s v="Discrete AI"/>
    <x v="2"/>
    <x v="2"/>
    <s v="Wireless Communications Electronics"/>
    <s v="Premium Smartphone"/>
    <s v="Semiconductor Revenue M$"/>
    <x v="0"/>
    <n v="0"/>
  </r>
  <r>
    <s v="Discrete AI"/>
    <x v="2"/>
    <x v="2"/>
    <s v="Wireless Communications Electronics"/>
    <s v="Premium Smartphone"/>
    <s v="Semiconductor Revenue M$"/>
    <x v="1"/>
    <n v="0"/>
  </r>
  <r>
    <s v="Discrete AI"/>
    <x v="2"/>
    <x v="2"/>
    <s v="Wireless Communications Electronics"/>
    <s v="Premium Smartphone"/>
    <s v="Semiconductor Revenue M$"/>
    <x v="2"/>
    <n v="0"/>
  </r>
  <r>
    <s v="Discrete AI"/>
    <x v="2"/>
    <x v="2"/>
    <s v="Wireless Communications Electronics"/>
    <s v="Premium Smartphone"/>
    <s v="Semiconductor Revenue M$"/>
    <x v="3"/>
    <n v="0"/>
  </r>
  <r>
    <s v="Discrete AI"/>
    <x v="2"/>
    <x v="2"/>
    <s v="Wireless Communications Electronics"/>
    <s v="Premium Smartphone"/>
    <s v="Semiconductor Revenue M$"/>
    <x v="4"/>
    <n v="0"/>
  </r>
  <r>
    <s v="Discrete AI"/>
    <x v="2"/>
    <x v="2"/>
    <s v="Wireless Communications Electronics"/>
    <s v="Premium Smartphone"/>
    <s v="Semiconductor Revenue M$"/>
    <x v="5"/>
    <n v="0"/>
  </r>
  <r>
    <s v="Discrete AI"/>
    <x v="2"/>
    <x v="2"/>
    <s v="Wireless Communications Electronics"/>
    <s v="Premium Smartphone"/>
    <s v="Semiconductor Revenue M$"/>
    <x v="6"/>
    <n v="0"/>
  </r>
  <r>
    <s v="Discrete AI"/>
    <x v="2"/>
    <x v="3"/>
    <s v="Automotive Electronics"/>
    <s v="ADAS-ECU (Level-2+/3/4)"/>
    <s v="Semiconductor Revenue M$"/>
    <x v="0"/>
    <n v="22.950221184728715"/>
  </r>
  <r>
    <s v="Discrete AI"/>
    <x v="2"/>
    <x v="3"/>
    <s v="Automotive Electronics"/>
    <s v="ADAS-ECU (Level-2+/3/4)"/>
    <s v="Semiconductor Revenue M$"/>
    <x v="1"/>
    <n v="25.222272057345467"/>
  </r>
  <r>
    <s v="Discrete AI"/>
    <x v="2"/>
    <x v="3"/>
    <s v="Automotive Electronics"/>
    <s v="ADAS-ECU (Level-2+/3/4)"/>
    <s v="Semiconductor Revenue M$"/>
    <x v="2"/>
    <n v="41.028198278192242"/>
  </r>
  <r>
    <s v="Discrete AI"/>
    <x v="2"/>
    <x v="3"/>
    <s v="Automotive Electronics"/>
    <s v="ADAS-ECU (Level-2+/3/4)"/>
    <s v="Semiconductor Revenue M$"/>
    <x v="3"/>
    <n v="44.31668496872652"/>
  </r>
  <r>
    <s v="Discrete AI"/>
    <x v="2"/>
    <x v="3"/>
    <s v="Automotive Electronics"/>
    <s v="ADAS-ECU (Level-2+/3/4)"/>
    <s v="Semiconductor Revenue M$"/>
    <x v="4"/>
    <n v="55.915221453577395"/>
  </r>
  <r>
    <s v="Discrete AI"/>
    <x v="2"/>
    <x v="3"/>
    <s v="Automotive Electronics"/>
    <s v="ADAS-ECU (Level-2+/3/4)"/>
    <s v="Semiconductor Revenue M$"/>
    <x v="5"/>
    <n v="79.946967589044078"/>
  </r>
  <r>
    <s v="Discrete AI"/>
    <x v="2"/>
    <x v="3"/>
    <s v="Automotive Electronics"/>
    <s v="ADAS-ECU (Level-2+/3/4)"/>
    <s v="Semiconductor Revenue M$"/>
    <x v="6"/>
    <n v="94.686823625890668"/>
  </r>
  <r>
    <s v="Discrete AI"/>
    <x v="2"/>
    <x v="2"/>
    <s v="Wireless Communications Electronics"/>
    <s v="Mobile Infrastructure - Base Station Equipment"/>
    <s v="Semiconductor Revenue M$"/>
    <x v="0"/>
    <n v="0"/>
  </r>
  <r>
    <s v="Discrete AI"/>
    <x v="2"/>
    <x v="2"/>
    <s v="Wireless Communications Electronics"/>
    <s v="Mobile Infrastructure - Base Station Equipment"/>
    <s v="Semiconductor Revenue M$"/>
    <x v="1"/>
    <n v="0"/>
  </r>
  <r>
    <s v="Discrete AI"/>
    <x v="2"/>
    <x v="2"/>
    <s v="Wireless Communications Electronics"/>
    <s v="Mobile Infrastructure - Base Station Equipment"/>
    <s v="Semiconductor Revenue M$"/>
    <x v="2"/>
    <n v="3.8255394671576459E-2"/>
  </r>
  <r>
    <s v="Discrete AI"/>
    <x v="2"/>
    <x v="2"/>
    <s v="Wireless Communications Electronics"/>
    <s v="Mobile Infrastructure - Base Station Equipment"/>
    <s v="Semiconductor Revenue M$"/>
    <x v="3"/>
    <n v="9.7672388115727898E-2"/>
  </r>
  <r>
    <s v="Discrete AI"/>
    <x v="2"/>
    <x v="2"/>
    <s v="Wireless Communications Electronics"/>
    <s v="Mobile Infrastructure - Base Station Equipment"/>
    <s v="Semiconductor Revenue M$"/>
    <x v="4"/>
    <n v="0.17748260511698039"/>
  </r>
  <r>
    <s v="Discrete AI"/>
    <x v="2"/>
    <x v="2"/>
    <s v="Wireless Communications Electronics"/>
    <s v="Mobile Infrastructure - Base Station Equipment"/>
    <s v="Semiconductor Revenue M$"/>
    <x v="5"/>
    <n v="0.26613211481419868"/>
  </r>
  <r>
    <s v="Discrete AI"/>
    <x v="2"/>
    <x v="2"/>
    <s v="Wireless Communications Electronics"/>
    <s v="Mobile Infrastructure - Base Station Equipment"/>
    <s v="Semiconductor Revenue M$"/>
    <x v="6"/>
    <n v="0.35079550186149289"/>
  </r>
  <r>
    <s v="Discrete AI"/>
    <x v="2"/>
    <x v="2"/>
    <s v="Wireless Communications Electronics"/>
    <s v="Wireless LAN Infrastructure"/>
    <s v="Semiconductor Revenue M$"/>
    <x v="0"/>
    <n v="0"/>
  </r>
  <r>
    <s v="Discrete AI"/>
    <x v="2"/>
    <x v="2"/>
    <s v="Wireless Communications Electronics"/>
    <s v="Wireless LAN Infrastructure"/>
    <s v="Semiconductor Revenue M$"/>
    <x v="1"/>
    <n v="0"/>
  </r>
  <r>
    <s v="Discrete AI"/>
    <x v="2"/>
    <x v="2"/>
    <s v="Wireless Communications Electronics"/>
    <s v="Wireless LAN Infrastructure"/>
    <s v="Semiconductor Revenue M$"/>
    <x v="2"/>
    <n v="0"/>
  </r>
  <r>
    <s v="Discrete AI"/>
    <x v="2"/>
    <x v="2"/>
    <s v="Wireless Communications Electronics"/>
    <s v="Wireless LAN Infrastructure"/>
    <s v="Semiconductor Revenue M$"/>
    <x v="3"/>
    <n v="0"/>
  </r>
  <r>
    <s v="Discrete AI"/>
    <x v="2"/>
    <x v="2"/>
    <s v="Wireless Communications Electronics"/>
    <s v="Wireless LAN Infrastructure"/>
    <s v="Semiconductor Revenue M$"/>
    <x v="4"/>
    <n v="0"/>
  </r>
  <r>
    <s v="Discrete AI"/>
    <x v="2"/>
    <x v="2"/>
    <s v="Wireless Communications Electronics"/>
    <s v="Wireless LAN Infrastructure"/>
    <s v="Semiconductor Revenue M$"/>
    <x v="5"/>
    <n v="0"/>
  </r>
  <r>
    <s v="Discrete AI"/>
    <x v="2"/>
    <x v="2"/>
    <s v="Wireless Communications Electronics"/>
    <s v="Wireless LAN Infrastructure"/>
    <s v="Semiconductor Revenue M$"/>
    <x v="6"/>
    <n v="0"/>
  </r>
  <r>
    <s v="Discrete AI"/>
    <x v="2"/>
    <x v="2"/>
    <s v="Wireless Communications Electronics"/>
    <s v="Cellular Modems"/>
    <s v="Semiconductor Revenue M$"/>
    <x v="0"/>
    <n v="0"/>
  </r>
  <r>
    <s v="Discrete AI"/>
    <x v="2"/>
    <x v="2"/>
    <s v="Wireless Communications Electronics"/>
    <s v="Cellular Modems"/>
    <s v="Semiconductor Revenue M$"/>
    <x v="1"/>
    <n v="0"/>
  </r>
  <r>
    <s v="Discrete AI"/>
    <x v="2"/>
    <x v="2"/>
    <s v="Wireless Communications Electronics"/>
    <s v="Cellular Modems"/>
    <s v="Semiconductor Revenue M$"/>
    <x v="2"/>
    <n v="0"/>
  </r>
  <r>
    <s v="Discrete AI"/>
    <x v="2"/>
    <x v="2"/>
    <s v="Wireless Communications Electronics"/>
    <s v="Cellular Modems"/>
    <s v="Semiconductor Revenue M$"/>
    <x v="3"/>
    <n v="0"/>
  </r>
  <r>
    <s v="Discrete AI"/>
    <x v="2"/>
    <x v="2"/>
    <s v="Wireless Communications Electronics"/>
    <s v="Cellular Modems"/>
    <s v="Semiconductor Revenue M$"/>
    <x v="4"/>
    <n v="0"/>
  </r>
  <r>
    <s v="Discrete AI"/>
    <x v="2"/>
    <x v="2"/>
    <s v="Wireless Communications Electronics"/>
    <s v="Cellular Modems"/>
    <s v="Semiconductor Revenue M$"/>
    <x v="5"/>
    <n v="0"/>
  </r>
  <r>
    <s v="Discrete AI"/>
    <x v="2"/>
    <x v="2"/>
    <s v="Wireless Communications Electronics"/>
    <s v="Cellular Modems"/>
    <s v="Semiconductor Revenue M$"/>
    <x v="6"/>
    <n v="0"/>
  </r>
  <r>
    <s v="Discrete AI"/>
    <x v="2"/>
    <x v="2"/>
    <s v="Wireless Communications Electronics"/>
    <s v="Other Wireless Communications Electronics"/>
    <s v="Semiconductor Revenue M$"/>
    <x v="0"/>
    <n v="0"/>
  </r>
  <r>
    <s v="Discrete AI"/>
    <x v="2"/>
    <x v="2"/>
    <s v="Wireless Communications Electronics"/>
    <s v="Other Wireless Communications Electronics"/>
    <s v="Semiconductor Revenue M$"/>
    <x v="1"/>
    <n v="0"/>
  </r>
  <r>
    <s v="Discrete AI"/>
    <x v="2"/>
    <x v="2"/>
    <s v="Wireless Communications Electronics"/>
    <s v="Other Wireless Communications Electronics"/>
    <s v="Semiconductor Revenue M$"/>
    <x v="2"/>
    <n v="0"/>
  </r>
  <r>
    <s v="Discrete AI"/>
    <x v="2"/>
    <x v="2"/>
    <s v="Wireless Communications Electronics"/>
    <s v="Other Wireless Communications Electronics"/>
    <s v="Semiconductor Revenue M$"/>
    <x v="3"/>
    <n v="0"/>
  </r>
  <r>
    <s v="Discrete AI"/>
    <x v="2"/>
    <x v="2"/>
    <s v="Wireless Communications Electronics"/>
    <s v="Other Wireless Communications Electronics"/>
    <s v="Semiconductor Revenue M$"/>
    <x v="4"/>
    <n v="0"/>
  </r>
  <r>
    <s v="Discrete AI"/>
    <x v="2"/>
    <x v="2"/>
    <s v="Wireless Communications Electronics"/>
    <s v="Other Wireless Communications Electronics"/>
    <s v="Semiconductor Revenue M$"/>
    <x v="5"/>
    <n v="0"/>
  </r>
  <r>
    <s v="Discrete AI"/>
    <x v="2"/>
    <x v="2"/>
    <s v="Wireless Communications Electronics"/>
    <s v="Other Wireless Communications Electronics"/>
    <s v="Semiconductor Revenue M$"/>
    <x v="6"/>
    <n v="0"/>
  </r>
  <r>
    <s v="Discrete AI"/>
    <x v="2"/>
    <x v="2"/>
    <s v="Wired Communications Electronics"/>
    <s v="DSL Broadband Access"/>
    <s v="Semiconductor Revenue M$"/>
    <x v="0"/>
    <n v="0"/>
  </r>
  <r>
    <s v="Discrete AI"/>
    <x v="2"/>
    <x v="2"/>
    <s v="Wired Communications Electronics"/>
    <s v="DSL Broadband Access"/>
    <s v="Semiconductor Revenue M$"/>
    <x v="1"/>
    <n v="0"/>
  </r>
  <r>
    <s v="Discrete AI"/>
    <x v="2"/>
    <x v="2"/>
    <s v="Wired Communications Electronics"/>
    <s v="DSL Broadband Access"/>
    <s v="Semiconductor Revenue M$"/>
    <x v="2"/>
    <n v="0"/>
  </r>
  <r>
    <s v="Discrete AI"/>
    <x v="2"/>
    <x v="2"/>
    <s v="Wired Communications Electronics"/>
    <s v="DSL Broadband Access"/>
    <s v="Semiconductor Revenue M$"/>
    <x v="3"/>
    <n v="0"/>
  </r>
  <r>
    <s v="Discrete AI"/>
    <x v="2"/>
    <x v="2"/>
    <s v="Wired Communications Electronics"/>
    <s v="DSL Broadband Access"/>
    <s v="Semiconductor Revenue M$"/>
    <x v="4"/>
    <n v="0"/>
  </r>
  <r>
    <s v="Discrete AI"/>
    <x v="2"/>
    <x v="2"/>
    <s v="Wired Communications Electronics"/>
    <s v="DSL Broadband Access"/>
    <s v="Semiconductor Revenue M$"/>
    <x v="5"/>
    <n v="0"/>
  </r>
  <r>
    <s v="Discrete AI"/>
    <x v="2"/>
    <x v="2"/>
    <s v="Wired Communications Electronics"/>
    <s v="DSL Broadband Access"/>
    <s v="Semiconductor Revenue M$"/>
    <x v="6"/>
    <n v="0"/>
  </r>
  <r>
    <s v="Discrete AI"/>
    <x v="2"/>
    <x v="2"/>
    <s v="Wired Communications Electronics"/>
    <s v="Fiber Broadband Access"/>
    <s v="Semiconductor Revenue M$"/>
    <x v="0"/>
    <n v="0"/>
  </r>
  <r>
    <s v="Discrete AI"/>
    <x v="2"/>
    <x v="2"/>
    <s v="Wired Communications Electronics"/>
    <s v="Fiber Broadband Access"/>
    <s v="Semiconductor Revenue M$"/>
    <x v="1"/>
    <n v="0"/>
  </r>
  <r>
    <s v="Discrete AI"/>
    <x v="2"/>
    <x v="2"/>
    <s v="Wired Communications Electronics"/>
    <s v="Fiber Broadband Access"/>
    <s v="Semiconductor Revenue M$"/>
    <x v="2"/>
    <n v="0"/>
  </r>
  <r>
    <s v="Discrete AI"/>
    <x v="2"/>
    <x v="2"/>
    <s v="Wired Communications Electronics"/>
    <s v="Fiber Broadband Access"/>
    <s v="Semiconductor Revenue M$"/>
    <x v="3"/>
    <n v="0"/>
  </r>
  <r>
    <s v="Discrete AI"/>
    <x v="2"/>
    <x v="2"/>
    <s v="Wired Communications Electronics"/>
    <s v="Fiber Broadband Access"/>
    <s v="Semiconductor Revenue M$"/>
    <x v="4"/>
    <n v="0"/>
  </r>
  <r>
    <s v="Discrete AI"/>
    <x v="2"/>
    <x v="2"/>
    <s v="Wired Communications Electronics"/>
    <s v="Fiber Broadband Access"/>
    <s v="Semiconductor Revenue M$"/>
    <x v="5"/>
    <n v="0"/>
  </r>
  <r>
    <s v="Discrete AI"/>
    <x v="2"/>
    <x v="2"/>
    <s v="Wired Communications Electronics"/>
    <s v="Fiber Broadband Access"/>
    <s v="Semiconductor Revenue M$"/>
    <x v="6"/>
    <n v="0"/>
  </r>
  <r>
    <s v="Discrete AI"/>
    <x v="2"/>
    <x v="2"/>
    <s v="Wired Communications Electronics"/>
    <s v="Other Broadband Access"/>
    <s v="Semiconductor Revenue M$"/>
    <x v="0"/>
    <n v="0"/>
  </r>
  <r>
    <s v="Discrete AI"/>
    <x v="2"/>
    <x v="2"/>
    <s v="Wired Communications Electronics"/>
    <s v="Other Broadband Access"/>
    <s v="Semiconductor Revenue M$"/>
    <x v="1"/>
    <n v="0"/>
  </r>
  <r>
    <s v="Discrete AI"/>
    <x v="2"/>
    <x v="2"/>
    <s v="Wired Communications Electronics"/>
    <s v="Other Broadband Access"/>
    <s v="Semiconductor Revenue M$"/>
    <x v="2"/>
    <n v="0"/>
  </r>
  <r>
    <s v="Discrete AI"/>
    <x v="2"/>
    <x v="2"/>
    <s v="Wired Communications Electronics"/>
    <s v="Other Broadband Access"/>
    <s v="Semiconductor Revenue M$"/>
    <x v="3"/>
    <n v="0"/>
  </r>
  <r>
    <s v="Discrete AI"/>
    <x v="2"/>
    <x v="2"/>
    <s v="Wired Communications Electronics"/>
    <s v="Other Broadband Access"/>
    <s v="Semiconductor Revenue M$"/>
    <x v="4"/>
    <n v="0"/>
  </r>
  <r>
    <s v="Discrete AI"/>
    <x v="2"/>
    <x v="2"/>
    <s v="Wired Communications Electronics"/>
    <s v="Other Broadband Access"/>
    <s v="Semiconductor Revenue M$"/>
    <x v="5"/>
    <n v="0"/>
  </r>
  <r>
    <s v="Discrete AI"/>
    <x v="2"/>
    <x v="2"/>
    <s v="Wired Communications Electronics"/>
    <s v="Other Broadband Access"/>
    <s v="Semiconductor Revenue M$"/>
    <x v="6"/>
    <n v="0"/>
  </r>
  <r>
    <s v="Discrete AI"/>
    <x v="2"/>
    <x v="2"/>
    <s v="Wired Communications Electronics"/>
    <s v="Enterprise LAN"/>
    <s v="Semiconductor Revenue M$"/>
    <x v="0"/>
    <n v="0"/>
  </r>
  <r>
    <s v="Discrete AI"/>
    <x v="2"/>
    <x v="2"/>
    <s v="Wired Communications Electronics"/>
    <s v="Enterprise LAN"/>
    <s v="Semiconductor Revenue M$"/>
    <x v="1"/>
    <n v="0"/>
  </r>
  <r>
    <s v="Discrete AI"/>
    <x v="2"/>
    <x v="2"/>
    <s v="Wired Communications Electronics"/>
    <s v="Enterprise LAN"/>
    <s v="Semiconductor Revenue M$"/>
    <x v="2"/>
    <n v="2.7271224701540267E-2"/>
  </r>
  <r>
    <s v="Discrete AI"/>
    <x v="2"/>
    <x v="2"/>
    <s v="Wired Communications Electronics"/>
    <s v="Enterprise LAN"/>
    <s v="Semiconductor Revenue M$"/>
    <x v="3"/>
    <n v="5.5141987667884661E-2"/>
  </r>
  <r>
    <s v="Discrete AI"/>
    <x v="2"/>
    <x v="2"/>
    <s v="Wired Communications Electronics"/>
    <s v="Enterprise LAN"/>
    <s v="Semiconductor Revenue M$"/>
    <x v="4"/>
    <n v="9.0943035864233787E-2"/>
  </r>
  <r>
    <s v="Discrete AI"/>
    <x v="2"/>
    <x v="2"/>
    <s v="Wired Communications Electronics"/>
    <s v="Enterprise LAN"/>
    <s v="Semiconductor Revenue M$"/>
    <x v="5"/>
    <n v="0.19425772795298943"/>
  </r>
  <r>
    <s v="Discrete AI"/>
    <x v="2"/>
    <x v="2"/>
    <s v="Wired Communications Electronics"/>
    <s v="Enterprise LAN"/>
    <s v="Semiconductor Revenue M$"/>
    <x v="6"/>
    <n v="0.33487109521655983"/>
  </r>
  <r>
    <s v="Discrete AI"/>
    <x v="2"/>
    <x v="3"/>
    <s v="Automotive Electronics"/>
    <s v="ADAS-ECU (Level-0/1/2)"/>
    <s v="Semiconductor Revenue M$"/>
    <x v="0"/>
    <n v="0"/>
  </r>
  <r>
    <s v="Discrete AI"/>
    <x v="2"/>
    <x v="3"/>
    <s v="Automotive Electronics"/>
    <s v="ADAS-ECU (Level-0/1/2)"/>
    <s v="Semiconductor Revenue M$"/>
    <x v="1"/>
    <n v="0"/>
  </r>
  <r>
    <s v="Discrete AI"/>
    <x v="2"/>
    <x v="3"/>
    <s v="Automotive Electronics"/>
    <s v="ADAS-ECU (Level-0/1/2)"/>
    <s v="Semiconductor Revenue M$"/>
    <x v="2"/>
    <n v="0"/>
  </r>
  <r>
    <s v="Discrete AI"/>
    <x v="2"/>
    <x v="3"/>
    <s v="Automotive Electronics"/>
    <s v="ADAS-ECU (Level-0/1/2)"/>
    <s v="Semiconductor Revenue M$"/>
    <x v="3"/>
    <n v="0"/>
  </r>
  <r>
    <s v="Discrete AI"/>
    <x v="2"/>
    <x v="3"/>
    <s v="Automotive Electronics"/>
    <s v="ADAS-ECU (Level-0/1/2)"/>
    <s v="Semiconductor Revenue M$"/>
    <x v="4"/>
    <n v="0"/>
  </r>
  <r>
    <s v="Discrete AI"/>
    <x v="2"/>
    <x v="3"/>
    <s v="Automotive Electronics"/>
    <s v="ADAS-ECU (Level-0/1/2)"/>
    <s v="Semiconductor Revenue M$"/>
    <x v="5"/>
    <n v="0"/>
  </r>
  <r>
    <s v="Discrete AI"/>
    <x v="2"/>
    <x v="3"/>
    <s v="Automotive Electronics"/>
    <s v="ADAS-ECU (Level-0/1/2)"/>
    <s v="Semiconductor Revenue M$"/>
    <x v="6"/>
    <n v="0"/>
  </r>
  <r>
    <s v="Discrete AI"/>
    <x v="2"/>
    <x v="2"/>
    <s v="Wired Communications Electronics"/>
    <s v="Enterprise WAN"/>
    <s v="Semiconductor Revenue M$"/>
    <x v="0"/>
    <n v="0"/>
  </r>
  <r>
    <s v="Discrete AI"/>
    <x v="2"/>
    <x v="2"/>
    <s v="Wired Communications Electronics"/>
    <s v="Enterprise WAN"/>
    <s v="Semiconductor Revenue M$"/>
    <x v="1"/>
    <n v="0"/>
  </r>
  <r>
    <s v="Discrete AI"/>
    <x v="2"/>
    <x v="2"/>
    <s v="Wired Communications Electronics"/>
    <s v="Enterprise WAN"/>
    <s v="Semiconductor Revenue M$"/>
    <x v="2"/>
    <n v="0"/>
  </r>
  <r>
    <s v="Discrete AI"/>
    <x v="2"/>
    <x v="2"/>
    <s v="Wired Communications Electronics"/>
    <s v="Enterprise WAN"/>
    <s v="Semiconductor Revenue M$"/>
    <x v="3"/>
    <n v="0"/>
  </r>
  <r>
    <s v="Discrete AI"/>
    <x v="2"/>
    <x v="2"/>
    <s v="Wired Communications Electronics"/>
    <s v="Enterprise WAN"/>
    <s v="Semiconductor Revenue M$"/>
    <x v="4"/>
    <n v="0"/>
  </r>
  <r>
    <s v="Discrete AI"/>
    <x v="2"/>
    <x v="2"/>
    <s v="Wired Communications Electronics"/>
    <s v="Enterprise WAN"/>
    <s v="Semiconductor Revenue M$"/>
    <x v="5"/>
    <n v="0"/>
  </r>
  <r>
    <s v="Discrete AI"/>
    <x v="2"/>
    <x v="2"/>
    <s v="Wired Communications Electronics"/>
    <s v="Enterprise WAN"/>
    <s v="Semiconductor Revenue M$"/>
    <x v="6"/>
    <n v="0"/>
  </r>
  <r>
    <s v="Discrete AI"/>
    <x v="2"/>
    <x v="2"/>
    <s v="Wired Communications Electronics"/>
    <s v="Optical Transport"/>
    <s v="Semiconductor Revenue M$"/>
    <x v="0"/>
    <n v="0"/>
  </r>
  <r>
    <s v="Discrete AI"/>
    <x v="2"/>
    <x v="2"/>
    <s v="Wired Communications Electronics"/>
    <s v="Optical Transport"/>
    <s v="Semiconductor Revenue M$"/>
    <x v="1"/>
    <n v="0"/>
  </r>
  <r>
    <s v="Discrete AI"/>
    <x v="2"/>
    <x v="2"/>
    <s v="Wired Communications Electronics"/>
    <s v="Optical Transport"/>
    <s v="Semiconductor Revenue M$"/>
    <x v="2"/>
    <n v="0"/>
  </r>
  <r>
    <s v="Discrete AI"/>
    <x v="2"/>
    <x v="2"/>
    <s v="Wired Communications Electronics"/>
    <s v="Optical Transport"/>
    <s v="Semiconductor Revenue M$"/>
    <x v="3"/>
    <n v="0"/>
  </r>
  <r>
    <s v="Discrete AI"/>
    <x v="2"/>
    <x v="2"/>
    <s v="Wired Communications Electronics"/>
    <s v="Optical Transport"/>
    <s v="Semiconductor Revenue M$"/>
    <x v="4"/>
    <n v="0"/>
  </r>
  <r>
    <s v="Discrete AI"/>
    <x v="2"/>
    <x v="2"/>
    <s v="Wired Communications Electronics"/>
    <s v="Optical Transport"/>
    <s v="Semiconductor Revenue M$"/>
    <x v="5"/>
    <n v="0"/>
  </r>
  <r>
    <s v="Discrete AI"/>
    <x v="2"/>
    <x v="2"/>
    <s v="Wired Communications Electronics"/>
    <s v="Optical Transport"/>
    <s v="Semiconductor Revenue M$"/>
    <x v="6"/>
    <n v="0"/>
  </r>
  <r>
    <s v="Discrete AI"/>
    <x v="2"/>
    <x v="2"/>
    <s v="Wired Communications Electronics"/>
    <s v="Service Provider Routers and Switches"/>
    <s v="Semiconductor Revenue M$"/>
    <x v="0"/>
    <n v="0"/>
  </r>
  <r>
    <s v="Discrete AI"/>
    <x v="2"/>
    <x v="2"/>
    <s v="Wired Communications Electronics"/>
    <s v="Service Provider Routers and Switches"/>
    <s v="Semiconductor Revenue M$"/>
    <x v="1"/>
    <n v="0"/>
  </r>
  <r>
    <s v="Discrete AI"/>
    <x v="2"/>
    <x v="2"/>
    <s v="Wired Communications Electronics"/>
    <s v="Service Provider Routers and Switches"/>
    <s v="Semiconductor Revenue M$"/>
    <x v="2"/>
    <n v="0"/>
  </r>
  <r>
    <s v="Discrete AI"/>
    <x v="2"/>
    <x v="2"/>
    <s v="Wired Communications Electronics"/>
    <s v="Service Provider Routers and Switches"/>
    <s v="Semiconductor Revenue M$"/>
    <x v="3"/>
    <n v="0"/>
  </r>
  <r>
    <s v="Discrete AI"/>
    <x v="2"/>
    <x v="2"/>
    <s v="Wired Communications Electronics"/>
    <s v="Service Provider Routers and Switches"/>
    <s v="Semiconductor Revenue M$"/>
    <x v="4"/>
    <n v="0"/>
  </r>
  <r>
    <s v="Discrete AI"/>
    <x v="2"/>
    <x v="2"/>
    <s v="Wired Communications Electronics"/>
    <s v="Service Provider Routers and Switches"/>
    <s v="Semiconductor Revenue M$"/>
    <x v="5"/>
    <n v="0"/>
  </r>
  <r>
    <s v="Discrete AI"/>
    <x v="2"/>
    <x v="2"/>
    <s v="Wired Communications Electronics"/>
    <s v="Service Provider Routers and Switches"/>
    <s v="Semiconductor Revenue M$"/>
    <x v="6"/>
    <n v="0"/>
  </r>
  <r>
    <s v="Discrete AI"/>
    <x v="2"/>
    <x v="2"/>
    <s v="Wired Communications Electronics"/>
    <s v="Other Wired Communications Electronics"/>
    <s v="Semiconductor Revenue M$"/>
    <x v="0"/>
    <n v="0"/>
  </r>
  <r>
    <s v="Discrete AI"/>
    <x v="2"/>
    <x v="2"/>
    <s v="Wired Communications Electronics"/>
    <s v="Other Wired Communications Electronics"/>
    <s v="Semiconductor Revenue M$"/>
    <x v="1"/>
    <n v="0"/>
  </r>
  <r>
    <s v="Discrete AI"/>
    <x v="2"/>
    <x v="2"/>
    <s v="Wired Communications Electronics"/>
    <s v="Other Wired Communications Electronics"/>
    <s v="Semiconductor Revenue M$"/>
    <x v="2"/>
    <n v="0"/>
  </r>
  <r>
    <s v="Discrete AI"/>
    <x v="2"/>
    <x v="2"/>
    <s v="Wired Communications Electronics"/>
    <s v="Other Wired Communications Electronics"/>
    <s v="Semiconductor Revenue M$"/>
    <x v="3"/>
    <n v="0"/>
  </r>
  <r>
    <s v="Discrete AI"/>
    <x v="2"/>
    <x v="2"/>
    <s v="Wired Communications Electronics"/>
    <s v="Other Wired Communications Electronics"/>
    <s v="Semiconductor Revenue M$"/>
    <x v="4"/>
    <n v="0"/>
  </r>
  <r>
    <s v="Discrete AI"/>
    <x v="2"/>
    <x v="2"/>
    <s v="Wired Communications Electronics"/>
    <s v="Other Wired Communications Electronics"/>
    <s v="Semiconductor Revenue M$"/>
    <x v="5"/>
    <n v="0"/>
  </r>
  <r>
    <s v="Discrete AI"/>
    <x v="2"/>
    <x v="2"/>
    <s v="Wired Communications Electronics"/>
    <s v="Other Wired Communications Electronics"/>
    <s v="Semiconductor Revenue M$"/>
    <x v="6"/>
    <n v="0"/>
  </r>
  <r>
    <s v="Discrete AI"/>
    <x v="2"/>
    <x v="4"/>
    <s v="Consumer Electronics"/>
    <s v="Appliances"/>
    <s v="Semiconductor Revenue M$"/>
    <x v="0"/>
    <n v="0"/>
  </r>
  <r>
    <s v="Discrete AI"/>
    <x v="2"/>
    <x v="4"/>
    <s v="Consumer Electronics"/>
    <s v="Appliances"/>
    <s v="Semiconductor Revenue M$"/>
    <x v="1"/>
    <n v="0"/>
  </r>
  <r>
    <s v="Discrete AI"/>
    <x v="2"/>
    <x v="4"/>
    <s v="Consumer Electronics"/>
    <s v="Appliances"/>
    <s v="Semiconductor Revenue M$"/>
    <x v="2"/>
    <n v="0"/>
  </r>
  <r>
    <s v="Discrete AI"/>
    <x v="2"/>
    <x v="4"/>
    <s v="Consumer Electronics"/>
    <s v="Appliances"/>
    <s v="Semiconductor Revenue M$"/>
    <x v="3"/>
    <n v="0"/>
  </r>
  <r>
    <s v="Discrete AI"/>
    <x v="2"/>
    <x v="4"/>
    <s v="Consumer Electronics"/>
    <s v="Appliances"/>
    <s v="Semiconductor Revenue M$"/>
    <x v="4"/>
    <n v="0"/>
  </r>
  <r>
    <s v="Discrete AI"/>
    <x v="2"/>
    <x v="4"/>
    <s v="Consumer Electronics"/>
    <s v="Appliances"/>
    <s v="Semiconductor Revenue M$"/>
    <x v="5"/>
    <n v="0"/>
  </r>
  <r>
    <s v="Discrete AI"/>
    <x v="2"/>
    <x v="4"/>
    <s v="Consumer Electronics"/>
    <s v="Appliances"/>
    <s v="Semiconductor Revenue M$"/>
    <x v="6"/>
    <n v="0"/>
  </r>
  <r>
    <s v="Discrete AI"/>
    <x v="2"/>
    <x v="4"/>
    <s v="Consumer Electronics"/>
    <s v="Digital Camcorder"/>
    <s v="Semiconductor Revenue M$"/>
    <x v="0"/>
    <n v="0"/>
  </r>
  <r>
    <s v="Discrete AI"/>
    <x v="2"/>
    <x v="4"/>
    <s v="Consumer Electronics"/>
    <s v="Digital Camcorder"/>
    <s v="Semiconductor Revenue M$"/>
    <x v="1"/>
    <n v="0"/>
  </r>
  <r>
    <s v="Discrete AI"/>
    <x v="2"/>
    <x v="4"/>
    <s v="Consumer Electronics"/>
    <s v="Digital Camcorder"/>
    <s v="Semiconductor Revenue M$"/>
    <x v="2"/>
    <n v="0"/>
  </r>
  <r>
    <s v="Discrete AI"/>
    <x v="2"/>
    <x v="4"/>
    <s v="Consumer Electronics"/>
    <s v="Digital Camcorder"/>
    <s v="Semiconductor Revenue M$"/>
    <x v="3"/>
    <n v="0"/>
  </r>
  <r>
    <s v="Discrete AI"/>
    <x v="2"/>
    <x v="4"/>
    <s v="Consumer Electronics"/>
    <s v="Digital Camcorder"/>
    <s v="Semiconductor Revenue M$"/>
    <x v="4"/>
    <n v="0"/>
  </r>
  <r>
    <s v="Discrete AI"/>
    <x v="2"/>
    <x v="4"/>
    <s v="Consumer Electronics"/>
    <s v="Digital Camcorder"/>
    <s v="Semiconductor Revenue M$"/>
    <x v="5"/>
    <n v="0"/>
  </r>
  <r>
    <s v="Discrete AI"/>
    <x v="2"/>
    <x v="4"/>
    <s v="Consumer Electronics"/>
    <s v="Digital Camcorder"/>
    <s v="Semiconductor Revenue M$"/>
    <x v="6"/>
    <n v="0"/>
  </r>
  <r>
    <s v="Discrete AI"/>
    <x v="2"/>
    <x v="4"/>
    <s v="Consumer Electronics"/>
    <s v="Digital Set-Top Box, Cable"/>
    <s v="Semiconductor Revenue M$"/>
    <x v="0"/>
    <n v="0"/>
  </r>
  <r>
    <s v="Discrete AI"/>
    <x v="2"/>
    <x v="4"/>
    <s v="Consumer Electronics"/>
    <s v="Digital Set-Top Box, Cable"/>
    <s v="Semiconductor Revenue M$"/>
    <x v="1"/>
    <n v="0"/>
  </r>
  <r>
    <s v="Discrete AI"/>
    <x v="2"/>
    <x v="4"/>
    <s v="Consumer Electronics"/>
    <s v="Digital Set-Top Box, Cable"/>
    <s v="Semiconductor Revenue M$"/>
    <x v="2"/>
    <n v="0"/>
  </r>
  <r>
    <s v="Discrete AI"/>
    <x v="2"/>
    <x v="4"/>
    <s v="Consumer Electronics"/>
    <s v="Digital Set-Top Box, Cable"/>
    <s v="Semiconductor Revenue M$"/>
    <x v="3"/>
    <n v="0"/>
  </r>
  <r>
    <s v="Discrete AI"/>
    <x v="2"/>
    <x v="4"/>
    <s v="Consumer Electronics"/>
    <s v="Digital Set-Top Box, Cable"/>
    <s v="Semiconductor Revenue M$"/>
    <x v="4"/>
    <n v="0"/>
  </r>
  <r>
    <s v="Discrete AI"/>
    <x v="2"/>
    <x v="4"/>
    <s v="Consumer Electronics"/>
    <s v="Digital Set-Top Box, Cable"/>
    <s v="Semiconductor Revenue M$"/>
    <x v="5"/>
    <n v="0"/>
  </r>
  <r>
    <s v="Discrete AI"/>
    <x v="2"/>
    <x v="4"/>
    <s v="Consumer Electronics"/>
    <s v="Digital Set-Top Box, Cable"/>
    <s v="Semiconductor Revenue M$"/>
    <x v="6"/>
    <n v="0"/>
  </r>
  <r>
    <s v="Discrete AI"/>
    <x v="2"/>
    <x v="4"/>
    <s v="Consumer Electronics"/>
    <s v="Digital Set-Top Box, Satellite"/>
    <s v="Semiconductor Revenue M$"/>
    <x v="0"/>
    <n v="0"/>
  </r>
  <r>
    <s v="Discrete AI"/>
    <x v="2"/>
    <x v="4"/>
    <s v="Consumer Electronics"/>
    <s v="Digital Set-Top Box, Satellite"/>
    <s v="Semiconductor Revenue M$"/>
    <x v="1"/>
    <n v="0"/>
  </r>
  <r>
    <s v="Discrete AI"/>
    <x v="2"/>
    <x v="4"/>
    <s v="Consumer Electronics"/>
    <s v="Digital Set-Top Box, Satellite"/>
    <s v="Semiconductor Revenue M$"/>
    <x v="2"/>
    <n v="0"/>
  </r>
  <r>
    <s v="Discrete AI"/>
    <x v="2"/>
    <x v="4"/>
    <s v="Consumer Electronics"/>
    <s v="Digital Set-Top Box, Satellite"/>
    <s v="Semiconductor Revenue M$"/>
    <x v="3"/>
    <n v="0"/>
  </r>
  <r>
    <s v="Discrete AI"/>
    <x v="2"/>
    <x v="4"/>
    <s v="Consumer Electronics"/>
    <s v="Digital Set-Top Box, Satellite"/>
    <s v="Semiconductor Revenue M$"/>
    <x v="4"/>
    <n v="0"/>
  </r>
  <r>
    <s v="Discrete AI"/>
    <x v="2"/>
    <x v="4"/>
    <s v="Consumer Electronics"/>
    <s v="Digital Set-Top Box, Satellite"/>
    <s v="Semiconductor Revenue M$"/>
    <x v="5"/>
    <n v="0"/>
  </r>
  <r>
    <s v="Discrete AI"/>
    <x v="2"/>
    <x v="4"/>
    <s v="Consumer Electronics"/>
    <s v="Digital Set-Top Box, Satellite"/>
    <s v="Semiconductor Revenue M$"/>
    <x v="6"/>
    <n v="0"/>
  </r>
  <r>
    <s v="Discrete AI"/>
    <x v="2"/>
    <x v="4"/>
    <s v="Consumer Electronics"/>
    <s v="Digital Set-Top Box, Terrestrial"/>
    <s v="Semiconductor Revenue M$"/>
    <x v="0"/>
    <n v="0"/>
  </r>
  <r>
    <s v="Discrete AI"/>
    <x v="2"/>
    <x v="4"/>
    <s v="Consumer Electronics"/>
    <s v="Digital Set-Top Box, Terrestrial"/>
    <s v="Semiconductor Revenue M$"/>
    <x v="1"/>
    <n v="0"/>
  </r>
  <r>
    <s v="Discrete AI"/>
    <x v="2"/>
    <x v="4"/>
    <s v="Consumer Electronics"/>
    <s v="Digital Set-Top Box, Terrestrial"/>
    <s v="Semiconductor Revenue M$"/>
    <x v="2"/>
    <n v="0"/>
  </r>
  <r>
    <s v="Discrete AI"/>
    <x v="2"/>
    <x v="4"/>
    <s v="Consumer Electronics"/>
    <s v="Digital Set-Top Box, Terrestrial"/>
    <s v="Semiconductor Revenue M$"/>
    <x v="3"/>
    <n v="0"/>
  </r>
  <r>
    <s v="Discrete AI"/>
    <x v="2"/>
    <x v="4"/>
    <s v="Consumer Electronics"/>
    <s v="Digital Set-Top Box, Terrestrial"/>
    <s v="Semiconductor Revenue M$"/>
    <x v="4"/>
    <n v="0"/>
  </r>
  <r>
    <s v="Discrete AI"/>
    <x v="2"/>
    <x v="4"/>
    <s v="Consumer Electronics"/>
    <s v="Digital Set-Top Box, Terrestrial"/>
    <s v="Semiconductor Revenue M$"/>
    <x v="5"/>
    <n v="0"/>
  </r>
  <r>
    <s v="Discrete AI"/>
    <x v="2"/>
    <x v="4"/>
    <s v="Consumer Electronics"/>
    <s v="Digital Set-Top Box, Terrestrial"/>
    <s v="Semiconductor Revenue M$"/>
    <x v="6"/>
    <n v="0"/>
  </r>
  <r>
    <s v="Discrete AI"/>
    <x v="2"/>
    <x v="4"/>
    <s v="Consumer Electronics"/>
    <s v="Digital Set-Top Box, IP/Other"/>
    <s v="Semiconductor Revenue M$"/>
    <x v="0"/>
    <n v="0"/>
  </r>
  <r>
    <s v="Discrete AI"/>
    <x v="2"/>
    <x v="4"/>
    <s v="Consumer Electronics"/>
    <s v="Digital Set-Top Box, IP/Other"/>
    <s v="Semiconductor Revenue M$"/>
    <x v="1"/>
    <n v="0"/>
  </r>
  <r>
    <s v="Discrete AI"/>
    <x v="2"/>
    <x v="4"/>
    <s v="Consumer Electronics"/>
    <s v="Digital Set-Top Box, IP/Other"/>
    <s v="Semiconductor Revenue M$"/>
    <x v="2"/>
    <n v="0"/>
  </r>
  <r>
    <s v="Discrete AI"/>
    <x v="2"/>
    <x v="4"/>
    <s v="Consumer Electronics"/>
    <s v="Digital Set-Top Box, IP/Other"/>
    <s v="Semiconductor Revenue M$"/>
    <x v="3"/>
    <n v="0"/>
  </r>
  <r>
    <s v="Discrete AI"/>
    <x v="2"/>
    <x v="4"/>
    <s v="Consumer Electronics"/>
    <s v="Digital Set-Top Box, IP/Other"/>
    <s v="Semiconductor Revenue M$"/>
    <x v="4"/>
    <n v="0"/>
  </r>
  <r>
    <s v="Discrete AI"/>
    <x v="2"/>
    <x v="4"/>
    <s v="Consumer Electronics"/>
    <s v="Digital Set-Top Box, IP/Other"/>
    <s v="Semiconductor Revenue M$"/>
    <x v="5"/>
    <n v="0"/>
  </r>
  <r>
    <s v="Discrete AI"/>
    <x v="2"/>
    <x v="4"/>
    <s v="Consumer Electronics"/>
    <s v="Digital Set-Top Box, IP/Other"/>
    <s v="Semiconductor Revenue M$"/>
    <x v="6"/>
    <n v="0"/>
  </r>
  <r>
    <s v="Discrete AI"/>
    <x v="2"/>
    <x v="4"/>
    <s v="Consumer Electronics"/>
    <s v="Digital Still Camera"/>
    <s v="Semiconductor Revenue M$"/>
    <x v="0"/>
    <n v="0"/>
  </r>
  <r>
    <s v="Discrete AI"/>
    <x v="2"/>
    <x v="4"/>
    <s v="Consumer Electronics"/>
    <s v="Digital Still Camera"/>
    <s v="Semiconductor Revenue M$"/>
    <x v="1"/>
    <n v="0"/>
  </r>
  <r>
    <s v="Discrete AI"/>
    <x v="2"/>
    <x v="4"/>
    <s v="Consumer Electronics"/>
    <s v="Digital Still Camera"/>
    <s v="Semiconductor Revenue M$"/>
    <x v="2"/>
    <n v="0"/>
  </r>
  <r>
    <s v="Discrete AI"/>
    <x v="2"/>
    <x v="4"/>
    <s v="Consumer Electronics"/>
    <s v="Digital Still Camera"/>
    <s v="Semiconductor Revenue M$"/>
    <x v="3"/>
    <n v="0"/>
  </r>
  <r>
    <s v="Discrete AI"/>
    <x v="2"/>
    <x v="4"/>
    <s v="Consumer Electronics"/>
    <s v="Digital Still Camera"/>
    <s v="Semiconductor Revenue M$"/>
    <x v="4"/>
    <n v="0"/>
  </r>
  <r>
    <s v="Discrete AI"/>
    <x v="2"/>
    <x v="4"/>
    <s v="Consumer Electronics"/>
    <s v="Digital Still Camera"/>
    <s v="Semiconductor Revenue M$"/>
    <x v="5"/>
    <n v="0"/>
  </r>
  <r>
    <s v="Discrete AI"/>
    <x v="2"/>
    <x v="4"/>
    <s v="Consumer Electronics"/>
    <s v="Digital Still Camera"/>
    <s v="Semiconductor Revenue M$"/>
    <x v="6"/>
    <n v="0"/>
  </r>
  <r>
    <s v="Discrete AI"/>
    <x v="2"/>
    <x v="5"/>
    <s v="Industrial Electronics"/>
    <s v="Agriculture"/>
    <s v="Semiconductor Revenue M$"/>
    <x v="0"/>
    <n v="0"/>
  </r>
  <r>
    <s v="Discrete AI"/>
    <x v="2"/>
    <x v="5"/>
    <s v="Industrial Electronics"/>
    <s v="Agriculture"/>
    <s v="Semiconductor Revenue M$"/>
    <x v="1"/>
    <n v="0"/>
  </r>
  <r>
    <s v="Discrete AI"/>
    <x v="2"/>
    <x v="5"/>
    <s v="Industrial Electronics"/>
    <s v="Agriculture"/>
    <s v="Semiconductor Revenue M$"/>
    <x v="2"/>
    <n v="0"/>
  </r>
  <r>
    <s v="Discrete AI"/>
    <x v="2"/>
    <x v="5"/>
    <s v="Industrial Electronics"/>
    <s v="Agriculture"/>
    <s v="Semiconductor Revenue M$"/>
    <x v="3"/>
    <n v="0"/>
  </r>
  <r>
    <s v="Discrete AI"/>
    <x v="2"/>
    <x v="5"/>
    <s v="Industrial Electronics"/>
    <s v="Agriculture"/>
    <s v="Semiconductor Revenue M$"/>
    <x v="4"/>
    <n v="0"/>
  </r>
  <r>
    <s v="Discrete AI"/>
    <x v="2"/>
    <x v="5"/>
    <s v="Industrial Electronics"/>
    <s v="Agriculture"/>
    <s v="Semiconductor Revenue M$"/>
    <x v="5"/>
    <n v="0"/>
  </r>
  <r>
    <s v="Discrete AI"/>
    <x v="2"/>
    <x v="5"/>
    <s v="Industrial Electronics"/>
    <s v="Agriculture"/>
    <s v="Semiconductor Revenue M$"/>
    <x v="6"/>
    <n v="0"/>
  </r>
  <r>
    <s v="Discrete AI"/>
    <x v="2"/>
    <x v="3"/>
    <s v="Automotive Electronics"/>
    <s v="Automotive HPC"/>
    <s v="Semiconductor Revenue M$"/>
    <x v="0"/>
    <n v="0"/>
  </r>
  <r>
    <s v="Discrete AI"/>
    <x v="2"/>
    <x v="3"/>
    <s v="Automotive Electronics"/>
    <s v="Automotive HPC"/>
    <s v="Semiconductor Revenue M$"/>
    <x v="1"/>
    <n v="0"/>
  </r>
  <r>
    <s v="Discrete AI"/>
    <x v="2"/>
    <x v="3"/>
    <s v="Automotive Electronics"/>
    <s v="Automotive HPC"/>
    <s v="Semiconductor Revenue M$"/>
    <x v="2"/>
    <n v="0"/>
  </r>
  <r>
    <s v="Discrete AI"/>
    <x v="2"/>
    <x v="3"/>
    <s v="Automotive Electronics"/>
    <s v="Automotive HPC"/>
    <s v="Semiconductor Revenue M$"/>
    <x v="3"/>
    <n v="0"/>
  </r>
  <r>
    <s v="Discrete AI"/>
    <x v="2"/>
    <x v="3"/>
    <s v="Automotive Electronics"/>
    <s v="Automotive HPC"/>
    <s v="Semiconductor Revenue M$"/>
    <x v="4"/>
    <n v="0"/>
  </r>
  <r>
    <s v="Discrete AI"/>
    <x v="2"/>
    <x v="3"/>
    <s v="Automotive Electronics"/>
    <s v="Automotive HPC"/>
    <s v="Semiconductor Revenue M$"/>
    <x v="5"/>
    <n v="0"/>
  </r>
  <r>
    <s v="Discrete AI"/>
    <x v="2"/>
    <x v="3"/>
    <s v="Automotive Electronics"/>
    <s v="Automotive HPC"/>
    <s v="Semiconductor Revenue M$"/>
    <x v="6"/>
    <n v="0"/>
  </r>
  <r>
    <s v="Discrete AI"/>
    <x v="2"/>
    <x v="5"/>
    <s v="Industrial Electronics"/>
    <s v="Surveillance"/>
    <s v="Semiconductor Revenue M$"/>
    <x v="0"/>
    <n v="0.3171261055964118"/>
  </r>
  <r>
    <s v="Discrete AI"/>
    <x v="2"/>
    <x v="5"/>
    <s v="Industrial Electronics"/>
    <s v="Surveillance"/>
    <s v="Semiconductor Revenue M$"/>
    <x v="1"/>
    <n v="0.72070442874352025"/>
  </r>
  <r>
    <s v="Discrete AI"/>
    <x v="2"/>
    <x v="5"/>
    <s v="Industrial Electronics"/>
    <s v="Surveillance"/>
    <s v="Semiconductor Revenue M$"/>
    <x v="2"/>
    <n v="1.2751987166834022"/>
  </r>
  <r>
    <s v="Discrete AI"/>
    <x v="2"/>
    <x v="5"/>
    <s v="Industrial Electronics"/>
    <s v="Surveillance"/>
    <s v="Semiconductor Revenue M$"/>
    <x v="3"/>
    <n v="1.8945323150564759"/>
  </r>
  <r>
    <s v="Discrete AI"/>
    <x v="2"/>
    <x v="5"/>
    <s v="Industrial Electronics"/>
    <s v="Surveillance"/>
    <s v="Semiconductor Revenue M$"/>
    <x v="4"/>
    <n v="2.9212251160655085"/>
  </r>
  <r>
    <s v="Discrete AI"/>
    <x v="2"/>
    <x v="5"/>
    <s v="Industrial Electronics"/>
    <s v="Surveillance"/>
    <s v="Semiconductor Revenue M$"/>
    <x v="5"/>
    <n v="4.0495657416774407"/>
  </r>
  <r>
    <s v="Discrete AI"/>
    <x v="2"/>
    <x v="5"/>
    <s v="Industrial Electronics"/>
    <s v="Surveillance"/>
    <s v="Semiconductor Revenue M$"/>
    <x v="6"/>
    <n v="5.3493497967328016"/>
  </r>
  <r>
    <s v="Discrete AI"/>
    <x v="2"/>
    <x v="4"/>
    <s v="Consumer Electronics"/>
    <s v="Portable Media Players"/>
    <s v="Semiconductor Revenue M$"/>
    <x v="0"/>
    <n v="0"/>
  </r>
  <r>
    <s v="Discrete AI"/>
    <x v="2"/>
    <x v="4"/>
    <s v="Consumer Electronics"/>
    <s v="Portable Media Players"/>
    <s v="Semiconductor Revenue M$"/>
    <x v="1"/>
    <n v="0"/>
  </r>
  <r>
    <s v="Discrete AI"/>
    <x v="2"/>
    <x v="4"/>
    <s v="Consumer Electronics"/>
    <s v="Portable Media Players"/>
    <s v="Semiconductor Revenue M$"/>
    <x v="2"/>
    <n v="0"/>
  </r>
  <r>
    <s v="Discrete AI"/>
    <x v="2"/>
    <x v="4"/>
    <s v="Consumer Electronics"/>
    <s v="Portable Media Players"/>
    <s v="Semiconductor Revenue M$"/>
    <x v="3"/>
    <n v="0"/>
  </r>
  <r>
    <s v="Discrete AI"/>
    <x v="2"/>
    <x v="4"/>
    <s v="Consumer Electronics"/>
    <s v="Portable Media Players"/>
    <s v="Semiconductor Revenue M$"/>
    <x v="4"/>
    <n v="0"/>
  </r>
  <r>
    <s v="Discrete AI"/>
    <x v="2"/>
    <x v="4"/>
    <s v="Consumer Electronics"/>
    <s v="Portable Media Players"/>
    <s v="Semiconductor Revenue M$"/>
    <x v="5"/>
    <n v="0"/>
  </r>
  <r>
    <s v="Discrete AI"/>
    <x v="2"/>
    <x v="4"/>
    <s v="Consumer Electronics"/>
    <s v="Portable Media Players"/>
    <s v="Semiconductor Revenue M$"/>
    <x v="6"/>
    <n v="0"/>
  </r>
  <r>
    <s v="Discrete AI"/>
    <x v="2"/>
    <x v="4"/>
    <s v="Consumer Electronics"/>
    <s v="Smart Speakers"/>
    <s v="Semiconductor Revenue M$"/>
    <x v="0"/>
    <n v="0"/>
  </r>
  <r>
    <s v="Discrete AI"/>
    <x v="2"/>
    <x v="4"/>
    <s v="Consumer Electronics"/>
    <s v="Smart Speakers"/>
    <s v="Semiconductor Revenue M$"/>
    <x v="1"/>
    <n v="0"/>
  </r>
  <r>
    <s v="Discrete AI"/>
    <x v="2"/>
    <x v="4"/>
    <s v="Consumer Electronics"/>
    <s v="Smart Speakers"/>
    <s v="Semiconductor Revenue M$"/>
    <x v="2"/>
    <n v="0"/>
  </r>
  <r>
    <s v="Discrete AI"/>
    <x v="2"/>
    <x v="4"/>
    <s v="Consumer Electronics"/>
    <s v="Smart Speakers"/>
    <s v="Semiconductor Revenue M$"/>
    <x v="3"/>
    <n v="0"/>
  </r>
  <r>
    <s v="Discrete AI"/>
    <x v="2"/>
    <x v="4"/>
    <s v="Consumer Electronics"/>
    <s v="Smart Speakers"/>
    <s v="Semiconductor Revenue M$"/>
    <x v="4"/>
    <n v="0"/>
  </r>
  <r>
    <s v="Discrete AI"/>
    <x v="2"/>
    <x v="4"/>
    <s v="Consumer Electronics"/>
    <s v="Smart Speakers"/>
    <s v="Semiconductor Revenue M$"/>
    <x v="5"/>
    <n v="0"/>
  </r>
  <r>
    <s v="Discrete AI"/>
    <x v="2"/>
    <x v="4"/>
    <s v="Consumer Electronics"/>
    <s v="Smart Speakers"/>
    <s v="Semiconductor Revenue M$"/>
    <x v="6"/>
    <n v="0"/>
  </r>
  <r>
    <s v="Discrete AI"/>
    <x v="2"/>
    <x v="4"/>
    <s v="Consumer Electronics"/>
    <s v="TV, Standard"/>
    <s v="Semiconductor Revenue M$"/>
    <x v="0"/>
    <n v="0"/>
  </r>
  <r>
    <s v="Discrete AI"/>
    <x v="2"/>
    <x v="4"/>
    <s v="Consumer Electronics"/>
    <s v="TV, Standard"/>
    <s v="Semiconductor Revenue M$"/>
    <x v="1"/>
    <n v="0"/>
  </r>
  <r>
    <s v="Discrete AI"/>
    <x v="2"/>
    <x v="4"/>
    <s v="Consumer Electronics"/>
    <s v="TV, Standard"/>
    <s v="Semiconductor Revenue M$"/>
    <x v="2"/>
    <n v="0"/>
  </r>
  <r>
    <s v="Discrete AI"/>
    <x v="2"/>
    <x v="4"/>
    <s v="Consumer Electronics"/>
    <s v="TV, Standard"/>
    <s v="Semiconductor Revenue M$"/>
    <x v="3"/>
    <n v="0"/>
  </r>
  <r>
    <s v="Discrete AI"/>
    <x v="2"/>
    <x v="4"/>
    <s v="Consumer Electronics"/>
    <s v="TV, Standard"/>
    <s v="Semiconductor Revenue M$"/>
    <x v="4"/>
    <n v="0"/>
  </r>
  <r>
    <s v="Discrete AI"/>
    <x v="2"/>
    <x v="4"/>
    <s v="Consumer Electronics"/>
    <s v="TV, Standard"/>
    <s v="Semiconductor Revenue M$"/>
    <x v="5"/>
    <n v="0"/>
  </r>
  <r>
    <s v="Discrete AI"/>
    <x v="2"/>
    <x v="4"/>
    <s v="Consumer Electronics"/>
    <s v="TV, Standard"/>
    <s v="Semiconductor Revenue M$"/>
    <x v="6"/>
    <n v="0"/>
  </r>
  <r>
    <s v="Discrete AI"/>
    <x v="2"/>
    <x v="4"/>
    <s v="Consumer Electronics"/>
    <s v="TV, Smart"/>
    <s v="Semiconductor Revenue M$"/>
    <x v="0"/>
    <n v="0"/>
  </r>
  <r>
    <s v="Discrete AI"/>
    <x v="2"/>
    <x v="4"/>
    <s v="Consumer Electronics"/>
    <s v="TV, Smart"/>
    <s v="Semiconductor Revenue M$"/>
    <x v="1"/>
    <n v="0"/>
  </r>
  <r>
    <s v="Discrete AI"/>
    <x v="2"/>
    <x v="4"/>
    <s v="Consumer Electronics"/>
    <s v="TV, Smart"/>
    <s v="Semiconductor Revenue M$"/>
    <x v="2"/>
    <n v="0"/>
  </r>
  <r>
    <s v="Discrete AI"/>
    <x v="2"/>
    <x v="4"/>
    <s v="Consumer Electronics"/>
    <s v="TV, Smart"/>
    <s v="Semiconductor Revenue M$"/>
    <x v="3"/>
    <n v="0"/>
  </r>
  <r>
    <s v="Discrete AI"/>
    <x v="2"/>
    <x v="4"/>
    <s v="Consumer Electronics"/>
    <s v="TV, Smart"/>
    <s v="Semiconductor Revenue M$"/>
    <x v="4"/>
    <n v="0"/>
  </r>
  <r>
    <s v="Discrete AI"/>
    <x v="2"/>
    <x v="4"/>
    <s v="Consumer Electronics"/>
    <s v="TV, Smart"/>
    <s v="Semiconductor Revenue M$"/>
    <x v="5"/>
    <n v="0"/>
  </r>
  <r>
    <s v="Discrete AI"/>
    <x v="2"/>
    <x v="4"/>
    <s v="Consumer Electronics"/>
    <s v="TV, Smart"/>
    <s v="Semiconductor Revenue M$"/>
    <x v="6"/>
    <n v="0"/>
  </r>
  <r>
    <s v="Discrete AI"/>
    <x v="2"/>
    <x v="4"/>
    <s v="Consumer Electronics"/>
    <s v="Video Game Consoles"/>
    <s v="Semiconductor Revenue M$"/>
    <x v="0"/>
    <n v="0"/>
  </r>
  <r>
    <s v="Discrete AI"/>
    <x v="2"/>
    <x v="4"/>
    <s v="Consumer Electronics"/>
    <s v="Video Game Consoles"/>
    <s v="Semiconductor Revenue M$"/>
    <x v="1"/>
    <n v="0"/>
  </r>
  <r>
    <s v="Discrete AI"/>
    <x v="2"/>
    <x v="4"/>
    <s v="Consumer Electronics"/>
    <s v="Video Game Consoles"/>
    <s v="Semiconductor Revenue M$"/>
    <x v="2"/>
    <n v="0"/>
  </r>
  <r>
    <s v="Discrete AI"/>
    <x v="2"/>
    <x v="4"/>
    <s v="Consumer Electronics"/>
    <s v="Video Game Consoles"/>
    <s v="Semiconductor Revenue M$"/>
    <x v="3"/>
    <n v="0"/>
  </r>
  <r>
    <s v="Discrete AI"/>
    <x v="2"/>
    <x v="4"/>
    <s v="Consumer Electronics"/>
    <s v="Video Game Consoles"/>
    <s v="Semiconductor Revenue M$"/>
    <x v="4"/>
    <n v="0"/>
  </r>
  <r>
    <s v="Discrete AI"/>
    <x v="2"/>
    <x v="4"/>
    <s v="Consumer Electronics"/>
    <s v="Video Game Consoles"/>
    <s v="Semiconductor Revenue M$"/>
    <x v="5"/>
    <n v="0"/>
  </r>
  <r>
    <s v="Discrete AI"/>
    <x v="2"/>
    <x v="4"/>
    <s v="Consumer Electronics"/>
    <s v="Video Game Consoles"/>
    <s v="Semiconductor Revenue M$"/>
    <x v="6"/>
    <n v="0"/>
  </r>
  <r>
    <s v="Discrete AI"/>
    <x v="2"/>
    <x v="4"/>
    <s v="Consumer Electronics"/>
    <s v="Video Game Handhelds"/>
    <s v="Semiconductor Revenue M$"/>
    <x v="0"/>
    <n v="0"/>
  </r>
  <r>
    <s v="Discrete AI"/>
    <x v="2"/>
    <x v="4"/>
    <s v="Consumer Electronics"/>
    <s v="Video Game Handhelds"/>
    <s v="Semiconductor Revenue M$"/>
    <x v="1"/>
    <n v="0"/>
  </r>
  <r>
    <s v="Discrete AI"/>
    <x v="2"/>
    <x v="4"/>
    <s v="Consumer Electronics"/>
    <s v="Video Game Handhelds"/>
    <s v="Semiconductor Revenue M$"/>
    <x v="2"/>
    <n v="0"/>
  </r>
  <r>
    <s v="Discrete AI"/>
    <x v="2"/>
    <x v="4"/>
    <s v="Consumer Electronics"/>
    <s v="Video Game Handhelds"/>
    <s v="Semiconductor Revenue M$"/>
    <x v="3"/>
    <n v="0"/>
  </r>
  <r>
    <s v="Discrete AI"/>
    <x v="2"/>
    <x v="4"/>
    <s v="Consumer Electronics"/>
    <s v="Video Game Handhelds"/>
    <s v="Semiconductor Revenue M$"/>
    <x v="4"/>
    <n v="0"/>
  </r>
  <r>
    <s v="Discrete AI"/>
    <x v="2"/>
    <x v="4"/>
    <s v="Consumer Electronics"/>
    <s v="Video Game Handhelds"/>
    <s v="Semiconductor Revenue M$"/>
    <x v="5"/>
    <n v="0"/>
  </r>
  <r>
    <s v="Discrete AI"/>
    <x v="2"/>
    <x v="4"/>
    <s v="Consumer Electronics"/>
    <s v="Video Game Handhelds"/>
    <s v="Semiconductor Revenue M$"/>
    <x v="6"/>
    <n v="0"/>
  </r>
  <r>
    <s v="Discrete AI"/>
    <x v="2"/>
    <x v="4"/>
    <s v="Consumer Electronics"/>
    <s v="Wristbands"/>
    <s v="Semiconductor Revenue M$"/>
    <x v="0"/>
    <n v="0"/>
  </r>
  <r>
    <s v="Discrete AI"/>
    <x v="2"/>
    <x v="4"/>
    <s v="Consumer Electronics"/>
    <s v="Wristbands"/>
    <s v="Semiconductor Revenue M$"/>
    <x v="1"/>
    <n v="0"/>
  </r>
  <r>
    <s v="Discrete AI"/>
    <x v="2"/>
    <x v="4"/>
    <s v="Consumer Electronics"/>
    <s v="Wristbands"/>
    <s v="Semiconductor Revenue M$"/>
    <x v="2"/>
    <n v="0"/>
  </r>
  <r>
    <s v="Discrete AI"/>
    <x v="2"/>
    <x v="4"/>
    <s v="Consumer Electronics"/>
    <s v="Wristbands"/>
    <s v="Semiconductor Revenue M$"/>
    <x v="3"/>
    <n v="0"/>
  </r>
  <r>
    <s v="Discrete AI"/>
    <x v="2"/>
    <x v="4"/>
    <s v="Consumer Electronics"/>
    <s v="Wristbands"/>
    <s v="Semiconductor Revenue M$"/>
    <x v="4"/>
    <n v="0"/>
  </r>
  <r>
    <s v="Discrete AI"/>
    <x v="2"/>
    <x v="4"/>
    <s v="Consumer Electronics"/>
    <s v="Wristbands"/>
    <s v="Semiconductor Revenue M$"/>
    <x v="5"/>
    <n v="0"/>
  </r>
  <r>
    <s v="Discrete AI"/>
    <x v="2"/>
    <x v="4"/>
    <s v="Consumer Electronics"/>
    <s v="Wristbands"/>
    <s v="Semiconductor Revenue M$"/>
    <x v="6"/>
    <n v="0"/>
  </r>
  <r>
    <s v="Discrete AI"/>
    <x v="2"/>
    <x v="4"/>
    <s v="Consumer Electronics"/>
    <s v="Head Mounted Display"/>
    <s v="Semiconductor Revenue M$"/>
    <x v="0"/>
    <n v="0"/>
  </r>
  <r>
    <s v="Discrete AI"/>
    <x v="2"/>
    <x v="4"/>
    <s v="Consumer Electronics"/>
    <s v="Head Mounted Display"/>
    <s v="Semiconductor Revenue M$"/>
    <x v="1"/>
    <n v="0"/>
  </r>
  <r>
    <s v="Discrete AI"/>
    <x v="2"/>
    <x v="4"/>
    <s v="Consumer Electronics"/>
    <s v="Head Mounted Display"/>
    <s v="Semiconductor Revenue M$"/>
    <x v="2"/>
    <n v="0"/>
  </r>
  <r>
    <s v="Discrete AI"/>
    <x v="2"/>
    <x v="4"/>
    <s v="Consumer Electronics"/>
    <s v="Head Mounted Display"/>
    <s v="Semiconductor Revenue M$"/>
    <x v="3"/>
    <n v="0"/>
  </r>
  <r>
    <s v="Discrete AI"/>
    <x v="2"/>
    <x v="4"/>
    <s v="Consumer Electronics"/>
    <s v="Head Mounted Display"/>
    <s v="Semiconductor Revenue M$"/>
    <x v="4"/>
    <n v="0"/>
  </r>
  <r>
    <s v="Discrete AI"/>
    <x v="2"/>
    <x v="4"/>
    <s v="Consumer Electronics"/>
    <s v="Head Mounted Display"/>
    <s v="Semiconductor Revenue M$"/>
    <x v="5"/>
    <n v="0"/>
  </r>
  <r>
    <s v="Discrete AI"/>
    <x v="2"/>
    <x v="4"/>
    <s v="Consumer Electronics"/>
    <s v="Head Mounted Display"/>
    <s v="Semiconductor Revenue M$"/>
    <x v="6"/>
    <n v="0"/>
  </r>
  <r>
    <s v="Discrete AI"/>
    <x v="2"/>
    <x v="4"/>
    <s v="Consumer Electronics"/>
    <s v="Smart Watches"/>
    <s v="Semiconductor Revenue M$"/>
    <x v="0"/>
    <n v="0"/>
  </r>
  <r>
    <s v="Discrete AI"/>
    <x v="2"/>
    <x v="4"/>
    <s v="Consumer Electronics"/>
    <s v="Smart Watches"/>
    <s v="Semiconductor Revenue M$"/>
    <x v="1"/>
    <n v="0"/>
  </r>
  <r>
    <s v="Discrete AI"/>
    <x v="2"/>
    <x v="4"/>
    <s v="Consumer Electronics"/>
    <s v="Smart Watches"/>
    <s v="Semiconductor Revenue M$"/>
    <x v="2"/>
    <n v="0"/>
  </r>
  <r>
    <s v="Discrete AI"/>
    <x v="2"/>
    <x v="4"/>
    <s v="Consumer Electronics"/>
    <s v="Smart Watches"/>
    <s v="Semiconductor Revenue M$"/>
    <x v="3"/>
    <n v="0"/>
  </r>
  <r>
    <s v="Discrete AI"/>
    <x v="2"/>
    <x v="4"/>
    <s v="Consumer Electronics"/>
    <s v="Smart Watches"/>
    <s v="Semiconductor Revenue M$"/>
    <x v="4"/>
    <n v="0"/>
  </r>
  <r>
    <s v="Discrete AI"/>
    <x v="2"/>
    <x v="4"/>
    <s v="Consumer Electronics"/>
    <s v="Smart Watches"/>
    <s v="Semiconductor Revenue M$"/>
    <x v="5"/>
    <n v="0"/>
  </r>
  <r>
    <s v="Discrete AI"/>
    <x v="2"/>
    <x v="4"/>
    <s v="Consumer Electronics"/>
    <s v="Smart Watches"/>
    <s v="Semiconductor Revenue M$"/>
    <x v="6"/>
    <n v="0"/>
  </r>
  <r>
    <s v="Discrete AI"/>
    <x v="2"/>
    <x v="4"/>
    <s v="Consumer Electronics"/>
    <s v="Sports Watches"/>
    <s v="Semiconductor Revenue M$"/>
    <x v="0"/>
    <n v="0"/>
  </r>
  <r>
    <s v="Discrete AI"/>
    <x v="2"/>
    <x v="4"/>
    <s v="Consumer Electronics"/>
    <s v="Sports Watches"/>
    <s v="Semiconductor Revenue M$"/>
    <x v="1"/>
    <n v="0"/>
  </r>
  <r>
    <s v="Discrete AI"/>
    <x v="2"/>
    <x v="4"/>
    <s v="Consumer Electronics"/>
    <s v="Sports Watches"/>
    <s v="Semiconductor Revenue M$"/>
    <x v="2"/>
    <n v="0"/>
  </r>
  <r>
    <s v="Discrete AI"/>
    <x v="2"/>
    <x v="4"/>
    <s v="Consumer Electronics"/>
    <s v="Sports Watches"/>
    <s v="Semiconductor Revenue M$"/>
    <x v="3"/>
    <n v="0"/>
  </r>
  <r>
    <s v="Discrete AI"/>
    <x v="2"/>
    <x v="4"/>
    <s v="Consumer Electronics"/>
    <s v="Sports Watches"/>
    <s v="Semiconductor Revenue M$"/>
    <x v="4"/>
    <n v="0"/>
  </r>
  <r>
    <s v="Discrete AI"/>
    <x v="2"/>
    <x v="4"/>
    <s v="Consumer Electronics"/>
    <s v="Sports Watches"/>
    <s v="Semiconductor Revenue M$"/>
    <x v="5"/>
    <n v="0"/>
  </r>
  <r>
    <s v="Discrete AI"/>
    <x v="2"/>
    <x v="4"/>
    <s v="Consumer Electronics"/>
    <s v="Sports Watches"/>
    <s v="Semiconductor Revenue M$"/>
    <x v="6"/>
    <n v="0"/>
  </r>
  <r>
    <s v="Discrete AI"/>
    <x v="2"/>
    <x v="4"/>
    <s v="Consumer Electronics"/>
    <s v="Other Consumer Electronics"/>
    <s v="Semiconductor Revenue M$"/>
    <x v="0"/>
    <n v="0"/>
  </r>
  <r>
    <s v="Discrete AI"/>
    <x v="2"/>
    <x v="4"/>
    <s v="Consumer Electronics"/>
    <s v="Other Consumer Electronics"/>
    <s v="Semiconductor Revenue M$"/>
    <x v="1"/>
    <n v="0"/>
  </r>
  <r>
    <s v="Discrete AI"/>
    <x v="2"/>
    <x v="4"/>
    <s v="Consumer Electronics"/>
    <s v="Other Consumer Electronics"/>
    <s v="Semiconductor Revenue M$"/>
    <x v="2"/>
    <n v="0"/>
  </r>
  <r>
    <s v="Discrete AI"/>
    <x v="2"/>
    <x v="4"/>
    <s v="Consumer Electronics"/>
    <s v="Other Consumer Electronics"/>
    <s v="Semiconductor Revenue M$"/>
    <x v="3"/>
    <n v="0"/>
  </r>
  <r>
    <s v="Discrete AI"/>
    <x v="2"/>
    <x v="4"/>
    <s v="Consumer Electronics"/>
    <s v="Other Consumer Electronics"/>
    <s v="Semiconductor Revenue M$"/>
    <x v="4"/>
    <n v="0"/>
  </r>
  <r>
    <s v="Discrete AI"/>
    <x v="2"/>
    <x v="4"/>
    <s v="Consumer Electronics"/>
    <s v="Other Consumer Electronics"/>
    <s v="Semiconductor Revenue M$"/>
    <x v="5"/>
    <n v="0"/>
  </r>
  <r>
    <s v="Discrete AI"/>
    <x v="2"/>
    <x v="4"/>
    <s v="Consumer Electronics"/>
    <s v="Other Consumer Electronics"/>
    <s v="Semiconductor Revenue M$"/>
    <x v="6"/>
    <n v="0"/>
  </r>
  <r>
    <s v="Discrete AI"/>
    <x v="2"/>
    <x v="3"/>
    <s v="Automotive Electronics"/>
    <s v="ADAS-Sensors and Connectivity"/>
    <s v="Semiconductor Revenue M$"/>
    <x v="0"/>
    <n v="0"/>
  </r>
  <r>
    <s v="Discrete AI"/>
    <x v="2"/>
    <x v="3"/>
    <s v="Automotive Electronics"/>
    <s v="ADAS-Sensors and Connectivity"/>
    <s v="Semiconductor Revenue M$"/>
    <x v="1"/>
    <n v="0"/>
  </r>
  <r>
    <s v="Discrete AI"/>
    <x v="2"/>
    <x v="3"/>
    <s v="Automotive Electronics"/>
    <s v="ADAS-Sensors and Connectivity"/>
    <s v="Semiconductor Revenue M$"/>
    <x v="2"/>
    <n v="0"/>
  </r>
  <r>
    <s v="Discrete AI"/>
    <x v="2"/>
    <x v="3"/>
    <s v="Automotive Electronics"/>
    <s v="ADAS-Sensors and Connectivity"/>
    <s v="Semiconductor Revenue M$"/>
    <x v="3"/>
    <n v="0"/>
  </r>
  <r>
    <s v="Discrete AI"/>
    <x v="2"/>
    <x v="3"/>
    <s v="Automotive Electronics"/>
    <s v="ADAS-Sensors and Connectivity"/>
    <s v="Semiconductor Revenue M$"/>
    <x v="4"/>
    <n v="0"/>
  </r>
  <r>
    <s v="Discrete AI"/>
    <x v="2"/>
    <x v="3"/>
    <s v="Automotive Electronics"/>
    <s v="ADAS-Sensors and Connectivity"/>
    <s v="Semiconductor Revenue M$"/>
    <x v="5"/>
    <n v="0"/>
  </r>
  <r>
    <s v="Discrete AI"/>
    <x v="2"/>
    <x v="3"/>
    <s v="Automotive Electronics"/>
    <s v="ADAS-Sensors and Connectivity"/>
    <s v="Semiconductor Revenue M$"/>
    <x v="6"/>
    <n v="0"/>
  </r>
  <r>
    <s v="Discrete AI"/>
    <x v="2"/>
    <x v="3"/>
    <s v="Automotive Electronics"/>
    <s v="Body"/>
    <s v="Semiconductor Revenue M$"/>
    <x v="0"/>
    <n v="0"/>
  </r>
  <r>
    <s v="Discrete AI"/>
    <x v="2"/>
    <x v="3"/>
    <s v="Automotive Electronics"/>
    <s v="Body"/>
    <s v="Semiconductor Revenue M$"/>
    <x v="1"/>
    <n v="0"/>
  </r>
  <r>
    <s v="Discrete AI"/>
    <x v="2"/>
    <x v="3"/>
    <s v="Automotive Electronics"/>
    <s v="Body"/>
    <s v="Semiconductor Revenue M$"/>
    <x v="2"/>
    <n v="0"/>
  </r>
  <r>
    <s v="Discrete AI"/>
    <x v="2"/>
    <x v="3"/>
    <s v="Automotive Electronics"/>
    <s v="Body"/>
    <s v="Semiconductor Revenue M$"/>
    <x v="3"/>
    <n v="0"/>
  </r>
  <r>
    <s v="Discrete AI"/>
    <x v="2"/>
    <x v="3"/>
    <s v="Automotive Electronics"/>
    <s v="Body"/>
    <s v="Semiconductor Revenue M$"/>
    <x v="4"/>
    <n v="0"/>
  </r>
  <r>
    <s v="Discrete AI"/>
    <x v="2"/>
    <x v="3"/>
    <s v="Automotive Electronics"/>
    <s v="Body"/>
    <s v="Semiconductor Revenue M$"/>
    <x v="5"/>
    <n v="0"/>
  </r>
  <r>
    <s v="Discrete AI"/>
    <x v="2"/>
    <x v="3"/>
    <s v="Automotive Electronics"/>
    <s v="Body"/>
    <s v="Semiconductor Revenue M$"/>
    <x v="6"/>
    <n v="0"/>
  </r>
  <r>
    <s v="Discrete AI"/>
    <x v="2"/>
    <x v="3"/>
    <s v="Automotive Electronics"/>
    <s v="Chassis"/>
    <s v="Semiconductor Revenue M$"/>
    <x v="0"/>
    <n v="0"/>
  </r>
  <r>
    <s v="Discrete AI"/>
    <x v="2"/>
    <x v="3"/>
    <s v="Automotive Electronics"/>
    <s v="Chassis"/>
    <s v="Semiconductor Revenue M$"/>
    <x v="1"/>
    <n v="0"/>
  </r>
  <r>
    <s v="Discrete AI"/>
    <x v="2"/>
    <x v="3"/>
    <s v="Automotive Electronics"/>
    <s v="Chassis"/>
    <s v="Semiconductor Revenue M$"/>
    <x v="2"/>
    <n v="0"/>
  </r>
  <r>
    <s v="Discrete AI"/>
    <x v="2"/>
    <x v="3"/>
    <s v="Automotive Electronics"/>
    <s v="Chassis"/>
    <s v="Semiconductor Revenue M$"/>
    <x v="3"/>
    <n v="0"/>
  </r>
  <r>
    <s v="Discrete AI"/>
    <x v="2"/>
    <x v="3"/>
    <s v="Automotive Electronics"/>
    <s v="Chassis"/>
    <s v="Semiconductor Revenue M$"/>
    <x v="4"/>
    <n v="0"/>
  </r>
  <r>
    <s v="Discrete AI"/>
    <x v="2"/>
    <x v="3"/>
    <s v="Automotive Electronics"/>
    <s v="Chassis"/>
    <s v="Semiconductor Revenue M$"/>
    <x v="5"/>
    <n v="0"/>
  </r>
  <r>
    <s v="Discrete AI"/>
    <x v="2"/>
    <x v="3"/>
    <s v="Automotive Electronics"/>
    <s v="Chassis"/>
    <s v="Semiconductor Revenue M$"/>
    <x v="6"/>
    <n v="0"/>
  </r>
  <r>
    <s v="Discrete AI"/>
    <x v="2"/>
    <x v="3"/>
    <s v="Automotive Electronics"/>
    <s v="EV/HEV"/>
    <s v="Semiconductor Revenue M$"/>
    <x v="0"/>
    <n v="0"/>
  </r>
  <r>
    <s v="Discrete AI"/>
    <x v="2"/>
    <x v="3"/>
    <s v="Automotive Electronics"/>
    <s v="EV/HEV"/>
    <s v="Semiconductor Revenue M$"/>
    <x v="1"/>
    <n v="0"/>
  </r>
  <r>
    <s v="Discrete AI"/>
    <x v="2"/>
    <x v="3"/>
    <s v="Automotive Electronics"/>
    <s v="EV/HEV"/>
    <s v="Semiconductor Revenue M$"/>
    <x v="2"/>
    <n v="0"/>
  </r>
  <r>
    <s v="Discrete AI"/>
    <x v="2"/>
    <x v="3"/>
    <s v="Automotive Electronics"/>
    <s v="EV/HEV"/>
    <s v="Semiconductor Revenue M$"/>
    <x v="3"/>
    <n v="0"/>
  </r>
  <r>
    <s v="Discrete AI"/>
    <x v="2"/>
    <x v="3"/>
    <s v="Automotive Electronics"/>
    <s v="EV/HEV"/>
    <s v="Semiconductor Revenue M$"/>
    <x v="4"/>
    <n v="0"/>
  </r>
  <r>
    <s v="Discrete AI"/>
    <x v="2"/>
    <x v="3"/>
    <s v="Automotive Electronics"/>
    <s v="EV/HEV"/>
    <s v="Semiconductor Revenue M$"/>
    <x v="5"/>
    <n v="0"/>
  </r>
  <r>
    <s v="Discrete AI"/>
    <x v="2"/>
    <x v="3"/>
    <s v="Automotive Electronics"/>
    <s v="EV/HEV"/>
    <s v="Semiconductor Revenue M$"/>
    <x v="6"/>
    <n v="0"/>
  </r>
  <r>
    <s v="Discrete AI"/>
    <x v="2"/>
    <x v="3"/>
    <s v="Automotive Electronics"/>
    <s v="Infotainment"/>
    <s v="Semiconductor Revenue M$"/>
    <x v="0"/>
    <n v="0"/>
  </r>
  <r>
    <s v="Discrete AI"/>
    <x v="2"/>
    <x v="3"/>
    <s v="Automotive Electronics"/>
    <s v="Infotainment"/>
    <s v="Semiconductor Revenue M$"/>
    <x v="1"/>
    <n v="0"/>
  </r>
  <r>
    <s v="Discrete AI"/>
    <x v="2"/>
    <x v="3"/>
    <s v="Automotive Electronics"/>
    <s v="Infotainment"/>
    <s v="Semiconductor Revenue M$"/>
    <x v="2"/>
    <n v="0"/>
  </r>
  <r>
    <s v="Discrete AI"/>
    <x v="2"/>
    <x v="3"/>
    <s v="Automotive Electronics"/>
    <s v="Infotainment"/>
    <s v="Semiconductor Revenue M$"/>
    <x v="3"/>
    <n v="0"/>
  </r>
  <r>
    <s v="Discrete AI"/>
    <x v="2"/>
    <x v="3"/>
    <s v="Automotive Electronics"/>
    <s v="Infotainment"/>
    <s v="Semiconductor Revenue M$"/>
    <x v="4"/>
    <n v="0"/>
  </r>
  <r>
    <s v="Discrete AI"/>
    <x v="2"/>
    <x v="3"/>
    <s v="Automotive Electronics"/>
    <s v="Infotainment"/>
    <s v="Semiconductor Revenue M$"/>
    <x v="5"/>
    <n v="0"/>
  </r>
  <r>
    <s v="Discrete AI"/>
    <x v="2"/>
    <x v="3"/>
    <s v="Automotive Electronics"/>
    <s v="Infotainment"/>
    <s v="Semiconductor Revenue M$"/>
    <x v="6"/>
    <n v="0"/>
  </r>
  <r>
    <s v="Discrete AI"/>
    <x v="2"/>
    <x v="3"/>
    <s v="Automotive Electronics"/>
    <s v="Instrument Cluster"/>
    <s v="Semiconductor Revenue M$"/>
    <x v="0"/>
    <n v="0"/>
  </r>
  <r>
    <s v="Discrete AI"/>
    <x v="2"/>
    <x v="3"/>
    <s v="Automotive Electronics"/>
    <s v="Instrument Cluster"/>
    <s v="Semiconductor Revenue M$"/>
    <x v="1"/>
    <n v="0"/>
  </r>
  <r>
    <s v="Discrete AI"/>
    <x v="2"/>
    <x v="3"/>
    <s v="Automotive Electronics"/>
    <s v="Instrument Cluster"/>
    <s v="Semiconductor Revenue M$"/>
    <x v="2"/>
    <n v="0"/>
  </r>
  <r>
    <s v="Discrete AI"/>
    <x v="2"/>
    <x v="3"/>
    <s v="Automotive Electronics"/>
    <s v="Instrument Cluster"/>
    <s v="Semiconductor Revenue M$"/>
    <x v="3"/>
    <n v="0"/>
  </r>
  <r>
    <s v="Discrete AI"/>
    <x v="2"/>
    <x v="3"/>
    <s v="Automotive Electronics"/>
    <s v="Instrument Cluster"/>
    <s v="Semiconductor Revenue M$"/>
    <x v="4"/>
    <n v="0"/>
  </r>
  <r>
    <s v="Discrete AI"/>
    <x v="2"/>
    <x v="3"/>
    <s v="Automotive Electronics"/>
    <s v="Instrument Cluster"/>
    <s v="Semiconductor Revenue M$"/>
    <x v="5"/>
    <n v="0"/>
  </r>
  <r>
    <s v="Discrete AI"/>
    <x v="2"/>
    <x v="3"/>
    <s v="Automotive Electronics"/>
    <s v="Instrument Cluster"/>
    <s v="Semiconductor Revenue M$"/>
    <x v="6"/>
    <n v="0"/>
  </r>
  <r>
    <s v="Discrete AI"/>
    <x v="2"/>
    <x v="3"/>
    <s v="Automotive Electronics"/>
    <s v="Powertrain"/>
    <s v="Semiconductor Revenue M$"/>
    <x v="0"/>
    <n v="0"/>
  </r>
  <r>
    <s v="Discrete AI"/>
    <x v="2"/>
    <x v="3"/>
    <s v="Automotive Electronics"/>
    <s v="Powertrain"/>
    <s v="Semiconductor Revenue M$"/>
    <x v="1"/>
    <n v="0"/>
  </r>
  <r>
    <s v="Discrete AI"/>
    <x v="2"/>
    <x v="3"/>
    <s v="Automotive Electronics"/>
    <s v="Powertrain"/>
    <s v="Semiconductor Revenue M$"/>
    <x v="2"/>
    <n v="0"/>
  </r>
  <r>
    <s v="Discrete AI"/>
    <x v="2"/>
    <x v="3"/>
    <s v="Automotive Electronics"/>
    <s v="Powertrain"/>
    <s v="Semiconductor Revenue M$"/>
    <x v="3"/>
    <n v="0"/>
  </r>
  <r>
    <s v="Discrete AI"/>
    <x v="2"/>
    <x v="3"/>
    <s v="Automotive Electronics"/>
    <s v="Powertrain"/>
    <s v="Semiconductor Revenue M$"/>
    <x v="4"/>
    <n v="0"/>
  </r>
  <r>
    <s v="Discrete AI"/>
    <x v="2"/>
    <x v="3"/>
    <s v="Automotive Electronics"/>
    <s v="Powertrain"/>
    <s v="Semiconductor Revenue M$"/>
    <x v="5"/>
    <n v="0"/>
  </r>
  <r>
    <s v="Discrete AI"/>
    <x v="2"/>
    <x v="3"/>
    <s v="Automotive Electronics"/>
    <s v="Powertrain"/>
    <s v="Semiconductor Revenue M$"/>
    <x v="6"/>
    <n v="0"/>
  </r>
  <r>
    <s v="Discrete AI"/>
    <x v="2"/>
    <x v="3"/>
    <s v="Automotive Electronics"/>
    <s v="Safety"/>
    <s v="Semiconductor Revenue M$"/>
    <x v="0"/>
    <n v="0"/>
  </r>
  <r>
    <s v="Discrete AI"/>
    <x v="2"/>
    <x v="3"/>
    <s v="Automotive Electronics"/>
    <s v="Safety"/>
    <s v="Semiconductor Revenue M$"/>
    <x v="1"/>
    <n v="0"/>
  </r>
  <r>
    <s v="Discrete AI"/>
    <x v="2"/>
    <x v="3"/>
    <s v="Automotive Electronics"/>
    <s v="Safety"/>
    <s v="Semiconductor Revenue M$"/>
    <x v="2"/>
    <n v="0"/>
  </r>
  <r>
    <s v="Discrete AI"/>
    <x v="2"/>
    <x v="3"/>
    <s v="Automotive Electronics"/>
    <s v="Safety"/>
    <s v="Semiconductor Revenue M$"/>
    <x v="3"/>
    <n v="0"/>
  </r>
  <r>
    <s v="Discrete AI"/>
    <x v="2"/>
    <x v="3"/>
    <s v="Automotive Electronics"/>
    <s v="Safety"/>
    <s v="Semiconductor Revenue M$"/>
    <x v="4"/>
    <n v="0"/>
  </r>
  <r>
    <s v="Discrete AI"/>
    <x v="2"/>
    <x v="3"/>
    <s v="Automotive Electronics"/>
    <s v="Safety"/>
    <s v="Semiconductor Revenue M$"/>
    <x v="5"/>
    <n v="0"/>
  </r>
  <r>
    <s v="Discrete AI"/>
    <x v="2"/>
    <x v="3"/>
    <s v="Automotive Electronics"/>
    <s v="Safety"/>
    <s v="Semiconductor Revenue M$"/>
    <x v="6"/>
    <n v="0"/>
  </r>
  <r>
    <s v="Discrete AI"/>
    <x v="2"/>
    <x v="3"/>
    <s v="Automotive Electronics"/>
    <s v="Aftermarket"/>
    <s v="Semiconductor Revenue M$"/>
    <x v="0"/>
    <n v="0"/>
  </r>
  <r>
    <s v="Discrete AI"/>
    <x v="2"/>
    <x v="3"/>
    <s v="Automotive Electronics"/>
    <s v="Aftermarket"/>
    <s v="Semiconductor Revenue M$"/>
    <x v="1"/>
    <n v="0"/>
  </r>
  <r>
    <s v="Discrete AI"/>
    <x v="2"/>
    <x v="3"/>
    <s v="Automotive Electronics"/>
    <s v="Aftermarket"/>
    <s v="Semiconductor Revenue M$"/>
    <x v="2"/>
    <n v="0"/>
  </r>
  <r>
    <s v="Discrete AI"/>
    <x v="2"/>
    <x v="3"/>
    <s v="Automotive Electronics"/>
    <s v="Aftermarket"/>
    <s v="Semiconductor Revenue M$"/>
    <x v="3"/>
    <n v="0"/>
  </r>
  <r>
    <s v="Discrete AI"/>
    <x v="2"/>
    <x v="3"/>
    <s v="Automotive Electronics"/>
    <s v="Aftermarket"/>
    <s v="Semiconductor Revenue M$"/>
    <x v="4"/>
    <n v="0"/>
  </r>
  <r>
    <s v="Discrete AI"/>
    <x v="2"/>
    <x v="3"/>
    <s v="Automotive Electronics"/>
    <s v="Aftermarket"/>
    <s v="Semiconductor Revenue M$"/>
    <x v="5"/>
    <n v="0"/>
  </r>
  <r>
    <s v="Discrete AI"/>
    <x v="2"/>
    <x v="3"/>
    <s v="Automotive Electronics"/>
    <s v="Aftermarket"/>
    <s v="Semiconductor Revenue M$"/>
    <x v="6"/>
    <n v="0"/>
  </r>
  <r>
    <s v="Discrete AI"/>
    <x v="2"/>
    <x v="5"/>
    <s v="Industrial Electronics"/>
    <s v="Commercial Amusement"/>
    <s v="Semiconductor Revenue M$"/>
    <x v="0"/>
    <n v="0"/>
  </r>
  <r>
    <s v="Discrete AI"/>
    <x v="2"/>
    <x v="5"/>
    <s v="Industrial Electronics"/>
    <s v="Commercial Amusement"/>
    <s v="Semiconductor Revenue M$"/>
    <x v="1"/>
    <n v="0"/>
  </r>
  <r>
    <s v="Discrete AI"/>
    <x v="2"/>
    <x v="5"/>
    <s v="Industrial Electronics"/>
    <s v="Commercial Amusement"/>
    <s v="Semiconductor Revenue M$"/>
    <x v="2"/>
    <n v="0"/>
  </r>
  <r>
    <s v="Discrete AI"/>
    <x v="2"/>
    <x v="5"/>
    <s v="Industrial Electronics"/>
    <s v="Commercial Amusement"/>
    <s v="Semiconductor Revenue M$"/>
    <x v="3"/>
    <n v="0"/>
  </r>
  <r>
    <s v="Discrete AI"/>
    <x v="2"/>
    <x v="5"/>
    <s v="Industrial Electronics"/>
    <s v="Commercial Amusement"/>
    <s v="Semiconductor Revenue M$"/>
    <x v="4"/>
    <n v="0"/>
  </r>
  <r>
    <s v="Discrete AI"/>
    <x v="2"/>
    <x v="5"/>
    <s v="Industrial Electronics"/>
    <s v="Commercial Amusement"/>
    <s v="Semiconductor Revenue M$"/>
    <x v="5"/>
    <n v="0"/>
  </r>
  <r>
    <s v="Discrete AI"/>
    <x v="2"/>
    <x v="5"/>
    <s v="Industrial Electronics"/>
    <s v="Commercial Amusement"/>
    <s v="Semiconductor Revenue M$"/>
    <x v="6"/>
    <n v="0"/>
  </r>
  <r>
    <s v="Discrete AI"/>
    <x v="2"/>
    <x v="5"/>
    <s v="Industrial Electronics"/>
    <s v="Automation"/>
    <s v="Semiconductor Revenue M$"/>
    <x v="0"/>
    <n v="4.0288212412127296"/>
  </r>
  <r>
    <s v="Discrete AI"/>
    <x v="2"/>
    <x v="5"/>
    <s v="Industrial Electronics"/>
    <s v="Automation"/>
    <s v="Semiconductor Revenue M$"/>
    <x v="1"/>
    <n v="4.9236671384286792"/>
  </r>
  <r>
    <s v="Discrete AI"/>
    <x v="2"/>
    <x v="5"/>
    <s v="Industrial Electronics"/>
    <s v="Automation"/>
    <s v="Semiconductor Revenue M$"/>
    <x v="2"/>
    <n v="6.4350930836556888"/>
  </r>
  <r>
    <s v="Discrete AI"/>
    <x v="2"/>
    <x v="5"/>
    <s v="Industrial Electronics"/>
    <s v="Automation"/>
    <s v="Semiconductor Revenue M$"/>
    <x v="3"/>
    <n v="7.9429092218506954"/>
  </r>
  <r>
    <s v="Discrete AI"/>
    <x v="2"/>
    <x v="5"/>
    <s v="Industrial Electronics"/>
    <s v="Automation"/>
    <s v="Semiconductor Revenue M$"/>
    <x v="4"/>
    <n v="10.17675172525489"/>
  </r>
  <r>
    <s v="Discrete AI"/>
    <x v="2"/>
    <x v="5"/>
    <s v="Industrial Electronics"/>
    <s v="Automation"/>
    <s v="Semiconductor Revenue M$"/>
    <x v="5"/>
    <n v="12.631620509565687"/>
  </r>
  <r>
    <s v="Discrete AI"/>
    <x v="2"/>
    <x v="5"/>
    <s v="Industrial Electronics"/>
    <s v="Automation"/>
    <s v="Semiconductor Revenue M$"/>
    <x v="6"/>
    <n v="15.610211788666813"/>
  </r>
  <r>
    <s v="Discrete AI"/>
    <x v="2"/>
    <x v="5"/>
    <s v="Industrial Electronics"/>
    <s v="Energy Management"/>
    <s v="Semiconductor Revenue M$"/>
    <x v="0"/>
    <n v="0"/>
  </r>
  <r>
    <s v="Discrete AI"/>
    <x v="2"/>
    <x v="5"/>
    <s v="Industrial Electronics"/>
    <s v="Energy Management"/>
    <s v="Semiconductor Revenue M$"/>
    <x v="1"/>
    <n v="0"/>
  </r>
  <r>
    <s v="Discrete AI"/>
    <x v="2"/>
    <x v="5"/>
    <s v="Industrial Electronics"/>
    <s v="Energy Management"/>
    <s v="Semiconductor Revenue M$"/>
    <x v="2"/>
    <n v="0"/>
  </r>
  <r>
    <s v="Discrete AI"/>
    <x v="2"/>
    <x v="5"/>
    <s v="Industrial Electronics"/>
    <s v="Energy Management"/>
    <s v="Semiconductor Revenue M$"/>
    <x v="3"/>
    <n v="0"/>
  </r>
  <r>
    <s v="Discrete AI"/>
    <x v="2"/>
    <x v="5"/>
    <s v="Industrial Electronics"/>
    <s v="Energy Management"/>
    <s v="Semiconductor Revenue M$"/>
    <x v="4"/>
    <n v="0"/>
  </r>
  <r>
    <s v="Discrete AI"/>
    <x v="2"/>
    <x v="5"/>
    <s v="Industrial Electronics"/>
    <s v="Energy Management"/>
    <s v="Semiconductor Revenue M$"/>
    <x v="5"/>
    <n v="0"/>
  </r>
  <r>
    <s v="Discrete AI"/>
    <x v="2"/>
    <x v="5"/>
    <s v="Industrial Electronics"/>
    <s v="Energy Management"/>
    <s v="Semiconductor Revenue M$"/>
    <x v="6"/>
    <n v="0"/>
  </r>
  <r>
    <s v="Discrete AI"/>
    <x v="2"/>
    <x v="5"/>
    <s v="Industrial Electronics"/>
    <s v="Solid-State Lighting"/>
    <s v="Semiconductor Revenue M$"/>
    <x v="0"/>
    <n v="0"/>
  </r>
  <r>
    <s v="Discrete AI"/>
    <x v="2"/>
    <x v="5"/>
    <s v="Industrial Electronics"/>
    <s v="Solid-State Lighting"/>
    <s v="Semiconductor Revenue M$"/>
    <x v="1"/>
    <n v="0"/>
  </r>
  <r>
    <s v="Discrete AI"/>
    <x v="2"/>
    <x v="5"/>
    <s v="Industrial Electronics"/>
    <s v="Solid-State Lighting"/>
    <s v="Semiconductor Revenue M$"/>
    <x v="2"/>
    <n v="0"/>
  </r>
  <r>
    <s v="Discrete AI"/>
    <x v="2"/>
    <x v="5"/>
    <s v="Industrial Electronics"/>
    <s v="Solid-State Lighting"/>
    <s v="Semiconductor Revenue M$"/>
    <x v="3"/>
    <n v="0"/>
  </r>
  <r>
    <s v="Discrete AI"/>
    <x v="2"/>
    <x v="5"/>
    <s v="Industrial Electronics"/>
    <s v="Solid-State Lighting"/>
    <s v="Semiconductor Revenue M$"/>
    <x v="4"/>
    <n v="0"/>
  </r>
  <r>
    <s v="Discrete AI"/>
    <x v="2"/>
    <x v="5"/>
    <s v="Industrial Electronics"/>
    <s v="Solid-State Lighting"/>
    <s v="Semiconductor Revenue M$"/>
    <x v="5"/>
    <n v="0"/>
  </r>
  <r>
    <s v="Discrete AI"/>
    <x v="2"/>
    <x v="5"/>
    <s v="Industrial Electronics"/>
    <s v="Solid-State Lighting"/>
    <s v="Semiconductor Revenue M$"/>
    <x v="6"/>
    <n v="0"/>
  </r>
  <r>
    <s v="Discrete AI"/>
    <x v="2"/>
    <x v="5"/>
    <s v="Industrial Electronics"/>
    <s v="Medical/Healthcare"/>
    <s v="Semiconductor Revenue M$"/>
    <x v="0"/>
    <n v="1.2239002214775925"/>
  </r>
  <r>
    <s v="Discrete AI"/>
    <x v="2"/>
    <x v="5"/>
    <s v="Industrial Electronics"/>
    <s v="Medical/Healthcare"/>
    <s v="Semiconductor Revenue M$"/>
    <x v="1"/>
    <n v="1.9279782040701068"/>
  </r>
  <r>
    <s v="Discrete AI"/>
    <x v="2"/>
    <x v="5"/>
    <s v="Industrial Electronics"/>
    <s v="Medical/Healthcare"/>
    <s v="Semiconductor Revenue M$"/>
    <x v="2"/>
    <n v="2.6625216631828819"/>
  </r>
  <r>
    <s v="Discrete AI"/>
    <x v="2"/>
    <x v="5"/>
    <s v="Industrial Electronics"/>
    <s v="Medical/Healthcare"/>
    <s v="Semiconductor Revenue M$"/>
    <x v="3"/>
    <n v="3.4544938599840038"/>
  </r>
  <r>
    <s v="Discrete AI"/>
    <x v="2"/>
    <x v="5"/>
    <s v="Industrial Electronics"/>
    <s v="Medical/Healthcare"/>
    <s v="Semiconductor Revenue M$"/>
    <x v="4"/>
    <n v="4.4399648330471289"/>
  </r>
  <r>
    <s v="Discrete AI"/>
    <x v="2"/>
    <x v="5"/>
    <s v="Industrial Electronics"/>
    <s v="Medical/Healthcare"/>
    <s v="Semiconductor Revenue M$"/>
    <x v="5"/>
    <n v="5.6142908711041493"/>
  </r>
  <r>
    <s v="Discrete AI"/>
    <x v="2"/>
    <x v="5"/>
    <s v="Industrial Electronics"/>
    <s v="Medical/Healthcare"/>
    <s v="Semiconductor Revenue M$"/>
    <x v="6"/>
    <n v="6.7572148918247139"/>
  </r>
  <r>
    <s v="Discrete AI"/>
    <x v="2"/>
    <x v="5"/>
    <s v="Industrial Electronics"/>
    <s v="Test/Measurement"/>
    <s v="Semiconductor Revenue M$"/>
    <x v="0"/>
    <n v="0"/>
  </r>
  <r>
    <s v="Discrete AI"/>
    <x v="2"/>
    <x v="5"/>
    <s v="Industrial Electronics"/>
    <s v="Test/Measurement"/>
    <s v="Semiconductor Revenue M$"/>
    <x v="1"/>
    <n v="0"/>
  </r>
  <r>
    <s v="Discrete AI"/>
    <x v="2"/>
    <x v="5"/>
    <s v="Industrial Electronics"/>
    <s v="Test/Measurement"/>
    <s v="Semiconductor Revenue M$"/>
    <x v="2"/>
    <n v="0"/>
  </r>
  <r>
    <s v="Discrete AI"/>
    <x v="2"/>
    <x v="5"/>
    <s v="Industrial Electronics"/>
    <s v="Test/Measurement"/>
    <s v="Semiconductor Revenue M$"/>
    <x v="3"/>
    <n v="0"/>
  </r>
  <r>
    <s v="Discrete AI"/>
    <x v="2"/>
    <x v="5"/>
    <s v="Industrial Electronics"/>
    <s v="Test/Measurement"/>
    <s v="Semiconductor Revenue M$"/>
    <x v="4"/>
    <n v="0"/>
  </r>
  <r>
    <s v="Discrete AI"/>
    <x v="2"/>
    <x v="5"/>
    <s v="Industrial Electronics"/>
    <s v="Test/Measurement"/>
    <s v="Semiconductor Revenue M$"/>
    <x v="5"/>
    <n v="0"/>
  </r>
  <r>
    <s v="Discrete AI"/>
    <x v="2"/>
    <x v="5"/>
    <s v="Industrial Electronics"/>
    <s v="Test/Measurement"/>
    <s v="Semiconductor Revenue M$"/>
    <x v="6"/>
    <n v="0"/>
  </r>
  <r>
    <s v="Discrete AI"/>
    <x v="2"/>
    <x v="5"/>
    <s v="Industrial Electronics"/>
    <s v="Other Security"/>
    <s v="Semiconductor Revenue M$"/>
    <x v="0"/>
    <n v="0"/>
  </r>
  <r>
    <s v="Discrete AI"/>
    <x v="2"/>
    <x v="5"/>
    <s v="Industrial Electronics"/>
    <s v="Other Security"/>
    <s v="Semiconductor Revenue M$"/>
    <x v="1"/>
    <n v="0"/>
  </r>
  <r>
    <s v="Discrete AI"/>
    <x v="2"/>
    <x v="5"/>
    <s v="Industrial Electronics"/>
    <s v="Other Security"/>
    <s v="Semiconductor Revenue M$"/>
    <x v="2"/>
    <n v="0"/>
  </r>
  <r>
    <s v="Discrete AI"/>
    <x v="2"/>
    <x v="5"/>
    <s v="Industrial Electronics"/>
    <s v="Other Security"/>
    <s v="Semiconductor Revenue M$"/>
    <x v="3"/>
    <n v="0"/>
  </r>
  <r>
    <s v="Discrete AI"/>
    <x v="2"/>
    <x v="5"/>
    <s v="Industrial Electronics"/>
    <s v="Other Security"/>
    <s v="Semiconductor Revenue M$"/>
    <x v="4"/>
    <n v="0"/>
  </r>
  <r>
    <s v="Discrete AI"/>
    <x v="2"/>
    <x v="5"/>
    <s v="Industrial Electronics"/>
    <s v="Other Security"/>
    <s v="Semiconductor Revenue M$"/>
    <x v="5"/>
    <n v="0"/>
  </r>
  <r>
    <s v="Discrete AI"/>
    <x v="2"/>
    <x v="5"/>
    <s v="Industrial Electronics"/>
    <s v="Other Security"/>
    <s v="Semiconductor Revenue M$"/>
    <x v="6"/>
    <n v="0"/>
  </r>
  <r>
    <s v="Discrete AI"/>
    <x v="2"/>
    <x v="5"/>
    <s v="Industrial Electronics"/>
    <s v="Transportation"/>
    <s v="Semiconductor Revenue M$"/>
    <x v="0"/>
    <n v="0"/>
  </r>
  <r>
    <s v="Discrete AI"/>
    <x v="2"/>
    <x v="5"/>
    <s v="Industrial Electronics"/>
    <s v="Transportation"/>
    <s v="Semiconductor Revenue M$"/>
    <x v="1"/>
    <n v="0"/>
  </r>
  <r>
    <s v="Discrete AI"/>
    <x v="2"/>
    <x v="5"/>
    <s v="Industrial Electronics"/>
    <s v="Transportation"/>
    <s v="Semiconductor Revenue M$"/>
    <x v="2"/>
    <n v="0"/>
  </r>
  <r>
    <s v="Discrete AI"/>
    <x v="2"/>
    <x v="5"/>
    <s v="Industrial Electronics"/>
    <s v="Transportation"/>
    <s v="Semiconductor Revenue M$"/>
    <x v="3"/>
    <n v="0"/>
  </r>
  <r>
    <s v="Discrete AI"/>
    <x v="2"/>
    <x v="5"/>
    <s v="Industrial Electronics"/>
    <s v="Transportation"/>
    <s v="Semiconductor Revenue M$"/>
    <x v="4"/>
    <n v="0"/>
  </r>
  <r>
    <s v="Discrete AI"/>
    <x v="2"/>
    <x v="5"/>
    <s v="Industrial Electronics"/>
    <s v="Transportation"/>
    <s v="Semiconductor Revenue M$"/>
    <x v="5"/>
    <n v="0"/>
  </r>
  <r>
    <s v="Discrete AI"/>
    <x v="2"/>
    <x v="5"/>
    <s v="Industrial Electronics"/>
    <s v="Transportation"/>
    <s v="Semiconductor Revenue M$"/>
    <x v="6"/>
    <n v="0"/>
  </r>
  <r>
    <s v="Discrete AI"/>
    <x v="2"/>
    <x v="5"/>
    <s v="Industrial Electronics"/>
    <s v="Other Industrial Electronics"/>
    <s v="Semiconductor Revenue M$"/>
    <x v="0"/>
    <n v="0"/>
  </r>
  <r>
    <s v="Discrete AI"/>
    <x v="2"/>
    <x v="5"/>
    <s v="Industrial Electronics"/>
    <s v="Other Industrial Electronics"/>
    <s v="Semiconductor Revenue M$"/>
    <x v="1"/>
    <n v="0"/>
  </r>
  <r>
    <s v="Discrete AI"/>
    <x v="2"/>
    <x v="5"/>
    <s v="Industrial Electronics"/>
    <s v="Other Industrial Electronics"/>
    <s v="Semiconductor Revenue M$"/>
    <x v="2"/>
    <n v="0"/>
  </r>
  <r>
    <s v="Discrete AI"/>
    <x v="2"/>
    <x v="5"/>
    <s v="Industrial Electronics"/>
    <s v="Other Industrial Electronics"/>
    <s v="Semiconductor Revenue M$"/>
    <x v="3"/>
    <n v="0"/>
  </r>
  <r>
    <s v="Discrete AI"/>
    <x v="2"/>
    <x v="5"/>
    <s v="Industrial Electronics"/>
    <s v="Other Industrial Electronics"/>
    <s v="Semiconductor Revenue M$"/>
    <x v="4"/>
    <n v="0"/>
  </r>
  <r>
    <s v="Discrete AI"/>
    <x v="2"/>
    <x v="5"/>
    <s v="Industrial Electronics"/>
    <s v="Other Industrial Electronics"/>
    <s v="Semiconductor Revenue M$"/>
    <x v="5"/>
    <n v="0"/>
  </r>
  <r>
    <s v="Discrete AI"/>
    <x v="2"/>
    <x v="5"/>
    <s v="Industrial Electronics"/>
    <s v="Other Industrial Electronics"/>
    <s v="Semiconductor Revenue M$"/>
    <x v="6"/>
    <n v="0"/>
  </r>
  <r>
    <s v="Discrete AI"/>
    <x v="2"/>
    <x v="5"/>
    <s v="Industrial Electronics"/>
    <s v="Military/Civil Aerospace Electronics"/>
    <s v="Semiconductor Revenue M$"/>
    <x v="0"/>
    <n v="1.7949523953686539"/>
  </r>
  <r>
    <s v="Discrete AI"/>
    <x v="2"/>
    <x v="5"/>
    <s v="Industrial Electronics"/>
    <s v="Military/Civil Aerospace Electronics"/>
    <s v="Semiconductor Revenue M$"/>
    <x v="1"/>
    <n v="3.7855442551484968"/>
  </r>
  <r>
    <s v="Discrete AI"/>
    <x v="2"/>
    <x v="5"/>
    <s v="Industrial Electronics"/>
    <s v="Military/Civil Aerospace Electronics"/>
    <s v="Semiconductor Revenue M$"/>
    <x v="2"/>
    <n v="6.5462765198626602"/>
  </r>
  <r>
    <s v="Discrete AI"/>
    <x v="2"/>
    <x v="5"/>
    <s v="Industrial Electronics"/>
    <s v="Military/Civil Aerospace Electronics"/>
    <s v="Semiconductor Revenue M$"/>
    <x v="3"/>
    <n v="11.694667709047412"/>
  </r>
  <r>
    <s v="Discrete AI"/>
    <x v="2"/>
    <x v="5"/>
    <s v="Industrial Electronics"/>
    <s v="Military/Civil Aerospace Electronics"/>
    <s v="Semiconductor Revenue M$"/>
    <x v="4"/>
    <n v="15.823962634488407"/>
  </r>
  <r>
    <s v="Discrete AI"/>
    <x v="2"/>
    <x v="5"/>
    <s v="Industrial Electronics"/>
    <s v="Military/Civil Aerospace Electronics"/>
    <s v="Semiconductor Revenue M$"/>
    <x v="5"/>
    <n v="20.764991812031433"/>
  </r>
  <r>
    <s v="Discrete AI"/>
    <x v="2"/>
    <x v="5"/>
    <s v="Industrial Electronics"/>
    <s v="Military/Civil Aerospace Electronics"/>
    <s v="Semiconductor Revenue M$"/>
    <x v="6"/>
    <n v="25.814531031311237"/>
  </r>
  <r>
    <s v="Discrete AI"/>
    <x v="3"/>
    <x v="0"/>
    <s v="Compute"/>
    <s v="External Monitor"/>
    <s v="Semiconductor Revenue M$"/>
    <x v="0"/>
    <n v="0"/>
  </r>
  <r>
    <s v="Discrete AI"/>
    <x v="3"/>
    <x v="0"/>
    <s v="Compute"/>
    <s v="External Monitor"/>
    <s v="Semiconductor Revenue M$"/>
    <x v="1"/>
    <n v="0"/>
  </r>
  <r>
    <s v="Discrete AI"/>
    <x v="3"/>
    <x v="0"/>
    <s v="Compute"/>
    <s v="External Monitor"/>
    <s v="Semiconductor Revenue M$"/>
    <x v="2"/>
    <n v="0"/>
  </r>
  <r>
    <s v="Discrete AI"/>
    <x v="3"/>
    <x v="0"/>
    <s v="Compute"/>
    <s v="External Monitor"/>
    <s v="Semiconductor Revenue M$"/>
    <x v="3"/>
    <n v="0"/>
  </r>
  <r>
    <s v="Discrete AI"/>
    <x v="3"/>
    <x v="0"/>
    <s v="Compute"/>
    <s v="External Monitor"/>
    <s v="Semiconductor Revenue M$"/>
    <x v="4"/>
    <n v="0"/>
  </r>
  <r>
    <s v="Discrete AI"/>
    <x v="3"/>
    <x v="0"/>
    <s v="Compute"/>
    <s v="External Monitor"/>
    <s v="Semiconductor Revenue M$"/>
    <x v="5"/>
    <n v="0"/>
  </r>
  <r>
    <s v="Discrete AI"/>
    <x v="3"/>
    <x v="0"/>
    <s v="Compute"/>
    <s v="External Monitor"/>
    <s v="Semiconductor Revenue M$"/>
    <x v="6"/>
    <n v="0"/>
  </r>
  <r>
    <s v="Discrete AI"/>
    <x v="3"/>
    <x v="0"/>
    <s v="PC"/>
    <s v="Graphics Cards"/>
    <s v="Semiconductor Revenue M$"/>
    <x v="0"/>
    <n v="0"/>
  </r>
  <r>
    <s v="Discrete AI"/>
    <x v="3"/>
    <x v="0"/>
    <s v="PC"/>
    <s v="Graphics Cards"/>
    <s v="Semiconductor Revenue M$"/>
    <x v="1"/>
    <n v="0"/>
  </r>
  <r>
    <s v="Discrete AI"/>
    <x v="3"/>
    <x v="0"/>
    <s v="PC"/>
    <s v="Graphics Cards"/>
    <s v="Semiconductor Revenue M$"/>
    <x v="2"/>
    <n v="0"/>
  </r>
  <r>
    <s v="Discrete AI"/>
    <x v="3"/>
    <x v="0"/>
    <s v="PC"/>
    <s v="Graphics Cards"/>
    <s v="Semiconductor Revenue M$"/>
    <x v="3"/>
    <n v="0"/>
  </r>
  <r>
    <s v="Discrete AI"/>
    <x v="3"/>
    <x v="0"/>
    <s v="PC"/>
    <s v="Graphics Cards"/>
    <s v="Semiconductor Revenue M$"/>
    <x v="4"/>
    <n v="0"/>
  </r>
  <r>
    <s v="Discrete AI"/>
    <x v="3"/>
    <x v="0"/>
    <s v="PC"/>
    <s v="Graphics Cards"/>
    <s v="Semiconductor Revenue M$"/>
    <x v="5"/>
    <n v="0"/>
  </r>
  <r>
    <s v="Discrete AI"/>
    <x v="3"/>
    <x v="0"/>
    <s v="PC"/>
    <s v="Graphics Cards"/>
    <s v="Semiconductor Revenue M$"/>
    <x v="6"/>
    <n v="0"/>
  </r>
  <r>
    <s v="Discrete AI"/>
    <x v="3"/>
    <x v="0"/>
    <s v="PC"/>
    <s v="Desk-Based PC"/>
    <s v="Semiconductor Revenue M$"/>
    <x v="0"/>
    <n v="0"/>
  </r>
  <r>
    <s v="Discrete AI"/>
    <x v="3"/>
    <x v="0"/>
    <s v="PC"/>
    <s v="Desk-Based PC"/>
    <s v="Semiconductor Revenue M$"/>
    <x v="1"/>
    <n v="0"/>
  </r>
  <r>
    <s v="Discrete AI"/>
    <x v="3"/>
    <x v="0"/>
    <s v="PC"/>
    <s v="Desk-Based PC"/>
    <s v="Semiconductor Revenue M$"/>
    <x v="2"/>
    <n v="0"/>
  </r>
  <r>
    <s v="Discrete AI"/>
    <x v="3"/>
    <x v="0"/>
    <s v="PC"/>
    <s v="Desk-Based PC"/>
    <s v="Semiconductor Revenue M$"/>
    <x v="3"/>
    <n v="0"/>
  </r>
  <r>
    <s v="Discrete AI"/>
    <x v="3"/>
    <x v="0"/>
    <s v="PC"/>
    <s v="Desk-Based PC"/>
    <s v="Semiconductor Revenue M$"/>
    <x v="4"/>
    <n v="0"/>
  </r>
  <r>
    <s v="Discrete AI"/>
    <x v="3"/>
    <x v="0"/>
    <s v="PC"/>
    <s v="Desk-Based PC"/>
    <s v="Semiconductor Revenue M$"/>
    <x v="5"/>
    <n v="0"/>
  </r>
  <r>
    <s v="Discrete AI"/>
    <x v="3"/>
    <x v="0"/>
    <s v="PC"/>
    <s v="Desk-Based PC"/>
    <s v="Semiconductor Revenue M$"/>
    <x v="6"/>
    <n v="0"/>
  </r>
  <r>
    <s v="Discrete AI"/>
    <x v="3"/>
    <x v="0"/>
    <s v="PC"/>
    <s v="Ultramobile Basic, Tablet"/>
    <s v="Semiconductor Revenue M$"/>
    <x v="0"/>
    <n v="0"/>
  </r>
  <r>
    <s v="Discrete AI"/>
    <x v="3"/>
    <x v="0"/>
    <s v="PC"/>
    <s v="Ultramobile Basic, Tablet"/>
    <s v="Semiconductor Revenue M$"/>
    <x v="1"/>
    <n v="0"/>
  </r>
  <r>
    <s v="Discrete AI"/>
    <x v="3"/>
    <x v="0"/>
    <s v="PC"/>
    <s v="Ultramobile Basic, Tablet"/>
    <s v="Semiconductor Revenue M$"/>
    <x v="2"/>
    <n v="0"/>
  </r>
  <r>
    <s v="Discrete AI"/>
    <x v="3"/>
    <x v="0"/>
    <s v="PC"/>
    <s v="Ultramobile Basic, Tablet"/>
    <s v="Semiconductor Revenue M$"/>
    <x v="3"/>
    <n v="0"/>
  </r>
  <r>
    <s v="Discrete AI"/>
    <x v="3"/>
    <x v="0"/>
    <s v="PC"/>
    <s v="Ultramobile Basic, Tablet"/>
    <s v="Semiconductor Revenue M$"/>
    <x v="4"/>
    <n v="0"/>
  </r>
  <r>
    <s v="Discrete AI"/>
    <x v="3"/>
    <x v="0"/>
    <s v="PC"/>
    <s v="Ultramobile Basic, Tablet"/>
    <s v="Semiconductor Revenue M$"/>
    <x v="5"/>
    <n v="0"/>
  </r>
  <r>
    <s v="Discrete AI"/>
    <x v="3"/>
    <x v="0"/>
    <s v="PC"/>
    <s v="Ultramobile Basic, Tablet"/>
    <s v="Semiconductor Revenue M$"/>
    <x v="6"/>
    <n v="0"/>
  </r>
  <r>
    <s v="Discrete AI"/>
    <x v="3"/>
    <x v="0"/>
    <s v="PC"/>
    <s v="Ultramobile Utility, Tablet"/>
    <s v="Semiconductor Revenue M$"/>
    <x v="0"/>
    <n v="0"/>
  </r>
  <r>
    <s v="Discrete AI"/>
    <x v="3"/>
    <x v="0"/>
    <s v="PC"/>
    <s v="Ultramobile Utility, Tablet"/>
    <s v="Semiconductor Revenue M$"/>
    <x v="1"/>
    <n v="0"/>
  </r>
  <r>
    <s v="Discrete AI"/>
    <x v="3"/>
    <x v="0"/>
    <s v="PC"/>
    <s v="Ultramobile Utility, Tablet"/>
    <s v="Semiconductor Revenue M$"/>
    <x v="2"/>
    <n v="0"/>
  </r>
  <r>
    <s v="Discrete AI"/>
    <x v="3"/>
    <x v="0"/>
    <s v="PC"/>
    <s v="Ultramobile Utility, Tablet"/>
    <s v="Semiconductor Revenue M$"/>
    <x v="3"/>
    <n v="0"/>
  </r>
  <r>
    <s v="Discrete AI"/>
    <x v="3"/>
    <x v="0"/>
    <s v="PC"/>
    <s v="Ultramobile Utility, Tablet"/>
    <s v="Semiconductor Revenue M$"/>
    <x v="4"/>
    <n v="0"/>
  </r>
  <r>
    <s v="Discrete AI"/>
    <x v="3"/>
    <x v="0"/>
    <s v="PC"/>
    <s v="Ultramobile Utility, Tablet"/>
    <s v="Semiconductor Revenue M$"/>
    <x v="5"/>
    <n v="0"/>
  </r>
  <r>
    <s v="Discrete AI"/>
    <x v="3"/>
    <x v="0"/>
    <s v="PC"/>
    <s v="Ultramobile Utility, Tablet"/>
    <s v="Semiconductor Revenue M$"/>
    <x v="6"/>
    <n v="0"/>
  </r>
  <r>
    <s v="Discrete AI"/>
    <x v="3"/>
    <x v="0"/>
    <s v="PC"/>
    <s v="Ultramobile Premium, Tablet"/>
    <s v="Semiconductor Revenue M$"/>
    <x v="0"/>
    <n v="0"/>
  </r>
  <r>
    <s v="Discrete AI"/>
    <x v="3"/>
    <x v="0"/>
    <s v="PC"/>
    <s v="Ultramobile Premium, Tablet"/>
    <s v="Semiconductor Revenue M$"/>
    <x v="1"/>
    <n v="0"/>
  </r>
  <r>
    <s v="Discrete AI"/>
    <x v="3"/>
    <x v="0"/>
    <s v="PC"/>
    <s v="Ultramobile Premium, Tablet"/>
    <s v="Semiconductor Revenue M$"/>
    <x v="2"/>
    <n v="0"/>
  </r>
  <r>
    <s v="Discrete AI"/>
    <x v="3"/>
    <x v="0"/>
    <s v="PC"/>
    <s v="Ultramobile Premium, Tablet"/>
    <s v="Semiconductor Revenue M$"/>
    <x v="3"/>
    <n v="0"/>
  </r>
  <r>
    <s v="Discrete AI"/>
    <x v="3"/>
    <x v="0"/>
    <s v="PC"/>
    <s v="Ultramobile Premium, Tablet"/>
    <s v="Semiconductor Revenue M$"/>
    <x v="4"/>
    <n v="0"/>
  </r>
  <r>
    <s v="Discrete AI"/>
    <x v="3"/>
    <x v="0"/>
    <s v="PC"/>
    <s v="Ultramobile Premium, Tablet"/>
    <s v="Semiconductor Revenue M$"/>
    <x v="5"/>
    <n v="0"/>
  </r>
  <r>
    <s v="Discrete AI"/>
    <x v="3"/>
    <x v="0"/>
    <s v="PC"/>
    <s v="Ultramobile Premium, Tablet"/>
    <s v="Semiconductor Revenue M$"/>
    <x v="6"/>
    <n v="0"/>
  </r>
  <r>
    <s v="Discrete AI"/>
    <x v="3"/>
    <x v="0"/>
    <s v="PC"/>
    <s v="Ultramobile Basic, Clamshell"/>
    <s v="Semiconductor Revenue M$"/>
    <x v="0"/>
    <n v="0"/>
  </r>
  <r>
    <s v="Discrete AI"/>
    <x v="3"/>
    <x v="0"/>
    <s v="PC"/>
    <s v="Ultramobile Basic, Clamshell"/>
    <s v="Semiconductor Revenue M$"/>
    <x v="1"/>
    <n v="0"/>
  </r>
  <r>
    <s v="Discrete AI"/>
    <x v="3"/>
    <x v="0"/>
    <s v="PC"/>
    <s v="Ultramobile Basic, Clamshell"/>
    <s v="Semiconductor Revenue M$"/>
    <x v="2"/>
    <n v="0"/>
  </r>
  <r>
    <s v="Discrete AI"/>
    <x v="3"/>
    <x v="0"/>
    <s v="PC"/>
    <s v="Ultramobile Basic, Clamshell"/>
    <s v="Semiconductor Revenue M$"/>
    <x v="3"/>
    <n v="0"/>
  </r>
  <r>
    <s v="Discrete AI"/>
    <x v="3"/>
    <x v="0"/>
    <s v="PC"/>
    <s v="Ultramobile Basic, Clamshell"/>
    <s v="Semiconductor Revenue M$"/>
    <x v="4"/>
    <n v="0"/>
  </r>
  <r>
    <s v="Discrete AI"/>
    <x v="3"/>
    <x v="0"/>
    <s v="PC"/>
    <s v="Ultramobile Basic, Clamshell"/>
    <s v="Semiconductor Revenue M$"/>
    <x v="5"/>
    <n v="0"/>
  </r>
  <r>
    <s v="Discrete AI"/>
    <x v="3"/>
    <x v="0"/>
    <s v="PC"/>
    <s v="Ultramobile Basic, Clamshell"/>
    <s v="Semiconductor Revenue M$"/>
    <x v="6"/>
    <n v="0"/>
  </r>
  <r>
    <s v="Discrete AI"/>
    <x v="3"/>
    <x v="0"/>
    <s v="PC"/>
    <s v="Ultramobile Premium, Clamshell"/>
    <s v="Semiconductor Revenue M$"/>
    <x v="0"/>
    <n v="0"/>
  </r>
  <r>
    <s v="Discrete AI"/>
    <x v="3"/>
    <x v="0"/>
    <s v="PC"/>
    <s v="Ultramobile Premium, Clamshell"/>
    <s v="Semiconductor Revenue M$"/>
    <x v="1"/>
    <n v="0"/>
  </r>
  <r>
    <s v="Discrete AI"/>
    <x v="3"/>
    <x v="0"/>
    <s v="PC"/>
    <s v="Ultramobile Premium, Clamshell"/>
    <s v="Semiconductor Revenue M$"/>
    <x v="2"/>
    <n v="0"/>
  </r>
  <r>
    <s v="Discrete AI"/>
    <x v="3"/>
    <x v="0"/>
    <s v="PC"/>
    <s v="Ultramobile Premium, Clamshell"/>
    <s v="Semiconductor Revenue M$"/>
    <x v="3"/>
    <n v="0"/>
  </r>
  <r>
    <s v="Discrete AI"/>
    <x v="3"/>
    <x v="0"/>
    <s v="PC"/>
    <s v="Ultramobile Premium, Clamshell"/>
    <s v="Semiconductor Revenue M$"/>
    <x v="4"/>
    <n v="0"/>
  </r>
  <r>
    <s v="Discrete AI"/>
    <x v="3"/>
    <x v="0"/>
    <s v="PC"/>
    <s v="Ultramobile Premium, Clamshell"/>
    <s v="Semiconductor Revenue M$"/>
    <x v="5"/>
    <n v="0"/>
  </r>
  <r>
    <s v="Discrete AI"/>
    <x v="3"/>
    <x v="0"/>
    <s v="PC"/>
    <s v="Ultramobile Premium, Clamshell"/>
    <s v="Semiconductor Revenue M$"/>
    <x v="6"/>
    <n v="0"/>
  </r>
  <r>
    <s v="Discrete AI"/>
    <x v="3"/>
    <x v="0"/>
    <s v="PC"/>
    <s v="Ultramobile Basic, Hybrid"/>
    <s v="Semiconductor Revenue M$"/>
    <x v="0"/>
    <n v="0"/>
  </r>
  <r>
    <s v="Discrete AI"/>
    <x v="3"/>
    <x v="0"/>
    <s v="PC"/>
    <s v="Ultramobile Basic, Hybrid"/>
    <s v="Semiconductor Revenue M$"/>
    <x v="1"/>
    <n v="0"/>
  </r>
  <r>
    <s v="Discrete AI"/>
    <x v="3"/>
    <x v="0"/>
    <s v="PC"/>
    <s v="Ultramobile Basic, Hybrid"/>
    <s v="Semiconductor Revenue M$"/>
    <x v="2"/>
    <n v="0"/>
  </r>
  <r>
    <s v="Discrete AI"/>
    <x v="3"/>
    <x v="0"/>
    <s v="PC"/>
    <s v="Ultramobile Basic, Hybrid"/>
    <s v="Semiconductor Revenue M$"/>
    <x v="3"/>
    <n v="0"/>
  </r>
  <r>
    <s v="Discrete AI"/>
    <x v="3"/>
    <x v="0"/>
    <s v="PC"/>
    <s v="Ultramobile Basic, Hybrid"/>
    <s v="Semiconductor Revenue M$"/>
    <x v="4"/>
    <n v="0"/>
  </r>
  <r>
    <s v="Discrete AI"/>
    <x v="3"/>
    <x v="0"/>
    <s v="PC"/>
    <s v="Ultramobile Basic, Hybrid"/>
    <s v="Semiconductor Revenue M$"/>
    <x v="5"/>
    <n v="0"/>
  </r>
  <r>
    <s v="Discrete AI"/>
    <x v="3"/>
    <x v="0"/>
    <s v="PC"/>
    <s v="Ultramobile Basic, Hybrid"/>
    <s v="Semiconductor Revenue M$"/>
    <x v="6"/>
    <n v="0"/>
  </r>
  <r>
    <s v="Discrete AI"/>
    <x v="3"/>
    <x v="0"/>
    <s v="PC"/>
    <s v="Ultramobile Premium, Hybrid"/>
    <s v="Semiconductor Revenue M$"/>
    <x v="0"/>
    <n v="0"/>
  </r>
  <r>
    <s v="Discrete AI"/>
    <x v="3"/>
    <x v="0"/>
    <s v="PC"/>
    <s v="Ultramobile Premium, Hybrid"/>
    <s v="Semiconductor Revenue M$"/>
    <x v="1"/>
    <n v="0"/>
  </r>
  <r>
    <s v="Discrete AI"/>
    <x v="3"/>
    <x v="0"/>
    <s v="PC"/>
    <s v="Ultramobile Premium, Hybrid"/>
    <s v="Semiconductor Revenue M$"/>
    <x v="2"/>
    <n v="0"/>
  </r>
  <r>
    <s v="Discrete AI"/>
    <x v="3"/>
    <x v="0"/>
    <s v="PC"/>
    <s v="Ultramobile Premium, Hybrid"/>
    <s v="Semiconductor Revenue M$"/>
    <x v="3"/>
    <n v="0"/>
  </r>
  <r>
    <s v="Discrete AI"/>
    <x v="3"/>
    <x v="0"/>
    <s v="PC"/>
    <s v="Ultramobile Premium, Hybrid"/>
    <s v="Semiconductor Revenue M$"/>
    <x v="4"/>
    <n v="0"/>
  </r>
  <r>
    <s v="Discrete AI"/>
    <x v="3"/>
    <x v="0"/>
    <s v="PC"/>
    <s v="Ultramobile Premium, Hybrid"/>
    <s v="Semiconductor Revenue M$"/>
    <x v="5"/>
    <n v="0"/>
  </r>
  <r>
    <s v="Discrete AI"/>
    <x v="3"/>
    <x v="0"/>
    <s v="PC"/>
    <s v="Ultramobile Premium, Hybrid"/>
    <s v="Semiconductor Revenue M$"/>
    <x v="6"/>
    <n v="0"/>
  </r>
  <r>
    <s v="Discrete AI"/>
    <x v="3"/>
    <x v="0"/>
    <s v="PC"/>
    <s v="Notebook"/>
    <s v="Semiconductor Revenue M$"/>
    <x v="0"/>
    <n v="0"/>
  </r>
  <r>
    <s v="Discrete AI"/>
    <x v="3"/>
    <x v="0"/>
    <s v="PC"/>
    <s v="Notebook"/>
    <s v="Semiconductor Revenue M$"/>
    <x v="1"/>
    <n v="0"/>
  </r>
  <r>
    <s v="Discrete AI"/>
    <x v="3"/>
    <x v="0"/>
    <s v="PC"/>
    <s v="Notebook"/>
    <s v="Semiconductor Revenue M$"/>
    <x v="2"/>
    <n v="0"/>
  </r>
  <r>
    <s v="Discrete AI"/>
    <x v="3"/>
    <x v="0"/>
    <s v="PC"/>
    <s v="Notebook"/>
    <s v="Semiconductor Revenue M$"/>
    <x v="3"/>
    <n v="0"/>
  </r>
  <r>
    <s v="Discrete AI"/>
    <x v="3"/>
    <x v="0"/>
    <s v="PC"/>
    <s v="Notebook"/>
    <s v="Semiconductor Revenue M$"/>
    <x v="4"/>
    <n v="0"/>
  </r>
  <r>
    <s v="Discrete AI"/>
    <x v="3"/>
    <x v="0"/>
    <s v="PC"/>
    <s v="Notebook"/>
    <s v="Semiconductor Revenue M$"/>
    <x v="5"/>
    <n v="0"/>
  </r>
  <r>
    <s v="Discrete AI"/>
    <x v="3"/>
    <x v="0"/>
    <s v="PC"/>
    <s v="Notebook"/>
    <s v="Semiconductor Revenue M$"/>
    <x v="6"/>
    <n v="0"/>
  </r>
  <r>
    <s v="Discrete AI"/>
    <x v="3"/>
    <x v="0"/>
    <s v="Compute"/>
    <s v="Printer/Copier"/>
    <s v="Semiconductor Revenue M$"/>
    <x v="0"/>
    <n v="1.1267570655759639E-6"/>
  </r>
  <r>
    <s v="Discrete AI"/>
    <x v="3"/>
    <x v="0"/>
    <s v="Compute"/>
    <s v="Printer/Copier"/>
    <s v="Semiconductor Revenue M$"/>
    <x v="1"/>
    <n v="2.7483984420764878E-6"/>
  </r>
  <r>
    <s v="Discrete AI"/>
    <x v="3"/>
    <x v="0"/>
    <s v="Compute"/>
    <s v="Printer/Copier"/>
    <s v="Semiconductor Revenue M$"/>
    <x v="2"/>
    <n v="4.8363799290313643E-6"/>
  </r>
  <r>
    <s v="Discrete AI"/>
    <x v="3"/>
    <x v="0"/>
    <s v="Compute"/>
    <s v="Printer/Copier"/>
    <s v="Semiconductor Revenue M$"/>
    <x v="3"/>
    <n v="9.0583465167544725E-6"/>
  </r>
  <r>
    <s v="Discrete AI"/>
    <x v="3"/>
    <x v="0"/>
    <s v="Compute"/>
    <s v="Printer/Copier"/>
    <s v="Semiconductor Revenue M$"/>
    <x v="4"/>
    <n v="1.7660661637983022E-5"/>
  </r>
  <r>
    <s v="Discrete AI"/>
    <x v="3"/>
    <x v="0"/>
    <s v="Compute"/>
    <s v="Printer/Copier"/>
    <s v="Semiconductor Revenue M$"/>
    <x v="5"/>
    <n v="2.552580206450136E-5"/>
  </r>
  <r>
    <s v="Discrete AI"/>
    <x v="3"/>
    <x v="0"/>
    <s v="Compute"/>
    <s v="Printer/Copier"/>
    <s v="Semiconductor Revenue M$"/>
    <x v="6"/>
    <n v="-8.6022649997268829E-5"/>
  </r>
  <r>
    <s v="Discrete AI"/>
    <x v="3"/>
    <x v="0"/>
    <s v="Compute"/>
    <s v="Flash Cards"/>
    <s v="Semiconductor Revenue M$"/>
    <x v="0"/>
    <n v="0"/>
  </r>
  <r>
    <s v="Discrete AI"/>
    <x v="3"/>
    <x v="0"/>
    <s v="Compute"/>
    <s v="Flash Cards"/>
    <s v="Semiconductor Revenue M$"/>
    <x v="1"/>
    <n v="0"/>
  </r>
  <r>
    <s v="Discrete AI"/>
    <x v="3"/>
    <x v="0"/>
    <s v="Compute"/>
    <s v="Flash Cards"/>
    <s v="Semiconductor Revenue M$"/>
    <x v="2"/>
    <n v="0"/>
  </r>
  <r>
    <s v="Discrete AI"/>
    <x v="3"/>
    <x v="0"/>
    <s v="Compute"/>
    <s v="Flash Cards"/>
    <s v="Semiconductor Revenue M$"/>
    <x v="3"/>
    <n v="0"/>
  </r>
  <r>
    <s v="Discrete AI"/>
    <x v="3"/>
    <x v="0"/>
    <s v="Compute"/>
    <s v="Flash Cards"/>
    <s v="Semiconductor Revenue M$"/>
    <x v="4"/>
    <n v="0"/>
  </r>
  <r>
    <s v="Discrete AI"/>
    <x v="3"/>
    <x v="0"/>
    <s v="Compute"/>
    <s v="Flash Cards"/>
    <s v="Semiconductor Revenue M$"/>
    <x v="5"/>
    <n v="0"/>
  </r>
  <r>
    <s v="Discrete AI"/>
    <x v="3"/>
    <x v="0"/>
    <s v="Compute"/>
    <s v="Flash Cards"/>
    <s v="Semiconductor Revenue M$"/>
    <x v="6"/>
    <n v="0"/>
  </r>
  <r>
    <s v="Discrete AI"/>
    <x v="3"/>
    <x v="0"/>
    <s v="Compute"/>
    <s v="USB Flash Drives"/>
    <s v="Semiconductor Revenue M$"/>
    <x v="0"/>
    <n v="0"/>
  </r>
  <r>
    <s v="Discrete AI"/>
    <x v="3"/>
    <x v="0"/>
    <s v="Compute"/>
    <s v="USB Flash Drives"/>
    <s v="Semiconductor Revenue M$"/>
    <x v="1"/>
    <n v="0"/>
  </r>
  <r>
    <s v="Discrete AI"/>
    <x v="3"/>
    <x v="0"/>
    <s v="Compute"/>
    <s v="USB Flash Drives"/>
    <s v="Semiconductor Revenue M$"/>
    <x v="2"/>
    <n v="0"/>
  </r>
  <r>
    <s v="Discrete AI"/>
    <x v="3"/>
    <x v="0"/>
    <s v="Compute"/>
    <s v="USB Flash Drives"/>
    <s v="Semiconductor Revenue M$"/>
    <x v="3"/>
    <n v="0"/>
  </r>
  <r>
    <s v="Discrete AI"/>
    <x v="3"/>
    <x v="0"/>
    <s v="Compute"/>
    <s v="USB Flash Drives"/>
    <s v="Semiconductor Revenue M$"/>
    <x v="4"/>
    <n v="0"/>
  </r>
  <r>
    <s v="Discrete AI"/>
    <x v="3"/>
    <x v="0"/>
    <s v="Compute"/>
    <s v="USB Flash Drives"/>
    <s v="Semiconductor Revenue M$"/>
    <x v="5"/>
    <n v="0"/>
  </r>
  <r>
    <s v="Discrete AI"/>
    <x v="3"/>
    <x v="0"/>
    <s v="Compute"/>
    <s v="USB Flash Drives"/>
    <s v="Semiconductor Revenue M$"/>
    <x v="6"/>
    <n v="0"/>
  </r>
  <r>
    <s v="Discrete AI"/>
    <x v="3"/>
    <x v="0"/>
    <s v="Servers"/>
    <s v="Server, 4 CPU sockets and over"/>
    <s v="Semiconductor Revenue M$"/>
    <x v="0"/>
    <n v="1.0523838052849564E-2"/>
  </r>
  <r>
    <s v="Discrete AI"/>
    <x v="3"/>
    <x v="0"/>
    <s v="Servers"/>
    <s v="Server, 4 CPU sockets and over"/>
    <s v="Semiconductor Revenue M$"/>
    <x v="1"/>
    <n v="2.1280649626325018E-2"/>
  </r>
  <r>
    <s v="Discrete AI"/>
    <x v="3"/>
    <x v="0"/>
    <s v="Servers"/>
    <s v="Server, 4 CPU sockets and over"/>
    <s v="Semiconductor Revenue M$"/>
    <x v="2"/>
    <n v="3.3992974833772442E-2"/>
  </r>
  <r>
    <s v="Discrete AI"/>
    <x v="3"/>
    <x v="0"/>
    <s v="Servers"/>
    <s v="Server, 4 CPU sockets and over"/>
    <s v="Semiconductor Revenue M$"/>
    <x v="3"/>
    <n v="5.3227211012724505E-2"/>
  </r>
  <r>
    <s v="Discrete AI"/>
    <x v="3"/>
    <x v="0"/>
    <s v="Servers"/>
    <s v="Server, 4 CPU sockets and over"/>
    <s v="Semiconductor Revenue M$"/>
    <x v="4"/>
    <n v="8.8835301764999458E-2"/>
  </r>
  <r>
    <s v="Discrete AI"/>
    <x v="3"/>
    <x v="0"/>
    <s v="Servers"/>
    <s v="Server, 4 CPU sockets and over"/>
    <s v="Semiconductor Revenue M$"/>
    <x v="5"/>
    <n v="0.13166300997794164"/>
  </r>
  <r>
    <s v="Discrete AI"/>
    <x v="3"/>
    <x v="0"/>
    <s v="Servers"/>
    <s v="Server, 4 CPU sockets and over"/>
    <s v="Semiconductor Revenue M$"/>
    <x v="6"/>
    <n v="0.17139503059761679"/>
  </r>
  <r>
    <s v="Discrete AI"/>
    <x v="3"/>
    <x v="0"/>
    <s v="Servers"/>
    <s v="Server, 2 CPU socket"/>
    <s v="Semiconductor Revenue M$"/>
    <x v="0"/>
    <n v="16.962615545938348"/>
  </r>
  <r>
    <s v="Discrete AI"/>
    <x v="3"/>
    <x v="0"/>
    <s v="Servers"/>
    <s v="Server, 2 CPU socket"/>
    <s v="Semiconductor Revenue M$"/>
    <x v="1"/>
    <n v="30.566008152533076"/>
  </r>
  <r>
    <s v="Discrete AI"/>
    <x v="3"/>
    <x v="0"/>
    <s v="Servers"/>
    <s v="Server, 2 CPU socket"/>
    <s v="Semiconductor Revenue M$"/>
    <x v="2"/>
    <n v="45.949584550212393"/>
  </r>
  <r>
    <s v="Discrete AI"/>
    <x v="3"/>
    <x v="0"/>
    <s v="Servers"/>
    <s v="Server, 2 CPU socket"/>
    <s v="Semiconductor Revenue M$"/>
    <x v="3"/>
    <n v="75.513627202156201"/>
  </r>
  <r>
    <s v="Discrete AI"/>
    <x v="3"/>
    <x v="0"/>
    <s v="Servers"/>
    <s v="Server, 2 CPU socket"/>
    <s v="Semiconductor Revenue M$"/>
    <x v="4"/>
    <n v="111.58423703364925"/>
  </r>
  <r>
    <s v="Discrete AI"/>
    <x v="3"/>
    <x v="0"/>
    <s v="Servers"/>
    <s v="Server, 2 CPU socket"/>
    <s v="Semiconductor Revenue M$"/>
    <x v="5"/>
    <n v="133.63269680401095"/>
  </r>
  <r>
    <s v="Discrete AI"/>
    <x v="3"/>
    <x v="0"/>
    <s v="Servers"/>
    <s v="Server, 2 CPU socket"/>
    <s v="Semiconductor Revenue M$"/>
    <x v="6"/>
    <n v="158.88040224785232"/>
  </r>
  <r>
    <s v="Discrete AI"/>
    <x v="3"/>
    <x v="0"/>
    <s v="Servers"/>
    <s v="Server, 1 CPU socket"/>
    <s v="Semiconductor Revenue M$"/>
    <x v="0"/>
    <n v="1.426047221654291"/>
  </r>
  <r>
    <s v="Discrete AI"/>
    <x v="3"/>
    <x v="0"/>
    <s v="Servers"/>
    <s v="Server, 1 CPU socket"/>
    <s v="Semiconductor Revenue M$"/>
    <x v="1"/>
    <n v="2.6970124536866078"/>
  </r>
  <r>
    <s v="Discrete AI"/>
    <x v="3"/>
    <x v="0"/>
    <s v="Servers"/>
    <s v="Server, 1 CPU socket"/>
    <s v="Semiconductor Revenue M$"/>
    <x v="2"/>
    <n v="3.9806163097201659"/>
  </r>
  <r>
    <s v="Discrete AI"/>
    <x v="3"/>
    <x v="0"/>
    <s v="Servers"/>
    <s v="Server, 1 CPU socket"/>
    <s v="Semiconductor Revenue M$"/>
    <x v="3"/>
    <n v="6.1330897641509639"/>
  </r>
  <r>
    <s v="Discrete AI"/>
    <x v="3"/>
    <x v="0"/>
    <s v="Servers"/>
    <s v="Server, 1 CPU socket"/>
    <s v="Semiconductor Revenue M$"/>
    <x v="4"/>
    <n v="10.177401384377118"/>
  </r>
  <r>
    <s v="Discrete AI"/>
    <x v="3"/>
    <x v="0"/>
    <s v="Servers"/>
    <s v="Server, 1 CPU socket"/>
    <s v="Semiconductor Revenue M$"/>
    <x v="5"/>
    <n v="13.925676269840602"/>
  </r>
  <r>
    <s v="Discrete AI"/>
    <x v="3"/>
    <x v="0"/>
    <s v="Servers"/>
    <s v="Server, 1 CPU socket"/>
    <s v="Semiconductor Revenue M$"/>
    <x v="6"/>
    <n v="18.380907605506135"/>
  </r>
  <r>
    <s v="Discrete AI"/>
    <x v="3"/>
    <x v="0"/>
    <s v="Compute"/>
    <s v="Smart Cards"/>
    <s v="Semiconductor Revenue M$"/>
    <x v="0"/>
    <n v="0"/>
  </r>
  <r>
    <s v="Discrete AI"/>
    <x v="3"/>
    <x v="0"/>
    <s v="Compute"/>
    <s v="Smart Cards"/>
    <s v="Semiconductor Revenue M$"/>
    <x v="1"/>
    <n v="0"/>
  </r>
  <r>
    <s v="Discrete AI"/>
    <x v="3"/>
    <x v="0"/>
    <s v="Compute"/>
    <s v="Smart Cards"/>
    <s v="Semiconductor Revenue M$"/>
    <x v="2"/>
    <n v="0"/>
  </r>
  <r>
    <s v="Discrete AI"/>
    <x v="3"/>
    <x v="0"/>
    <s v="Compute"/>
    <s v="Smart Cards"/>
    <s v="Semiconductor Revenue M$"/>
    <x v="3"/>
    <n v="0"/>
  </r>
  <r>
    <s v="Discrete AI"/>
    <x v="3"/>
    <x v="0"/>
    <s v="Compute"/>
    <s v="Smart Cards"/>
    <s v="Semiconductor Revenue M$"/>
    <x v="4"/>
    <n v="0"/>
  </r>
  <r>
    <s v="Discrete AI"/>
    <x v="3"/>
    <x v="0"/>
    <s v="Compute"/>
    <s v="Smart Cards"/>
    <s v="Semiconductor Revenue M$"/>
    <x v="5"/>
    <n v="0"/>
  </r>
  <r>
    <s v="Discrete AI"/>
    <x v="3"/>
    <x v="0"/>
    <s v="Compute"/>
    <s v="Smart Cards"/>
    <s v="Semiconductor Revenue M$"/>
    <x v="6"/>
    <n v="0"/>
  </r>
  <r>
    <s v="Discrete AI"/>
    <x v="3"/>
    <x v="0"/>
    <s v="Servers"/>
    <s v="Accelerator Cards"/>
    <s v="Semiconductor Revenue M$"/>
    <x v="0"/>
    <n v="50.467397131383862"/>
  </r>
  <r>
    <s v="Discrete AI"/>
    <x v="3"/>
    <x v="0"/>
    <s v="Servers"/>
    <s v="Accelerator Cards"/>
    <s v="Semiconductor Revenue M$"/>
    <x v="1"/>
    <n v="92.464814818990462"/>
  </r>
  <r>
    <s v="Discrete AI"/>
    <x v="3"/>
    <x v="0"/>
    <s v="Servers"/>
    <s v="Accelerator Cards"/>
    <s v="Semiconductor Revenue M$"/>
    <x v="2"/>
    <n v="126.32473263714853"/>
  </r>
  <r>
    <s v="Discrete AI"/>
    <x v="3"/>
    <x v="0"/>
    <s v="Servers"/>
    <s v="Accelerator Cards"/>
    <s v="Semiconductor Revenue M$"/>
    <x v="3"/>
    <n v="231.45073986922927"/>
  </r>
  <r>
    <s v="Discrete AI"/>
    <x v="3"/>
    <x v="0"/>
    <s v="Servers"/>
    <s v="Accelerator Cards"/>
    <s v="Semiconductor Revenue M$"/>
    <x v="4"/>
    <n v="305.27631255825372"/>
  </r>
  <r>
    <s v="Discrete AI"/>
    <x v="3"/>
    <x v="0"/>
    <s v="Servers"/>
    <s v="Accelerator Cards"/>
    <s v="Semiconductor Revenue M$"/>
    <x v="5"/>
    <n v="316.00864351777716"/>
  </r>
  <r>
    <s v="Discrete AI"/>
    <x v="3"/>
    <x v="0"/>
    <s v="Servers"/>
    <s v="Accelerator Cards"/>
    <s v="Semiconductor Revenue M$"/>
    <x v="6"/>
    <n v="394.8995802378314"/>
  </r>
  <r>
    <s v="Discrete AI"/>
    <x v="3"/>
    <x v="1"/>
    <s v="Storage"/>
    <s v="Solid-State ECB"/>
    <s v="Semiconductor Revenue M$"/>
    <x v="0"/>
    <n v="1.0173249873552141E-3"/>
  </r>
  <r>
    <s v="Discrete AI"/>
    <x v="3"/>
    <x v="1"/>
    <s v="Storage"/>
    <s v="Solid-State ECB"/>
    <s v="Semiconductor Revenue M$"/>
    <x v="1"/>
    <n v="2.1877610659367676E-3"/>
  </r>
  <r>
    <s v="Discrete AI"/>
    <x v="3"/>
    <x v="1"/>
    <s v="Storage"/>
    <s v="Solid-State ECB"/>
    <s v="Semiconductor Revenue M$"/>
    <x v="2"/>
    <n v="4.2961365249056353E-3"/>
  </r>
  <r>
    <s v="Discrete AI"/>
    <x v="3"/>
    <x v="1"/>
    <s v="Storage"/>
    <s v="Solid-State ECB"/>
    <s v="Semiconductor Revenue M$"/>
    <x v="3"/>
    <n v="8.2231504374937012E-3"/>
  </r>
  <r>
    <s v="Discrete AI"/>
    <x v="3"/>
    <x v="1"/>
    <s v="Storage"/>
    <s v="Solid-State ECB"/>
    <s v="Semiconductor Revenue M$"/>
    <x v="4"/>
    <n v="1.4569147933241695E-2"/>
  </r>
  <r>
    <s v="Discrete AI"/>
    <x v="3"/>
    <x v="1"/>
    <s v="Storage"/>
    <s v="Solid-State ECB"/>
    <s v="Semiconductor Revenue M$"/>
    <x v="5"/>
    <n v="1.588862346066347E-2"/>
  </r>
  <r>
    <s v="Discrete AI"/>
    <x v="3"/>
    <x v="1"/>
    <s v="Storage"/>
    <s v="Solid-State ECB"/>
    <s v="Semiconductor Revenue M$"/>
    <x v="6"/>
    <n v="1.5122886580861554E-2"/>
  </r>
  <r>
    <s v="Discrete AI"/>
    <x v="3"/>
    <x v="1"/>
    <s v="Storage"/>
    <s v="Other ECB (HDD/Hybrid)"/>
    <s v="Semiconductor Revenue M$"/>
    <x v="0"/>
    <n v="1.3847078013219027E-3"/>
  </r>
  <r>
    <s v="Discrete AI"/>
    <x v="3"/>
    <x v="1"/>
    <s v="Storage"/>
    <s v="Other ECB (HDD/Hybrid)"/>
    <s v="Semiconductor Revenue M$"/>
    <x v="1"/>
    <n v="4.5014732128677709E-3"/>
  </r>
  <r>
    <s v="Discrete AI"/>
    <x v="3"/>
    <x v="1"/>
    <s v="Storage"/>
    <s v="Other ECB (HDD/Hybrid)"/>
    <s v="Semiconductor Revenue M$"/>
    <x v="2"/>
    <n v="1.1375681541873602E-2"/>
  </r>
  <r>
    <s v="Discrete AI"/>
    <x v="3"/>
    <x v="1"/>
    <s v="Storage"/>
    <s v="Other ECB (HDD/Hybrid)"/>
    <s v="Semiconductor Revenue M$"/>
    <x v="3"/>
    <n v="3.0093344658039652E-2"/>
  </r>
  <r>
    <s v="Discrete AI"/>
    <x v="3"/>
    <x v="1"/>
    <s v="Storage"/>
    <s v="Other ECB (HDD/Hybrid)"/>
    <s v="Semiconductor Revenue M$"/>
    <x v="4"/>
    <n v="7.424132258512664E-2"/>
  </r>
  <r>
    <s v="Discrete AI"/>
    <x v="3"/>
    <x v="1"/>
    <s v="Storage"/>
    <s v="Other ECB (HDD/Hybrid)"/>
    <s v="Semiconductor Revenue M$"/>
    <x v="5"/>
    <n v="8.0508741423058014E-2"/>
  </r>
  <r>
    <s v="Discrete AI"/>
    <x v="3"/>
    <x v="1"/>
    <s v="Storage"/>
    <s v="Other ECB (HDD/Hybrid)"/>
    <s v="Semiconductor Revenue M$"/>
    <x v="6"/>
    <n v="7.4927473473159339E-2"/>
  </r>
  <r>
    <s v="Discrete AI"/>
    <x v="3"/>
    <x v="1"/>
    <s v="Storage"/>
    <s v="Storage Network Infrastructure"/>
    <s v="Semiconductor Revenue M$"/>
    <x v="0"/>
    <n v="4.4691447853145785E-2"/>
  </r>
  <r>
    <s v="Discrete AI"/>
    <x v="3"/>
    <x v="1"/>
    <s v="Storage"/>
    <s v="Storage Network Infrastructure"/>
    <s v="Semiconductor Revenue M$"/>
    <x v="1"/>
    <n v="0.10038069929410623"/>
  </r>
  <r>
    <s v="Discrete AI"/>
    <x v="3"/>
    <x v="1"/>
    <s v="Storage"/>
    <s v="Storage Network Infrastructure"/>
    <s v="Semiconductor Revenue M$"/>
    <x v="2"/>
    <n v="0.2021525781600306"/>
  </r>
  <r>
    <s v="Discrete AI"/>
    <x v="3"/>
    <x v="1"/>
    <s v="Storage"/>
    <s v="Storage Network Infrastructure"/>
    <s v="Semiconductor Revenue M$"/>
    <x v="3"/>
    <n v="0.39205892985539187"/>
  </r>
  <r>
    <s v="Discrete AI"/>
    <x v="3"/>
    <x v="1"/>
    <s v="Storage"/>
    <s v="Storage Network Infrastructure"/>
    <s v="Semiconductor Revenue M$"/>
    <x v="4"/>
    <n v="0.72196005868086088"/>
  </r>
  <r>
    <s v="Discrete AI"/>
    <x v="3"/>
    <x v="1"/>
    <s v="Storage"/>
    <s v="Storage Network Infrastructure"/>
    <s v="Semiconductor Revenue M$"/>
    <x v="5"/>
    <n v="0.80828027457000151"/>
  </r>
  <r>
    <s v="Discrete AI"/>
    <x v="3"/>
    <x v="1"/>
    <s v="Storage"/>
    <s v="Storage Network Infrastructure"/>
    <s v="Semiconductor Revenue M$"/>
    <x v="6"/>
    <n v="0.78781587205891557"/>
  </r>
  <r>
    <s v="Discrete AI"/>
    <x v="3"/>
    <x v="1"/>
    <s v="Storage"/>
    <s v="Hard Disk Drive"/>
    <s v="Semiconductor Revenue M$"/>
    <x v="0"/>
    <n v="0"/>
  </r>
  <r>
    <s v="Discrete AI"/>
    <x v="3"/>
    <x v="1"/>
    <s v="Storage"/>
    <s v="Hard Disk Drive"/>
    <s v="Semiconductor Revenue M$"/>
    <x v="1"/>
    <n v="0"/>
  </r>
  <r>
    <s v="Discrete AI"/>
    <x v="3"/>
    <x v="1"/>
    <s v="Storage"/>
    <s v="Hard Disk Drive"/>
    <s v="Semiconductor Revenue M$"/>
    <x v="2"/>
    <n v="0"/>
  </r>
  <r>
    <s v="Discrete AI"/>
    <x v="3"/>
    <x v="1"/>
    <s v="Storage"/>
    <s v="Hard Disk Drive"/>
    <s v="Semiconductor Revenue M$"/>
    <x v="3"/>
    <n v="0"/>
  </r>
  <r>
    <s v="Discrete AI"/>
    <x v="3"/>
    <x v="1"/>
    <s v="Storage"/>
    <s v="Hard Disk Drive"/>
    <s v="Semiconductor Revenue M$"/>
    <x v="4"/>
    <n v="0"/>
  </r>
  <r>
    <s v="Discrete AI"/>
    <x v="3"/>
    <x v="1"/>
    <s v="Storage"/>
    <s v="Hard Disk Drive"/>
    <s v="Semiconductor Revenue M$"/>
    <x v="5"/>
    <n v="0"/>
  </r>
  <r>
    <s v="Discrete AI"/>
    <x v="3"/>
    <x v="1"/>
    <s v="Storage"/>
    <s v="Hard Disk Drive"/>
    <s v="Semiconductor Revenue M$"/>
    <x v="6"/>
    <n v="0"/>
  </r>
  <r>
    <s v="Discrete AI"/>
    <x v="3"/>
    <x v="1"/>
    <s v="Storage"/>
    <s v="Solid-State Drives"/>
    <s v="Semiconductor Revenue M$"/>
    <x v="0"/>
    <n v="0"/>
  </r>
  <r>
    <s v="Discrete AI"/>
    <x v="3"/>
    <x v="1"/>
    <s v="Storage"/>
    <s v="Solid-State Drives"/>
    <s v="Semiconductor Revenue M$"/>
    <x v="1"/>
    <n v="0"/>
  </r>
  <r>
    <s v="Discrete AI"/>
    <x v="3"/>
    <x v="1"/>
    <s v="Storage"/>
    <s v="Solid-State Drives"/>
    <s v="Semiconductor Revenue M$"/>
    <x v="2"/>
    <n v="0"/>
  </r>
  <r>
    <s v="Discrete AI"/>
    <x v="3"/>
    <x v="1"/>
    <s v="Storage"/>
    <s v="Solid-State Drives"/>
    <s v="Semiconductor Revenue M$"/>
    <x v="3"/>
    <n v="0"/>
  </r>
  <r>
    <s v="Discrete AI"/>
    <x v="3"/>
    <x v="1"/>
    <s v="Storage"/>
    <s v="Solid-State Drives"/>
    <s v="Semiconductor Revenue M$"/>
    <x v="4"/>
    <n v="0"/>
  </r>
  <r>
    <s v="Discrete AI"/>
    <x v="3"/>
    <x v="1"/>
    <s v="Storage"/>
    <s v="Solid-State Drives"/>
    <s v="Semiconductor Revenue M$"/>
    <x v="5"/>
    <n v="0"/>
  </r>
  <r>
    <s v="Discrete AI"/>
    <x v="3"/>
    <x v="1"/>
    <s v="Storage"/>
    <s v="Solid-State Drives"/>
    <s v="Semiconductor Revenue M$"/>
    <x v="6"/>
    <n v="0"/>
  </r>
  <r>
    <s v="Discrete AI"/>
    <x v="3"/>
    <x v="1"/>
    <s v="Storage"/>
    <s v="Other Storage Media"/>
    <s v="Semiconductor Revenue M$"/>
    <x v="0"/>
    <n v="0"/>
  </r>
  <r>
    <s v="Discrete AI"/>
    <x v="3"/>
    <x v="1"/>
    <s v="Storage"/>
    <s v="Other Storage Media"/>
    <s v="Semiconductor Revenue M$"/>
    <x v="1"/>
    <n v="0"/>
  </r>
  <r>
    <s v="Discrete AI"/>
    <x v="3"/>
    <x v="1"/>
    <s v="Storage"/>
    <s v="Other Storage Media"/>
    <s v="Semiconductor Revenue M$"/>
    <x v="2"/>
    <n v="0"/>
  </r>
  <r>
    <s v="Discrete AI"/>
    <x v="3"/>
    <x v="1"/>
    <s v="Storage"/>
    <s v="Other Storage Media"/>
    <s v="Semiconductor Revenue M$"/>
    <x v="3"/>
    <n v="0"/>
  </r>
  <r>
    <s v="Discrete AI"/>
    <x v="3"/>
    <x v="1"/>
    <s v="Storage"/>
    <s v="Other Storage Media"/>
    <s v="Semiconductor Revenue M$"/>
    <x v="4"/>
    <n v="0"/>
  </r>
  <r>
    <s v="Discrete AI"/>
    <x v="3"/>
    <x v="1"/>
    <s v="Storage"/>
    <s v="Other Storage Media"/>
    <s v="Semiconductor Revenue M$"/>
    <x v="5"/>
    <n v="0"/>
  </r>
  <r>
    <s v="Discrete AI"/>
    <x v="3"/>
    <x v="1"/>
    <s v="Storage"/>
    <s v="Other Storage Media"/>
    <s v="Semiconductor Revenue M$"/>
    <x v="6"/>
    <n v="0"/>
  </r>
  <r>
    <s v="Discrete AI"/>
    <x v="3"/>
    <x v="1"/>
    <s v="Storage"/>
    <s v="Other Storage Electronics"/>
    <s v="Semiconductor Revenue M$"/>
    <x v="0"/>
    <n v="4.1734856969343884E-2"/>
  </r>
  <r>
    <s v="Discrete AI"/>
    <x v="3"/>
    <x v="1"/>
    <s v="Storage"/>
    <s v="Other Storage Electronics"/>
    <s v="Semiconductor Revenue M$"/>
    <x v="1"/>
    <n v="0.10538238071683506"/>
  </r>
  <r>
    <s v="Discrete AI"/>
    <x v="3"/>
    <x v="1"/>
    <s v="Storage"/>
    <s v="Other Storage Electronics"/>
    <s v="Semiconductor Revenue M$"/>
    <x v="2"/>
    <n v="0.19405508568062865"/>
  </r>
  <r>
    <s v="Discrete AI"/>
    <x v="3"/>
    <x v="1"/>
    <s v="Storage"/>
    <s v="Other Storage Electronics"/>
    <s v="Semiconductor Revenue M$"/>
    <x v="3"/>
    <n v="0.36667619281653413"/>
  </r>
  <r>
    <s v="Discrete AI"/>
    <x v="3"/>
    <x v="1"/>
    <s v="Storage"/>
    <s v="Other Storage Electronics"/>
    <s v="Semiconductor Revenue M$"/>
    <x v="4"/>
    <n v="0.63144956799088137"/>
  </r>
  <r>
    <s v="Discrete AI"/>
    <x v="3"/>
    <x v="1"/>
    <s v="Storage"/>
    <s v="Other Storage Electronics"/>
    <s v="Semiconductor Revenue M$"/>
    <x v="5"/>
    <n v="0.66047030613553681"/>
  </r>
  <r>
    <s v="Discrete AI"/>
    <x v="3"/>
    <x v="1"/>
    <s v="Storage"/>
    <s v="Other Storage Electronics"/>
    <s v="Semiconductor Revenue M$"/>
    <x v="6"/>
    <n v="0.61398537556532107"/>
  </r>
  <r>
    <s v="Discrete AI"/>
    <x v="3"/>
    <x v="2"/>
    <s v="Wireless Communications Electronics"/>
    <s v="Utility Traditional Phone"/>
    <s v="Semiconductor Revenue M$"/>
    <x v="0"/>
    <n v="0"/>
  </r>
  <r>
    <s v="Discrete AI"/>
    <x v="3"/>
    <x v="2"/>
    <s v="Wireless Communications Electronics"/>
    <s v="Utility Traditional Phone"/>
    <s v="Semiconductor Revenue M$"/>
    <x v="1"/>
    <n v="0"/>
  </r>
  <r>
    <s v="Discrete AI"/>
    <x v="3"/>
    <x v="2"/>
    <s v="Wireless Communications Electronics"/>
    <s v="Utility Traditional Phone"/>
    <s v="Semiconductor Revenue M$"/>
    <x v="2"/>
    <n v="0"/>
  </r>
  <r>
    <s v="Discrete AI"/>
    <x v="3"/>
    <x v="2"/>
    <s v="Wireless Communications Electronics"/>
    <s v="Utility Traditional Phone"/>
    <s v="Semiconductor Revenue M$"/>
    <x v="3"/>
    <n v="0"/>
  </r>
  <r>
    <s v="Discrete AI"/>
    <x v="3"/>
    <x v="2"/>
    <s v="Wireless Communications Electronics"/>
    <s v="Utility Traditional Phone"/>
    <s v="Semiconductor Revenue M$"/>
    <x v="4"/>
    <n v="0"/>
  </r>
  <r>
    <s v="Discrete AI"/>
    <x v="3"/>
    <x v="2"/>
    <s v="Wireless Communications Electronics"/>
    <s v="Utility Traditional Phone"/>
    <s v="Semiconductor Revenue M$"/>
    <x v="5"/>
    <n v="0"/>
  </r>
  <r>
    <s v="Discrete AI"/>
    <x v="3"/>
    <x v="2"/>
    <s v="Wireless Communications Electronics"/>
    <s v="Utility Traditional Phone"/>
    <s v="Semiconductor Revenue M$"/>
    <x v="6"/>
    <n v="0"/>
  </r>
  <r>
    <s v="Discrete AI"/>
    <x v="3"/>
    <x v="2"/>
    <s v="Wireless Communications Electronics"/>
    <s v="Basic Smartphone"/>
    <s v="Semiconductor Revenue M$"/>
    <x v="0"/>
    <n v="0"/>
  </r>
  <r>
    <s v="Discrete AI"/>
    <x v="3"/>
    <x v="2"/>
    <s v="Wireless Communications Electronics"/>
    <s v="Basic Smartphone"/>
    <s v="Semiconductor Revenue M$"/>
    <x v="1"/>
    <n v="0"/>
  </r>
  <r>
    <s v="Discrete AI"/>
    <x v="3"/>
    <x v="2"/>
    <s v="Wireless Communications Electronics"/>
    <s v="Basic Smartphone"/>
    <s v="Semiconductor Revenue M$"/>
    <x v="2"/>
    <n v="0"/>
  </r>
  <r>
    <s v="Discrete AI"/>
    <x v="3"/>
    <x v="2"/>
    <s v="Wireless Communications Electronics"/>
    <s v="Basic Smartphone"/>
    <s v="Semiconductor Revenue M$"/>
    <x v="3"/>
    <n v="0"/>
  </r>
  <r>
    <s v="Discrete AI"/>
    <x v="3"/>
    <x v="2"/>
    <s v="Wireless Communications Electronics"/>
    <s v="Basic Smartphone"/>
    <s v="Semiconductor Revenue M$"/>
    <x v="4"/>
    <n v="0"/>
  </r>
  <r>
    <s v="Discrete AI"/>
    <x v="3"/>
    <x v="2"/>
    <s v="Wireless Communications Electronics"/>
    <s v="Basic Smartphone"/>
    <s v="Semiconductor Revenue M$"/>
    <x v="5"/>
    <n v="0"/>
  </r>
  <r>
    <s v="Discrete AI"/>
    <x v="3"/>
    <x v="2"/>
    <s v="Wireless Communications Electronics"/>
    <s v="Basic Smartphone"/>
    <s v="Semiconductor Revenue M$"/>
    <x v="6"/>
    <n v="0"/>
  </r>
  <r>
    <s v="Discrete AI"/>
    <x v="3"/>
    <x v="2"/>
    <s v="Wireless Communications Electronics"/>
    <s v="Utility Smartphone"/>
    <s v="Semiconductor Revenue M$"/>
    <x v="0"/>
    <n v="0"/>
  </r>
  <r>
    <s v="Discrete AI"/>
    <x v="3"/>
    <x v="2"/>
    <s v="Wireless Communications Electronics"/>
    <s v="Utility Smartphone"/>
    <s v="Semiconductor Revenue M$"/>
    <x v="1"/>
    <n v="0"/>
  </r>
  <r>
    <s v="Discrete AI"/>
    <x v="3"/>
    <x v="2"/>
    <s v="Wireless Communications Electronics"/>
    <s v="Utility Smartphone"/>
    <s v="Semiconductor Revenue M$"/>
    <x v="2"/>
    <n v="0"/>
  </r>
  <r>
    <s v="Discrete AI"/>
    <x v="3"/>
    <x v="2"/>
    <s v="Wireless Communications Electronics"/>
    <s v="Utility Smartphone"/>
    <s v="Semiconductor Revenue M$"/>
    <x v="3"/>
    <n v="0"/>
  </r>
  <r>
    <s v="Discrete AI"/>
    <x v="3"/>
    <x v="2"/>
    <s v="Wireless Communications Electronics"/>
    <s v="Utility Smartphone"/>
    <s v="Semiconductor Revenue M$"/>
    <x v="4"/>
    <n v="0"/>
  </r>
  <r>
    <s v="Discrete AI"/>
    <x v="3"/>
    <x v="2"/>
    <s v="Wireless Communications Electronics"/>
    <s v="Utility Smartphone"/>
    <s v="Semiconductor Revenue M$"/>
    <x v="5"/>
    <n v="0"/>
  </r>
  <r>
    <s v="Discrete AI"/>
    <x v="3"/>
    <x v="2"/>
    <s v="Wireless Communications Electronics"/>
    <s v="Utility Smartphone"/>
    <s v="Semiconductor Revenue M$"/>
    <x v="6"/>
    <n v="0"/>
  </r>
  <r>
    <s v="Discrete AI"/>
    <x v="3"/>
    <x v="2"/>
    <s v="Wireless Communications Electronics"/>
    <s v="Premium Smartphone"/>
    <s v="Semiconductor Revenue M$"/>
    <x v="0"/>
    <n v="0"/>
  </r>
  <r>
    <s v="Discrete AI"/>
    <x v="3"/>
    <x v="2"/>
    <s v="Wireless Communications Electronics"/>
    <s v="Premium Smartphone"/>
    <s v="Semiconductor Revenue M$"/>
    <x v="1"/>
    <n v="0"/>
  </r>
  <r>
    <s v="Discrete AI"/>
    <x v="3"/>
    <x v="2"/>
    <s v="Wireless Communications Electronics"/>
    <s v="Premium Smartphone"/>
    <s v="Semiconductor Revenue M$"/>
    <x v="2"/>
    <n v="0"/>
  </r>
  <r>
    <s v="Discrete AI"/>
    <x v="3"/>
    <x v="2"/>
    <s v="Wireless Communications Electronics"/>
    <s v="Premium Smartphone"/>
    <s v="Semiconductor Revenue M$"/>
    <x v="3"/>
    <n v="0"/>
  </r>
  <r>
    <s v="Discrete AI"/>
    <x v="3"/>
    <x v="2"/>
    <s v="Wireless Communications Electronics"/>
    <s v="Premium Smartphone"/>
    <s v="Semiconductor Revenue M$"/>
    <x v="4"/>
    <n v="0"/>
  </r>
  <r>
    <s v="Discrete AI"/>
    <x v="3"/>
    <x v="2"/>
    <s v="Wireless Communications Electronics"/>
    <s v="Premium Smartphone"/>
    <s v="Semiconductor Revenue M$"/>
    <x v="5"/>
    <n v="0"/>
  </r>
  <r>
    <s v="Discrete AI"/>
    <x v="3"/>
    <x v="2"/>
    <s v="Wireless Communications Electronics"/>
    <s v="Premium Smartphone"/>
    <s v="Semiconductor Revenue M$"/>
    <x v="6"/>
    <n v="0"/>
  </r>
  <r>
    <s v="Discrete AI"/>
    <x v="3"/>
    <x v="3"/>
    <s v="Automotive Electronics"/>
    <s v="ADAS-ECU (Level-2+/3/4)"/>
    <s v="Semiconductor Revenue M$"/>
    <x v="0"/>
    <n v="2.8983799584330363"/>
  </r>
  <r>
    <s v="Discrete AI"/>
    <x v="3"/>
    <x v="3"/>
    <s v="Automotive Electronics"/>
    <s v="ADAS-ECU (Level-2+/3/4)"/>
    <s v="Semiconductor Revenue M$"/>
    <x v="1"/>
    <n v="7.8809598355717236"/>
  </r>
  <r>
    <s v="Discrete AI"/>
    <x v="3"/>
    <x v="3"/>
    <s v="Automotive Electronics"/>
    <s v="ADAS-ECU (Level-2+/3/4)"/>
    <s v="Semiconductor Revenue M$"/>
    <x v="2"/>
    <n v="28.155799015223618"/>
  </r>
  <r>
    <s v="Discrete AI"/>
    <x v="3"/>
    <x v="3"/>
    <s v="Automotive Electronics"/>
    <s v="ADAS-ECU (Level-2+/3/4)"/>
    <s v="Semiconductor Revenue M$"/>
    <x v="3"/>
    <n v="52.415094654089835"/>
  </r>
  <r>
    <s v="Discrete AI"/>
    <x v="3"/>
    <x v="3"/>
    <s v="Automotive Electronics"/>
    <s v="ADAS-ECU (Level-2+/3/4)"/>
    <s v="Semiconductor Revenue M$"/>
    <x v="4"/>
    <n v="64.651503324106741"/>
  </r>
  <r>
    <s v="Discrete AI"/>
    <x v="3"/>
    <x v="3"/>
    <s v="Automotive Electronics"/>
    <s v="ADAS-ECU (Level-2+/3/4)"/>
    <s v="Semiconductor Revenue M$"/>
    <x v="5"/>
    <n v="68.555103853128671"/>
  </r>
  <r>
    <s v="Discrete AI"/>
    <x v="3"/>
    <x v="3"/>
    <s v="Automotive Electronics"/>
    <s v="ADAS-ECU (Level-2+/3/4)"/>
    <s v="Semiconductor Revenue M$"/>
    <x v="6"/>
    <n v="75.59458413482642"/>
  </r>
  <r>
    <s v="Discrete AI"/>
    <x v="3"/>
    <x v="2"/>
    <s v="Wireless Communications Electronics"/>
    <s v="Mobile Infrastructure - Base Station Equipment"/>
    <s v="Semiconductor Revenue M$"/>
    <x v="0"/>
    <n v="15.122307214464673"/>
  </r>
  <r>
    <s v="Discrete AI"/>
    <x v="3"/>
    <x v="2"/>
    <s v="Wireless Communications Electronics"/>
    <s v="Mobile Infrastructure - Base Station Equipment"/>
    <s v="Semiconductor Revenue M$"/>
    <x v="1"/>
    <n v="35.735139186743282"/>
  </r>
  <r>
    <s v="Discrete AI"/>
    <x v="3"/>
    <x v="2"/>
    <s v="Wireless Communications Electronics"/>
    <s v="Mobile Infrastructure - Base Station Equipment"/>
    <s v="Semiconductor Revenue M$"/>
    <x v="2"/>
    <n v="63.098761395086754"/>
  </r>
  <r>
    <s v="Discrete AI"/>
    <x v="3"/>
    <x v="2"/>
    <s v="Wireless Communications Electronics"/>
    <s v="Mobile Infrastructure - Base Station Equipment"/>
    <s v="Semiconductor Revenue M$"/>
    <x v="3"/>
    <n v="110.71236683057222"/>
  </r>
  <r>
    <s v="Discrete AI"/>
    <x v="3"/>
    <x v="2"/>
    <s v="Wireless Communications Electronics"/>
    <s v="Mobile Infrastructure - Base Station Equipment"/>
    <s v="Semiconductor Revenue M$"/>
    <x v="4"/>
    <n v="125.72189734726886"/>
  </r>
  <r>
    <s v="Discrete AI"/>
    <x v="3"/>
    <x v="2"/>
    <s v="Wireless Communications Electronics"/>
    <s v="Mobile Infrastructure - Base Station Equipment"/>
    <s v="Semiconductor Revenue M$"/>
    <x v="5"/>
    <n v="110.84661352825553"/>
  </r>
  <r>
    <s v="Discrete AI"/>
    <x v="3"/>
    <x v="2"/>
    <s v="Wireless Communications Electronics"/>
    <s v="Mobile Infrastructure - Base Station Equipment"/>
    <s v="Semiconductor Revenue M$"/>
    <x v="6"/>
    <n v="36.799382320709363"/>
  </r>
  <r>
    <s v="Discrete AI"/>
    <x v="3"/>
    <x v="2"/>
    <s v="Wireless Communications Electronics"/>
    <s v="Wireless LAN Infrastructure"/>
    <s v="Semiconductor Revenue M$"/>
    <x v="0"/>
    <n v="2.0778293159706574E-2"/>
  </r>
  <r>
    <s v="Discrete AI"/>
    <x v="3"/>
    <x v="2"/>
    <s v="Wireless Communications Electronics"/>
    <s v="Wireless LAN Infrastructure"/>
    <s v="Semiconductor Revenue M$"/>
    <x v="1"/>
    <n v="3.0793788659987595E-2"/>
  </r>
  <r>
    <s v="Discrete AI"/>
    <x v="3"/>
    <x v="2"/>
    <s v="Wireless Communications Electronics"/>
    <s v="Wireless LAN Infrastructure"/>
    <s v="Semiconductor Revenue M$"/>
    <x v="2"/>
    <n v="4.4283962879929362E-2"/>
  </r>
  <r>
    <s v="Discrete AI"/>
    <x v="3"/>
    <x v="2"/>
    <s v="Wireless Communications Electronics"/>
    <s v="Wireless LAN Infrastructure"/>
    <s v="Semiconductor Revenue M$"/>
    <x v="3"/>
    <n v="5.4662297634058978E-2"/>
  </r>
  <r>
    <s v="Discrete AI"/>
    <x v="3"/>
    <x v="2"/>
    <s v="Wireless Communications Electronics"/>
    <s v="Wireless LAN Infrastructure"/>
    <s v="Semiconductor Revenue M$"/>
    <x v="4"/>
    <n v="5.8939556094340199E-2"/>
  </r>
  <r>
    <s v="Discrete AI"/>
    <x v="3"/>
    <x v="2"/>
    <s v="Wireless Communications Electronics"/>
    <s v="Wireless LAN Infrastructure"/>
    <s v="Semiconductor Revenue M$"/>
    <x v="5"/>
    <n v="6.1763591310365892E-2"/>
  </r>
  <r>
    <s v="Discrete AI"/>
    <x v="3"/>
    <x v="2"/>
    <s v="Wireless Communications Electronics"/>
    <s v="Wireless LAN Infrastructure"/>
    <s v="Semiconductor Revenue M$"/>
    <x v="6"/>
    <n v="2.3944869376520149E-2"/>
  </r>
  <r>
    <s v="Discrete AI"/>
    <x v="3"/>
    <x v="2"/>
    <s v="Wireless Communications Electronics"/>
    <s v="Cellular Modems"/>
    <s v="Semiconductor Revenue M$"/>
    <x v="0"/>
    <n v="0"/>
  </r>
  <r>
    <s v="Discrete AI"/>
    <x v="3"/>
    <x v="2"/>
    <s v="Wireless Communications Electronics"/>
    <s v="Cellular Modems"/>
    <s v="Semiconductor Revenue M$"/>
    <x v="1"/>
    <n v="0"/>
  </r>
  <r>
    <s v="Discrete AI"/>
    <x v="3"/>
    <x v="2"/>
    <s v="Wireless Communications Electronics"/>
    <s v="Cellular Modems"/>
    <s v="Semiconductor Revenue M$"/>
    <x v="2"/>
    <n v="0"/>
  </r>
  <r>
    <s v="Discrete AI"/>
    <x v="3"/>
    <x v="2"/>
    <s v="Wireless Communications Electronics"/>
    <s v="Cellular Modems"/>
    <s v="Semiconductor Revenue M$"/>
    <x v="3"/>
    <n v="0"/>
  </r>
  <r>
    <s v="Discrete AI"/>
    <x v="3"/>
    <x v="2"/>
    <s v="Wireless Communications Electronics"/>
    <s v="Cellular Modems"/>
    <s v="Semiconductor Revenue M$"/>
    <x v="4"/>
    <n v="0"/>
  </r>
  <r>
    <s v="Discrete AI"/>
    <x v="3"/>
    <x v="2"/>
    <s v="Wireless Communications Electronics"/>
    <s v="Cellular Modems"/>
    <s v="Semiconductor Revenue M$"/>
    <x v="5"/>
    <n v="0"/>
  </r>
  <r>
    <s v="Discrete AI"/>
    <x v="3"/>
    <x v="2"/>
    <s v="Wireless Communications Electronics"/>
    <s v="Cellular Modems"/>
    <s v="Semiconductor Revenue M$"/>
    <x v="6"/>
    <n v="0"/>
  </r>
  <r>
    <s v="Discrete AI"/>
    <x v="3"/>
    <x v="2"/>
    <s v="Wireless Communications Electronics"/>
    <s v="Other Wireless Communications Electronics"/>
    <s v="Semiconductor Revenue M$"/>
    <x v="0"/>
    <n v="2.2273967984843321"/>
  </r>
  <r>
    <s v="Discrete AI"/>
    <x v="3"/>
    <x v="2"/>
    <s v="Wireless Communications Electronics"/>
    <s v="Other Wireless Communications Electronics"/>
    <s v="Semiconductor Revenue M$"/>
    <x v="1"/>
    <n v="4.0278257001670177"/>
  </r>
  <r>
    <s v="Discrete AI"/>
    <x v="3"/>
    <x v="2"/>
    <s v="Wireless Communications Electronics"/>
    <s v="Other Wireless Communications Electronics"/>
    <s v="Semiconductor Revenue M$"/>
    <x v="2"/>
    <n v="6.2956296150144606"/>
  </r>
  <r>
    <s v="Discrete AI"/>
    <x v="3"/>
    <x v="2"/>
    <s v="Wireless Communications Electronics"/>
    <s v="Other Wireless Communications Electronics"/>
    <s v="Semiconductor Revenue M$"/>
    <x v="3"/>
    <n v="9.1218447125576034"/>
  </r>
  <r>
    <s v="Discrete AI"/>
    <x v="3"/>
    <x v="2"/>
    <s v="Wireless Communications Electronics"/>
    <s v="Other Wireless Communications Electronics"/>
    <s v="Semiconductor Revenue M$"/>
    <x v="4"/>
    <n v="9.2246443491246701"/>
  </r>
  <r>
    <s v="Discrete AI"/>
    <x v="3"/>
    <x v="2"/>
    <s v="Wireless Communications Electronics"/>
    <s v="Other Wireless Communications Electronics"/>
    <s v="Semiconductor Revenue M$"/>
    <x v="5"/>
    <n v="7.4420095405277245"/>
  </r>
  <r>
    <s v="Discrete AI"/>
    <x v="3"/>
    <x v="2"/>
    <s v="Wireless Communications Electronics"/>
    <s v="Other Wireless Communications Electronics"/>
    <s v="Semiconductor Revenue M$"/>
    <x v="6"/>
    <n v="2.2462890589145079"/>
  </r>
  <r>
    <s v="Discrete AI"/>
    <x v="3"/>
    <x v="2"/>
    <s v="Wired Communications Electronics"/>
    <s v="DSL Broadband Access"/>
    <s v="Semiconductor Revenue M$"/>
    <x v="0"/>
    <n v="0"/>
  </r>
  <r>
    <s v="Discrete AI"/>
    <x v="3"/>
    <x v="2"/>
    <s v="Wired Communications Electronics"/>
    <s v="DSL Broadband Access"/>
    <s v="Semiconductor Revenue M$"/>
    <x v="1"/>
    <n v="0"/>
  </r>
  <r>
    <s v="Discrete AI"/>
    <x v="3"/>
    <x v="2"/>
    <s v="Wired Communications Electronics"/>
    <s v="DSL Broadband Access"/>
    <s v="Semiconductor Revenue M$"/>
    <x v="2"/>
    <n v="0"/>
  </r>
  <r>
    <s v="Discrete AI"/>
    <x v="3"/>
    <x v="2"/>
    <s v="Wired Communications Electronics"/>
    <s v="DSL Broadband Access"/>
    <s v="Semiconductor Revenue M$"/>
    <x v="3"/>
    <n v="0"/>
  </r>
  <r>
    <s v="Discrete AI"/>
    <x v="3"/>
    <x v="2"/>
    <s v="Wired Communications Electronics"/>
    <s v="DSL Broadband Access"/>
    <s v="Semiconductor Revenue M$"/>
    <x v="4"/>
    <n v="0"/>
  </r>
  <r>
    <s v="Discrete AI"/>
    <x v="3"/>
    <x v="2"/>
    <s v="Wired Communications Electronics"/>
    <s v="DSL Broadband Access"/>
    <s v="Semiconductor Revenue M$"/>
    <x v="5"/>
    <n v="0"/>
  </r>
  <r>
    <s v="Discrete AI"/>
    <x v="3"/>
    <x v="2"/>
    <s v="Wired Communications Electronics"/>
    <s v="DSL Broadband Access"/>
    <s v="Semiconductor Revenue M$"/>
    <x v="6"/>
    <n v="0"/>
  </r>
  <r>
    <s v="Discrete AI"/>
    <x v="3"/>
    <x v="2"/>
    <s v="Wired Communications Electronics"/>
    <s v="Fiber Broadband Access"/>
    <s v="Semiconductor Revenue M$"/>
    <x v="0"/>
    <n v="0"/>
  </r>
  <r>
    <s v="Discrete AI"/>
    <x v="3"/>
    <x v="2"/>
    <s v="Wired Communications Electronics"/>
    <s v="Fiber Broadband Access"/>
    <s v="Semiconductor Revenue M$"/>
    <x v="1"/>
    <n v="0"/>
  </r>
  <r>
    <s v="Discrete AI"/>
    <x v="3"/>
    <x v="2"/>
    <s v="Wired Communications Electronics"/>
    <s v="Fiber Broadband Access"/>
    <s v="Semiconductor Revenue M$"/>
    <x v="2"/>
    <n v="0"/>
  </r>
  <r>
    <s v="Discrete AI"/>
    <x v="3"/>
    <x v="2"/>
    <s v="Wired Communications Electronics"/>
    <s v="Fiber Broadband Access"/>
    <s v="Semiconductor Revenue M$"/>
    <x v="3"/>
    <n v="0"/>
  </r>
  <r>
    <s v="Discrete AI"/>
    <x v="3"/>
    <x v="2"/>
    <s v="Wired Communications Electronics"/>
    <s v="Fiber Broadband Access"/>
    <s v="Semiconductor Revenue M$"/>
    <x v="4"/>
    <n v="0"/>
  </r>
  <r>
    <s v="Discrete AI"/>
    <x v="3"/>
    <x v="2"/>
    <s v="Wired Communications Electronics"/>
    <s v="Fiber Broadband Access"/>
    <s v="Semiconductor Revenue M$"/>
    <x v="5"/>
    <n v="0"/>
  </r>
  <r>
    <s v="Discrete AI"/>
    <x v="3"/>
    <x v="2"/>
    <s v="Wired Communications Electronics"/>
    <s v="Fiber Broadband Access"/>
    <s v="Semiconductor Revenue M$"/>
    <x v="6"/>
    <n v="0"/>
  </r>
  <r>
    <s v="Discrete AI"/>
    <x v="3"/>
    <x v="2"/>
    <s v="Wired Communications Electronics"/>
    <s v="Other Broadband Access"/>
    <s v="Semiconductor Revenue M$"/>
    <x v="0"/>
    <n v="0"/>
  </r>
  <r>
    <s v="Discrete AI"/>
    <x v="3"/>
    <x v="2"/>
    <s v="Wired Communications Electronics"/>
    <s v="Other Broadband Access"/>
    <s v="Semiconductor Revenue M$"/>
    <x v="1"/>
    <n v="0"/>
  </r>
  <r>
    <s v="Discrete AI"/>
    <x v="3"/>
    <x v="2"/>
    <s v="Wired Communications Electronics"/>
    <s v="Other Broadband Access"/>
    <s v="Semiconductor Revenue M$"/>
    <x v="2"/>
    <n v="0"/>
  </r>
  <r>
    <s v="Discrete AI"/>
    <x v="3"/>
    <x v="2"/>
    <s v="Wired Communications Electronics"/>
    <s v="Other Broadband Access"/>
    <s v="Semiconductor Revenue M$"/>
    <x v="3"/>
    <n v="0"/>
  </r>
  <r>
    <s v="Discrete AI"/>
    <x v="3"/>
    <x v="2"/>
    <s v="Wired Communications Electronics"/>
    <s v="Other Broadband Access"/>
    <s v="Semiconductor Revenue M$"/>
    <x v="4"/>
    <n v="0"/>
  </r>
  <r>
    <s v="Discrete AI"/>
    <x v="3"/>
    <x v="2"/>
    <s v="Wired Communications Electronics"/>
    <s v="Other Broadband Access"/>
    <s v="Semiconductor Revenue M$"/>
    <x v="5"/>
    <n v="0"/>
  </r>
  <r>
    <s v="Discrete AI"/>
    <x v="3"/>
    <x v="2"/>
    <s v="Wired Communications Electronics"/>
    <s v="Other Broadband Access"/>
    <s v="Semiconductor Revenue M$"/>
    <x v="6"/>
    <n v="0"/>
  </r>
  <r>
    <s v="Discrete AI"/>
    <x v="3"/>
    <x v="2"/>
    <s v="Wired Communications Electronics"/>
    <s v="Enterprise LAN"/>
    <s v="Semiconductor Revenue M$"/>
    <x v="0"/>
    <n v="7.7784973416025749E-2"/>
  </r>
  <r>
    <s v="Discrete AI"/>
    <x v="3"/>
    <x v="2"/>
    <s v="Wired Communications Electronics"/>
    <s v="Enterprise LAN"/>
    <s v="Semiconductor Revenue M$"/>
    <x v="1"/>
    <n v="0.21162582918417072"/>
  </r>
  <r>
    <s v="Discrete AI"/>
    <x v="3"/>
    <x v="2"/>
    <s v="Wired Communications Electronics"/>
    <s v="Enterprise LAN"/>
    <s v="Semiconductor Revenue M$"/>
    <x v="2"/>
    <n v="0.96559315298235693"/>
  </r>
  <r>
    <s v="Discrete AI"/>
    <x v="3"/>
    <x v="2"/>
    <s v="Wired Communications Electronics"/>
    <s v="Enterprise LAN"/>
    <s v="Semiconductor Revenue M$"/>
    <x v="3"/>
    <n v="2.6371939567282796"/>
  </r>
  <r>
    <s v="Discrete AI"/>
    <x v="3"/>
    <x v="2"/>
    <s v="Wired Communications Electronics"/>
    <s v="Enterprise LAN"/>
    <s v="Semiconductor Revenue M$"/>
    <x v="4"/>
    <n v="5.3385480884416596"/>
  </r>
  <r>
    <s v="Discrete AI"/>
    <x v="3"/>
    <x v="2"/>
    <s v="Wired Communications Electronics"/>
    <s v="Enterprise LAN"/>
    <s v="Semiconductor Revenue M$"/>
    <x v="5"/>
    <n v="9.1276086798240836"/>
  </r>
  <r>
    <s v="Discrete AI"/>
    <x v="3"/>
    <x v="2"/>
    <s v="Wired Communications Electronics"/>
    <s v="Enterprise LAN"/>
    <s v="Semiconductor Revenue M$"/>
    <x v="6"/>
    <n v="9.0489617970281593"/>
  </r>
  <r>
    <s v="Discrete AI"/>
    <x v="3"/>
    <x v="3"/>
    <s v="Automotive Electronics"/>
    <s v="ADAS-ECU (Level-0/1/2)"/>
    <s v="Semiconductor Revenue M$"/>
    <x v="0"/>
    <n v="1.3647128116726672"/>
  </r>
  <r>
    <s v="Discrete AI"/>
    <x v="3"/>
    <x v="3"/>
    <s v="Automotive Electronics"/>
    <s v="ADAS-ECU (Level-0/1/2)"/>
    <s v="Semiconductor Revenue M$"/>
    <x v="1"/>
    <n v="2.6589267099143097"/>
  </r>
  <r>
    <s v="Discrete AI"/>
    <x v="3"/>
    <x v="3"/>
    <s v="Automotive Electronics"/>
    <s v="ADAS-ECU (Level-0/1/2)"/>
    <s v="Semiconductor Revenue M$"/>
    <x v="2"/>
    <n v="4.1657169917146168"/>
  </r>
  <r>
    <s v="Discrete AI"/>
    <x v="3"/>
    <x v="3"/>
    <s v="Automotive Electronics"/>
    <s v="ADAS-ECU (Level-0/1/2)"/>
    <s v="Semiconductor Revenue M$"/>
    <x v="3"/>
    <n v="5.7808357478175987"/>
  </r>
  <r>
    <s v="Discrete AI"/>
    <x v="3"/>
    <x v="3"/>
    <s v="Automotive Electronics"/>
    <s v="ADAS-ECU (Level-0/1/2)"/>
    <s v="Semiconductor Revenue M$"/>
    <x v="4"/>
    <n v="7.7829810717076686"/>
  </r>
  <r>
    <s v="Discrete AI"/>
    <x v="3"/>
    <x v="3"/>
    <s v="Automotive Electronics"/>
    <s v="ADAS-ECU (Level-0/1/2)"/>
    <s v="Semiconductor Revenue M$"/>
    <x v="5"/>
    <n v="9.8518987870235435"/>
  </r>
  <r>
    <s v="Discrete AI"/>
    <x v="3"/>
    <x v="3"/>
    <s v="Automotive Electronics"/>
    <s v="ADAS-ECU (Level-0/1/2)"/>
    <s v="Semiconductor Revenue M$"/>
    <x v="6"/>
    <n v="10.491853172920971"/>
  </r>
  <r>
    <s v="Discrete AI"/>
    <x v="3"/>
    <x v="2"/>
    <s v="Wired Communications Electronics"/>
    <s v="Enterprise WAN"/>
    <s v="Semiconductor Revenue M$"/>
    <x v="0"/>
    <n v="0.19450784305558405"/>
  </r>
  <r>
    <s v="Discrete AI"/>
    <x v="3"/>
    <x v="2"/>
    <s v="Wired Communications Electronics"/>
    <s v="Enterprise WAN"/>
    <s v="Semiconductor Revenue M$"/>
    <x v="1"/>
    <n v="0.54105987797728028"/>
  </r>
  <r>
    <s v="Discrete AI"/>
    <x v="3"/>
    <x v="2"/>
    <s v="Wired Communications Electronics"/>
    <s v="Enterprise WAN"/>
    <s v="Semiconductor Revenue M$"/>
    <x v="2"/>
    <n v="1.8379339281442766"/>
  </r>
  <r>
    <s v="Discrete AI"/>
    <x v="3"/>
    <x v="2"/>
    <s v="Wired Communications Electronics"/>
    <s v="Enterprise WAN"/>
    <s v="Semiconductor Revenue M$"/>
    <x v="3"/>
    <n v="5.1028528669581048"/>
  </r>
  <r>
    <s v="Discrete AI"/>
    <x v="3"/>
    <x v="2"/>
    <s v="Wired Communications Electronics"/>
    <s v="Enterprise WAN"/>
    <s v="Semiconductor Revenue M$"/>
    <x v="4"/>
    <n v="10.692112954571122"/>
  </r>
  <r>
    <s v="Discrete AI"/>
    <x v="3"/>
    <x v="2"/>
    <s v="Wired Communications Electronics"/>
    <s v="Enterprise WAN"/>
    <s v="Semiconductor Revenue M$"/>
    <x v="5"/>
    <n v="15.63597817280122"/>
  </r>
  <r>
    <s v="Discrete AI"/>
    <x v="3"/>
    <x v="2"/>
    <s v="Wired Communications Electronics"/>
    <s v="Enterprise WAN"/>
    <s v="Semiconductor Revenue M$"/>
    <x v="6"/>
    <n v="16.593319452625391"/>
  </r>
  <r>
    <s v="Discrete AI"/>
    <x v="3"/>
    <x v="2"/>
    <s v="Wired Communications Electronics"/>
    <s v="Optical Transport"/>
    <s v="Semiconductor Revenue M$"/>
    <x v="0"/>
    <n v="0.11796786723010803"/>
  </r>
  <r>
    <s v="Discrete AI"/>
    <x v="3"/>
    <x v="2"/>
    <s v="Wired Communications Electronics"/>
    <s v="Optical Transport"/>
    <s v="Semiconductor Revenue M$"/>
    <x v="1"/>
    <n v="0.32060642036127163"/>
  </r>
  <r>
    <s v="Discrete AI"/>
    <x v="3"/>
    <x v="2"/>
    <s v="Wired Communications Electronics"/>
    <s v="Optical Transport"/>
    <s v="Semiconductor Revenue M$"/>
    <x v="2"/>
    <n v="1.101278041914699"/>
  </r>
  <r>
    <s v="Discrete AI"/>
    <x v="3"/>
    <x v="2"/>
    <s v="Wired Communications Electronics"/>
    <s v="Optical Transport"/>
    <s v="Semiconductor Revenue M$"/>
    <x v="3"/>
    <n v="3.0681662391228195"/>
  </r>
  <r>
    <s v="Discrete AI"/>
    <x v="3"/>
    <x v="2"/>
    <s v="Wired Communications Electronics"/>
    <s v="Optical Transport"/>
    <s v="Semiconductor Revenue M$"/>
    <x v="4"/>
    <n v="6.2962444886611166"/>
  </r>
  <r>
    <s v="Discrete AI"/>
    <x v="3"/>
    <x v="2"/>
    <s v="Wired Communications Electronics"/>
    <s v="Optical Transport"/>
    <s v="Semiconductor Revenue M$"/>
    <x v="5"/>
    <n v="9.1420033563642704"/>
  </r>
  <r>
    <s v="Discrete AI"/>
    <x v="3"/>
    <x v="2"/>
    <s v="Wired Communications Electronics"/>
    <s v="Optical Transport"/>
    <s v="Semiconductor Revenue M$"/>
    <x v="6"/>
    <n v="9.6485441726892809"/>
  </r>
  <r>
    <s v="Discrete AI"/>
    <x v="3"/>
    <x v="2"/>
    <s v="Wired Communications Electronics"/>
    <s v="Service Provider Routers and Switches"/>
    <s v="Semiconductor Revenue M$"/>
    <x v="0"/>
    <n v="0"/>
  </r>
  <r>
    <s v="Discrete AI"/>
    <x v="3"/>
    <x v="2"/>
    <s v="Wired Communications Electronics"/>
    <s v="Service Provider Routers and Switches"/>
    <s v="Semiconductor Revenue M$"/>
    <x v="1"/>
    <n v="0"/>
  </r>
  <r>
    <s v="Discrete AI"/>
    <x v="3"/>
    <x v="2"/>
    <s v="Wired Communications Electronics"/>
    <s v="Service Provider Routers and Switches"/>
    <s v="Semiconductor Revenue M$"/>
    <x v="2"/>
    <n v="0"/>
  </r>
  <r>
    <s v="Discrete AI"/>
    <x v="3"/>
    <x v="2"/>
    <s v="Wired Communications Electronics"/>
    <s v="Service Provider Routers and Switches"/>
    <s v="Semiconductor Revenue M$"/>
    <x v="3"/>
    <n v="0"/>
  </r>
  <r>
    <s v="Discrete AI"/>
    <x v="3"/>
    <x v="2"/>
    <s v="Wired Communications Electronics"/>
    <s v="Service Provider Routers and Switches"/>
    <s v="Semiconductor Revenue M$"/>
    <x v="4"/>
    <n v="0"/>
  </r>
  <r>
    <s v="Discrete AI"/>
    <x v="3"/>
    <x v="2"/>
    <s v="Wired Communications Electronics"/>
    <s v="Service Provider Routers and Switches"/>
    <s v="Semiconductor Revenue M$"/>
    <x v="5"/>
    <n v="0"/>
  </r>
  <r>
    <s v="Discrete AI"/>
    <x v="3"/>
    <x v="2"/>
    <s v="Wired Communications Electronics"/>
    <s v="Service Provider Routers and Switches"/>
    <s v="Semiconductor Revenue M$"/>
    <x v="6"/>
    <n v="0"/>
  </r>
  <r>
    <s v="Discrete AI"/>
    <x v="3"/>
    <x v="2"/>
    <s v="Wired Communications Electronics"/>
    <s v="Other Wired Communications Electronics"/>
    <s v="Semiconductor Revenue M$"/>
    <x v="0"/>
    <n v="0"/>
  </r>
  <r>
    <s v="Discrete AI"/>
    <x v="3"/>
    <x v="2"/>
    <s v="Wired Communications Electronics"/>
    <s v="Other Wired Communications Electronics"/>
    <s v="Semiconductor Revenue M$"/>
    <x v="1"/>
    <n v="0"/>
  </r>
  <r>
    <s v="Discrete AI"/>
    <x v="3"/>
    <x v="2"/>
    <s v="Wired Communications Electronics"/>
    <s v="Other Wired Communications Electronics"/>
    <s v="Semiconductor Revenue M$"/>
    <x v="2"/>
    <n v="0"/>
  </r>
  <r>
    <s v="Discrete AI"/>
    <x v="3"/>
    <x v="2"/>
    <s v="Wired Communications Electronics"/>
    <s v="Other Wired Communications Electronics"/>
    <s v="Semiconductor Revenue M$"/>
    <x v="3"/>
    <n v="0"/>
  </r>
  <r>
    <s v="Discrete AI"/>
    <x v="3"/>
    <x v="2"/>
    <s v="Wired Communications Electronics"/>
    <s v="Other Wired Communications Electronics"/>
    <s v="Semiconductor Revenue M$"/>
    <x v="4"/>
    <n v="0"/>
  </r>
  <r>
    <s v="Discrete AI"/>
    <x v="3"/>
    <x v="2"/>
    <s v="Wired Communications Electronics"/>
    <s v="Other Wired Communications Electronics"/>
    <s v="Semiconductor Revenue M$"/>
    <x v="5"/>
    <n v="0"/>
  </r>
  <r>
    <s v="Discrete AI"/>
    <x v="3"/>
    <x v="2"/>
    <s v="Wired Communications Electronics"/>
    <s v="Other Wired Communications Electronics"/>
    <s v="Semiconductor Revenue M$"/>
    <x v="6"/>
    <n v="0"/>
  </r>
  <r>
    <s v="Discrete AI"/>
    <x v="3"/>
    <x v="4"/>
    <s v="Consumer Electronics"/>
    <s v="Appliances"/>
    <s v="Semiconductor Revenue M$"/>
    <x v="0"/>
    <n v="0"/>
  </r>
  <r>
    <s v="Discrete AI"/>
    <x v="3"/>
    <x v="4"/>
    <s v="Consumer Electronics"/>
    <s v="Appliances"/>
    <s v="Semiconductor Revenue M$"/>
    <x v="1"/>
    <n v="0"/>
  </r>
  <r>
    <s v="Discrete AI"/>
    <x v="3"/>
    <x v="4"/>
    <s v="Consumer Electronics"/>
    <s v="Appliances"/>
    <s v="Semiconductor Revenue M$"/>
    <x v="2"/>
    <n v="0"/>
  </r>
  <r>
    <s v="Discrete AI"/>
    <x v="3"/>
    <x v="4"/>
    <s v="Consumer Electronics"/>
    <s v="Appliances"/>
    <s v="Semiconductor Revenue M$"/>
    <x v="3"/>
    <n v="0"/>
  </r>
  <r>
    <s v="Discrete AI"/>
    <x v="3"/>
    <x v="4"/>
    <s v="Consumer Electronics"/>
    <s v="Appliances"/>
    <s v="Semiconductor Revenue M$"/>
    <x v="4"/>
    <n v="0"/>
  </r>
  <r>
    <s v="Discrete AI"/>
    <x v="3"/>
    <x v="4"/>
    <s v="Consumer Electronics"/>
    <s v="Appliances"/>
    <s v="Semiconductor Revenue M$"/>
    <x v="5"/>
    <n v="0"/>
  </r>
  <r>
    <s v="Discrete AI"/>
    <x v="3"/>
    <x v="4"/>
    <s v="Consumer Electronics"/>
    <s v="Appliances"/>
    <s v="Semiconductor Revenue M$"/>
    <x v="6"/>
    <n v="0"/>
  </r>
  <r>
    <s v="Discrete AI"/>
    <x v="3"/>
    <x v="4"/>
    <s v="Consumer Electronics"/>
    <s v="Digital Camcorder"/>
    <s v="Semiconductor Revenue M$"/>
    <x v="0"/>
    <n v="1.4438417322319459E-5"/>
  </r>
  <r>
    <s v="Discrete AI"/>
    <x v="3"/>
    <x v="4"/>
    <s v="Consumer Electronics"/>
    <s v="Digital Camcorder"/>
    <s v="Semiconductor Revenue M$"/>
    <x v="1"/>
    <n v="3.5833622835952884E-5"/>
  </r>
  <r>
    <s v="Discrete AI"/>
    <x v="3"/>
    <x v="4"/>
    <s v="Consumer Electronics"/>
    <s v="Digital Camcorder"/>
    <s v="Semiconductor Revenue M$"/>
    <x v="2"/>
    <n v="7.682472395802746E-5"/>
  </r>
  <r>
    <s v="Discrete AI"/>
    <x v="3"/>
    <x v="4"/>
    <s v="Consumer Electronics"/>
    <s v="Digital Camcorder"/>
    <s v="Semiconductor Revenue M$"/>
    <x v="3"/>
    <n v="1.6217939801599007E-4"/>
  </r>
  <r>
    <s v="Discrete AI"/>
    <x v="3"/>
    <x v="4"/>
    <s v="Consumer Electronics"/>
    <s v="Digital Camcorder"/>
    <s v="Semiconductor Revenue M$"/>
    <x v="4"/>
    <n v="3.4165589095662045E-4"/>
  </r>
  <r>
    <s v="Discrete AI"/>
    <x v="3"/>
    <x v="4"/>
    <s v="Consumer Electronics"/>
    <s v="Digital Camcorder"/>
    <s v="Semiconductor Revenue M$"/>
    <x v="5"/>
    <n v="6.5707664625464174E-4"/>
  </r>
  <r>
    <s v="Discrete AI"/>
    <x v="3"/>
    <x v="4"/>
    <s v="Consumer Electronics"/>
    <s v="Digital Camcorder"/>
    <s v="Semiconductor Revenue M$"/>
    <x v="6"/>
    <n v="1.2129058545395117E-3"/>
  </r>
  <r>
    <s v="Discrete AI"/>
    <x v="3"/>
    <x v="4"/>
    <s v="Consumer Electronics"/>
    <s v="Digital Set-Top Box, Cable"/>
    <s v="Semiconductor Revenue M$"/>
    <x v="0"/>
    <n v="0"/>
  </r>
  <r>
    <s v="Discrete AI"/>
    <x v="3"/>
    <x v="4"/>
    <s v="Consumer Electronics"/>
    <s v="Digital Set-Top Box, Cable"/>
    <s v="Semiconductor Revenue M$"/>
    <x v="1"/>
    <n v="0"/>
  </r>
  <r>
    <s v="Discrete AI"/>
    <x v="3"/>
    <x v="4"/>
    <s v="Consumer Electronics"/>
    <s v="Digital Set-Top Box, Cable"/>
    <s v="Semiconductor Revenue M$"/>
    <x v="2"/>
    <n v="0"/>
  </r>
  <r>
    <s v="Discrete AI"/>
    <x v="3"/>
    <x v="4"/>
    <s v="Consumer Electronics"/>
    <s v="Digital Set-Top Box, Cable"/>
    <s v="Semiconductor Revenue M$"/>
    <x v="3"/>
    <n v="0"/>
  </r>
  <r>
    <s v="Discrete AI"/>
    <x v="3"/>
    <x v="4"/>
    <s v="Consumer Electronics"/>
    <s v="Digital Set-Top Box, Cable"/>
    <s v="Semiconductor Revenue M$"/>
    <x v="4"/>
    <n v="0"/>
  </r>
  <r>
    <s v="Discrete AI"/>
    <x v="3"/>
    <x v="4"/>
    <s v="Consumer Electronics"/>
    <s v="Digital Set-Top Box, Cable"/>
    <s v="Semiconductor Revenue M$"/>
    <x v="5"/>
    <n v="0"/>
  </r>
  <r>
    <s v="Discrete AI"/>
    <x v="3"/>
    <x v="4"/>
    <s v="Consumer Electronics"/>
    <s v="Digital Set-Top Box, Cable"/>
    <s v="Semiconductor Revenue M$"/>
    <x v="6"/>
    <n v="0"/>
  </r>
  <r>
    <s v="Discrete AI"/>
    <x v="3"/>
    <x v="4"/>
    <s v="Consumer Electronics"/>
    <s v="Digital Set-Top Box, Satellite"/>
    <s v="Semiconductor Revenue M$"/>
    <x v="0"/>
    <n v="0"/>
  </r>
  <r>
    <s v="Discrete AI"/>
    <x v="3"/>
    <x v="4"/>
    <s v="Consumer Electronics"/>
    <s v="Digital Set-Top Box, Satellite"/>
    <s v="Semiconductor Revenue M$"/>
    <x v="1"/>
    <n v="0"/>
  </r>
  <r>
    <s v="Discrete AI"/>
    <x v="3"/>
    <x v="4"/>
    <s v="Consumer Electronics"/>
    <s v="Digital Set-Top Box, Satellite"/>
    <s v="Semiconductor Revenue M$"/>
    <x v="2"/>
    <n v="0"/>
  </r>
  <r>
    <s v="Discrete AI"/>
    <x v="3"/>
    <x v="4"/>
    <s v="Consumer Electronics"/>
    <s v="Digital Set-Top Box, Satellite"/>
    <s v="Semiconductor Revenue M$"/>
    <x v="3"/>
    <n v="0"/>
  </r>
  <r>
    <s v="Discrete AI"/>
    <x v="3"/>
    <x v="4"/>
    <s v="Consumer Electronics"/>
    <s v="Digital Set-Top Box, Satellite"/>
    <s v="Semiconductor Revenue M$"/>
    <x v="4"/>
    <n v="0"/>
  </r>
  <r>
    <s v="Discrete AI"/>
    <x v="3"/>
    <x v="4"/>
    <s v="Consumer Electronics"/>
    <s v="Digital Set-Top Box, Satellite"/>
    <s v="Semiconductor Revenue M$"/>
    <x v="5"/>
    <n v="0"/>
  </r>
  <r>
    <s v="Discrete AI"/>
    <x v="3"/>
    <x v="4"/>
    <s v="Consumer Electronics"/>
    <s v="Digital Set-Top Box, Satellite"/>
    <s v="Semiconductor Revenue M$"/>
    <x v="6"/>
    <n v="0"/>
  </r>
  <r>
    <s v="Discrete AI"/>
    <x v="3"/>
    <x v="4"/>
    <s v="Consumer Electronics"/>
    <s v="Digital Set-Top Box, Terrestrial"/>
    <s v="Semiconductor Revenue M$"/>
    <x v="0"/>
    <n v="0"/>
  </r>
  <r>
    <s v="Discrete AI"/>
    <x v="3"/>
    <x v="4"/>
    <s v="Consumer Electronics"/>
    <s v="Digital Set-Top Box, Terrestrial"/>
    <s v="Semiconductor Revenue M$"/>
    <x v="1"/>
    <n v="0"/>
  </r>
  <r>
    <s v="Discrete AI"/>
    <x v="3"/>
    <x v="4"/>
    <s v="Consumer Electronics"/>
    <s v="Digital Set-Top Box, Terrestrial"/>
    <s v="Semiconductor Revenue M$"/>
    <x v="2"/>
    <n v="0"/>
  </r>
  <r>
    <s v="Discrete AI"/>
    <x v="3"/>
    <x v="4"/>
    <s v="Consumer Electronics"/>
    <s v="Digital Set-Top Box, Terrestrial"/>
    <s v="Semiconductor Revenue M$"/>
    <x v="3"/>
    <n v="0"/>
  </r>
  <r>
    <s v="Discrete AI"/>
    <x v="3"/>
    <x v="4"/>
    <s v="Consumer Electronics"/>
    <s v="Digital Set-Top Box, Terrestrial"/>
    <s v="Semiconductor Revenue M$"/>
    <x v="4"/>
    <n v="0"/>
  </r>
  <r>
    <s v="Discrete AI"/>
    <x v="3"/>
    <x v="4"/>
    <s v="Consumer Electronics"/>
    <s v="Digital Set-Top Box, Terrestrial"/>
    <s v="Semiconductor Revenue M$"/>
    <x v="5"/>
    <n v="0"/>
  </r>
  <r>
    <s v="Discrete AI"/>
    <x v="3"/>
    <x v="4"/>
    <s v="Consumer Electronics"/>
    <s v="Digital Set-Top Box, Terrestrial"/>
    <s v="Semiconductor Revenue M$"/>
    <x v="6"/>
    <n v="0"/>
  </r>
  <r>
    <s v="Discrete AI"/>
    <x v="3"/>
    <x v="4"/>
    <s v="Consumer Electronics"/>
    <s v="Digital Set-Top Box, IP/Other"/>
    <s v="Semiconductor Revenue M$"/>
    <x v="0"/>
    <n v="0"/>
  </r>
  <r>
    <s v="Discrete AI"/>
    <x v="3"/>
    <x v="4"/>
    <s v="Consumer Electronics"/>
    <s v="Digital Set-Top Box, IP/Other"/>
    <s v="Semiconductor Revenue M$"/>
    <x v="1"/>
    <n v="0"/>
  </r>
  <r>
    <s v="Discrete AI"/>
    <x v="3"/>
    <x v="4"/>
    <s v="Consumer Electronics"/>
    <s v="Digital Set-Top Box, IP/Other"/>
    <s v="Semiconductor Revenue M$"/>
    <x v="2"/>
    <n v="0"/>
  </r>
  <r>
    <s v="Discrete AI"/>
    <x v="3"/>
    <x v="4"/>
    <s v="Consumer Electronics"/>
    <s v="Digital Set-Top Box, IP/Other"/>
    <s v="Semiconductor Revenue M$"/>
    <x v="3"/>
    <n v="0"/>
  </r>
  <r>
    <s v="Discrete AI"/>
    <x v="3"/>
    <x v="4"/>
    <s v="Consumer Electronics"/>
    <s v="Digital Set-Top Box, IP/Other"/>
    <s v="Semiconductor Revenue M$"/>
    <x v="4"/>
    <n v="0"/>
  </r>
  <r>
    <s v="Discrete AI"/>
    <x v="3"/>
    <x v="4"/>
    <s v="Consumer Electronics"/>
    <s v="Digital Set-Top Box, IP/Other"/>
    <s v="Semiconductor Revenue M$"/>
    <x v="5"/>
    <n v="0"/>
  </r>
  <r>
    <s v="Discrete AI"/>
    <x v="3"/>
    <x v="4"/>
    <s v="Consumer Electronics"/>
    <s v="Digital Set-Top Box, IP/Other"/>
    <s v="Semiconductor Revenue M$"/>
    <x v="6"/>
    <n v="0"/>
  </r>
  <r>
    <s v="Discrete AI"/>
    <x v="3"/>
    <x v="4"/>
    <s v="Consumer Electronics"/>
    <s v="Digital Still Camera"/>
    <s v="Semiconductor Revenue M$"/>
    <x v="0"/>
    <n v="0"/>
  </r>
  <r>
    <s v="Discrete AI"/>
    <x v="3"/>
    <x v="4"/>
    <s v="Consumer Electronics"/>
    <s v="Digital Still Camera"/>
    <s v="Semiconductor Revenue M$"/>
    <x v="1"/>
    <n v="0"/>
  </r>
  <r>
    <s v="Discrete AI"/>
    <x v="3"/>
    <x v="4"/>
    <s v="Consumer Electronics"/>
    <s v="Digital Still Camera"/>
    <s v="Semiconductor Revenue M$"/>
    <x v="2"/>
    <n v="0"/>
  </r>
  <r>
    <s v="Discrete AI"/>
    <x v="3"/>
    <x v="4"/>
    <s v="Consumer Electronics"/>
    <s v="Digital Still Camera"/>
    <s v="Semiconductor Revenue M$"/>
    <x v="3"/>
    <n v="0"/>
  </r>
  <r>
    <s v="Discrete AI"/>
    <x v="3"/>
    <x v="4"/>
    <s v="Consumer Electronics"/>
    <s v="Digital Still Camera"/>
    <s v="Semiconductor Revenue M$"/>
    <x v="4"/>
    <n v="0"/>
  </r>
  <r>
    <s v="Discrete AI"/>
    <x v="3"/>
    <x v="4"/>
    <s v="Consumer Electronics"/>
    <s v="Digital Still Camera"/>
    <s v="Semiconductor Revenue M$"/>
    <x v="5"/>
    <n v="0"/>
  </r>
  <r>
    <s v="Discrete AI"/>
    <x v="3"/>
    <x v="4"/>
    <s v="Consumer Electronics"/>
    <s v="Digital Still Camera"/>
    <s v="Semiconductor Revenue M$"/>
    <x v="6"/>
    <n v="0"/>
  </r>
  <r>
    <s v="Discrete AI"/>
    <x v="3"/>
    <x v="5"/>
    <s v="Industrial Electronics"/>
    <s v="Agriculture"/>
    <s v="Semiconductor Revenue M$"/>
    <x v="0"/>
    <n v="6.3533457370191851E-3"/>
  </r>
  <r>
    <s v="Discrete AI"/>
    <x v="3"/>
    <x v="5"/>
    <s v="Industrial Electronics"/>
    <s v="Agriculture"/>
    <s v="Semiconductor Revenue M$"/>
    <x v="1"/>
    <n v="1.2239504447591816E-2"/>
  </r>
  <r>
    <s v="Discrete AI"/>
    <x v="3"/>
    <x v="5"/>
    <s v="Industrial Electronics"/>
    <s v="Agriculture"/>
    <s v="Semiconductor Revenue M$"/>
    <x v="2"/>
    <n v="2.3798504276744504E-2"/>
  </r>
  <r>
    <s v="Discrete AI"/>
    <x v="3"/>
    <x v="5"/>
    <s v="Industrial Electronics"/>
    <s v="Agriculture"/>
    <s v="Semiconductor Revenue M$"/>
    <x v="3"/>
    <n v="5.4678755892917562E-2"/>
  </r>
  <r>
    <s v="Discrete AI"/>
    <x v="3"/>
    <x v="5"/>
    <s v="Industrial Electronics"/>
    <s v="Agriculture"/>
    <s v="Semiconductor Revenue M$"/>
    <x v="4"/>
    <n v="9.0100922036304348E-2"/>
  </r>
  <r>
    <s v="Discrete AI"/>
    <x v="3"/>
    <x v="5"/>
    <s v="Industrial Electronics"/>
    <s v="Agriculture"/>
    <s v="Semiconductor Revenue M$"/>
    <x v="5"/>
    <n v="8.5489845337168399E-2"/>
  </r>
  <r>
    <s v="Discrete AI"/>
    <x v="3"/>
    <x v="5"/>
    <s v="Industrial Electronics"/>
    <s v="Agriculture"/>
    <s v="Semiconductor Revenue M$"/>
    <x v="6"/>
    <n v="6.4511070057115025E-2"/>
  </r>
  <r>
    <s v="Discrete AI"/>
    <x v="3"/>
    <x v="3"/>
    <s v="Automotive Electronics"/>
    <s v="Automotive HPC"/>
    <s v="Semiconductor Revenue M$"/>
    <x v="0"/>
    <n v="0"/>
  </r>
  <r>
    <s v="Discrete AI"/>
    <x v="3"/>
    <x v="3"/>
    <s v="Automotive Electronics"/>
    <s v="Automotive HPC"/>
    <s v="Semiconductor Revenue M$"/>
    <x v="1"/>
    <n v="0"/>
  </r>
  <r>
    <s v="Discrete AI"/>
    <x v="3"/>
    <x v="3"/>
    <s v="Automotive Electronics"/>
    <s v="Automotive HPC"/>
    <s v="Semiconductor Revenue M$"/>
    <x v="2"/>
    <n v="0"/>
  </r>
  <r>
    <s v="Discrete AI"/>
    <x v="3"/>
    <x v="3"/>
    <s v="Automotive Electronics"/>
    <s v="Automotive HPC"/>
    <s v="Semiconductor Revenue M$"/>
    <x v="3"/>
    <n v="5.0565702960646683E-3"/>
  </r>
  <r>
    <s v="Discrete AI"/>
    <x v="3"/>
    <x v="3"/>
    <s v="Automotive Electronics"/>
    <s v="Automotive HPC"/>
    <s v="Semiconductor Revenue M$"/>
    <x v="4"/>
    <n v="2.3400757785473434E-2"/>
  </r>
  <r>
    <s v="Discrete AI"/>
    <x v="3"/>
    <x v="3"/>
    <s v="Automotive Electronics"/>
    <s v="Automotive HPC"/>
    <s v="Semiconductor Revenue M$"/>
    <x v="5"/>
    <n v="5.8855795838103776E-2"/>
  </r>
  <r>
    <s v="Discrete AI"/>
    <x v="3"/>
    <x v="3"/>
    <s v="Automotive Electronics"/>
    <s v="Automotive HPC"/>
    <s v="Semiconductor Revenue M$"/>
    <x v="6"/>
    <n v="0"/>
  </r>
  <r>
    <s v="Discrete AI"/>
    <x v="3"/>
    <x v="5"/>
    <s v="Industrial Electronics"/>
    <s v="Surveillance"/>
    <s v="Semiconductor Revenue M$"/>
    <x v="0"/>
    <n v="8.2347493868232535E-2"/>
  </r>
  <r>
    <s v="Discrete AI"/>
    <x v="3"/>
    <x v="5"/>
    <s v="Industrial Electronics"/>
    <s v="Surveillance"/>
    <s v="Semiconductor Revenue M$"/>
    <x v="1"/>
    <n v="0.19646268758571156"/>
  </r>
  <r>
    <s v="Discrete AI"/>
    <x v="3"/>
    <x v="5"/>
    <s v="Industrial Electronics"/>
    <s v="Surveillance"/>
    <s v="Semiconductor Revenue M$"/>
    <x v="2"/>
    <n v="0.40768249832201869"/>
  </r>
  <r>
    <s v="Discrete AI"/>
    <x v="3"/>
    <x v="5"/>
    <s v="Industrial Electronics"/>
    <s v="Surveillance"/>
    <s v="Semiconductor Revenue M$"/>
    <x v="3"/>
    <n v="0.8657335033668121"/>
  </r>
  <r>
    <s v="Discrete AI"/>
    <x v="3"/>
    <x v="5"/>
    <s v="Industrial Electronics"/>
    <s v="Surveillance"/>
    <s v="Semiconductor Revenue M$"/>
    <x v="4"/>
    <n v="1.6903807124103007"/>
  </r>
  <r>
    <s v="Discrete AI"/>
    <x v="3"/>
    <x v="5"/>
    <s v="Industrial Electronics"/>
    <s v="Surveillance"/>
    <s v="Semiconductor Revenue M$"/>
    <x v="5"/>
    <n v="1.8868979849010867"/>
  </r>
  <r>
    <s v="Discrete AI"/>
    <x v="3"/>
    <x v="5"/>
    <s v="Industrial Electronics"/>
    <s v="Surveillance"/>
    <s v="Semiconductor Revenue M$"/>
    <x v="6"/>
    <n v="1.4756293404937613"/>
  </r>
  <r>
    <s v="Discrete AI"/>
    <x v="3"/>
    <x v="4"/>
    <s v="Consumer Electronics"/>
    <s v="Portable Media Players"/>
    <s v="Semiconductor Revenue M$"/>
    <x v="0"/>
    <n v="0"/>
  </r>
  <r>
    <s v="Discrete AI"/>
    <x v="3"/>
    <x v="4"/>
    <s v="Consumer Electronics"/>
    <s v="Portable Media Players"/>
    <s v="Semiconductor Revenue M$"/>
    <x v="1"/>
    <n v="0"/>
  </r>
  <r>
    <s v="Discrete AI"/>
    <x v="3"/>
    <x v="4"/>
    <s v="Consumer Electronics"/>
    <s v="Portable Media Players"/>
    <s v="Semiconductor Revenue M$"/>
    <x v="2"/>
    <n v="0"/>
  </r>
  <r>
    <s v="Discrete AI"/>
    <x v="3"/>
    <x v="4"/>
    <s v="Consumer Electronics"/>
    <s v="Portable Media Players"/>
    <s v="Semiconductor Revenue M$"/>
    <x v="3"/>
    <n v="0"/>
  </r>
  <r>
    <s v="Discrete AI"/>
    <x v="3"/>
    <x v="4"/>
    <s v="Consumer Electronics"/>
    <s v="Portable Media Players"/>
    <s v="Semiconductor Revenue M$"/>
    <x v="4"/>
    <n v="0"/>
  </r>
  <r>
    <s v="Discrete AI"/>
    <x v="3"/>
    <x v="4"/>
    <s v="Consumer Electronics"/>
    <s v="Portable Media Players"/>
    <s v="Semiconductor Revenue M$"/>
    <x v="5"/>
    <n v="0"/>
  </r>
  <r>
    <s v="Discrete AI"/>
    <x v="3"/>
    <x v="4"/>
    <s v="Consumer Electronics"/>
    <s v="Portable Media Players"/>
    <s v="Semiconductor Revenue M$"/>
    <x v="6"/>
    <n v="0"/>
  </r>
  <r>
    <s v="Discrete AI"/>
    <x v="3"/>
    <x v="4"/>
    <s v="Consumer Electronics"/>
    <s v="Smart Speakers"/>
    <s v="Semiconductor Revenue M$"/>
    <x v="0"/>
    <n v="2.4358090367229992E-5"/>
  </r>
  <r>
    <s v="Discrete AI"/>
    <x v="3"/>
    <x v="4"/>
    <s v="Consumer Electronics"/>
    <s v="Smart Speakers"/>
    <s v="Semiconductor Revenue M$"/>
    <x v="1"/>
    <n v="8.2632843441740676E-5"/>
  </r>
  <r>
    <s v="Discrete AI"/>
    <x v="3"/>
    <x v="4"/>
    <s v="Consumer Electronics"/>
    <s v="Smart Speakers"/>
    <s v="Semiconductor Revenue M$"/>
    <x v="2"/>
    <n v="2.3338905457503036E-4"/>
  </r>
  <r>
    <s v="Discrete AI"/>
    <x v="3"/>
    <x v="4"/>
    <s v="Consumer Electronics"/>
    <s v="Smart Speakers"/>
    <s v="Semiconductor Revenue M$"/>
    <x v="3"/>
    <n v="6.8843322669751808E-4"/>
  </r>
  <r>
    <s v="Discrete AI"/>
    <x v="3"/>
    <x v="4"/>
    <s v="Consumer Electronics"/>
    <s v="Smart Speakers"/>
    <s v="Semiconductor Revenue M$"/>
    <x v="4"/>
    <n v="2.0039038622276851E-3"/>
  </r>
  <r>
    <s v="Discrete AI"/>
    <x v="3"/>
    <x v="4"/>
    <s v="Consumer Electronics"/>
    <s v="Smart Speakers"/>
    <s v="Semiconductor Revenue M$"/>
    <x v="5"/>
    <n v="4.7019816491514713E-3"/>
  </r>
  <r>
    <s v="Discrete AI"/>
    <x v="3"/>
    <x v="4"/>
    <s v="Consumer Electronics"/>
    <s v="Smart Speakers"/>
    <s v="Semiconductor Revenue M$"/>
    <x v="6"/>
    <n v="1.0497741018563473E-2"/>
  </r>
  <r>
    <s v="Discrete AI"/>
    <x v="3"/>
    <x v="4"/>
    <s v="Consumer Electronics"/>
    <s v="TV, Standard"/>
    <s v="Semiconductor Revenue M$"/>
    <x v="0"/>
    <n v="0"/>
  </r>
  <r>
    <s v="Discrete AI"/>
    <x v="3"/>
    <x v="4"/>
    <s v="Consumer Electronics"/>
    <s v="TV, Standard"/>
    <s v="Semiconductor Revenue M$"/>
    <x v="1"/>
    <n v="0"/>
  </r>
  <r>
    <s v="Discrete AI"/>
    <x v="3"/>
    <x v="4"/>
    <s v="Consumer Electronics"/>
    <s v="TV, Standard"/>
    <s v="Semiconductor Revenue M$"/>
    <x v="2"/>
    <n v="0"/>
  </r>
  <r>
    <s v="Discrete AI"/>
    <x v="3"/>
    <x v="4"/>
    <s v="Consumer Electronics"/>
    <s v="TV, Standard"/>
    <s v="Semiconductor Revenue M$"/>
    <x v="3"/>
    <n v="0"/>
  </r>
  <r>
    <s v="Discrete AI"/>
    <x v="3"/>
    <x v="4"/>
    <s v="Consumer Electronics"/>
    <s v="TV, Standard"/>
    <s v="Semiconductor Revenue M$"/>
    <x v="4"/>
    <n v="0"/>
  </r>
  <r>
    <s v="Discrete AI"/>
    <x v="3"/>
    <x v="4"/>
    <s v="Consumer Electronics"/>
    <s v="TV, Standard"/>
    <s v="Semiconductor Revenue M$"/>
    <x v="5"/>
    <n v="0"/>
  </r>
  <r>
    <s v="Discrete AI"/>
    <x v="3"/>
    <x v="4"/>
    <s v="Consumer Electronics"/>
    <s v="TV, Standard"/>
    <s v="Semiconductor Revenue M$"/>
    <x v="6"/>
    <n v="0"/>
  </r>
  <r>
    <s v="Discrete AI"/>
    <x v="3"/>
    <x v="4"/>
    <s v="Consumer Electronics"/>
    <s v="TV, Smart"/>
    <s v="Semiconductor Revenue M$"/>
    <x v="0"/>
    <n v="0"/>
  </r>
  <r>
    <s v="Discrete AI"/>
    <x v="3"/>
    <x v="4"/>
    <s v="Consumer Electronics"/>
    <s v="TV, Smart"/>
    <s v="Semiconductor Revenue M$"/>
    <x v="1"/>
    <n v="0"/>
  </r>
  <r>
    <s v="Discrete AI"/>
    <x v="3"/>
    <x v="4"/>
    <s v="Consumer Electronics"/>
    <s v="TV, Smart"/>
    <s v="Semiconductor Revenue M$"/>
    <x v="2"/>
    <n v="0"/>
  </r>
  <r>
    <s v="Discrete AI"/>
    <x v="3"/>
    <x v="4"/>
    <s v="Consumer Electronics"/>
    <s v="TV, Smart"/>
    <s v="Semiconductor Revenue M$"/>
    <x v="3"/>
    <n v="0"/>
  </r>
  <r>
    <s v="Discrete AI"/>
    <x v="3"/>
    <x v="4"/>
    <s v="Consumer Electronics"/>
    <s v="TV, Smart"/>
    <s v="Semiconductor Revenue M$"/>
    <x v="4"/>
    <n v="0"/>
  </r>
  <r>
    <s v="Discrete AI"/>
    <x v="3"/>
    <x v="4"/>
    <s v="Consumer Electronics"/>
    <s v="TV, Smart"/>
    <s v="Semiconductor Revenue M$"/>
    <x v="5"/>
    <n v="0"/>
  </r>
  <r>
    <s v="Discrete AI"/>
    <x v="3"/>
    <x v="4"/>
    <s v="Consumer Electronics"/>
    <s v="TV, Smart"/>
    <s v="Semiconductor Revenue M$"/>
    <x v="6"/>
    <n v="0"/>
  </r>
  <r>
    <s v="Discrete AI"/>
    <x v="3"/>
    <x v="4"/>
    <s v="Consumer Electronics"/>
    <s v="Video Game Consoles"/>
    <s v="Semiconductor Revenue M$"/>
    <x v="0"/>
    <n v="0"/>
  </r>
  <r>
    <s v="Discrete AI"/>
    <x v="3"/>
    <x v="4"/>
    <s v="Consumer Electronics"/>
    <s v="Video Game Consoles"/>
    <s v="Semiconductor Revenue M$"/>
    <x v="1"/>
    <n v="0"/>
  </r>
  <r>
    <s v="Discrete AI"/>
    <x v="3"/>
    <x v="4"/>
    <s v="Consumer Electronics"/>
    <s v="Video Game Consoles"/>
    <s v="Semiconductor Revenue M$"/>
    <x v="2"/>
    <n v="0"/>
  </r>
  <r>
    <s v="Discrete AI"/>
    <x v="3"/>
    <x v="4"/>
    <s v="Consumer Electronics"/>
    <s v="Video Game Consoles"/>
    <s v="Semiconductor Revenue M$"/>
    <x v="3"/>
    <n v="0"/>
  </r>
  <r>
    <s v="Discrete AI"/>
    <x v="3"/>
    <x v="4"/>
    <s v="Consumer Electronics"/>
    <s v="Video Game Consoles"/>
    <s v="Semiconductor Revenue M$"/>
    <x v="4"/>
    <n v="0"/>
  </r>
  <r>
    <s v="Discrete AI"/>
    <x v="3"/>
    <x v="4"/>
    <s v="Consumer Electronics"/>
    <s v="Video Game Consoles"/>
    <s v="Semiconductor Revenue M$"/>
    <x v="5"/>
    <n v="0"/>
  </r>
  <r>
    <s v="Discrete AI"/>
    <x v="3"/>
    <x v="4"/>
    <s v="Consumer Electronics"/>
    <s v="Video Game Consoles"/>
    <s v="Semiconductor Revenue M$"/>
    <x v="6"/>
    <n v="0"/>
  </r>
  <r>
    <s v="Discrete AI"/>
    <x v="3"/>
    <x v="4"/>
    <s v="Consumer Electronics"/>
    <s v="Video Game Handhelds"/>
    <s v="Semiconductor Revenue M$"/>
    <x v="0"/>
    <n v="0"/>
  </r>
  <r>
    <s v="Discrete AI"/>
    <x v="3"/>
    <x v="4"/>
    <s v="Consumer Electronics"/>
    <s v="Video Game Handhelds"/>
    <s v="Semiconductor Revenue M$"/>
    <x v="1"/>
    <n v="0"/>
  </r>
  <r>
    <s v="Discrete AI"/>
    <x v="3"/>
    <x v="4"/>
    <s v="Consumer Electronics"/>
    <s v="Video Game Handhelds"/>
    <s v="Semiconductor Revenue M$"/>
    <x v="2"/>
    <n v="0"/>
  </r>
  <r>
    <s v="Discrete AI"/>
    <x v="3"/>
    <x v="4"/>
    <s v="Consumer Electronics"/>
    <s v="Video Game Handhelds"/>
    <s v="Semiconductor Revenue M$"/>
    <x v="3"/>
    <n v="0"/>
  </r>
  <r>
    <s v="Discrete AI"/>
    <x v="3"/>
    <x v="4"/>
    <s v="Consumer Electronics"/>
    <s v="Video Game Handhelds"/>
    <s v="Semiconductor Revenue M$"/>
    <x v="4"/>
    <n v="0"/>
  </r>
  <r>
    <s v="Discrete AI"/>
    <x v="3"/>
    <x v="4"/>
    <s v="Consumer Electronics"/>
    <s v="Video Game Handhelds"/>
    <s v="Semiconductor Revenue M$"/>
    <x v="5"/>
    <n v="0"/>
  </r>
  <r>
    <s v="Discrete AI"/>
    <x v="3"/>
    <x v="4"/>
    <s v="Consumer Electronics"/>
    <s v="Video Game Handhelds"/>
    <s v="Semiconductor Revenue M$"/>
    <x v="6"/>
    <n v="0"/>
  </r>
  <r>
    <s v="Discrete AI"/>
    <x v="3"/>
    <x v="4"/>
    <s v="Consumer Electronics"/>
    <s v="Wristbands"/>
    <s v="Semiconductor Revenue M$"/>
    <x v="0"/>
    <n v="0"/>
  </r>
  <r>
    <s v="Discrete AI"/>
    <x v="3"/>
    <x v="4"/>
    <s v="Consumer Electronics"/>
    <s v="Wristbands"/>
    <s v="Semiconductor Revenue M$"/>
    <x v="1"/>
    <n v="0"/>
  </r>
  <r>
    <s v="Discrete AI"/>
    <x v="3"/>
    <x v="4"/>
    <s v="Consumer Electronics"/>
    <s v="Wristbands"/>
    <s v="Semiconductor Revenue M$"/>
    <x v="2"/>
    <n v="0"/>
  </r>
  <r>
    <s v="Discrete AI"/>
    <x v="3"/>
    <x v="4"/>
    <s v="Consumer Electronics"/>
    <s v="Wristbands"/>
    <s v="Semiconductor Revenue M$"/>
    <x v="3"/>
    <n v="0"/>
  </r>
  <r>
    <s v="Discrete AI"/>
    <x v="3"/>
    <x v="4"/>
    <s v="Consumer Electronics"/>
    <s v="Wristbands"/>
    <s v="Semiconductor Revenue M$"/>
    <x v="4"/>
    <n v="0"/>
  </r>
  <r>
    <s v="Discrete AI"/>
    <x v="3"/>
    <x v="4"/>
    <s v="Consumer Electronics"/>
    <s v="Wristbands"/>
    <s v="Semiconductor Revenue M$"/>
    <x v="5"/>
    <n v="0"/>
  </r>
  <r>
    <s v="Discrete AI"/>
    <x v="3"/>
    <x v="4"/>
    <s v="Consumer Electronics"/>
    <s v="Wristbands"/>
    <s v="Semiconductor Revenue M$"/>
    <x v="6"/>
    <n v="0"/>
  </r>
  <r>
    <s v="Discrete AI"/>
    <x v="3"/>
    <x v="4"/>
    <s v="Consumer Electronics"/>
    <s v="Head Mounted Display"/>
    <s v="Semiconductor Revenue M$"/>
    <x v="0"/>
    <n v="0"/>
  </r>
  <r>
    <s v="Discrete AI"/>
    <x v="3"/>
    <x v="4"/>
    <s v="Consumer Electronics"/>
    <s v="Head Mounted Display"/>
    <s v="Semiconductor Revenue M$"/>
    <x v="1"/>
    <n v="0"/>
  </r>
  <r>
    <s v="Discrete AI"/>
    <x v="3"/>
    <x v="4"/>
    <s v="Consumer Electronics"/>
    <s v="Head Mounted Display"/>
    <s v="Semiconductor Revenue M$"/>
    <x v="2"/>
    <n v="0"/>
  </r>
  <r>
    <s v="Discrete AI"/>
    <x v="3"/>
    <x v="4"/>
    <s v="Consumer Electronics"/>
    <s v="Head Mounted Display"/>
    <s v="Semiconductor Revenue M$"/>
    <x v="3"/>
    <n v="0"/>
  </r>
  <r>
    <s v="Discrete AI"/>
    <x v="3"/>
    <x v="4"/>
    <s v="Consumer Electronics"/>
    <s v="Head Mounted Display"/>
    <s v="Semiconductor Revenue M$"/>
    <x v="4"/>
    <n v="0"/>
  </r>
  <r>
    <s v="Discrete AI"/>
    <x v="3"/>
    <x v="4"/>
    <s v="Consumer Electronics"/>
    <s v="Head Mounted Display"/>
    <s v="Semiconductor Revenue M$"/>
    <x v="5"/>
    <n v="0"/>
  </r>
  <r>
    <s v="Discrete AI"/>
    <x v="3"/>
    <x v="4"/>
    <s v="Consumer Electronics"/>
    <s v="Head Mounted Display"/>
    <s v="Semiconductor Revenue M$"/>
    <x v="6"/>
    <n v="0"/>
  </r>
  <r>
    <s v="Discrete AI"/>
    <x v="3"/>
    <x v="4"/>
    <s v="Consumer Electronics"/>
    <s v="Smart Watches"/>
    <s v="Semiconductor Revenue M$"/>
    <x v="0"/>
    <n v="0"/>
  </r>
  <r>
    <s v="Discrete AI"/>
    <x v="3"/>
    <x v="4"/>
    <s v="Consumer Electronics"/>
    <s v="Smart Watches"/>
    <s v="Semiconductor Revenue M$"/>
    <x v="1"/>
    <n v="0"/>
  </r>
  <r>
    <s v="Discrete AI"/>
    <x v="3"/>
    <x v="4"/>
    <s v="Consumer Electronics"/>
    <s v="Smart Watches"/>
    <s v="Semiconductor Revenue M$"/>
    <x v="2"/>
    <n v="0"/>
  </r>
  <r>
    <s v="Discrete AI"/>
    <x v="3"/>
    <x v="4"/>
    <s v="Consumer Electronics"/>
    <s v="Smart Watches"/>
    <s v="Semiconductor Revenue M$"/>
    <x v="3"/>
    <n v="0"/>
  </r>
  <r>
    <s v="Discrete AI"/>
    <x v="3"/>
    <x v="4"/>
    <s v="Consumer Electronics"/>
    <s v="Smart Watches"/>
    <s v="Semiconductor Revenue M$"/>
    <x v="4"/>
    <n v="0"/>
  </r>
  <r>
    <s v="Discrete AI"/>
    <x v="3"/>
    <x v="4"/>
    <s v="Consumer Electronics"/>
    <s v="Smart Watches"/>
    <s v="Semiconductor Revenue M$"/>
    <x v="5"/>
    <n v="0"/>
  </r>
  <r>
    <s v="Discrete AI"/>
    <x v="3"/>
    <x v="4"/>
    <s v="Consumer Electronics"/>
    <s v="Smart Watches"/>
    <s v="Semiconductor Revenue M$"/>
    <x v="6"/>
    <n v="0"/>
  </r>
  <r>
    <s v="Discrete AI"/>
    <x v="3"/>
    <x v="4"/>
    <s v="Consumer Electronics"/>
    <s v="Sports Watches"/>
    <s v="Semiconductor Revenue M$"/>
    <x v="0"/>
    <n v="0"/>
  </r>
  <r>
    <s v="Discrete AI"/>
    <x v="3"/>
    <x v="4"/>
    <s v="Consumer Electronics"/>
    <s v="Sports Watches"/>
    <s v="Semiconductor Revenue M$"/>
    <x v="1"/>
    <n v="0"/>
  </r>
  <r>
    <s v="Discrete AI"/>
    <x v="3"/>
    <x v="4"/>
    <s v="Consumer Electronics"/>
    <s v="Sports Watches"/>
    <s v="Semiconductor Revenue M$"/>
    <x v="2"/>
    <n v="0"/>
  </r>
  <r>
    <s v="Discrete AI"/>
    <x v="3"/>
    <x v="4"/>
    <s v="Consumer Electronics"/>
    <s v="Sports Watches"/>
    <s v="Semiconductor Revenue M$"/>
    <x v="3"/>
    <n v="0"/>
  </r>
  <r>
    <s v="Discrete AI"/>
    <x v="3"/>
    <x v="4"/>
    <s v="Consumer Electronics"/>
    <s v="Sports Watches"/>
    <s v="Semiconductor Revenue M$"/>
    <x v="4"/>
    <n v="0"/>
  </r>
  <r>
    <s v="Discrete AI"/>
    <x v="3"/>
    <x v="4"/>
    <s v="Consumer Electronics"/>
    <s v="Sports Watches"/>
    <s v="Semiconductor Revenue M$"/>
    <x v="5"/>
    <n v="0"/>
  </r>
  <r>
    <s v="Discrete AI"/>
    <x v="3"/>
    <x v="4"/>
    <s v="Consumer Electronics"/>
    <s v="Sports Watches"/>
    <s v="Semiconductor Revenue M$"/>
    <x v="6"/>
    <n v="0"/>
  </r>
  <r>
    <s v="Discrete AI"/>
    <x v="3"/>
    <x v="4"/>
    <s v="Consumer Electronics"/>
    <s v="Other Consumer Electronics"/>
    <s v="Semiconductor Revenue M$"/>
    <x v="0"/>
    <n v="1.6597348551725886E-4"/>
  </r>
  <r>
    <s v="Discrete AI"/>
    <x v="3"/>
    <x v="4"/>
    <s v="Consumer Electronics"/>
    <s v="Other Consumer Electronics"/>
    <s v="Semiconductor Revenue M$"/>
    <x v="1"/>
    <n v="6.3917233274659582E-4"/>
  </r>
  <r>
    <s v="Discrete AI"/>
    <x v="3"/>
    <x v="4"/>
    <s v="Consumer Electronics"/>
    <s v="Other Consumer Electronics"/>
    <s v="Semiconductor Revenue M$"/>
    <x v="2"/>
    <n v="1.8699532389997615E-3"/>
  </r>
  <r>
    <s v="Discrete AI"/>
    <x v="3"/>
    <x v="4"/>
    <s v="Consumer Electronics"/>
    <s v="Other Consumer Electronics"/>
    <s v="Semiconductor Revenue M$"/>
    <x v="3"/>
    <n v="5.570387745784661E-3"/>
  </r>
  <r>
    <s v="Discrete AI"/>
    <x v="3"/>
    <x v="4"/>
    <s v="Consumer Electronics"/>
    <s v="Other Consumer Electronics"/>
    <s v="Semiconductor Revenue M$"/>
    <x v="4"/>
    <n v="1.7066020379216323E-2"/>
  </r>
  <r>
    <s v="Discrete AI"/>
    <x v="3"/>
    <x v="4"/>
    <s v="Consumer Electronics"/>
    <s v="Other Consumer Electronics"/>
    <s v="Semiconductor Revenue M$"/>
    <x v="5"/>
    <n v="4.0591609474029226E-2"/>
  </r>
  <r>
    <s v="Discrete AI"/>
    <x v="3"/>
    <x v="4"/>
    <s v="Consumer Electronics"/>
    <s v="Other Consumer Electronics"/>
    <s v="Semiconductor Revenue M$"/>
    <x v="6"/>
    <n v="9.1813213088953349E-2"/>
  </r>
  <r>
    <s v="Discrete AI"/>
    <x v="3"/>
    <x v="3"/>
    <s v="Automotive Electronics"/>
    <s v="ADAS-Sensors and Connectivity"/>
    <s v="Semiconductor Revenue M$"/>
    <x v="0"/>
    <n v="3.7821573417950431"/>
  </r>
  <r>
    <s v="Discrete AI"/>
    <x v="3"/>
    <x v="3"/>
    <s v="Automotive Electronics"/>
    <s v="ADAS-Sensors and Connectivity"/>
    <s v="Semiconductor Revenue M$"/>
    <x v="1"/>
    <n v="8.7828770857399885"/>
  </r>
  <r>
    <s v="Discrete AI"/>
    <x v="3"/>
    <x v="3"/>
    <s v="Automotive Electronics"/>
    <s v="ADAS-Sensors and Connectivity"/>
    <s v="Semiconductor Revenue M$"/>
    <x v="2"/>
    <n v="17.83572330098708"/>
  </r>
  <r>
    <s v="Discrete AI"/>
    <x v="3"/>
    <x v="3"/>
    <s v="Automotive Electronics"/>
    <s v="ADAS-Sensors and Connectivity"/>
    <s v="Semiconductor Revenue M$"/>
    <x v="3"/>
    <n v="29.587018135167536"/>
  </r>
  <r>
    <s v="Discrete AI"/>
    <x v="3"/>
    <x v="3"/>
    <s v="Automotive Electronics"/>
    <s v="ADAS-Sensors and Connectivity"/>
    <s v="Semiconductor Revenue M$"/>
    <x v="4"/>
    <n v="47.495257157776109"/>
  </r>
  <r>
    <s v="Discrete AI"/>
    <x v="3"/>
    <x v="3"/>
    <s v="Automotive Electronics"/>
    <s v="ADAS-Sensors and Connectivity"/>
    <s v="Semiconductor Revenue M$"/>
    <x v="5"/>
    <n v="69.750848243438313"/>
  </r>
  <r>
    <s v="Discrete AI"/>
    <x v="3"/>
    <x v="3"/>
    <s v="Automotive Electronics"/>
    <s v="ADAS-Sensors and Connectivity"/>
    <s v="Semiconductor Revenue M$"/>
    <x v="6"/>
    <n v="91.247763727181152"/>
  </r>
  <r>
    <s v="Discrete AI"/>
    <x v="3"/>
    <x v="3"/>
    <s v="Automotive Electronics"/>
    <s v="Body"/>
    <s v="Semiconductor Revenue M$"/>
    <x v="0"/>
    <n v="0"/>
  </r>
  <r>
    <s v="Discrete AI"/>
    <x v="3"/>
    <x v="3"/>
    <s v="Automotive Electronics"/>
    <s v="Body"/>
    <s v="Semiconductor Revenue M$"/>
    <x v="1"/>
    <n v="0"/>
  </r>
  <r>
    <s v="Discrete AI"/>
    <x v="3"/>
    <x v="3"/>
    <s v="Automotive Electronics"/>
    <s v="Body"/>
    <s v="Semiconductor Revenue M$"/>
    <x v="2"/>
    <n v="0"/>
  </r>
  <r>
    <s v="Discrete AI"/>
    <x v="3"/>
    <x v="3"/>
    <s v="Automotive Electronics"/>
    <s v="Body"/>
    <s v="Semiconductor Revenue M$"/>
    <x v="3"/>
    <n v="0"/>
  </r>
  <r>
    <s v="Discrete AI"/>
    <x v="3"/>
    <x v="3"/>
    <s v="Automotive Electronics"/>
    <s v="Body"/>
    <s v="Semiconductor Revenue M$"/>
    <x v="4"/>
    <n v="0"/>
  </r>
  <r>
    <s v="Discrete AI"/>
    <x v="3"/>
    <x v="3"/>
    <s v="Automotive Electronics"/>
    <s v="Body"/>
    <s v="Semiconductor Revenue M$"/>
    <x v="5"/>
    <n v="0"/>
  </r>
  <r>
    <s v="Discrete AI"/>
    <x v="3"/>
    <x v="3"/>
    <s v="Automotive Electronics"/>
    <s v="Body"/>
    <s v="Semiconductor Revenue M$"/>
    <x v="6"/>
    <n v="0"/>
  </r>
  <r>
    <s v="Discrete AI"/>
    <x v="3"/>
    <x v="3"/>
    <s v="Automotive Electronics"/>
    <s v="Chassis"/>
    <s v="Semiconductor Revenue M$"/>
    <x v="0"/>
    <n v="0"/>
  </r>
  <r>
    <s v="Discrete AI"/>
    <x v="3"/>
    <x v="3"/>
    <s v="Automotive Electronics"/>
    <s v="Chassis"/>
    <s v="Semiconductor Revenue M$"/>
    <x v="1"/>
    <n v="0"/>
  </r>
  <r>
    <s v="Discrete AI"/>
    <x v="3"/>
    <x v="3"/>
    <s v="Automotive Electronics"/>
    <s v="Chassis"/>
    <s v="Semiconductor Revenue M$"/>
    <x v="2"/>
    <n v="0"/>
  </r>
  <r>
    <s v="Discrete AI"/>
    <x v="3"/>
    <x v="3"/>
    <s v="Automotive Electronics"/>
    <s v="Chassis"/>
    <s v="Semiconductor Revenue M$"/>
    <x v="3"/>
    <n v="0"/>
  </r>
  <r>
    <s v="Discrete AI"/>
    <x v="3"/>
    <x v="3"/>
    <s v="Automotive Electronics"/>
    <s v="Chassis"/>
    <s v="Semiconductor Revenue M$"/>
    <x v="4"/>
    <n v="0"/>
  </r>
  <r>
    <s v="Discrete AI"/>
    <x v="3"/>
    <x v="3"/>
    <s v="Automotive Electronics"/>
    <s v="Chassis"/>
    <s v="Semiconductor Revenue M$"/>
    <x v="5"/>
    <n v="0"/>
  </r>
  <r>
    <s v="Discrete AI"/>
    <x v="3"/>
    <x v="3"/>
    <s v="Automotive Electronics"/>
    <s v="Chassis"/>
    <s v="Semiconductor Revenue M$"/>
    <x v="6"/>
    <n v="0"/>
  </r>
  <r>
    <s v="Discrete AI"/>
    <x v="3"/>
    <x v="3"/>
    <s v="Automotive Electronics"/>
    <s v="EV/HEV"/>
    <s v="Semiconductor Revenue M$"/>
    <x v="0"/>
    <n v="0"/>
  </r>
  <r>
    <s v="Discrete AI"/>
    <x v="3"/>
    <x v="3"/>
    <s v="Automotive Electronics"/>
    <s v="EV/HEV"/>
    <s v="Semiconductor Revenue M$"/>
    <x v="1"/>
    <n v="0"/>
  </r>
  <r>
    <s v="Discrete AI"/>
    <x v="3"/>
    <x v="3"/>
    <s v="Automotive Electronics"/>
    <s v="EV/HEV"/>
    <s v="Semiconductor Revenue M$"/>
    <x v="2"/>
    <n v="0"/>
  </r>
  <r>
    <s v="Discrete AI"/>
    <x v="3"/>
    <x v="3"/>
    <s v="Automotive Electronics"/>
    <s v="EV/HEV"/>
    <s v="Semiconductor Revenue M$"/>
    <x v="3"/>
    <n v="0"/>
  </r>
  <r>
    <s v="Discrete AI"/>
    <x v="3"/>
    <x v="3"/>
    <s v="Automotive Electronics"/>
    <s v="EV/HEV"/>
    <s v="Semiconductor Revenue M$"/>
    <x v="4"/>
    <n v="0"/>
  </r>
  <r>
    <s v="Discrete AI"/>
    <x v="3"/>
    <x v="3"/>
    <s v="Automotive Electronics"/>
    <s v="EV/HEV"/>
    <s v="Semiconductor Revenue M$"/>
    <x v="5"/>
    <n v="0"/>
  </r>
  <r>
    <s v="Discrete AI"/>
    <x v="3"/>
    <x v="3"/>
    <s v="Automotive Electronics"/>
    <s v="EV/HEV"/>
    <s v="Semiconductor Revenue M$"/>
    <x v="6"/>
    <n v="0"/>
  </r>
  <r>
    <s v="Discrete AI"/>
    <x v="3"/>
    <x v="3"/>
    <s v="Automotive Electronics"/>
    <s v="Infotainment"/>
    <s v="Semiconductor Revenue M$"/>
    <x v="0"/>
    <n v="0.25854437805200342"/>
  </r>
  <r>
    <s v="Discrete AI"/>
    <x v="3"/>
    <x v="3"/>
    <s v="Automotive Electronics"/>
    <s v="Infotainment"/>
    <s v="Semiconductor Revenue M$"/>
    <x v="1"/>
    <n v="0.58939048393100912"/>
  </r>
  <r>
    <s v="Discrete AI"/>
    <x v="3"/>
    <x v="3"/>
    <s v="Automotive Electronics"/>
    <s v="Infotainment"/>
    <s v="Semiconductor Revenue M$"/>
    <x v="2"/>
    <n v="1.1406764667389993"/>
  </r>
  <r>
    <s v="Discrete AI"/>
    <x v="3"/>
    <x v="3"/>
    <s v="Automotive Electronics"/>
    <s v="Infotainment"/>
    <s v="Semiconductor Revenue M$"/>
    <x v="3"/>
    <n v="1.9527753579041593"/>
  </r>
  <r>
    <s v="Discrete AI"/>
    <x v="3"/>
    <x v="3"/>
    <s v="Automotive Electronics"/>
    <s v="Infotainment"/>
    <s v="Semiconductor Revenue M$"/>
    <x v="4"/>
    <n v="3.436110439643254"/>
  </r>
  <r>
    <s v="Discrete AI"/>
    <x v="3"/>
    <x v="3"/>
    <s v="Automotive Electronics"/>
    <s v="Infotainment"/>
    <s v="Semiconductor Revenue M$"/>
    <x v="5"/>
    <n v="3.7163151936984367"/>
  </r>
  <r>
    <s v="Discrete AI"/>
    <x v="3"/>
    <x v="3"/>
    <s v="Automotive Electronics"/>
    <s v="Infotainment"/>
    <s v="Semiconductor Revenue M$"/>
    <x v="6"/>
    <n v="3.2205374281152879"/>
  </r>
  <r>
    <s v="Discrete AI"/>
    <x v="3"/>
    <x v="3"/>
    <s v="Automotive Electronics"/>
    <s v="Instrument Cluster"/>
    <s v="Semiconductor Revenue M$"/>
    <x v="0"/>
    <n v="0"/>
  </r>
  <r>
    <s v="Discrete AI"/>
    <x v="3"/>
    <x v="3"/>
    <s v="Automotive Electronics"/>
    <s v="Instrument Cluster"/>
    <s v="Semiconductor Revenue M$"/>
    <x v="1"/>
    <n v="0"/>
  </r>
  <r>
    <s v="Discrete AI"/>
    <x v="3"/>
    <x v="3"/>
    <s v="Automotive Electronics"/>
    <s v="Instrument Cluster"/>
    <s v="Semiconductor Revenue M$"/>
    <x v="2"/>
    <n v="0"/>
  </r>
  <r>
    <s v="Discrete AI"/>
    <x v="3"/>
    <x v="3"/>
    <s v="Automotive Electronics"/>
    <s v="Instrument Cluster"/>
    <s v="Semiconductor Revenue M$"/>
    <x v="3"/>
    <n v="0"/>
  </r>
  <r>
    <s v="Discrete AI"/>
    <x v="3"/>
    <x v="3"/>
    <s v="Automotive Electronics"/>
    <s v="Instrument Cluster"/>
    <s v="Semiconductor Revenue M$"/>
    <x v="4"/>
    <n v="0"/>
  </r>
  <r>
    <s v="Discrete AI"/>
    <x v="3"/>
    <x v="3"/>
    <s v="Automotive Electronics"/>
    <s v="Instrument Cluster"/>
    <s v="Semiconductor Revenue M$"/>
    <x v="5"/>
    <n v="0"/>
  </r>
  <r>
    <s v="Discrete AI"/>
    <x v="3"/>
    <x v="3"/>
    <s v="Automotive Electronics"/>
    <s v="Instrument Cluster"/>
    <s v="Semiconductor Revenue M$"/>
    <x v="6"/>
    <n v="0"/>
  </r>
  <r>
    <s v="Discrete AI"/>
    <x v="3"/>
    <x v="3"/>
    <s v="Automotive Electronics"/>
    <s v="Powertrain"/>
    <s v="Semiconductor Revenue M$"/>
    <x v="0"/>
    <n v="0"/>
  </r>
  <r>
    <s v="Discrete AI"/>
    <x v="3"/>
    <x v="3"/>
    <s v="Automotive Electronics"/>
    <s v="Powertrain"/>
    <s v="Semiconductor Revenue M$"/>
    <x v="1"/>
    <n v="0"/>
  </r>
  <r>
    <s v="Discrete AI"/>
    <x v="3"/>
    <x v="3"/>
    <s v="Automotive Electronics"/>
    <s v="Powertrain"/>
    <s v="Semiconductor Revenue M$"/>
    <x v="2"/>
    <n v="0"/>
  </r>
  <r>
    <s v="Discrete AI"/>
    <x v="3"/>
    <x v="3"/>
    <s v="Automotive Electronics"/>
    <s v="Powertrain"/>
    <s v="Semiconductor Revenue M$"/>
    <x v="3"/>
    <n v="0"/>
  </r>
  <r>
    <s v="Discrete AI"/>
    <x v="3"/>
    <x v="3"/>
    <s v="Automotive Electronics"/>
    <s v="Powertrain"/>
    <s v="Semiconductor Revenue M$"/>
    <x v="4"/>
    <n v="0"/>
  </r>
  <r>
    <s v="Discrete AI"/>
    <x v="3"/>
    <x v="3"/>
    <s v="Automotive Electronics"/>
    <s v="Powertrain"/>
    <s v="Semiconductor Revenue M$"/>
    <x v="5"/>
    <n v="0"/>
  </r>
  <r>
    <s v="Discrete AI"/>
    <x v="3"/>
    <x v="3"/>
    <s v="Automotive Electronics"/>
    <s v="Powertrain"/>
    <s v="Semiconductor Revenue M$"/>
    <x v="6"/>
    <n v="0"/>
  </r>
  <r>
    <s v="Discrete AI"/>
    <x v="3"/>
    <x v="3"/>
    <s v="Automotive Electronics"/>
    <s v="Safety"/>
    <s v="Semiconductor Revenue M$"/>
    <x v="0"/>
    <n v="2.6420216412234153E-4"/>
  </r>
  <r>
    <s v="Discrete AI"/>
    <x v="3"/>
    <x v="3"/>
    <s v="Automotive Electronics"/>
    <s v="Safety"/>
    <s v="Semiconductor Revenue M$"/>
    <x v="1"/>
    <n v="1.212736849816281E-3"/>
  </r>
  <r>
    <s v="Discrete AI"/>
    <x v="3"/>
    <x v="3"/>
    <s v="Automotive Electronics"/>
    <s v="Safety"/>
    <s v="Semiconductor Revenue M$"/>
    <x v="2"/>
    <n v="4.0955931136931172E-3"/>
  </r>
  <r>
    <s v="Discrete AI"/>
    <x v="3"/>
    <x v="3"/>
    <s v="Automotive Electronics"/>
    <s v="Safety"/>
    <s v="Semiconductor Revenue M$"/>
    <x v="3"/>
    <n v="1.1350555031553865E-2"/>
  </r>
  <r>
    <s v="Discrete AI"/>
    <x v="3"/>
    <x v="3"/>
    <s v="Automotive Electronics"/>
    <s v="Safety"/>
    <s v="Semiconductor Revenue M$"/>
    <x v="4"/>
    <n v="3.0775404615114771E-2"/>
  </r>
  <r>
    <s v="Discrete AI"/>
    <x v="3"/>
    <x v="3"/>
    <s v="Automotive Electronics"/>
    <s v="Safety"/>
    <s v="Semiconductor Revenue M$"/>
    <x v="5"/>
    <n v="3.5938124184532176E-2"/>
  </r>
  <r>
    <s v="Discrete AI"/>
    <x v="3"/>
    <x v="3"/>
    <s v="Automotive Electronics"/>
    <s v="Safety"/>
    <s v="Semiconductor Revenue M$"/>
    <x v="6"/>
    <n v="6.2663118694269618E-2"/>
  </r>
  <r>
    <s v="Discrete AI"/>
    <x v="3"/>
    <x v="3"/>
    <s v="Automotive Electronics"/>
    <s v="Aftermarket"/>
    <s v="Semiconductor Revenue M$"/>
    <x v="0"/>
    <n v="6.9131054046312704E-4"/>
  </r>
  <r>
    <s v="Discrete AI"/>
    <x v="3"/>
    <x v="3"/>
    <s v="Automotive Electronics"/>
    <s v="Aftermarket"/>
    <s v="Semiconductor Revenue M$"/>
    <x v="1"/>
    <n v="3.2663850191511118E-3"/>
  </r>
  <r>
    <s v="Discrete AI"/>
    <x v="3"/>
    <x v="3"/>
    <s v="Automotive Electronics"/>
    <s v="Aftermarket"/>
    <s v="Semiconductor Revenue M$"/>
    <x v="2"/>
    <n v="1.150479432159956E-2"/>
  </r>
  <r>
    <s v="Discrete AI"/>
    <x v="3"/>
    <x v="3"/>
    <s v="Automotive Electronics"/>
    <s v="Aftermarket"/>
    <s v="Semiconductor Revenue M$"/>
    <x v="3"/>
    <n v="3.7684123932966974E-2"/>
  </r>
  <r>
    <s v="Discrete AI"/>
    <x v="3"/>
    <x v="3"/>
    <s v="Automotive Electronics"/>
    <s v="Aftermarket"/>
    <s v="Semiconductor Revenue M$"/>
    <x v="4"/>
    <n v="0.11657425547398272"/>
  </r>
  <r>
    <s v="Discrete AI"/>
    <x v="3"/>
    <x v="3"/>
    <s v="Automotive Electronics"/>
    <s v="Aftermarket"/>
    <s v="Semiconductor Revenue M$"/>
    <x v="5"/>
    <n v="0.17447560462820913"/>
  </r>
  <r>
    <s v="Discrete AI"/>
    <x v="3"/>
    <x v="3"/>
    <s v="Automotive Electronics"/>
    <s v="Aftermarket"/>
    <s v="Semiconductor Revenue M$"/>
    <x v="6"/>
    <n v="0.16158682123552354"/>
  </r>
  <r>
    <s v="Discrete AI"/>
    <x v="3"/>
    <x v="5"/>
    <s v="Industrial Electronics"/>
    <s v="Commercial Amusement"/>
    <s v="Semiconductor Revenue M$"/>
    <x v="0"/>
    <n v="2.2136093705714625E-2"/>
  </r>
  <r>
    <s v="Discrete AI"/>
    <x v="3"/>
    <x v="5"/>
    <s v="Industrial Electronics"/>
    <s v="Commercial Amusement"/>
    <s v="Semiconductor Revenue M$"/>
    <x v="1"/>
    <n v="4.3567434830458912E-2"/>
  </r>
  <r>
    <s v="Discrete AI"/>
    <x v="3"/>
    <x v="5"/>
    <s v="Industrial Electronics"/>
    <s v="Commercial Amusement"/>
    <s v="Semiconductor Revenue M$"/>
    <x v="2"/>
    <n v="9.4562812369127308E-2"/>
  </r>
  <r>
    <s v="Discrete AI"/>
    <x v="3"/>
    <x v="5"/>
    <s v="Industrial Electronics"/>
    <s v="Commercial Amusement"/>
    <s v="Semiconductor Revenue M$"/>
    <x v="3"/>
    <n v="0.18023863044422939"/>
  </r>
  <r>
    <s v="Discrete AI"/>
    <x v="3"/>
    <x v="5"/>
    <s v="Industrial Electronics"/>
    <s v="Commercial Amusement"/>
    <s v="Semiconductor Revenue M$"/>
    <x v="4"/>
    <n v="0.35133859489194652"/>
  </r>
  <r>
    <s v="Discrete AI"/>
    <x v="3"/>
    <x v="5"/>
    <s v="Industrial Electronics"/>
    <s v="Commercial Amusement"/>
    <s v="Semiconductor Revenue M$"/>
    <x v="5"/>
    <n v="0.39831130216650323"/>
  </r>
  <r>
    <s v="Discrete AI"/>
    <x v="3"/>
    <x v="5"/>
    <s v="Industrial Electronics"/>
    <s v="Commercial Amusement"/>
    <s v="Semiconductor Revenue M$"/>
    <x v="6"/>
    <n v="0.34503613176744091"/>
  </r>
  <r>
    <s v="Discrete AI"/>
    <x v="3"/>
    <x v="5"/>
    <s v="Industrial Electronics"/>
    <s v="Automation"/>
    <s v="Semiconductor Revenue M$"/>
    <x v="0"/>
    <n v="0.44719450941628219"/>
  </r>
  <r>
    <s v="Discrete AI"/>
    <x v="3"/>
    <x v="5"/>
    <s v="Industrial Electronics"/>
    <s v="Automation"/>
    <s v="Semiconductor Revenue M$"/>
    <x v="1"/>
    <n v="1.0042251752612816"/>
  </r>
  <r>
    <s v="Discrete AI"/>
    <x v="3"/>
    <x v="5"/>
    <s v="Industrial Electronics"/>
    <s v="Automation"/>
    <s v="Semiconductor Revenue M$"/>
    <x v="2"/>
    <n v="2.2041707887049484"/>
  </r>
  <r>
    <s v="Discrete AI"/>
    <x v="3"/>
    <x v="5"/>
    <s v="Industrial Electronics"/>
    <s v="Automation"/>
    <s v="Semiconductor Revenue M$"/>
    <x v="3"/>
    <n v="4.4998625896434543"/>
  </r>
  <r>
    <s v="Discrete AI"/>
    <x v="3"/>
    <x v="5"/>
    <s v="Industrial Electronics"/>
    <s v="Automation"/>
    <s v="Semiconductor Revenue M$"/>
    <x v="4"/>
    <n v="8.8617473141224767"/>
  </r>
  <r>
    <s v="Discrete AI"/>
    <x v="3"/>
    <x v="5"/>
    <s v="Industrial Electronics"/>
    <s v="Automation"/>
    <s v="Semiconductor Revenue M$"/>
    <x v="5"/>
    <n v="10.35406890562502"/>
  </r>
  <r>
    <s v="Discrete AI"/>
    <x v="3"/>
    <x v="5"/>
    <s v="Industrial Electronics"/>
    <s v="Automation"/>
    <s v="Semiconductor Revenue M$"/>
    <x v="6"/>
    <n v="9.0743535851420081"/>
  </r>
  <r>
    <s v="Discrete AI"/>
    <x v="3"/>
    <x v="5"/>
    <s v="Industrial Electronics"/>
    <s v="Energy Management"/>
    <s v="Semiconductor Revenue M$"/>
    <x v="0"/>
    <n v="0.23902993729915004"/>
  </r>
  <r>
    <s v="Discrete AI"/>
    <x v="3"/>
    <x v="5"/>
    <s v="Industrial Electronics"/>
    <s v="Energy Management"/>
    <s v="Semiconductor Revenue M$"/>
    <x v="1"/>
    <n v="0.48421484310506896"/>
  </r>
  <r>
    <s v="Discrete AI"/>
    <x v="3"/>
    <x v="5"/>
    <s v="Industrial Electronics"/>
    <s v="Energy Management"/>
    <s v="Semiconductor Revenue M$"/>
    <x v="2"/>
    <n v="1.0421331049895288"/>
  </r>
  <r>
    <s v="Discrete AI"/>
    <x v="3"/>
    <x v="5"/>
    <s v="Industrial Electronics"/>
    <s v="Energy Management"/>
    <s v="Semiconductor Revenue M$"/>
    <x v="3"/>
    <n v="2.0342670448892641"/>
  </r>
  <r>
    <s v="Discrete AI"/>
    <x v="3"/>
    <x v="5"/>
    <s v="Industrial Electronics"/>
    <s v="Energy Management"/>
    <s v="Semiconductor Revenue M$"/>
    <x v="4"/>
    <n v="3.8577976449818654"/>
  </r>
  <r>
    <s v="Discrete AI"/>
    <x v="3"/>
    <x v="5"/>
    <s v="Industrial Electronics"/>
    <s v="Energy Management"/>
    <s v="Semiconductor Revenue M$"/>
    <x v="5"/>
    <n v="4.2664981001521953"/>
  </r>
  <r>
    <s v="Discrete AI"/>
    <x v="3"/>
    <x v="5"/>
    <s v="Industrial Electronics"/>
    <s v="Energy Management"/>
    <s v="Semiconductor Revenue M$"/>
    <x v="6"/>
    <n v="3.5603158677148516"/>
  </r>
  <r>
    <s v="Discrete AI"/>
    <x v="3"/>
    <x v="5"/>
    <s v="Industrial Electronics"/>
    <s v="Solid-State Lighting"/>
    <s v="Semiconductor Revenue M$"/>
    <x v="0"/>
    <n v="0"/>
  </r>
  <r>
    <s v="Discrete AI"/>
    <x v="3"/>
    <x v="5"/>
    <s v="Industrial Electronics"/>
    <s v="Solid-State Lighting"/>
    <s v="Semiconductor Revenue M$"/>
    <x v="1"/>
    <n v="0"/>
  </r>
  <r>
    <s v="Discrete AI"/>
    <x v="3"/>
    <x v="5"/>
    <s v="Industrial Electronics"/>
    <s v="Solid-State Lighting"/>
    <s v="Semiconductor Revenue M$"/>
    <x v="2"/>
    <n v="0"/>
  </r>
  <r>
    <s v="Discrete AI"/>
    <x v="3"/>
    <x v="5"/>
    <s v="Industrial Electronics"/>
    <s v="Solid-State Lighting"/>
    <s v="Semiconductor Revenue M$"/>
    <x v="3"/>
    <n v="0"/>
  </r>
  <r>
    <s v="Discrete AI"/>
    <x v="3"/>
    <x v="5"/>
    <s v="Industrial Electronics"/>
    <s v="Solid-State Lighting"/>
    <s v="Semiconductor Revenue M$"/>
    <x v="4"/>
    <n v="0"/>
  </r>
  <r>
    <s v="Discrete AI"/>
    <x v="3"/>
    <x v="5"/>
    <s v="Industrial Electronics"/>
    <s v="Solid-State Lighting"/>
    <s v="Semiconductor Revenue M$"/>
    <x v="5"/>
    <n v="0"/>
  </r>
  <r>
    <s v="Discrete AI"/>
    <x v="3"/>
    <x v="5"/>
    <s v="Industrial Electronics"/>
    <s v="Solid-State Lighting"/>
    <s v="Semiconductor Revenue M$"/>
    <x v="6"/>
    <n v="0"/>
  </r>
  <r>
    <s v="Discrete AI"/>
    <x v="3"/>
    <x v="5"/>
    <s v="Industrial Electronics"/>
    <s v="Medical/Healthcare"/>
    <s v="Semiconductor Revenue M$"/>
    <x v="0"/>
    <n v="0.88516295097910513"/>
  </r>
  <r>
    <s v="Discrete AI"/>
    <x v="3"/>
    <x v="5"/>
    <s v="Industrial Electronics"/>
    <s v="Medical/Healthcare"/>
    <s v="Semiconductor Revenue M$"/>
    <x v="1"/>
    <n v="1.6510531073403687"/>
  </r>
  <r>
    <s v="Discrete AI"/>
    <x v="3"/>
    <x v="5"/>
    <s v="Industrial Electronics"/>
    <s v="Medical/Healthcare"/>
    <s v="Semiconductor Revenue M$"/>
    <x v="2"/>
    <n v="3.0590807963025006"/>
  </r>
  <r>
    <s v="Discrete AI"/>
    <x v="3"/>
    <x v="5"/>
    <s v="Industrial Electronics"/>
    <s v="Medical/Healthcare"/>
    <s v="Semiconductor Revenue M$"/>
    <x v="3"/>
    <n v="5.5638060530662239"/>
  </r>
  <r>
    <s v="Discrete AI"/>
    <x v="3"/>
    <x v="5"/>
    <s v="Industrial Electronics"/>
    <s v="Medical/Healthcare"/>
    <s v="Semiconductor Revenue M$"/>
    <x v="4"/>
    <n v="9.2167968397901507"/>
  </r>
  <r>
    <s v="Discrete AI"/>
    <x v="3"/>
    <x v="5"/>
    <s v="Industrial Electronics"/>
    <s v="Medical/Healthcare"/>
    <s v="Semiconductor Revenue M$"/>
    <x v="5"/>
    <n v="9.9876284586313115"/>
  </r>
  <r>
    <s v="Discrete AI"/>
    <x v="3"/>
    <x v="5"/>
    <s v="Industrial Electronics"/>
    <s v="Medical/Healthcare"/>
    <s v="Semiconductor Revenue M$"/>
    <x v="6"/>
    <n v="7.4938512018294974"/>
  </r>
  <r>
    <s v="Discrete AI"/>
    <x v="3"/>
    <x v="5"/>
    <s v="Industrial Electronics"/>
    <s v="Test/Measurement"/>
    <s v="Semiconductor Revenue M$"/>
    <x v="0"/>
    <n v="0.93270848950049223"/>
  </r>
  <r>
    <s v="Discrete AI"/>
    <x v="3"/>
    <x v="5"/>
    <s v="Industrial Electronics"/>
    <s v="Test/Measurement"/>
    <s v="Semiconductor Revenue M$"/>
    <x v="1"/>
    <n v="1.9560054670483666"/>
  </r>
  <r>
    <s v="Discrete AI"/>
    <x v="3"/>
    <x v="5"/>
    <s v="Industrial Electronics"/>
    <s v="Test/Measurement"/>
    <s v="Semiconductor Revenue M$"/>
    <x v="2"/>
    <n v="3.7748360964164833"/>
  </r>
  <r>
    <s v="Discrete AI"/>
    <x v="3"/>
    <x v="5"/>
    <s v="Industrial Electronics"/>
    <s v="Test/Measurement"/>
    <s v="Semiconductor Revenue M$"/>
    <x v="3"/>
    <n v="6.4850297709692057"/>
  </r>
  <r>
    <s v="Discrete AI"/>
    <x v="3"/>
    <x v="5"/>
    <s v="Industrial Electronics"/>
    <s v="Test/Measurement"/>
    <s v="Semiconductor Revenue M$"/>
    <x v="4"/>
    <n v="11.967823984034343"/>
  </r>
  <r>
    <s v="Discrete AI"/>
    <x v="3"/>
    <x v="5"/>
    <s v="Industrial Electronics"/>
    <s v="Test/Measurement"/>
    <s v="Semiconductor Revenue M$"/>
    <x v="5"/>
    <n v="12.756271162020598"/>
  </r>
  <r>
    <s v="Discrete AI"/>
    <x v="3"/>
    <x v="5"/>
    <s v="Industrial Electronics"/>
    <s v="Test/Measurement"/>
    <s v="Semiconductor Revenue M$"/>
    <x v="6"/>
    <n v="10.566730447196639"/>
  </r>
  <r>
    <s v="Discrete AI"/>
    <x v="3"/>
    <x v="5"/>
    <s v="Industrial Electronics"/>
    <s v="Other Security"/>
    <s v="Semiconductor Revenue M$"/>
    <x v="0"/>
    <n v="0.40721046970518465"/>
  </r>
  <r>
    <s v="Discrete AI"/>
    <x v="3"/>
    <x v="5"/>
    <s v="Industrial Electronics"/>
    <s v="Other Security"/>
    <s v="Semiconductor Revenue M$"/>
    <x v="1"/>
    <n v="0.79713522687754601"/>
  </r>
  <r>
    <s v="Discrete AI"/>
    <x v="3"/>
    <x v="5"/>
    <s v="Industrial Electronics"/>
    <s v="Other Security"/>
    <s v="Semiconductor Revenue M$"/>
    <x v="2"/>
    <n v="1.4527729026053211"/>
  </r>
  <r>
    <s v="Discrete AI"/>
    <x v="3"/>
    <x v="5"/>
    <s v="Industrial Electronics"/>
    <s v="Other Security"/>
    <s v="Semiconductor Revenue M$"/>
    <x v="3"/>
    <n v="2.3918498033754902"/>
  </r>
  <r>
    <s v="Discrete AI"/>
    <x v="3"/>
    <x v="5"/>
    <s v="Industrial Electronics"/>
    <s v="Other Security"/>
    <s v="Semiconductor Revenue M$"/>
    <x v="4"/>
    <n v="4.140083119087083"/>
  </r>
  <r>
    <s v="Discrete AI"/>
    <x v="3"/>
    <x v="5"/>
    <s v="Industrial Electronics"/>
    <s v="Other Security"/>
    <s v="Semiconductor Revenue M$"/>
    <x v="5"/>
    <n v="4.2656464103641039"/>
  </r>
  <r>
    <s v="Discrete AI"/>
    <x v="3"/>
    <x v="5"/>
    <s v="Industrial Electronics"/>
    <s v="Other Security"/>
    <s v="Semiconductor Revenue M$"/>
    <x v="6"/>
    <n v="3.3418521064366447"/>
  </r>
  <r>
    <s v="Discrete AI"/>
    <x v="3"/>
    <x v="5"/>
    <s v="Industrial Electronics"/>
    <s v="Transportation"/>
    <s v="Semiconductor Revenue M$"/>
    <x v="0"/>
    <n v="0.18673455839811237"/>
  </r>
  <r>
    <s v="Discrete AI"/>
    <x v="3"/>
    <x v="5"/>
    <s v="Industrial Electronics"/>
    <s v="Transportation"/>
    <s v="Semiconductor Revenue M$"/>
    <x v="1"/>
    <n v="0.40728297433717214"/>
  </r>
  <r>
    <s v="Discrete AI"/>
    <x v="3"/>
    <x v="5"/>
    <s v="Industrial Electronics"/>
    <s v="Transportation"/>
    <s v="Semiconductor Revenue M$"/>
    <x v="2"/>
    <n v="0.8631139647598659"/>
  </r>
  <r>
    <s v="Discrete AI"/>
    <x v="3"/>
    <x v="5"/>
    <s v="Industrial Electronics"/>
    <s v="Transportation"/>
    <s v="Semiconductor Revenue M$"/>
    <x v="3"/>
    <n v="1.612669701327611"/>
  </r>
  <r>
    <s v="Discrete AI"/>
    <x v="3"/>
    <x v="5"/>
    <s v="Industrial Electronics"/>
    <s v="Transportation"/>
    <s v="Semiconductor Revenue M$"/>
    <x v="4"/>
    <n v="3.0304466534113605"/>
  </r>
  <r>
    <s v="Discrete AI"/>
    <x v="3"/>
    <x v="5"/>
    <s v="Industrial Electronics"/>
    <s v="Transportation"/>
    <s v="Semiconductor Revenue M$"/>
    <x v="5"/>
    <n v="3.4160936594420956"/>
  </r>
  <r>
    <s v="Discrete AI"/>
    <x v="3"/>
    <x v="5"/>
    <s v="Industrial Electronics"/>
    <s v="Transportation"/>
    <s v="Semiconductor Revenue M$"/>
    <x v="6"/>
    <n v="2.8869804218139032"/>
  </r>
  <r>
    <s v="Discrete AI"/>
    <x v="3"/>
    <x v="5"/>
    <s v="Industrial Electronics"/>
    <s v="Other Industrial Electronics"/>
    <s v="Semiconductor Revenue M$"/>
    <x v="0"/>
    <n v="1.9200733006315462"/>
  </r>
  <r>
    <s v="Discrete AI"/>
    <x v="3"/>
    <x v="5"/>
    <s v="Industrial Electronics"/>
    <s v="Other Industrial Electronics"/>
    <s v="Semiconductor Revenue M$"/>
    <x v="1"/>
    <n v="3.7132863815412529"/>
  </r>
  <r>
    <s v="Discrete AI"/>
    <x v="3"/>
    <x v="5"/>
    <s v="Industrial Electronics"/>
    <s v="Other Industrial Electronics"/>
    <s v="Semiconductor Revenue M$"/>
    <x v="2"/>
    <n v="7.0978295929359625"/>
  </r>
  <r>
    <s v="Discrete AI"/>
    <x v="3"/>
    <x v="5"/>
    <s v="Industrial Electronics"/>
    <s v="Other Industrial Electronics"/>
    <s v="Semiconductor Revenue M$"/>
    <x v="3"/>
    <n v="18.394924079680873"/>
  </r>
  <r>
    <s v="Discrete AI"/>
    <x v="3"/>
    <x v="5"/>
    <s v="Industrial Electronics"/>
    <s v="Other Industrial Electronics"/>
    <s v="Semiconductor Revenue M$"/>
    <x v="4"/>
    <n v="26.115851310927916"/>
  </r>
  <r>
    <s v="Discrete AI"/>
    <x v="3"/>
    <x v="5"/>
    <s v="Industrial Electronics"/>
    <s v="Other Industrial Electronics"/>
    <s v="Semiconductor Revenue M$"/>
    <x v="5"/>
    <n v="29.675459010752355"/>
  </r>
  <r>
    <s v="Discrete AI"/>
    <x v="3"/>
    <x v="5"/>
    <s v="Industrial Electronics"/>
    <s v="Other Industrial Electronics"/>
    <s v="Semiconductor Revenue M$"/>
    <x v="6"/>
    <n v="23.353534693988589"/>
  </r>
  <r>
    <s v="Discrete AI"/>
    <x v="3"/>
    <x v="5"/>
    <s v="Industrial Electronics"/>
    <s v="Military/Civil Aerospace Electronics"/>
    <s v="Semiconductor Revenue M$"/>
    <x v="0"/>
    <n v="2.7861119503347318"/>
  </r>
  <r>
    <s v="Discrete AI"/>
    <x v="3"/>
    <x v="5"/>
    <s v="Industrial Electronics"/>
    <s v="Military/Civil Aerospace Electronics"/>
    <s v="Semiconductor Revenue M$"/>
    <x v="1"/>
    <n v="6.4978114091782952"/>
  </r>
  <r>
    <s v="Discrete AI"/>
    <x v="3"/>
    <x v="5"/>
    <s v="Industrial Electronics"/>
    <s v="Military/Civil Aerospace Electronics"/>
    <s v="Semiconductor Revenue M$"/>
    <x v="2"/>
    <n v="12.717640754764215"/>
  </r>
  <r>
    <s v="Discrete AI"/>
    <x v="3"/>
    <x v="5"/>
    <s v="Industrial Electronics"/>
    <s v="Military/Civil Aerospace Electronics"/>
    <s v="Semiconductor Revenue M$"/>
    <x v="3"/>
    <n v="33.416431263361837"/>
  </r>
  <r>
    <s v="Discrete AI"/>
    <x v="3"/>
    <x v="5"/>
    <s v="Industrial Electronics"/>
    <s v="Military/Civil Aerospace Electronics"/>
    <s v="Semiconductor Revenue M$"/>
    <x v="4"/>
    <n v="49.965685004456425"/>
  </r>
  <r>
    <s v="Discrete AI"/>
    <x v="3"/>
    <x v="5"/>
    <s v="Industrial Electronics"/>
    <s v="Military/Civil Aerospace Electronics"/>
    <s v="Semiconductor Revenue M$"/>
    <x v="5"/>
    <n v="58.851388661097772"/>
  </r>
  <r>
    <s v="Discrete AI"/>
    <x v="3"/>
    <x v="5"/>
    <s v="Industrial Electronics"/>
    <s v="Military/Civil Aerospace Electronics"/>
    <s v="Semiconductor Revenue M$"/>
    <x v="6"/>
    <n v="48.08506411938729"/>
  </r>
  <r>
    <s v="Discrete AI"/>
    <x v="4"/>
    <x v="0"/>
    <s v="Compute"/>
    <s v="External Monitor"/>
    <s v="Semiconductor Revenue M$"/>
    <x v="0"/>
    <n v="0"/>
  </r>
  <r>
    <s v="Discrete AI"/>
    <x v="4"/>
    <x v="0"/>
    <s v="Compute"/>
    <s v="External Monitor"/>
    <s v="Semiconductor Revenue M$"/>
    <x v="1"/>
    <n v="0"/>
  </r>
  <r>
    <s v="Discrete AI"/>
    <x v="4"/>
    <x v="0"/>
    <s v="Compute"/>
    <s v="External Monitor"/>
    <s v="Semiconductor Revenue M$"/>
    <x v="2"/>
    <n v="0"/>
  </r>
  <r>
    <s v="Discrete AI"/>
    <x v="4"/>
    <x v="0"/>
    <s v="Compute"/>
    <s v="External Monitor"/>
    <s v="Semiconductor Revenue M$"/>
    <x v="3"/>
    <n v="0"/>
  </r>
  <r>
    <s v="Discrete AI"/>
    <x v="4"/>
    <x v="0"/>
    <s v="Compute"/>
    <s v="External Monitor"/>
    <s v="Semiconductor Revenue M$"/>
    <x v="4"/>
    <n v="0"/>
  </r>
  <r>
    <s v="Discrete AI"/>
    <x v="4"/>
    <x v="0"/>
    <s v="Compute"/>
    <s v="External Monitor"/>
    <s v="Semiconductor Revenue M$"/>
    <x v="5"/>
    <n v="0"/>
  </r>
  <r>
    <s v="Discrete AI"/>
    <x v="4"/>
    <x v="0"/>
    <s v="Compute"/>
    <s v="External Monitor"/>
    <s v="Semiconductor Revenue M$"/>
    <x v="6"/>
    <n v="0"/>
  </r>
  <r>
    <s v="Discrete AI"/>
    <x v="4"/>
    <x v="0"/>
    <s v="PC"/>
    <s v="Graphics Cards"/>
    <s v="Semiconductor Revenue M$"/>
    <x v="0"/>
    <n v="0"/>
  </r>
  <r>
    <s v="Discrete AI"/>
    <x v="4"/>
    <x v="0"/>
    <s v="PC"/>
    <s v="Graphics Cards"/>
    <s v="Semiconductor Revenue M$"/>
    <x v="1"/>
    <n v="0"/>
  </r>
  <r>
    <s v="Discrete AI"/>
    <x v="4"/>
    <x v="0"/>
    <s v="PC"/>
    <s v="Graphics Cards"/>
    <s v="Semiconductor Revenue M$"/>
    <x v="2"/>
    <n v="0"/>
  </r>
  <r>
    <s v="Discrete AI"/>
    <x v="4"/>
    <x v="0"/>
    <s v="PC"/>
    <s v="Graphics Cards"/>
    <s v="Semiconductor Revenue M$"/>
    <x v="3"/>
    <n v="0"/>
  </r>
  <r>
    <s v="Discrete AI"/>
    <x v="4"/>
    <x v="0"/>
    <s v="PC"/>
    <s v="Graphics Cards"/>
    <s v="Semiconductor Revenue M$"/>
    <x v="4"/>
    <n v="0"/>
  </r>
  <r>
    <s v="Discrete AI"/>
    <x v="4"/>
    <x v="0"/>
    <s v="PC"/>
    <s v="Graphics Cards"/>
    <s v="Semiconductor Revenue M$"/>
    <x v="5"/>
    <n v="0"/>
  </r>
  <r>
    <s v="Discrete AI"/>
    <x v="4"/>
    <x v="0"/>
    <s v="PC"/>
    <s v="Graphics Cards"/>
    <s v="Semiconductor Revenue M$"/>
    <x v="6"/>
    <n v="0"/>
  </r>
  <r>
    <s v="Discrete AI"/>
    <x v="4"/>
    <x v="0"/>
    <s v="PC"/>
    <s v="Desk-Based PC"/>
    <s v="Semiconductor Revenue M$"/>
    <x v="0"/>
    <n v="0"/>
  </r>
  <r>
    <s v="Discrete AI"/>
    <x v="4"/>
    <x v="0"/>
    <s v="PC"/>
    <s v="Desk-Based PC"/>
    <s v="Semiconductor Revenue M$"/>
    <x v="1"/>
    <n v="0"/>
  </r>
  <r>
    <s v="Discrete AI"/>
    <x v="4"/>
    <x v="0"/>
    <s v="PC"/>
    <s v="Desk-Based PC"/>
    <s v="Semiconductor Revenue M$"/>
    <x v="2"/>
    <n v="0"/>
  </r>
  <r>
    <s v="Discrete AI"/>
    <x v="4"/>
    <x v="0"/>
    <s v="PC"/>
    <s v="Desk-Based PC"/>
    <s v="Semiconductor Revenue M$"/>
    <x v="3"/>
    <n v="0"/>
  </r>
  <r>
    <s v="Discrete AI"/>
    <x v="4"/>
    <x v="0"/>
    <s v="PC"/>
    <s v="Desk-Based PC"/>
    <s v="Semiconductor Revenue M$"/>
    <x v="4"/>
    <n v="0"/>
  </r>
  <r>
    <s v="Discrete AI"/>
    <x v="4"/>
    <x v="0"/>
    <s v="PC"/>
    <s v="Desk-Based PC"/>
    <s v="Semiconductor Revenue M$"/>
    <x v="5"/>
    <n v="0"/>
  </r>
  <r>
    <s v="Discrete AI"/>
    <x v="4"/>
    <x v="0"/>
    <s v="PC"/>
    <s v="Desk-Based PC"/>
    <s v="Semiconductor Revenue M$"/>
    <x v="6"/>
    <n v="0"/>
  </r>
  <r>
    <s v="Discrete AI"/>
    <x v="4"/>
    <x v="0"/>
    <s v="PC"/>
    <s v="Ultramobile Basic, Tablet"/>
    <s v="Semiconductor Revenue M$"/>
    <x v="0"/>
    <n v="0"/>
  </r>
  <r>
    <s v="Discrete AI"/>
    <x v="4"/>
    <x v="0"/>
    <s v="PC"/>
    <s v="Ultramobile Basic, Tablet"/>
    <s v="Semiconductor Revenue M$"/>
    <x v="1"/>
    <n v="0"/>
  </r>
  <r>
    <s v="Discrete AI"/>
    <x v="4"/>
    <x v="0"/>
    <s v="PC"/>
    <s v="Ultramobile Basic, Tablet"/>
    <s v="Semiconductor Revenue M$"/>
    <x v="2"/>
    <n v="0"/>
  </r>
  <r>
    <s v="Discrete AI"/>
    <x v="4"/>
    <x v="0"/>
    <s v="PC"/>
    <s v="Ultramobile Basic, Tablet"/>
    <s v="Semiconductor Revenue M$"/>
    <x v="3"/>
    <n v="0"/>
  </r>
  <r>
    <s v="Discrete AI"/>
    <x v="4"/>
    <x v="0"/>
    <s v="PC"/>
    <s v="Ultramobile Basic, Tablet"/>
    <s v="Semiconductor Revenue M$"/>
    <x v="4"/>
    <n v="0"/>
  </r>
  <r>
    <s v="Discrete AI"/>
    <x v="4"/>
    <x v="0"/>
    <s v="PC"/>
    <s v="Ultramobile Basic, Tablet"/>
    <s v="Semiconductor Revenue M$"/>
    <x v="5"/>
    <n v="0"/>
  </r>
  <r>
    <s v="Discrete AI"/>
    <x v="4"/>
    <x v="0"/>
    <s v="PC"/>
    <s v="Ultramobile Basic, Tablet"/>
    <s v="Semiconductor Revenue M$"/>
    <x v="6"/>
    <n v="0"/>
  </r>
  <r>
    <s v="Discrete AI"/>
    <x v="4"/>
    <x v="0"/>
    <s v="PC"/>
    <s v="Ultramobile Utility, Tablet"/>
    <s v="Semiconductor Revenue M$"/>
    <x v="0"/>
    <n v="0"/>
  </r>
  <r>
    <s v="Discrete AI"/>
    <x v="4"/>
    <x v="0"/>
    <s v="PC"/>
    <s v="Ultramobile Utility, Tablet"/>
    <s v="Semiconductor Revenue M$"/>
    <x v="1"/>
    <n v="0"/>
  </r>
  <r>
    <s v="Discrete AI"/>
    <x v="4"/>
    <x v="0"/>
    <s v="PC"/>
    <s v="Ultramobile Utility, Tablet"/>
    <s v="Semiconductor Revenue M$"/>
    <x v="2"/>
    <n v="0"/>
  </r>
  <r>
    <s v="Discrete AI"/>
    <x v="4"/>
    <x v="0"/>
    <s v="PC"/>
    <s v="Ultramobile Utility, Tablet"/>
    <s v="Semiconductor Revenue M$"/>
    <x v="3"/>
    <n v="0"/>
  </r>
  <r>
    <s v="Discrete AI"/>
    <x v="4"/>
    <x v="0"/>
    <s v="PC"/>
    <s v="Ultramobile Utility, Tablet"/>
    <s v="Semiconductor Revenue M$"/>
    <x v="4"/>
    <n v="0"/>
  </r>
  <r>
    <s v="Discrete AI"/>
    <x v="4"/>
    <x v="0"/>
    <s v="PC"/>
    <s v="Ultramobile Utility, Tablet"/>
    <s v="Semiconductor Revenue M$"/>
    <x v="5"/>
    <n v="0"/>
  </r>
  <r>
    <s v="Discrete AI"/>
    <x v="4"/>
    <x v="0"/>
    <s v="PC"/>
    <s v="Ultramobile Utility, Tablet"/>
    <s v="Semiconductor Revenue M$"/>
    <x v="6"/>
    <n v="0"/>
  </r>
  <r>
    <s v="Discrete AI"/>
    <x v="4"/>
    <x v="0"/>
    <s v="PC"/>
    <s v="Ultramobile Premium, Tablet"/>
    <s v="Semiconductor Revenue M$"/>
    <x v="0"/>
    <n v="0"/>
  </r>
  <r>
    <s v="Discrete AI"/>
    <x v="4"/>
    <x v="0"/>
    <s v="PC"/>
    <s v="Ultramobile Premium, Tablet"/>
    <s v="Semiconductor Revenue M$"/>
    <x v="1"/>
    <n v="0"/>
  </r>
  <r>
    <s v="Discrete AI"/>
    <x v="4"/>
    <x v="0"/>
    <s v="PC"/>
    <s v="Ultramobile Premium, Tablet"/>
    <s v="Semiconductor Revenue M$"/>
    <x v="2"/>
    <n v="0"/>
  </r>
  <r>
    <s v="Discrete AI"/>
    <x v="4"/>
    <x v="0"/>
    <s v="PC"/>
    <s v="Ultramobile Premium, Tablet"/>
    <s v="Semiconductor Revenue M$"/>
    <x v="3"/>
    <n v="0"/>
  </r>
  <r>
    <s v="Discrete AI"/>
    <x v="4"/>
    <x v="0"/>
    <s v="PC"/>
    <s v="Ultramobile Premium, Tablet"/>
    <s v="Semiconductor Revenue M$"/>
    <x v="4"/>
    <n v="0"/>
  </r>
  <r>
    <s v="Discrete AI"/>
    <x v="4"/>
    <x v="0"/>
    <s v="PC"/>
    <s v="Ultramobile Premium, Tablet"/>
    <s v="Semiconductor Revenue M$"/>
    <x v="5"/>
    <n v="0"/>
  </r>
  <r>
    <s v="Discrete AI"/>
    <x v="4"/>
    <x v="0"/>
    <s v="PC"/>
    <s v="Ultramobile Premium, Tablet"/>
    <s v="Semiconductor Revenue M$"/>
    <x v="6"/>
    <n v="0"/>
  </r>
  <r>
    <s v="Discrete AI"/>
    <x v="4"/>
    <x v="0"/>
    <s v="PC"/>
    <s v="Ultramobile Basic, Clamshell"/>
    <s v="Semiconductor Revenue M$"/>
    <x v="0"/>
    <n v="0"/>
  </r>
  <r>
    <s v="Discrete AI"/>
    <x v="4"/>
    <x v="0"/>
    <s v="PC"/>
    <s v="Ultramobile Basic, Clamshell"/>
    <s v="Semiconductor Revenue M$"/>
    <x v="1"/>
    <n v="0"/>
  </r>
  <r>
    <s v="Discrete AI"/>
    <x v="4"/>
    <x v="0"/>
    <s v="PC"/>
    <s v="Ultramobile Basic, Clamshell"/>
    <s v="Semiconductor Revenue M$"/>
    <x v="2"/>
    <n v="0"/>
  </r>
  <r>
    <s v="Discrete AI"/>
    <x v="4"/>
    <x v="0"/>
    <s v="PC"/>
    <s v="Ultramobile Basic, Clamshell"/>
    <s v="Semiconductor Revenue M$"/>
    <x v="3"/>
    <n v="0"/>
  </r>
  <r>
    <s v="Discrete AI"/>
    <x v="4"/>
    <x v="0"/>
    <s v="PC"/>
    <s v="Ultramobile Basic, Clamshell"/>
    <s v="Semiconductor Revenue M$"/>
    <x v="4"/>
    <n v="0"/>
  </r>
  <r>
    <s v="Discrete AI"/>
    <x v="4"/>
    <x v="0"/>
    <s v="PC"/>
    <s v="Ultramobile Basic, Clamshell"/>
    <s v="Semiconductor Revenue M$"/>
    <x v="5"/>
    <n v="0"/>
  </r>
  <r>
    <s v="Discrete AI"/>
    <x v="4"/>
    <x v="0"/>
    <s v="PC"/>
    <s v="Ultramobile Basic, Clamshell"/>
    <s v="Semiconductor Revenue M$"/>
    <x v="6"/>
    <n v="0"/>
  </r>
  <r>
    <s v="Discrete AI"/>
    <x v="4"/>
    <x v="0"/>
    <s v="PC"/>
    <s v="Ultramobile Premium, Clamshell"/>
    <s v="Semiconductor Revenue M$"/>
    <x v="0"/>
    <n v="0"/>
  </r>
  <r>
    <s v="Discrete AI"/>
    <x v="4"/>
    <x v="0"/>
    <s v="PC"/>
    <s v="Ultramobile Premium, Clamshell"/>
    <s v="Semiconductor Revenue M$"/>
    <x v="1"/>
    <n v="0"/>
  </r>
  <r>
    <s v="Discrete AI"/>
    <x v="4"/>
    <x v="0"/>
    <s v="PC"/>
    <s v="Ultramobile Premium, Clamshell"/>
    <s v="Semiconductor Revenue M$"/>
    <x v="2"/>
    <n v="0"/>
  </r>
  <r>
    <s v="Discrete AI"/>
    <x v="4"/>
    <x v="0"/>
    <s v="PC"/>
    <s v="Ultramobile Premium, Clamshell"/>
    <s v="Semiconductor Revenue M$"/>
    <x v="3"/>
    <n v="0"/>
  </r>
  <r>
    <s v="Discrete AI"/>
    <x v="4"/>
    <x v="0"/>
    <s v="PC"/>
    <s v="Ultramobile Premium, Clamshell"/>
    <s v="Semiconductor Revenue M$"/>
    <x v="4"/>
    <n v="0"/>
  </r>
  <r>
    <s v="Discrete AI"/>
    <x v="4"/>
    <x v="0"/>
    <s v="PC"/>
    <s v="Ultramobile Premium, Clamshell"/>
    <s v="Semiconductor Revenue M$"/>
    <x v="5"/>
    <n v="0"/>
  </r>
  <r>
    <s v="Discrete AI"/>
    <x v="4"/>
    <x v="0"/>
    <s v="PC"/>
    <s v="Ultramobile Premium, Clamshell"/>
    <s v="Semiconductor Revenue M$"/>
    <x v="6"/>
    <n v="0"/>
  </r>
  <r>
    <s v="Discrete AI"/>
    <x v="4"/>
    <x v="0"/>
    <s v="PC"/>
    <s v="Ultramobile Basic, Hybrid"/>
    <s v="Semiconductor Revenue M$"/>
    <x v="0"/>
    <n v="0"/>
  </r>
  <r>
    <s v="Discrete AI"/>
    <x v="4"/>
    <x v="0"/>
    <s v="PC"/>
    <s v="Ultramobile Basic, Hybrid"/>
    <s v="Semiconductor Revenue M$"/>
    <x v="1"/>
    <n v="0"/>
  </r>
  <r>
    <s v="Discrete AI"/>
    <x v="4"/>
    <x v="0"/>
    <s v="PC"/>
    <s v="Ultramobile Basic, Hybrid"/>
    <s v="Semiconductor Revenue M$"/>
    <x v="2"/>
    <n v="0"/>
  </r>
  <r>
    <s v="Discrete AI"/>
    <x v="4"/>
    <x v="0"/>
    <s v="PC"/>
    <s v="Ultramobile Basic, Hybrid"/>
    <s v="Semiconductor Revenue M$"/>
    <x v="3"/>
    <n v="0"/>
  </r>
  <r>
    <s v="Discrete AI"/>
    <x v="4"/>
    <x v="0"/>
    <s v="PC"/>
    <s v="Ultramobile Basic, Hybrid"/>
    <s v="Semiconductor Revenue M$"/>
    <x v="4"/>
    <n v="0"/>
  </r>
  <r>
    <s v="Discrete AI"/>
    <x v="4"/>
    <x v="0"/>
    <s v="PC"/>
    <s v="Ultramobile Basic, Hybrid"/>
    <s v="Semiconductor Revenue M$"/>
    <x v="5"/>
    <n v="0"/>
  </r>
  <r>
    <s v="Discrete AI"/>
    <x v="4"/>
    <x v="0"/>
    <s v="PC"/>
    <s v="Ultramobile Basic, Hybrid"/>
    <s v="Semiconductor Revenue M$"/>
    <x v="6"/>
    <n v="0"/>
  </r>
  <r>
    <s v="Discrete AI"/>
    <x v="4"/>
    <x v="0"/>
    <s v="PC"/>
    <s v="Ultramobile Premium, Hybrid"/>
    <s v="Semiconductor Revenue M$"/>
    <x v="0"/>
    <n v="0"/>
  </r>
  <r>
    <s v="Discrete AI"/>
    <x v="4"/>
    <x v="0"/>
    <s v="PC"/>
    <s v="Ultramobile Premium, Hybrid"/>
    <s v="Semiconductor Revenue M$"/>
    <x v="1"/>
    <n v="0"/>
  </r>
  <r>
    <s v="Discrete AI"/>
    <x v="4"/>
    <x v="0"/>
    <s v="PC"/>
    <s v="Ultramobile Premium, Hybrid"/>
    <s v="Semiconductor Revenue M$"/>
    <x v="2"/>
    <n v="0"/>
  </r>
  <r>
    <s v="Discrete AI"/>
    <x v="4"/>
    <x v="0"/>
    <s v="PC"/>
    <s v="Ultramobile Premium, Hybrid"/>
    <s v="Semiconductor Revenue M$"/>
    <x v="3"/>
    <n v="0"/>
  </r>
  <r>
    <s v="Discrete AI"/>
    <x v="4"/>
    <x v="0"/>
    <s v="PC"/>
    <s v="Ultramobile Premium, Hybrid"/>
    <s v="Semiconductor Revenue M$"/>
    <x v="4"/>
    <n v="0"/>
  </r>
  <r>
    <s v="Discrete AI"/>
    <x v="4"/>
    <x v="0"/>
    <s v="PC"/>
    <s v="Ultramobile Premium, Hybrid"/>
    <s v="Semiconductor Revenue M$"/>
    <x v="5"/>
    <n v="0"/>
  </r>
  <r>
    <s v="Discrete AI"/>
    <x v="4"/>
    <x v="0"/>
    <s v="PC"/>
    <s v="Ultramobile Premium, Hybrid"/>
    <s v="Semiconductor Revenue M$"/>
    <x v="6"/>
    <n v="0"/>
  </r>
  <r>
    <s v="Discrete AI"/>
    <x v="4"/>
    <x v="0"/>
    <s v="PC"/>
    <s v="Notebook"/>
    <s v="Semiconductor Revenue M$"/>
    <x v="0"/>
    <n v="0"/>
  </r>
  <r>
    <s v="Discrete AI"/>
    <x v="4"/>
    <x v="0"/>
    <s v="PC"/>
    <s v="Notebook"/>
    <s v="Semiconductor Revenue M$"/>
    <x v="1"/>
    <n v="0"/>
  </r>
  <r>
    <s v="Discrete AI"/>
    <x v="4"/>
    <x v="0"/>
    <s v="PC"/>
    <s v="Notebook"/>
    <s v="Semiconductor Revenue M$"/>
    <x v="2"/>
    <n v="0"/>
  </r>
  <r>
    <s v="Discrete AI"/>
    <x v="4"/>
    <x v="0"/>
    <s v="PC"/>
    <s v="Notebook"/>
    <s v="Semiconductor Revenue M$"/>
    <x v="3"/>
    <n v="0"/>
  </r>
  <r>
    <s v="Discrete AI"/>
    <x v="4"/>
    <x v="0"/>
    <s v="PC"/>
    <s v="Notebook"/>
    <s v="Semiconductor Revenue M$"/>
    <x v="4"/>
    <n v="0"/>
  </r>
  <r>
    <s v="Discrete AI"/>
    <x v="4"/>
    <x v="0"/>
    <s v="PC"/>
    <s v="Notebook"/>
    <s v="Semiconductor Revenue M$"/>
    <x v="5"/>
    <n v="0"/>
  </r>
  <r>
    <s v="Discrete AI"/>
    <x v="4"/>
    <x v="0"/>
    <s v="PC"/>
    <s v="Notebook"/>
    <s v="Semiconductor Revenue M$"/>
    <x v="6"/>
    <n v="0"/>
  </r>
  <r>
    <s v="Discrete AI"/>
    <x v="4"/>
    <x v="0"/>
    <s v="Compute"/>
    <s v="Printer/Copier"/>
    <s v="Semiconductor Revenue M$"/>
    <x v="0"/>
    <n v="0"/>
  </r>
  <r>
    <s v="Discrete AI"/>
    <x v="4"/>
    <x v="0"/>
    <s v="Compute"/>
    <s v="Printer/Copier"/>
    <s v="Semiconductor Revenue M$"/>
    <x v="1"/>
    <n v="0"/>
  </r>
  <r>
    <s v="Discrete AI"/>
    <x v="4"/>
    <x v="0"/>
    <s v="Compute"/>
    <s v="Printer/Copier"/>
    <s v="Semiconductor Revenue M$"/>
    <x v="2"/>
    <n v="0"/>
  </r>
  <r>
    <s v="Discrete AI"/>
    <x v="4"/>
    <x v="0"/>
    <s v="Compute"/>
    <s v="Printer/Copier"/>
    <s v="Semiconductor Revenue M$"/>
    <x v="3"/>
    <n v="0"/>
  </r>
  <r>
    <s v="Discrete AI"/>
    <x v="4"/>
    <x v="0"/>
    <s v="Compute"/>
    <s v="Printer/Copier"/>
    <s v="Semiconductor Revenue M$"/>
    <x v="4"/>
    <n v="0"/>
  </r>
  <r>
    <s v="Discrete AI"/>
    <x v="4"/>
    <x v="0"/>
    <s v="Compute"/>
    <s v="Printer/Copier"/>
    <s v="Semiconductor Revenue M$"/>
    <x v="5"/>
    <n v="0"/>
  </r>
  <r>
    <s v="Discrete AI"/>
    <x v="4"/>
    <x v="0"/>
    <s v="Compute"/>
    <s v="Printer/Copier"/>
    <s v="Semiconductor Revenue M$"/>
    <x v="6"/>
    <n v="0"/>
  </r>
  <r>
    <s v="Discrete AI"/>
    <x v="4"/>
    <x v="0"/>
    <s v="Compute"/>
    <s v="Flash Cards"/>
    <s v="Semiconductor Revenue M$"/>
    <x v="0"/>
    <n v="0"/>
  </r>
  <r>
    <s v="Discrete AI"/>
    <x v="4"/>
    <x v="0"/>
    <s v="Compute"/>
    <s v="Flash Cards"/>
    <s v="Semiconductor Revenue M$"/>
    <x v="1"/>
    <n v="0"/>
  </r>
  <r>
    <s v="Discrete AI"/>
    <x v="4"/>
    <x v="0"/>
    <s v="Compute"/>
    <s v="Flash Cards"/>
    <s v="Semiconductor Revenue M$"/>
    <x v="2"/>
    <n v="0"/>
  </r>
  <r>
    <s v="Discrete AI"/>
    <x v="4"/>
    <x v="0"/>
    <s v="Compute"/>
    <s v="Flash Cards"/>
    <s v="Semiconductor Revenue M$"/>
    <x v="3"/>
    <n v="0"/>
  </r>
  <r>
    <s v="Discrete AI"/>
    <x v="4"/>
    <x v="0"/>
    <s v="Compute"/>
    <s v="Flash Cards"/>
    <s v="Semiconductor Revenue M$"/>
    <x v="4"/>
    <n v="0"/>
  </r>
  <r>
    <s v="Discrete AI"/>
    <x v="4"/>
    <x v="0"/>
    <s v="Compute"/>
    <s v="Flash Cards"/>
    <s v="Semiconductor Revenue M$"/>
    <x v="5"/>
    <n v="0"/>
  </r>
  <r>
    <s v="Discrete AI"/>
    <x v="4"/>
    <x v="0"/>
    <s v="Compute"/>
    <s v="Flash Cards"/>
    <s v="Semiconductor Revenue M$"/>
    <x v="6"/>
    <n v="0"/>
  </r>
  <r>
    <s v="Discrete AI"/>
    <x v="4"/>
    <x v="0"/>
    <s v="Compute"/>
    <s v="USB Flash Drives"/>
    <s v="Semiconductor Revenue M$"/>
    <x v="0"/>
    <n v="0"/>
  </r>
  <r>
    <s v="Discrete AI"/>
    <x v="4"/>
    <x v="0"/>
    <s v="Compute"/>
    <s v="USB Flash Drives"/>
    <s v="Semiconductor Revenue M$"/>
    <x v="1"/>
    <n v="0"/>
  </r>
  <r>
    <s v="Discrete AI"/>
    <x v="4"/>
    <x v="0"/>
    <s v="Compute"/>
    <s v="USB Flash Drives"/>
    <s v="Semiconductor Revenue M$"/>
    <x v="2"/>
    <n v="0"/>
  </r>
  <r>
    <s v="Discrete AI"/>
    <x v="4"/>
    <x v="0"/>
    <s v="Compute"/>
    <s v="USB Flash Drives"/>
    <s v="Semiconductor Revenue M$"/>
    <x v="3"/>
    <n v="0"/>
  </r>
  <r>
    <s v="Discrete AI"/>
    <x v="4"/>
    <x v="0"/>
    <s v="Compute"/>
    <s v="USB Flash Drives"/>
    <s v="Semiconductor Revenue M$"/>
    <x v="4"/>
    <n v="0"/>
  </r>
  <r>
    <s v="Discrete AI"/>
    <x v="4"/>
    <x v="0"/>
    <s v="Compute"/>
    <s v="USB Flash Drives"/>
    <s v="Semiconductor Revenue M$"/>
    <x v="5"/>
    <n v="0"/>
  </r>
  <r>
    <s v="Discrete AI"/>
    <x v="4"/>
    <x v="0"/>
    <s v="Compute"/>
    <s v="USB Flash Drives"/>
    <s v="Semiconductor Revenue M$"/>
    <x v="6"/>
    <n v="0"/>
  </r>
  <r>
    <s v="Discrete AI"/>
    <x v="4"/>
    <x v="0"/>
    <s v="Servers"/>
    <s v="Server, 4 CPU sockets and over"/>
    <s v="Semiconductor Revenue M$"/>
    <x v="0"/>
    <n v="0"/>
  </r>
  <r>
    <s v="Discrete AI"/>
    <x v="4"/>
    <x v="0"/>
    <s v="Servers"/>
    <s v="Server, 4 CPU sockets and over"/>
    <s v="Semiconductor Revenue M$"/>
    <x v="1"/>
    <n v="0"/>
  </r>
  <r>
    <s v="Discrete AI"/>
    <x v="4"/>
    <x v="0"/>
    <s v="Servers"/>
    <s v="Server, 4 CPU sockets and over"/>
    <s v="Semiconductor Revenue M$"/>
    <x v="2"/>
    <n v="0"/>
  </r>
  <r>
    <s v="Discrete AI"/>
    <x v="4"/>
    <x v="0"/>
    <s v="Servers"/>
    <s v="Server, 4 CPU sockets and over"/>
    <s v="Semiconductor Revenue M$"/>
    <x v="3"/>
    <n v="0"/>
  </r>
  <r>
    <s v="Discrete AI"/>
    <x v="4"/>
    <x v="0"/>
    <s v="Servers"/>
    <s v="Server, 4 CPU sockets and over"/>
    <s v="Semiconductor Revenue M$"/>
    <x v="4"/>
    <n v="0"/>
  </r>
  <r>
    <s v="Discrete AI"/>
    <x v="4"/>
    <x v="0"/>
    <s v="Servers"/>
    <s v="Server, 4 CPU sockets and over"/>
    <s v="Semiconductor Revenue M$"/>
    <x v="5"/>
    <n v="0"/>
  </r>
  <r>
    <s v="Discrete AI"/>
    <x v="4"/>
    <x v="0"/>
    <s v="Servers"/>
    <s v="Server, 4 CPU sockets and over"/>
    <s v="Semiconductor Revenue M$"/>
    <x v="6"/>
    <n v="0"/>
  </r>
  <r>
    <s v="Discrete AI"/>
    <x v="4"/>
    <x v="0"/>
    <s v="Servers"/>
    <s v="Server, 2 CPU socket"/>
    <s v="Semiconductor Revenue M$"/>
    <x v="0"/>
    <n v="0"/>
  </r>
  <r>
    <s v="Discrete AI"/>
    <x v="4"/>
    <x v="0"/>
    <s v="Servers"/>
    <s v="Server, 2 CPU socket"/>
    <s v="Semiconductor Revenue M$"/>
    <x v="1"/>
    <n v="0"/>
  </r>
  <r>
    <s v="Discrete AI"/>
    <x v="4"/>
    <x v="0"/>
    <s v="Servers"/>
    <s v="Server, 2 CPU socket"/>
    <s v="Semiconductor Revenue M$"/>
    <x v="2"/>
    <n v="0"/>
  </r>
  <r>
    <s v="Discrete AI"/>
    <x v="4"/>
    <x v="0"/>
    <s v="Servers"/>
    <s v="Server, 2 CPU socket"/>
    <s v="Semiconductor Revenue M$"/>
    <x v="3"/>
    <n v="0"/>
  </r>
  <r>
    <s v="Discrete AI"/>
    <x v="4"/>
    <x v="0"/>
    <s v="Servers"/>
    <s v="Server, 2 CPU socket"/>
    <s v="Semiconductor Revenue M$"/>
    <x v="4"/>
    <n v="0"/>
  </r>
  <r>
    <s v="Discrete AI"/>
    <x v="4"/>
    <x v="0"/>
    <s v="Servers"/>
    <s v="Server, 2 CPU socket"/>
    <s v="Semiconductor Revenue M$"/>
    <x v="5"/>
    <n v="0"/>
  </r>
  <r>
    <s v="Discrete AI"/>
    <x v="4"/>
    <x v="0"/>
    <s v="Servers"/>
    <s v="Server, 2 CPU socket"/>
    <s v="Semiconductor Revenue M$"/>
    <x v="6"/>
    <n v="0"/>
  </r>
  <r>
    <s v="Discrete AI"/>
    <x v="4"/>
    <x v="0"/>
    <s v="Servers"/>
    <s v="Server, 1 CPU socket"/>
    <s v="Semiconductor Revenue M$"/>
    <x v="0"/>
    <n v="0"/>
  </r>
  <r>
    <s v="Discrete AI"/>
    <x v="4"/>
    <x v="0"/>
    <s v="Servers"/>
    <s v="Server, 1 CPU socket"/>
    <s v="Semiconductor Revenue M$"/>
    <x v="1"/>
    <n v="0"/>
  </r>
  <r>
    <s v="Discrete AI"/>
    <x v="4"/>
    <x v="0"/>
    <s v="Servers"/>
    <s v="Server, 1 CPU socket"/>
    <s v="Semiconductor Revenue M$"/>
    <x v="2"/>
    <n v="0"/>
  </r>
  <r>
    <s v="Discrete AI"/>
    <x v="4"/>
    <x v="0"/>
    <s v="Servers"/>
    <s v="Server, 1 CPU socket"/>
    <s v="Semiconductor Revenue M$"/>
    <x v="3"/>
    <n v="0"/>
  </r>
  <r>
    <s v="Discrete AI"/>
    <x v="4"/>
    <x v="0"/>
    <s v="Servers"/>
    <s v="Server, 1 CPU socket"/>
    <s v="Semiconductor Revenue M$"/>
    <x v="4"/>
    <n v="0"/>
  </r>
  <r>
    <s v="Discrete AI"/>
    <x v="4"/>
    <x v="0"/>
    <s v="Servers"/>
    <s v="Server, 1 CPU socket"/>
    <s v="Semiconductor Revenue M$"/>
    <x v="5"/>
    <n v="0"/>
  </r>
  <r>
    <s v="Discrete AI"/>
    <x v="4"/>
    <x v="0"/>
    <s v="Servers"/>
    <s v="Server, 1 CPU socket"/>
    <s v="Semiconductor Revenue M$"/>
    <x v="6"/>
    <n v="0"/>
  </r>
  <r>
    <s v="Discrete AI"/>
    <x v="4"/>
    <x v="0"/>
    <s v="Compute"/>
    <s v="Smart Cards"/>
    <s v="Semiconductor Revenue M$"/>
    <x v="0"/>
    <n v="0"/>
  </r>
  <r>
    <s v="Discrete AI"/>
    <x v="4"/>
    <x v="0"/>
    <s v="Compute"/>
    <s v="Smart Cards"/>
    <s v="Semiconductor Revenue M$"/>
    <x v="1"/>
    <n v="0"/>
  </r>
  <r>
    <s v="Discrete AI"/>
    <x v="4"/>
    <x v="0"/>
    <s v="Compute"/>
    <s v="Smart Cards"/>
    <s v="Semiconductor Revenue M$"/>
    <x v="2"/>
    <n v="0"/>
  </r>
  <r>
    <s v="Discrete AI"/>
    <x v="4"/>
    <x v="0"/>
    <s v="Compute"/>
    <s v="Smart Cards"/>
    <s v="Semiconductor Revenue M$"/>
    <x v="3"/>
    <n v="0"/>
  </r>
  <r>
    <s v="Discrete AI"/>
    <x v="4"/>
    <x v="0"/>
    <s v="Compute"/>
    <s v="Smart Cards"/>
    <s v="Semiconductor Revenue M$"/>
    <x v="4"/>
    <n v="0"/>
  </r>
  <r>
    <s v="Discrete AI"/>
    <x v="4"/>
    <x v="0"/>
    <s v="Compute"/>
    <s v="Smart Cards"/>
    <s v="Semiconductor Revenue M$"/>
    <x v="5"/>
    <n v="0"/>
  </r>
  <r>
    <s v="Discrete AI"/>
    <x v="4"/>
    <x v="0"/>
    <s v="Compute"/>
    <s v="Smart Cards"/>
    <s v="Semiconductor Revenue M$"/>
    <x v="6"/>
    <n v="0"/>
  </r>
  <r>
    <s v="Discrete AI"/>
    <x v="4"/>
    <x v="0"/>
    <s v="Servers"/>
    <s v="Accelerator Cards"/>
    <s v="Semiconductor Revenue M$"/>
    <x v="0"/>
    <n v="0"/>
  </r>
  <r>
    <s v="Discrete AI"/>
    <x v="4"/>
    <x v="0"/>
    <s v="Servers"/>
    <s v="Accelerator Cards"/>
    <s v="Semiconductor Revenue M$"/>
    <x v="1"/>
    <n v="0"/>
  </r>
  <r>
    <s v="Discrete AI"/>
    <x v="4"/>
    <x v="0"/>
    <s v="Servers"/>
    <s v="Accelerator Cards"/>
    <s v="Semiconductor Revenue M$"/>
    <x v="2"/>
    <n v="0"/>
  </r>
  <r>
    <s v="Discrete AI"/>
    <x v="4"/>
    <x v="0"/>
    <s v="Servers"/>
    <s v="Accelerator Cards"/>
    <s v="Semiconductor Revenue M$"/>
    <x v="3"/>
    <n v="0"/>
  </r>
  <r>
    <s v="Discrete AI"/>
    <x v="4"/>
    <x v="0"/>
    <s v="Servers"/>
    <s v="Accelerator Cards"/>
    <s v="Semiconductor Revenue M$"/>
    <x v="4"/>
    <n v="0"/>
  </r>
  <r>
    <s v="Discrete AI"/>
    <x v="4"/>
    <x v="0"/>
    <s v="Servers"/>
    <s v="Accelerator Cards"/>
    <s v="Semiconductor Revenue M$"/>
    <x v="5"/>
    <n v="0"/>
  </r>
  <r>
    <s v="Discrete AI"/>
    <x v="4"/>
    <x v="0"/>
    <s v="Servers"/>
    <s v="Accelerator Cards"/>
    <s v="Semiconductor Revenue M$"/>
    <x v="6"/>
    <n v="0"/>
  </r>
  <r>
    <s v="Discrete AI"/>
    <x v="4"/>
    <x v="1"/>
    <s v="Storage"/>
    <s v="Solid-State ECB"/>
    <s v="Semiconductor Revenue M$"/>
    <x v="0"/>
    <n v="0"/>
  </r>
  <r>
    <s v="Discrete AI"/>
    <x v="4"/>
    <x v="1"/>
    <s v="Storage"/>
    <s v="Solid-State ECB"/>
    <s v="Semiconductor Revenue M$"/>
    <x v="1"/>
    <n v="0"/>
  </r>
  <r>
    <s v="Discrete AI"/>
    <x v="4"/>
    <x v="1"/>
    <s v="Storage"/>
    <s v="Solid-State ECB"/>
    <s v="Semiconductor Revenue M$"/>
    <x v="2"/>
    <n v="0"/>
  </r>
  <r>
    <s v="Discrete AI"/>
    <x v="4"/>
    <x v="1"/>
    <s v="Storage"/>
    <s v="Solid-State ECB"/>
    <s v="Semiconductor Revenue M$"/>
    <x v="3"/>
    <n v="0"/>
  </r>
  <r>
    <s v="Discrete AI"/>
    <x v="4"/>
    <x v="1"/>
    <s v="Storage"/>
    <s v="Solid-State ECB"/>
    <s v="Semiconductor Revenue M$"/>
    <x v="4"/>
    <n v="0"/>
  </r>
  <r>
    <s v="Discrete AI"/>
    <x v="4"/>
    <x v="1"/>
    <s v="Storage"/>
    <s v="Solid-State ECB"/>
    <s v="Semiconductor Revenue M$"/>
    <x v="5"/>
    <n v="0"/>
  </r>
  <r>
    <s v="Discrete AI"/>
    <x v="4"/>
    <x v="1"/>
    <s v="Storage"/>
    <s v="Solid-State ECB"/>
    <s v="Semiconductor Revenue M$"/>
    <x v="6"/>
    <n v="0"/>
  </r>
  <r>
    <s v="Discrete AI"/>
    <x v="4"/>
    <x v="1"/>
    <s v="Storage"/>
    <s v="Other ECB (HDD/Hybrid)"/>
    <s v="Semiconductor Revenue M$"/>
    <x v="0"/>
    <n v="0"/>
  </r>
  <r>
    <s v="Discrete AI"/>
    <x v="4"/>
    <x v="1"/>
    <s v="Storage"/>
    <s v="Other ECB (HDD/Hybrid)"/>
    <s v="Semiconductor Revenue M$"/>
    <x v="1"/>
    <n v="0"/>
  </r>
  <r>
    <s v="Discrete AI"/>
    <x v="4"/>
    <x v="1"/>
    <s v="Storage"/>
    <s v="Other ECB (HDD/Hybrid)"/>
    <s v="Semiconductor Revenue M$"/>
    <x v="2"/>
    <n v="0"/>
  </r>
  <r>
    <s v="Discrete AI"/>
    <x v="4"/>
    <x v="1"/>
    <s v="Storage"/>
    <s v="Other ECB (HDD/Hybrid)"/>
    <s v="Semiconductor Revenue M$"/>
    <x v="3"/>
    <n v="0"/>
  </r>
  <r>
    <s v="Discrete AI"/>
    <x v="4"/>
    <x v="1"/>
    <s v="Storage"/>
    <s v="Other ECB (HDD/Hybrid)"/>
    <s v="Semiconductor Revenue M$"/>
    <x v="4"/>
    <n v="0"/>
  </r>
  <r>
    <s v="Discrete AI"/>
    <x v="4"/>
    <x v="1"/>
    <s v="Storage"/>
    <s v="Other ECB (HDD/Hybrid)"/>
    <s v="Semiconductor Revenue M$"/>
    <x v="5"/>
    <n v="0"/>
  </r>
  <r>
    <s v="Discrete AI"/>
    <x v="4"/>
    <x v="1"/>
    <s v="Storage"/>
    <s v="Other ECB (HDD/Hybrid)"/>
    <s v="Semiconductor Revenue M$"/>
    <x v="6"/>
    <n v="0"/>
  </r>
  <r>
    <s v="Discrete AI"/>
    <x v="4"/>
    <x v="1"/>
    <s v="Storage"/>
    <s v="Storage Network Infrastructure"/>
    <s v="Semiconductor Revenue M$"/>
    <x v="0"/>
    <n v="0"/>
  </r>
  <r>
    <s v="Discrete AI"/>
    <x v="4"/>
    <x v="1"/>
    <s v="Storage"/>
    <s v="Storage Network Infrastructure"/>
    <s v="Semiconductor Revenue M$"/>
    <x v="1"/>
    <n v="0"/>
  </r>
  <r>
    <s v="Discrete AI"/>
    <x v="4"/>
    <x v="1"/>
    <s v="Storage"/>
    <s v="Storage Network Infrastructure"/>
    <s v="Semiconductor Revenue M$"/>
    <x v="2"/>
    <n v="0"/>
  </r>
  <r>
    <s v="Discrete AI"/>
    <x v="4"/>
    <x v="1"/>
    <s v="Storage"/>
    <s v="Storage Network Infrastructure"/>
    <s v="Semiconductor Revenue M$"/>
    <x v="3"/>
    <n v="0"/>
  </r>
  <r>
    <s v="Discrete AI"/>
    <x v="4"/>
    <x v="1"/>
    <s v="Storage"/>
    <s v="Storage Network Infrastructure"/>
    <s v="Semiconductor Revenue M$"/>
    <x v="4"/>
    <n v="0"/>
  </r>
  <r>
    <s v="Discrete AI"/>
    <x v="4"/>
    <x v="1"/>
    <s v="Storage"/>
    <s v="Storage Network Infrastructure"/>
    <s v="Semiconductor Revenue M$"/>
    <x v="5"/>
    <n v="0"/>
  </r>
  <r>
    <s v="Discrete AI"/>
    <x v="4"/>
    <x v="1"/>
    <s v="Storage"/>
    <s v="Storage Network Infrastructure"/>
    <s v="Semiconductor Revenue M$"/>
    <x v="6"/>
    <n v="0"/>
  </r>
  <r>
    <s v="Discrete AI"/>
    <x v="4"/>
    <x v="1"/>
    <s v="Storage"/>
    <s v="Hard Disk Drive"/>
    <s v="Semiconductor Revenue M$"/>
    <x v="0"/>
    <n v="0"/>
  </r>
  <r>
    <s v="Discrete AI"/>
    <x v="4"/>
    <x v="1"/>
    <s v="Storage"/>
    <s v="Hard Disk Drive"/>
    <s v="Semiconductor Revenue M$"/>
    <x v="1"/>
    <n v="0"/>
  </r>
  <r>
    <s v="Discrete AI"/>
    <x v="4"/>
    <x v="1"/>
    <s v="Storage"/>
    <s v="Hard Disk Drive"/>
    <s v="Semiconductor Revenue M$"/>
    <x v="2"/>
    <n v="0"/>
  </r>
  <r>
    <s v="Discrete AI"/>
    <x v="4"/>
    <x v="1"/>
    <s v="Storage"/>
    <s v="Hard Disk Drive"/>
    <s v="Semiconductor Revenue M$"/>
    <x v="3"/>
    <n v="0"/>
  </r>
  <r>
    <s v="Discrete AI"/>
    <x v="4"/>
    <x v="1"/>
    <s v="Storage"/>
    <s v="Hard Disk Drive"/>
    <s v="Semiconductor Revenue M$"/>
    <x v="4"/>
    <n v="0"/>
  </r>
  <r>
    <s v="Discrete AI"/>
    <x v="4"/>
    <x v="1"/>
    <s v="Storage"/>
    <s v="Hard Disk Drive"/>
    <s v="Semiconductor Revenue M$"/>
    <x v="5"/>
    <n v="0"/>
  </r>
  <r>
    <s v="Discrete AI"/>
    <x v="4"/>
    <x v="1"/>
    <s v="Storage"/>
    <s v="Hard Disk Drive"/>
    <s v="Semiconductor Revenue M$"/>
    <x v="6"/>
    <n v="0"/>
  </r>
  <r>
    <s v="Discrete AI"/>
    <x v="4"/>
    <x v="1"/>
    <s v="Storage"/>
    <s v="Solid-State Drives"/>
    <s v="Semiconductor Revenue M$"/>
    <x v="0"/>
    <n v="0"/>
  </r>
  <r>
    <s v="Discrete AI"/>
    <x v="4"/>
    <x v="1"/>
    <s v="Storage"/>
    <s v="Solid-State Drives"/>
    <s v="Semiconductor Revenue M$"/>
    <x v="1"/>
    <n v="0"/>
  </r>
  <r>
    <s v="Discrete AI"/>
    <x v="4"/>
    <x v="1"/>
    <s v="Storage"/>
    <s v="Solid-State Drives"/>
    <s v="Semiconductor Revenue M$"/>
    <x v="2"/>
    <n v="0"/>
  </r>
  <r>
    <s v="Discrete AI"/>
    <x v="4"/>
    <x v="1"/>
    <s v="Storage"/>
    <s v="Solid-State Drives"/>
    <s v="Semiconductor Revenue M$"/>
    <x v="3"/>
    <n v="0"/>
  </r>
  <r>
    <s v="Discrete AI"/>
    <x v="4"/>
    <x v="1"/>
    <s v="Storage"/>
    <s v="Solid-State Drives"/>
    <s v="Semiconductor Revenue M$"/>
    <x v="4"/>
    <n v="0"/>
  </r>
  <r>
    <s v="Discrete AI"/>
    <x v="4"/>
    <x v="1"/>
    <s v="Storage"/>
    <s v="Solid-State Drives"/>
    <s v="Semiconductor Revenue M$"/>
    <x v="5"/>
    <n v="0"/>
  </r>
  <r>
    <s v="Discrete AI"/>
    <x v="4"/>
    <x v="1"/>
    <s v="Storage"/>
    <s v="Solid-State Drives"/>
    <s v="Semiconductor Revenue M$"/>
    <x v="6"/>
    <n v="0"/>
  </r>
  <r>
    <s v="Discrete AI"/>
    <x v="4"/>
    <x v="1"/>
    <s v="Storage"/>
    <s v="Other Storage Media"/>
    <s v="Semiconductor Revenue M$"/>
    <x v="0"/>
    <n v="0"/>
  </r>
  <r>
    <s v="Discrete AI"/>
    <x v="4"/>
    <x v="1"/>
    <s v="Storage"/>
    <s v="Other Storage Media"/>
    <s v="Semiconductor Revenue M$"/>
    <x v="1"/>
    <n v="0"/>
  </r>
  <r>
    <s v="Discrete AI"/>
    <x v="4"/>
    <x v="1"/>
    <s v="Storage"/>
    <s v="Other Storage Media"/>
    <s v="Semiconductor Revenue M$"/>
    <x v="2"/>
    <n v="0"/>
  </r>
  <r>
    <s v="Discrete AI"/>
    <x v="4"/>
    <x v="1"/>
    <s v="Storage"/>
    <s v="Other Storage Media"/>
    <s v="Semiconductor Revenue M$"/>
    <x v="3"/>
    <n v="0"/>
  </r>
  <r>
    <s v="Discrete AI"/>
    <x v="4"/>
    <x v="1"/>
    <s v="Storage"/>
    <s v="Other Storage Media"/>
    <s v="Semiconductor Revenue M$"/>
    <x v="4"/>
    <n v="0"/>
  </r>
  <r>
    <s v="Discrete AI"/>
    <x v="4"/>
    <x v="1"/>
    <s v="Storage"/>
    <s v="Other Storage Media"/>
    <s v="Semiconductor Revenue M$"/>
    <x v="5"/>
    <n v="0"/>
  </r>
  <r>
    <s v="Discrete AI"/>
    <x v="4"/>
    <x v="1"/>
    <s v="Storage"/>
    <s v="Other Storage Media"/>
    <s v="Semiconductor Revenue M$"/>
    <x v="6"/>
    <n v="0"/>
  </r>
  <r>
    <s v="Discrete AI"/>
    <x v="4"/>
    <x v="1"/>
    <s v="Storage"/>
    <s v="Other Storage Electronics"/>
    <s v="Semiconductor Revenue M$"/>
    <x v="0"/>
    <n v="0"/>
  </r>
  <r>
    <s v="Discrete AI"/>
    <x v="4"/>
    <x v="1"/>
    <s v="Storage"/>
    <s v="Other Storage Electronics"/>
    <s v="Semiconductor Revenue M$"/>
    <x v="1"/>
    <n v="0"/>
  </r>
  <r>
    <s v="Discrete AI"/>
    <x v="4"/>
    <x v="1"/>
    <s v="Storage"/>
    <s v="Other Storage Electronics"/>
    <s v="Semiconductor Revenue M$"/>
    <x v="2"/>
    <n v="0"/>
  </r>
  <r>
    <s v="Discrete AI"/>
    <x v="4"/>
    <x v="1"/>
    <s v="Storage"/>
    <s v="Other Storage Electronics"/>
    <s v="Semiconductor Revenue M$"/>
    <x v="3"/>
    <n v="0"/>
  </r>
  <r>
    <s v="Discrete AI"/>
    <x v="4"/>
    <x v="1"/>
    <s v="Storage"/>
    <s v="Other Storage Electronics"/>
    <s v="Semiconductor Revenue M$"/>
    <x v="4"/>
    <n v="0"/>
  </r>
  <r>
    <s v="Discrete AI"/>
    <x v="4"/>
    <x v="1"/>
    <s v="Storage"/>
    <s v="Other Storage Electronics"/>
    <s v="Semiconductor Revenue M$"/>
    <x v="5"/>
    <n v="0"/>
  </r>
  <r>
    <s v="Discrete AI"/>
    <x v="4"/>
    <x v="1"/>
    <s v="Storage"/>
    <s v="Other Storage Electronics"/>
    <s v="Semiconductor Revenue M$"/>
    <x v="6"/>
    <n v="0"/>
  </r>
  <r>
    <s v="Discrete AI"/>
    <x v="4"/>
    <x v="2"/>
    <s v="Wireless Communications Electronics"/>
    <s v="Utility Traditional Phone"/>
    <s v="Semiconductor Revenue M$"/>
    <x v="0"/>
    <n v="0"/>
  </r>
  <r>
    <s v="Discrete AI"/>
    <x v="4"/>
    <x v="2"/>
    <s v="Wireless Communications Electronics"/>
    <s v="Utility Traditional Phone"/>
    <s v="Semiconductor Revenue M$"/>
    <x v="1"/>
    <n v="0"/>
  </r>
  <r>
    <s v="Discrete AI"/>
    <x v="4"/>
    <x v="2"/>
    <s v="Wireless Communications Electronics"/>
    <s v="Utility Traditional Phone"/>
    <s v="Semiconductor Revenue M$"/>
    <x v="2"/>
    <n v="0"/>
  </r>
  <r>
    <s v="Discrete AI"/>
    <x v="4"/>
    <x v="2"/>
    <s v="Wireless Communications Electronics"/>
    <s v="Utility Traditional Phone"/>
    <s v="Semiconductor Revenue M$"/>
    <x v="3"/>
    <n v="0"/>
  </r>
  <r>
    <s v="Discrete AI"/>
    <x v="4"/>
    <x v="2"/>
    <s v="Wireless Communications Electronics"/>
    <s v="Utility Traditional Phone"/>
    <s v="Semiconductor Revenue M$"/>
    <x v="4"/>
    <n v="0"/>
  </r>
  <r>
    <s v="Discrete AI"/>
    <x v="4"/>
    <x v="2"/>
    <s v="Wireless Communications Electronics"/>
    <s v="Utility Traditional Phone"/>
    <s v="Semiconductor Revenue M$"/>
    <x v="5"/>
    <n v="0"/>
  </r>
  <r>
    <s v="Discrete AI"/>
    <x v="4"/>
    <x v="2"/>
    <s v="Wireless Communications Electronics"/>
    <s v="Utility Traditional Phone"/>
    <s v="Semiconductor Revenue M$"/>
    <x v="6"/>
    <n v="0"/>
  </r>
  <r>
    <s v="Discrete AI"/>
    <x v="4"/>
    <x v="2"/>
    <s v="Wireless Communications Electronics"/>
    <s v="Basic Smartphone"/>
    <s v="Semiconductor Revenue M$"/>
    <x v="0"/>
    <n v="0"/>
  </r>
  <r>
    <s v="Discrete AI"/>
    <x v="4"/>
    <x v="2"/>
    <s v="Wireless Communications Electronics"/>
    <s v="Basic Smartphone"/>
    <s v="Semiconductor Revenue M$"/>
    <x v="1"/>
    <n v="0"/>
  </r>
  <r>
    <s v="Discrete AI"/>
    <x v="4"/>
    <x v="2"/>
    <s v="Wireless Communications Electronics"/>
    <s v="Basic Smartphone"/>
    <s v="Semiconductor Revenue M$"/>
    <x v="2"/>
    <n v="0"/>
  </r>
  <r>
    <s v="Discrete AI"/>
    <x v="4"/>
    <x v="2"/>
    <s v="Wireless Communications Electronics"/>
    <s v="Basic Smartphone"/>
    <s v="Semiconductor Revenue M$"/>
    <x v="3"/>
    <n v="0"/>
  </r>
  <r>
    <s v="Discrete AI"/>
    <x v="4"/>
    <x v="2"/>
    <s v="Wireless Communications Electronics"/>
    <s v="Basic Smartphone"/>
    <s v="Semiconductor Revenue M$"/>
    <x v="4"/>
    <n v="0"/>
  </r>
  <r>
    <s v="Discrete AI"/>
    <x v="4"/>
    <x v="2"/>
    <s v="Wireless Communications Electronics"/>
    <s v="Basic Smartphone"/>
    <s v="Semiconductor Revenue M$"/>
    <x v="5"/>
    <n v="0"/>
  </r>
  <r>
    <s v="Discrete AI"/>
    <x v="4"/>
    <x v="2"/>
    <s v="Wireless Communications Electronics"/>
    <s v="Basic Smartphone"/>
    <s v="Semiconductor Revenue M$"/>
    <x v="6"/>
    <n v="0"/>
  </r>
  <r>
    <s v="Discrete AI"/>
    <x v="4"/>
    <x v="2"/>
    <s v="Wireless Communications Electronics"/>
    <s v="Utility Smartphone"/>
    <s v="Semiconductor Revenue M$"/>
    <x v="0"/>
    <n v="0"/>
  </r>
  <r>
    <s v="Discrete AI"/>
    <x v="4"/>
    <x v="2"/>
    <s v="Wireless Communications Electronics"/>
    <s v="Utility Smartphone"/>
    <s v="Semiconductor Revenue M$"/>
    <x v="1"/>
    <n v="0"/>
  </r>
  <r>
    <s v="Discrete AI"/>
    <x v="4"/>
    <x v="2"/>
    <s v="Wireless Communications Electronics"/>
    <s v="Utility Smartphone"/>
    <s v="Semiconductor Revenue M$"/>
    <x v="2"/>
    <n v="0"/>
  </r>
  <r>
    <s v="Discrete AI"/>
    <x v="4"/>
    <x v="2"/>
    <s v="Wireless Communications Electronics"/>
    <s v="Utility Smartphone"/>
    <s v="Semiconductor Revenue M$"/>
    <x v="3"/>
    <n v="0"/>
  </r>
  <r>
    <s v="Discrete AI"/>
    <x v="4"/>
    <x v="2"/>
    <s v="Wireless Communications Electronics"/>
    <s v="Utility Smartphone"/>
    <s v="Semiconductor Revenue M$"/>
    <x v="4"/>
    <n v="0"/>
  </r>
  <r>
    <s v="Discrete AI"/>
    <x v="4"/>
    <x v="2"/>
    <s v="Wireless Communications Electronics"/>
    <s v="Utility Smartphone"/>
    <s v="Semiconductor Revenue M$"/>
    <x v="5"/>
    <n v="0"/>
  </r>
  <r>
    <s v="Discrete AI"/>
    <x v="4"/>
    <x v="2"/>
    <s v="Wireless Communications Electronics"/>
    <s v="Utility Smartphone"/>
    <s v="Semiconductor Revenue M$"/>
    <x v="6"/>
    <n v="0"/>
  </r>
  <r>
    <s v="Discrete AI"/>
    <x v="4"/>
    <x v="2"/>
    <s v="Wireless Communications Electronics"/>
    <s v="Premium Smartphone"/>
    <s v="Semiconductor Revenue M$"/>
    <x v="0"/>
    <n v="0"/>
  </r>
  <r>
    <s v="Discrete AI"/>
    <x v="4"/>
    <x v="2"/>
    <s v="Wireless Communications Electronics"/>
    <s v="Premium Smartphone"/>
    <s v="Semiconductor Revenue M$"/>
    <x v="1"/>
    <n v="0"/>
  </r>
  <r>
    <s v="Discrete AI"/>
    <x v="4"/>
    <x v="2"/>
    <s v="Wireless Communications Electronics"/>
    <s v="Premium Smartphone"/>
    <s v="Semiconductor Revenue M$"/>
    <x v="2"/>
    <n v="0"/>
  </r>
  <r>
    <s v="Discrete AI"/>
    <x v="4"/>
    <x v="2"/>
    <s v="Wireless Communications Electronics"/>
    <s v="Premium Smartphone"/>
    <s v="Semiconductor Revenue M$"/>
    <x v="3"/>
    <n v="0"/>
  </r>
  <r>
    <s v="Discrete AI"/>
    <x v="4"/>
    <x v="2"/>
    <s v="Wireless Communications Electronics"/>
    <s v="Premium Smartphone"/>
    <s v="Semiconductor Revenue M$"/>
    <x v="4"/>
    <n v="0"/>
  </r>
  <r>
    <s v="Discrete AI"/>
    <x v="4"/>
    <x v="2"/>
    <s v="Wireless Communications Electronics"/>
    <s v="Premium Smartphone"/>
    <s v="Semiconductor Revenue M$"/>
    <x v="5"/>
    <n v="0"/>
  </r>
  <r>
    <s v="Discrete AI"/>
    <x v="4"/>
    <x v="2"/>
    <s v="Wireless Communications Electronics"/>
    <s v="Premium Smartphone"/>
    <s v="Semiconductor Revenue M$"/>
    <x v="6"/>
    <n v="0"/>
  </r>
  <r>
    <s v="Discrete AI"/>
    <x v="4"/>
    <x v="3"/>
    <s v="Automotive Electronics"/>
    <s v="ADAS-ECU (Level-2+/3/4)"/>
    <s v="Semiconductor Revenue M$"/>
    <x v="0"/>
    <n v="0.17708318807053411"/>
  </r>
  <r>
    <s v="Discrete AI"/>
    <x v="4"/>
    <x v="3"/>
    <s v="Automotive Electronics"/>
    <s v="ADAS-ECU (Level-2+/3/4)"/>
    <s v="Semiconductor Revenue M$"/>
    <x v="1"/>
    <n v="0.87863313079792182"/>
  </r>
  <r>
    <s v="Discrete AI"/>
    <x v="4"/>
    <x v="3"/>
    <s v="Automotive Electronics"/>
    <s v="ADAS-ECU (Level-2+/3/4)"/>
    <s v="Semiconductor Revenue M$"/>
    <x v="2"/>
    <n v="3.3566025255037957"/>
  </r>
  <r>
    <s v="Discrete AI"/>
    <x v="4"/>
    <x v="3"/>
    <s v="Automotive Electronics"/>
    <s v="ADAS-ECU (Level-2+/3/4)"/>
    <s v="Semiconductor Revenue M$"/>
    <x v="3"/>
    <n v="7.6792282932697722"/>
  </r>
  <r>
    <s v="Discrete AI"/>
    <x v="4"/>
    <x v="3"/>
    <s v="Automotive Electronics"/>
    <s v="ADAS-ECU (Level-2+/3/4)"/>
    <s v="Semiconductor Revenue M$"/>
    <x v="4"/>
    <n v="10.902508582309286"/>
  </r>
  <r>
    <s v="Discrete AI"/>
    <x v="4"/>
    <x v="3"/>
    <s v="Automotive Electronics"/>
    <s v="ADAS-ECU (Level-2+/3/4)"/>
    <s v="Semiconductor Revenue M$"/>
    <x v="5"/>
    <n v="18.232290866141359"/>
  </r>
  <r>
    <s v="Discrete AI"/>
    <x v="4"/>
    <x v="3"/>
    <s v="Automotive Electronics"/>
    <s v="ADAS-ECU (Level-2+/3/4)"/>
    <s v="Semiconductor Revenue M$"/>
    <x v="6"/>
    <n v="29.018736060644368"/>
  </r>
  <r>
    <s v="Discrete AI"/>
    <x v="4"/>
    <x v="2"/>
    <s v="Wireless Communications Electronics"/>
    <s v="Mobile Infrastructure - Base Station Equipment"/>
    <s v="Semiconductor Revenue M$"/>
    <x v="0"/>
    <n v="0.5075786690688362"/>
  </r>
  <r>
    <s v="Discrete AI"/>
    <x v="4"/>
    <x v="2"/>
    <s v="Wireless Communications Electronics"/>
    <s v="Mobile Infrastructure - Base Station Equipment"/>
    <s v="Semiconductor Revenue M$"/>
    <x v="1"/>
    <n v="1.1096125983627747"/>
  </r>
  <r>
    <s v="Discrete AI"/>
    <x v="4"/>
    <x v="2"/>
    <s v="Wireless Communications Electronics"/>
    <s v="Mobile Infrastructure - Base Station Equipment"/>
    <s v="Semiconductor Revenue M$"/>
    <x v="2"/>
    <n v="2.1495994861809375"/>
  </r>
  <r>
    <s v="Discrete AI"/>
    <x v="4"/>
    <x v="2"/>
    <s v="Wireless Communications Electronics"/>
    <s v="Mobile Infrastructure - Base Station Equipment"/>
    <s v="Semiconductor Revenue M$"/>
    <x v="3"/>
    <n v="4.5319021745165307"/>
  </r>
  <r>
    <s v="Discrete AI"/>
    <x v="4"/>
    <x v="2"/>
    <s v="Wireless Communications Electronics"/>
    <s v="Mobile Infrastructure - Base Station Equipment"/>
    <s v="Semiconductor Revenue M$"/>
    <x v="4"/>
    <n v="7.7853949929391106"/>
  </r>
  <r>
    <s v="Discrete AI"/>
    <x v="4"/>
    <x v="2"/>
    <s v="Wireless Communications Electronics"/>
    <s v="Mobile Infrastructure - Base Station Equipment"/>
    <s v="Semiconductor Revenue M$"/>
    <x v="5"/>
    <n v="11.248606537430968"/>
  </r>
  <r>
    <s v="Discrete AI"/>
    <x v="4"/>
    <x v="2"/>
    <s v="Wireless Communications Electronics"/>
    <s v="Mobile Infrastructure - Base Station Equipment"/>
    <s v="Semiconductor Revenue M$"/>
    <x v="6"/>
    <n v="17.207534733717356"/>
  </r>
  <r>
    <s v="Discrete AI"/>
    <x v="4"/>
    <x v="2"/>
    <s v="Wireless Communications Electronics"/>
    <s v="Wireless LAN Infrastructure"/>
    <s v="Semiconductor Revenue M$"/>
    <x v="0"/>
    <n v="0"/>
  </r>
  <r>
    <s v="Discrete AI"/>
    <x v="4"/>
    <x v="2"/>
    <s v="Wireless Communications Electronics"/>
    <s v="Wireless LAN Infrastructure"/>
    <s v="Semiconductor Revenue M$"/>
    <x v="1"/>
    <n v="0"/>
  </r>
  <r>
    <s v="Discrete AI"/>
    <x v="4"/>
    <x v="2"/>
    <s v="Wireless Communications Electronics"/>
    <s v="Wireless LAN Infrastructure"/>
    <s v="Semiconductor Revenue M$"/>
    <x v="2"/>
    <n v="0"/>
  </r>
  <r>
    <s v="Discrete AI"/>
    <x v="4"/>
    <x v="2"/>
    <s v="Wireless Communications Electronics"/>
    <s v="Wireless LAN Infrastructure"/>
    <s v="Semiconductor Revenue M$"/>
    <x v="3"/>
    <n v="0"/>
  </r>
  <r>
    <s v="Discrete AI"/>
    <x v="4"/>
    <x v="2"/>
    <s v="Wireless Communications Electronics"/>
    <s v="Wireless LAN Infrastructure"/>
    <s v="Semiconductor Revenue M$"/>
    <x v="4"/>
    <n v="0"/>
  </r>
  <r>
    <s v="Discrete AI"/>
    <x v="4"/>
    <x v="2"/>
    <s v="Wireless Communications Electronics"/>
    <s v="Wireless LAN Infrastructure"/>
    <s v="Semiconductor Revenue M$"/>
    <x v="5"/>
    <n v="0"/>
  </r>
  <r>
    <s v="Discrete AI"/>
    <x v="4"/>
    <x v="2"/>
    <s v="Wireless Communications Electronics"/>
    <s v="Wireless LAN Infrastructure"/>
    <s v="Semiconductor Revenue M$"/>
    <x v="6"/>
    <n v="0"/>
  </r>
  <r>
    <s v="Discrete AI"/>
    <x v="4"/>
    <x v="2"/>
    <s v="Wireless Communications Electronics"/>
    <s v="Cellular Modems"/>
    <s v="Semiconductor Revenue M$"/>
    <x v="0"/>
    <n v="0"/>
  </r>
  <r>
    <s v="Discrete AI"/>
    <x v="4"/>
    <x v="2"/>
    <s v="Wireless Communications Electronics"/>
    <s v="Cellular Modems"/>
    <s v="Semiconductor Revenue M$"/>
    <x v="1"/>
    <n v="0"/>
  </r>
  <r>
    <s v="Discrete AI"/>
    <x v="4"/>
    <x v="2"/>
    <s v="Wireless Communications Electronics"/>
    <s v="Cellular Modems"/>
    <s v="Semiconductor Revenue M$"/>
    <x v="2"/>
    <n v="0"/>
  </r>
  <r>
    <s v="Discrete AI"/>
    <x v="4"/>
    <x v="2"/>
    <s v="Wireless Communications Electronics"/>
    <s v="Cellular Modems"/>
    <s v="Semiconductor Revenue M$"/>
    <x v="3"/>
    <n v="0"/>
  </r>
  <r>
    <s v="Discrete AI"/>
    <x v="4"/>
    <x v="2"/>
    <s v="Wireless Communications Electronics"/>
    <s v="Cellular Modems"/>
    <s v="Semiconductor Revenue M$"/>
    <x v="4"/>
    <n v="0"/>
  </r>
  <r>
    <s v="Discrete AI"/>
    <x v="4"/>
    <x v="2"/>
    <s v="Wireless Communications Electronics"/>
    <s v="Cellular Modems"/>
    <s v="Semiconductor Revenue M$"/>
    <x v="5"/>
    <n v="0"/>
  </r>
  <r>
    <s v="Discrete AI"/>
    <x v="4"/>
    <x v="2"/>
    <s v="Wireless Communications Electronics"/>
    <s v="Cellular Modems"/>
    <s v="Semiconductor Revenue M$"/>
    <x v="6"/>
    <n v="0"/>
  </r>
  <r>
    <s v="Discrete AI"/>
    <x v="4"/>
    <x v="2"/>
    <s v="Wireless Communications Electronics"/>
    <s v="Other Wireless Communications Electronics"/>
    <s v="Semiconductor Revenue M$"/>
    <x v="0"/>
    <n v="6.6839295097792267E-2"/>
  </r>
  <r>
    <s v="Discrete AI"/>
    <x v="4"/>
    <x v="2"/>
    <s v="Wireless Communications Electronics"/>
    <s v="Other Wireless Communications Electronics"/>
    <s v="Semiconductor Revenue M$"/>
    <x v="1"/>
    <n v="0.11542235983200946"/>
  </r>
  <r>
    <s v="Discrete AI"/>
    <x v="4"/>
    <x v="2"/>
    <s v="Wireless Communications Electronics"/>
    <s v="Other Wireless Communications Electronics"/>
    <s v="Semiconductor Revenue M$"/>
    <x v="2"/>
    <n v="0.21132685267926701"/>
  </r>
  <r>
    <s v="Discrete AI"/>
    <x v="4"/>
    <x v="2"/>
    <s v="Wireless Communications Electronics"/>
    <s v="Other Wireless Communications Electronics"/>
    <s v="Semiconductor Revenue M$"/>
    <x v="3"/>
    <n v="0.38046278991621346"/>
  </r>
  <r>
    <s v="Discrete AI"/>
    <x v="4"/>
    <x v="2"/>
    <s v="Wireless Communications Electronics"/>
    <s v="Other Wireless Communications Electronics"/>
    <s v="Semiconductor Revenue M$"/>
    <x v="4"/>
    <n v="0.56549663458097921"/>
  </r>
  <r>
    <s v="Discrete AI"/>
    <x v="4"/>
    <x v="2"/>
    <s v="Wireless Communications Electronics"/>
    <s v="Other Wireless Communications Electronics"/>
    <s v="Semiconductor Revenue M$"/>
    <x v="5"/>
    <n v="0.76412155819454119"/>
  </r>
  <r>
    <s v="Discrete AI"/>
    <x v="4"/>
    <x v="2"/>
    <s v="Wireless Communications Electronics"/>
    <s v="Other Wireless Communications Electronics"/>
    <s v="Semiconductor Revenue M$"/>
    <x v="6"/>
    <n v="1.082505750630008"/>
  </r>
  <r>
    <s v="Discrete AI"/>
    <x v="4"/>
    <x v="2"/>
    <s v="Wired Communications Electronics"/>
    <s v="DSL Broadband Access"/>
    <s v="Semiconductor Revenue M$"/>
    <x v="0"/>
    <n v="0"/>
  </r>
  <r>
    <s v="Discrete AI"/>
    <x v="4"/>
    <x v="2"/>
    <s v="Wired Communications Electronics"/>
    <s v="DSL Broadband Access"/>
    <s v="Semiconductor Revenue M$"/>
    <x v="1"/>
    <n v="0"/>
  </r>
  <r>
    <s v="Discrete AI"/>
    <x v="4"/>
    <x v="2"/>
    <s v="Wired Communications Electronics"/>
    <s v="DSL Broadband Access"/>
    <s v="Semiconductor Revenue M$"/>
    <x v="2"/>
    <n v="0"/>
  </r>
  <r>
    <s v="Discrete AI"/>
    <x v="4"/>
    <x v="2"/>
    <s v="Wired Communications Electronics"/>
    <s v="DSL Broadband Access"/>
    <s v="Semiconductor Revenue M$"/>
    <x v="3"/>
    <n v="0"/>
  </r>
  <r>
    <s v="Discrete AI"/>
    <x v="4"/>
    <x v="2"/>
    <s v="Wired Communications Electronics"/>
    <s v="DSL Broadband Access"/>
    <s v="Semiconductor Revenue M$"/>
    <x v="4"/>
    <n v="0"/>
  </r>
  <r>
    <s v="Discrete AI"/>
    <x v="4"/>
    <x v="2"/>
    <s v="Wired Communications Electronics"/>
    <s v="DSL Broadband Access"/>
    <s v="Semiconductor Revenue M$"/>
    <x v="5"/>
    <n v="0"/>
  </r>
  <r>
    <s v="Discrete AI"/>
    <x v="4"/>
    <x v="2"/>
    <s v="Wired Communications Electronics"/>
    <s v="DSL Broadband Access"/>
    <s v="Semiconductor Revenue M$"/>
    <x v="6"/>
    <n v="0"/>
  </r>
  <r>
    <s v="Discrete AI"/>
    <x v="4"/>
    <x v="2"/>
    <s v="Wired Communications Electronics"/>
    <s v="Fiber Broadband Access"/>
    <s v="Semiconductor Revenue M$"/>
    <x v="0"/>
    <n v="0.10626557284344111"/>
  </r>
  <r>
    <s v="Discrete AI"/>
    <x v="4"/>
    <x v="2"/>
    <s v="Wired Communications Electronics"/>
    <s v="Fiber Broadband Access"/>
    <s v="Semiconductor Revenue M$"/>
    <x v="1"/>
    <n v="0.24018288787901906"/>
  </r>
  <r>
    <s v="Discrete AI"/>
    <x v="4"/>
    <x v="2"/>
    <s v="Wired Communications Electronics"/>
    <s v="Fiber Broadband Access"/>
    <s v="Semiconductor Revenue M$"/>
    <x v="2"/>
    <n v="0.51939276457659067"/>
  </r>
  <r>
    <s v="Discrete AI"/>
    <x v="4"/>
    <x v="2"/>
    <s v="Wired Communications Electronics"/>
    <s v="Fiber Broadband Access"/>
    <s v="Semiconductor Revenue M$"/>
    <x v="3"/>
    <n v="1.1137377050052268"/>
  </r>
  <r>
    <s v="Discrete AI"/>
    <x v="4"/>
    <x v="2"/>
    <s v="Wired Communications Electronics"/>
    <s v="Fiber Broadband Access"/>
    <s v="Semiconductor Revenue M$"/>
    <x v="4"/>
    <n v="1.8660658906933372"/>
  </r>
  <r>
    <s v="Discrete AI"/>
    <x v="4"/>
    <x v="2"/>
    <s v="Wired Communications Electronics"/>
    <s v="Fiber Broadband Access"/>
    <s v="Semiconductor Revenue M$"/>
    <x v="5"/>
    <n v="2.9846978233477088"/>
  </r>
  <r>
    <s v="Discrete AI"/>
    <x v="4"/>
    <x v="2"/>
    <s v="Wired Communications Electronics"/>
    <s v="Fiber Broadband Access"/>
    <s v="Semiconductor Revenue M$"/>
    <x v="6"/>
    <n v="4.6302515750050208"/>
  </r>
  <r>
    <s v="Discrete AI"/>
    <x v="4"/>
    <x v="2"/>
    <s v="Wired Communications Electronics"/>
    <s v="Other Broadband Access"/>
    <s v="Semiconductor Revenue M$"/>
    <x v="0"/>
    <n v="3.0406041917151454E-2"/>
  </r>
  <r>
    <s v="Discrete AI"/>
    <x v="4"/>
    <x v="2"/>
    <s v="Wired Communications Electronics"/>
    <s v="Other Broadband Access"/>
    <s v="Semiconductor Revenue M$"/>
    <x v="1"/>
    <n v="6.5005423025942477E-2"/>
  </r>
  <r>
    <s v="Discrete AI"/>
    <x v="4"/>
    <x v="2"/>
    <s v="Wired Communications Electronics"/>
    <s v="Other Broadband Access"/>
    <s v="Semiconductor Revenue M$"/>
    <x v="2"/>
    <n v="0.12187672291500617"/>
  </r>
  <r>
    <s v="Discrete AI"/>
    <x v="4"/>
    <x v="2"/>
    <s v="Wired Communications Electronics"/>
    <s v="Other Broadband Access"/>
    <s v="Semiconductor Revenue M$"/>
    <x v="3"/>
    <n v="0.23827767569117747"/>
  </r>
  <r>
    <s v="Discrete AI"/>
    <x v="4"/>
    <x v="2"/>
    <s v="Wired Communications Electronics"/>
    <s v="Other Broadband Access"/>
    <s v="Semiconductor Revenue M$"/>
    <x v="4"/>
    <n v="0.37829880756535766"/>
  </r>
  <r>
    <s v="Discrete AI"/>
    <x v="4"/>
    <x v="2"/>
    <s v="Wired Communications Electronics"/>
    <s v="Other Broadband Access"/>
    <s v="Semiconductor Revenue M$"/>
    <x v="5"/>
    <n v="0.55672103063307365"/>
  </r>
  <r>
    <s v="Discrete AI"/>
    <x v="4"/>
    <x v="2"/>
    <s v="Wired Communications Electronics"/>
    <s v="Other Broadband Access"/>
    <s v="Semiconductor Revenue M$"/>
    <x v="6"/>
    <n v="0.82317251834738858"/>
  </r>
  <r>
    <s v="Discrete AI"/>
    <x v="4"/>
    <x v="2"/>
    <s v="Wired Communications Electronics"/>
    <s v="Enterprise LAN"/>
    <s v="Semiconductor Revenue M$"/>
    <x v="0"/>
    <n v="0"/>
  </r>
  <r>
    <s v="Discrete AI"/>
    <x v="4"/>
    <x v="2"/>
    <s v="Wired Communications Electronics"/>
    <s v="Enterprise LAN"/>
    <s v="Semiconductor Revenue M$"/>
    <x v="1"/>
    <n v="0"/>
  </r>
  <r>
    <s v="Discrete AI"/>
    <x v="4"/>
    <x v="2"/>
    <s v="Wired Communications Electronics"/>
    <s v="Enterprise LAN"/>
    <s v="Semiconductor Revenue M$"/>
    <x v="2"/>
    <n v="0"/>
  </r>
  <r>
    <s v="Discrete AI"/>
    <x v="4"/>
    <x v="2"/>
    <s v="Wired Communications Electronics"/>
    <s v="Enterprise LAN"/>
    <s v="Semiconductor Revenue M$"/>
    <x v="3"/>
    <n v="0"/>
  </r>
  <r>
    <s v="Discrete AI"/>
    <x v="4"/>
    <x v="2"/>
    <s v="Wired Communications Electronics"/>
    <s v="Enterprise LAN"/>
    <s v="Semiconductor Revenue M$"/>
    <x v="4"/>
    <n v="0"/>
  </r>
  <r>
    <s v="Discrete AI"/>
    <x v="4"/>
    <x v="2"/>
    <s v="Wired Communications Electronics"/>
    <s v="Enterprise LAN"/>
    <s v="Semiconductor Revenue M$"/>
    <x v="5"/>
    <n v="0"/>
  </r>
  <r>
    <s v="Discrete AI"/>
    <x v="4"/>
    <x v="2"/>
    <s v="Wired Communications Electronics"/>
    <s v="Enterprise LAN"/>
    <s v="Semiconductor Revenue M$"/>
    <x v="6"/>
    <n v="0"/>
  </r>
  <r>
    <s v="Discrete AI"/>
    <x v="4"/>
    <x v="3"/>
    <s v="Automotive Electronics"/>
    <s v="ADAS-ECU (Level-0/1/2)"/>
    <s v="Semiconductor Revenue M$"/>
    <x v="0"/>
    <n v="1.2660759376396276"/>
  </r>
  <r>
    <s v="Discrete AI"/>
    <x v="4"/>
    <x v="3"/>
    <s v="Automotive Electronics"/>
    <s v="ADAS-ECU (Level-0/1/2)"/>
    <s v="Semiconductor Revenue M$"/>
    <x v="1"/>
    <n v="2.9639808786804442"/>
  </r>
  <r>
    <s v="Discrete AI"/>
    <x v="4"/>
    <x v="3"/>
    <s v="Automotive Electronics"/>
    <s v="ADAS-ECU (Level-0/1/2)"/>
    <s v="Semiconductor Revenue M$"/>
    <x v="2"/>
    <n v="6.7963419619571201"/>
  </r>
  <r>
    <s v="Discrete AI"/>
    <x v="4"/>
    <x v="3"/>
    <s v="Automotive Electronics"/>
    <s v="ADAS-ECU (Level-0/1/2)"/>
    <s v="Semiconductor Revenue M$"/>
    <x v="3"/>
    <n v="13.495204220237513"/>
  </r>
  <r>
    <s v="Discrete AI"/>
    <x v="4"/>
    <x v="3"/>
    <s v="Automotive Electronics"/>
    <s v="ADAS-ECU (Level-0/1/2)"/>
    <s v="Semiconductor Revenue M$"/>
    <x v="4"/>
    <n v="17.578751707723114"/>
  </r>
  <r>
    <s v="Discrete AI"/>
    <x v="4"/>
    <x v="3"/>
    <s v="Automotive Electronics"/>
    <s v="ADAS-ECU (Level-0/1/2)"/>
    <s v="Semiconductor Revenue M$"/>
    <x v="5"/>
    <n v="28.051897789881604"/>
  </r>
  <r>
    <s v="Discrete AI"/>
    <x v="4"/>
    <x v="3"/>
    <s v="Automotive Electronics"/>
    <s v="ADAS-ECU (Level-0/1/2)"/>
    <s v="Semiconductor Revenue M$"/>
    <x v="6"/>
    <n v="44.765448456796776"/>
  </r>
  <r>
    <s v="Discrete AI"/>
    <x v="4"/>
    <x v="2"/>
    <s v="Wired Communications Electronics"/>
    <s v="Enterprise WAN"/>
    <s v="Semiconductor Revenue M$"/>
    <x v="0"/>
    <n v="0.14192233904215823"/>
  </r>
  <r>
    <s v="Discrete AI"/>
    <x v="4"/>
    <x v="2"/>
    <s v="Wired Communications Electronics"/>
    <s v="Enterprise WAN"/>
    <s v="Semiconductor Revenue M$"/>
    <x v="1"/>
    <n v="0.30874737036795041"/>
  </r>
  <r>
    <s v="Discrete AI"/>
    <x v="4"/>
    <x v="2"/>
    <s v="Wired Communications Electronics"/>
    <s v="Enterprise WAN"/>
    <s v="Semiconductor Revenue M$"/>
    <x v="2"/>
    <n v="0.70644837237589009"/>
  </r>
  <r>
    <s v="Discrete AI"/>
    <x v="4"/>
    <x v="2"/>
    <s v="Wired Communications Electronics"/>
    <s v="Enterprise WAN"/>
    <s v="Semiconductor Revenue M$"/>
    <x v="3"/>
    <n v="1.5294562355671311"/>
  </r>
  <r>
    <s v="Discrete AI"/>
    <x v="4"/>
    <x v="2"/>
    <s v="Wired Communications Electronics"/>
    <s v="Enterprise WAN"/>
    <s v="Semiconductor Revenue M$"/>
    <x v="4"/>
    <n v="2.6667152962859193"/>
  </r>
  <r>
    <s v="Discrete AI"/>
    <x v="4"/>
    <x v="2"/>
    <s v="Wired Communications Electronics"/>
    <s v="Enterprise WAN"/>
    <s v="Semiconductor Revenue M$"/>
    <x v="5"/>
    <n v="4.15693901256041"/>
  </r>
  <r>
    <s v="Discrete AI"/>
    <x v="4"/>
    <x v="2"/>
    <s v="Wired Communications Electronics"/>
    <s v="Enterprise WAN"/>
    <s v="Semiconductor Revenue M$"/>
    <x v="6"/>
    <n v="6.6059847226271877"/>
  </r>
  <r>
    <s v="Discrete AI"/>
    <x v="4"/>
    <x v="2"/>
    <s v="Wired Communications Electronics"/>
    <s v="Optical Transport"/>
    <s v="Semiconductor Revenue M$"/>
    <x v="0"/>
    <n v="7.1385149190201875E-3"/>
  </r>
  <r>
    <s v="Discrete AI"/>
    <x v="4"/>
    <x v="2"/>
    <s v="Wired Communications Electronics"/>
    <s v="Optical Transport"/>
    <s v="Semiconductor Revenue M$"/>
    <x v="1"/>
    <n v="1.5799400132457155E-2"/>
  </r>
  <r>
    <s v="Discrete AI"/>
    <x v="4"/>
    <x v="2"/>
    <s v="Wired Communications Electronics"/>
    <s v="Optical Transport"/>
    <s v="Semiconductor Revenue M$"/>
    <x v="2"/>
    <n v="3.2935949842483908E-2"/>
  </r>
  <r>
    <s v="Discrete AI"/>
    <x v="4"/>
    <x v="2"/>
    <s v="Wired Communications Electronics"/>
    <s v="Optical Transport"/>
    <s v="Semiconductor Revenue M$"/>
    <x v="3"/>
    <n v="6.7081154501147766E-2"/>
  </r>
  <r>
    <s v="Discrete AI"/>
    <x v="4"/>
    <x v="2"/>
    <s v="Wired Communications Electronics"/>
    <s v="Optical Transport"/>
    <s v="Semiconductor Revenue M$"/>
    <x v="4"/>
    <n v="0.11019104079670794"/>
  </r>
  <r>
    <s v="Discrete AI"/>
    <x v="4"/>
    <x v="2"/>
    <s v="Wired Communications Electronics"/>
    <s v="Optical Transport"/>
    <s v="Semiconductor Revenue M$"/>
    <x v="5"/>
    <n v="0.16520235518201878"/>
  </r>
  <r>
    <s v="Discrete AI"/>
    <x v="4"/>
    <x v="2"/>
    <s v="Wired Communications Electronics"/>
    <s v="Optical Transport"/>
    <s v="Semiconductor Revenue M$"/>
    <x v="6"/>
    <n v="0.24888315517261994"/>
  </r>
  <r>
    <s v="Discrete AI"/>
    <x v="4"/>
    <x v="2"/>
    <s v="Wired Communications Electronics"/>
    <s v="Service Provider Routers and Switches"/>
    <s v="Semiconductor Revenue M$"/>
    <x v="0"/>
    <n v="0"/>
  </r>
  <r>
    <s v="Discrete AI"/>
    <x v="4"/>
    <x v="2"/>
    <s v="Wired Communications Electronics"/>
    <s v="Service Provider Routers and Switches"/>
    <s v="Semiconductor Revenue M$"/>
    <x v="1"/>
    <n v="0"/>
  </r>
  <r>
    <s v="Discrete AI"/>
    <x v="4"/>
    <x v="2"/>
    <s v="Wired Communications Electronics"/>
    <s v="Service Provider Routers and Switches"/>
    <s v="Semiconductor Revenue M$"/>
    <x v="2"/>
    <n v="0"/>
  </r>
  <r>
    <s v="Discrete AI"/>
    <x v="4"/>
    <x v="2"/>
    <s v="Wired Communications Electronics"/>
    <s v="Service Provider Routers and Switches"/>
    <s v="Semiconductor Revenue M$"/>
    <x v="3"/>
    <n v="0"/>
  </r>
  <r>
    <s v="Discrete AI"/>
    <x v="4"/>
    <x v="2"/>
    <s v="Wired Communications Electronics"/>
    <s v="Service Provider Routers and Switches"/>
    <s v="Semiconductor Revenue M$"/>
    <x v="4"/>
    <n v="0"/>
  </r>
  <r>
    <s v="Discrete AI"/>
    <x v="4"/>
    <x v="2"/>
    <s v="Wired Communications Electronics"/>
    <s v="Service Provider Routers and Switches"/>
    <s v="Semiconductor Revenue M$"/>
    <x v="5"/>
    <n v="0"/>
  </r>
  <r>
    <s v="Discrete AI"/>
    <x v="4"/>
    <x v="2"/>
    <s v="Wired Communications Electronics"/>
    <s v="Service Provider Routers and Switches"/>
    <s v="Semiconductor Revenue M$"/>
    <x v="6"/>
    <n v="0"/>
  </r>
  <r>
    <s v="Discrete AI"/>
    <x v="4"/>
    <x v="2"/>
    <s v="Wired Communications Electronics"/>
    <s v="Other Wired Communications Electronics"/>
    <s v="Semiconductor Revenue M$"/>
    <x v="0"/>
    <n v="7.3862516976037115E-2"/>
  </r>
  <r>
    <s v="Discrete AI"/>
    <x v="4"/>
    <x v="2"/>
    <s v="Wired Communications Electronics"/>
    <s v="Other Wired Communications Electronics"/>
    <s v="Semiconductor Revenue M$"/>
    <x v="1"/>
    <n v="0.14491937745309719"/>
  </r>
  <r>
    <s v="Discrete AI"/>
    <x v="4"/>
    <x v="2"/>
    <s v="Wired Communications Electronics"/>
    <s v="Other Wired Communications Electronics"/>
    <s v="Semiconductor Revenue M$"/>
    <x v="2"/>
    <n v="0.2563632117657218"/>
  </r>
  <r>
    <s v="Discrete AI"/>
    <x v="4"/>
    <x v="2"/>
    <s v="Wired Communications Electronics"/>
    <s v="Other Wired Communications Electronics"/>
    <s v="Semiconductor Revenue M$"/>
    <x v="3"/>
    <n v="0.46050297557159398"/>
  </r>
  <r>
    <s v="Discrete AI"/>
    <x v="4"/>
    <x v="2"/>
    <s v="Wired Communications Electronics"/>
    <s v="Other Wired Communications Electronics"/>
    <s v="Semiconductor Revenue M$"/>
    <x v="4"/>
    <n v="0.68780409606958992"/>
  </r>
  <r>
    <s v="Discrete AI"/>
    <x v="4"/>
    <x v="2"/>
    <s v="Wired Communications Electronics"/>
    <s v="Other Wired Communications Electronics"/>
    <s v="Semiconductor Revenue M$"/>
    <x v="5"/>
    <n v="0.96257292834894237"/>
  </r>
  <r>
    <s v="Discrete AI"/>
    <x v="4"/>
    <x v="2"/>
    <s v="Wired Communications Electronics"/>
    <s v="Other Wired Communications Electronics"/>
    <s v="Semiconductor Revenue M$"/>
    <x v="6"/>
    <n v="1.3645464970284213"/>
  </r>
  <r>
    <s v="Discrete AI"/>
    <x v="4"/>
    <x v="4"/>
    <s v="Consumer Electronics"/>
    <s v="Appliances"/>
    <s v="Semiconductor Revenue M$"/>
    <x v="0"/>
    <n v="3.5009896529804947E-3"/>
  </r>
  <r>
    <s v="Discrete AI"/>
    <x v="4"/>
    <x v="4"/>
    <s v="Consumer Electronics"/>
    <s v="Appliances"/>
    <s v="Semiconductor Revenue M$"/>
    <x v="1"/>
    <n v="1.9164886655335174E-2"/>
  </r>
  <r>
    <s v="Discrete AI"/>
    <x v="4"/>
    <x v="4"/>
    <s v="Consumer Electronics"/>
    <s v="Appliances"/>
    <s v="Semiconductor Revenue M$"/>
    <x v="2"/>
    <n v="7.662896582808322E-2"/>
  </r>
  <r>
    <s v="Discrete AI"/>
    <x v="4"/>
    <x v="4"/>
    <s v="Consumer Electronics"/>
    <s v="Appliances"/>
    <s v="Semiconductor Revenue M$"/>
    <x v="3"/>
    <n v="0.3192512666295938"/>
  </r>
  <r>
    <s v="Discrete AI"/>
    <x v="4"/>
    <x v="4"/>
    <s v="Consumer Electronics"/>
    <s v="Appliances"/>
    <s v="Semiconductor Revenue M$"/>
    <x v="4"/>
    <n v="0.54559219999999209"/>
  </r>
  <r>
    <s v="Discrete AI"/>
    <x v="4"/>
    <x v="4"/>
    <s v="Consumer Electronics"/>
    <s v="Appliances"/>
    <s v="Semiconductor Revenue M$"/>
    <x v="5"/>
    <n v="0.90121584000005173"/>
  </r>
  <r>
    <s v="Discrete AI"/>
    <x v="4"/>
    <x v="4"/>
    <s v="Consumer Electronics"/>
    <s v="Appliances"/>
    <s v="Semiconductor Revenue M$"/>
    <x v="6"/>
    <n v="1.3947819830750396"/>
  </r>
  <r>
    <s v="Discrete AI"/>
    <x v="4"/>
    <x v="4"/>
    <s v="Consumer Electronics"/>
    <s v="Digital Camcorder"/>
    <s v="Semiconductor Revenue M$"/>
    <x v="0"/>
    <n v="1.2845975708417045E-2"/>
  </r>
  <r>
    <s v="Discrete AI"/>
    <x v="4"/>
    <x v="4"/>
    <s v="Consumer Electronics"/>
    <s v="Digital Camcorder"/>
    <s v="Semiconductor Revenue M$"/>
    <x v="1"/>
    <n v="2.5616435642185246E-2"/>
  </r>
  <r>
    <s v="Discrete AI"/>
    <x v="4"/>
    <x v="4"/>
    <s v="Consumer Electronics"/>
    <s v="Digital Camcorder"/>
    <s v="Semiconductor Revenue M$"/>
    <x v="2"/>
    <n v="4.6148106757343252E-2"/>
  </r>
  <r>
    <s v="Discrete AI"/>
    <x v="4"/>
    <x v="4"/>
    <s v="Consumer Electronics"/>
    <s v="Digital Camcorder"/>
    <s v="Semiconductor Revenue M$"/>
    <x v="3"/>
    <n v="8.765566377460482E-2"/>
  </r>
  <r>
    <s v="Discrete AI"/>
    <x v="4"/>
    <x v="4"/>
    <s v="Consumer Electronics"/>
    <s v="Digital Camcorder"/>
    <s v="Semiconductor Revenue M$"/>
    <x v="4"/>
    <n v="0.13579539239270225"/>
  </r>
  <r>
    <s v="Discrete AI"/>
    <x v="4"/>
    <x v="4"/>
    <s v="Consumer Electronics"/>
    <s v="Digital Camcorder"/>
    <s v="Semiconductor Revenue M$"/>
    <x v="5"/>
    <n v="0.22809995144170475"/>
  </r>
  <r>
    <s v="Discrete AI"/>
    <x v="4"/>
    <x v="4"/>
    <s v="Consumer Electronics"/>
    <s v="Digital Camcorder"/>
    <s v="Semiconductor Revenue M$"/>
    <x v="6"/>
    <n v="0.37362961644208231"/>
  </r>
  <r>
    <s v="Discrete AI"/>
    <x v="4"/>
    <x v="4"/>
    <s v="Consumer Electronics"/>
    <s v="Digital Set-Top Box, Cable"/>
    <s v="Semiconductor Revenue M$"/>
    <x v="0"/>
    <n v="0"/>
  </r>
  <r>
    <s v="Discrete AI"/>
    <x v="4"/>
    <x v="4"/>
    <s v="Consumer Electronics"/>
    <s v="Digital Set-Top Box, Cable"/>
    <s v="Semiconductor Revenue M$"/>
    <x v="1"/>
    <n v="0"/>
  </r>
  <r>
    <s v="Discrete AI"/>
    <x v="4"/>
    <x v="4"/>
    <s v="Consumer Electronics"/>
    <s v="Digital Set-Top Box, Cable"/>
    <s v="Semiconductor Revenue M$"/>
    <x v="2"/>
    <n v="0"/>
  </r>
  <r>
    <s v="Discrete AI"/>
    <x v="4"/>
    <x v="4"/>
    <s v="Consumer Electronics"/>
    <s v="Digital Set-Top Box, Cable"/>
    <s v="Semiconductor Revenue M$"/>
    <x v="3"/>
    <n v="0"/>
  </r>
  <r>
    <s v="Discrete AI"/>
    <x v="4"/>
    <x v="4"/>
    <s v="Consumer Electronics"/>
    <s v="Digital Set-Top Box, Cable"/>
    <s v="Semiconductor Revenue M$"/>
    <x v="4"/>
    <n v="0"/>
  </r>
  <r>
    <s v="Discrete AI"/>
    <x v="4"/>
    <x v="4"/>
    <s v="Consumer Electronics"/>
    <s v="Digital Set-Top Box, Cable"/>
    <s v="Semiconductor Revenue M$"/>
    <x v="5"/>
    <n v="0"/>
  </r>
  <r>
    <s v="Discrete AI"/>
    <x v="4"/>
    <x v="4"/>
    <s v="Consumer Electronics"/>
    <s v="Digital Set-Top Box, Cable"/>
    <s v="Semiconductor Revenue M$"/>
    <x v="6"/>
    <n v="0"/>
  </r>
  <r>
    <s v="Discrete AI"/>
    <x v="4"/>
    <x v="4"/>
    <s v="Consumer Electronics"/>
    <s v="Digital Set-Top Box, Satellite"/>
    <s v="Semiconductor Revenue M$"/>
    <x v="0"/>
    <n v="0"/>
  </r>
  <r>
    <s v="Discrete AI"/>
    <x v="4"/>
    <x v="4"/>
    <s v="Consumer Electronics"/>
    <s v="Digital Set-Top Box, Satellite"/>
    <s v="Semiconductor Revenue M$"/>
    <x v="1"/>
    <n v="0"/>
  </r>
  <r>
    <s v="Discrete AI"/>
    <x v="4"/>
    <x v="4"/>
    <s v="Consumer Electronics"/>
    <s v="Digital Set-Top Box, Satellite"/>
    <s v="Semiconductor Revenue M$"/>
    <x v="2"/>
    <n v="0"/>
  </r>
  <r>
    <s v="Discrete AI"/>
    <x v="4"/>
    <x v="4"/>
    <s v="Consumer Electronics"/>
    <s v="Digital Set-Top Box, Satellite"/>
    <s v="Semiconductor Revenue M$"/>
    <x v="3"/>
    <n v="0"/>
  </r>
  <r>
    <s v="Discrete AI"/>
    <x v="4"/>
    <x v="4"/>
    <s v="Consumer Electronics"/>
    <s v="Digital Set-Top Box, Satellite"/>
    <s v="Semiconductor Revenue M$"/>
    <x v="4"/>
    <n v="0"/>
  </r>
  <r>
    <s v="Discrete AI"/>
    <x v="4"/>
    <x v="4"/>
    <s v="Consumer Electronics"/>
    <s v="Digital Set-Top Box, Satellite"/>
    <s v="Semiconductor Revenue M$"/>
    <x v="5"/>
    <n v="0"/>
  </r>
  <r>
    <s v="Discrete AI"/>
    <x v="4"/>
    <x v="4"/>
    <s v="Consumer Electronics"/>
    <s v="Digital Set-Top Box, Satellite"/>
    <s v="Semiconductor Revenue M$"/>
    <x v="6"/>
    <n v="0"/>
  </r>
  <r>
    <s v="Discrete AI"/>
    <x v="4"/>
    <x v="4"/>
    <s v="Consumer Electronics"/>
    <s v="Digital Set-Top Box, Terrestrial"/>
    <s v="Semiconductor Revenue M$"/>
    <x v="0"/>
    <n v="0"/>
  </r>
  <r>
    <s v="Discrete AI"/>
    <x v="4"/>
    <x v="4"/>
    <s v="Consumer Electronics"/>
    <s v="Digital Set-Top Box, Terrestrial"/>
    <s v="Semiconductor Revenue M$"/>
    <x v="1"/>
    <n v="0"/>
  </r>
  <r>
    <s v="Discrete AI"/>
    <x v="4"/>
    <x v="4"/>
    <s v="Consumer Electronics"/>
    <s v="Digital Set-Top Box, Terrestrial"/>
    <s v="Semiconductor Revenue M$"/>
    <x v="2"/>
    <n v="0"/>
  </r>
  <r>
    <s v="Discrete AI"/>
    <x v="4"/>
    <x v="4"/>
    <s v="Consumer Electronics"/>
    <s v="Digital Set-Top Box, Terrestrial"/>
    <s v="Semiconductor Revenue M$"/>
    <x v="3"/>
    <n v="0"/>
  </r>
  <r>
    <s v="Discrete AI"/>
    <x v="4"/>
    <x v="4"/>
    <s v="Consumer Electronics"/>
    <s v="Digital Set-Top Box, Terrestrial"/>
    <s v="Semiconductor Revenue M$"/>
    <x v="4"/>
    <n v="0"/>
  </r>
  <r>
    <s v="Discrete AI"/>
    <x v="4"/>
    <x v="4"/>
    <s v="Consumer Electronics"/>
    <s v="Digital Set-Top Box, Terrestrial"/>
    <s v="Semiconductor Revenue M$"/>
    <x v="5"/>
    <n v="0"/>
  </r>
  <r>
    <s v="Discrete AI"/>
    <x v="4"/>
    <x v="4"/>
    <s v="Consumer Electronics"/>
    <s v="Digital Set-Top Box, Terrestrial"/>
    <s v="Semiconductor Revenue M$"/>
    <x v="6"/>
    <n v="0"/>
  </r>
  <r>
    <s v="Discrete AI"/>
    <x v="4"/>
    <x v="4"/>
    <s v="Consumer Electronics"/>
    <s v="Digital Set-Top Box, IP/Other"/>
    <s v="Semiconductor Revenue M$"/>
    <x v="0"/>
    <n v="0"/>
  </r>
  <r>
    <s v="Discrete AI"/>
    <x v="4"/>
    <x v="4"/>
    <s v="Consumer Electronics"/>
    <s v="Digital Set-Top Box, IP/Other"/>
    <s v="Semiconductor Revenue M$"/>
    <x v="1"/>
    <n v="0"/>
  </r>
  <r>
    <s v="Discrete AI"/>
    <x v="4"/>
    <x v="4"/>
    <s v="Consumer Electronics"/>
    <s v="Digital Set-Top Box, IP/Other"/>
    <s v="Semiconductor Revenue M$"/>
    <x v="2"/>
    <n v="0"/>
  </r>
  <r>
    <s v="Discrete AI"/>
    <x v="4"/>
    <x v="4"/>
    <s v="Consumer Electronics"/>
    <s v="Digital Set-Top Box, IP/Other"/>
    <s v="Semiconductor Revenue M$"/>
    <x v="3"/>
    <n v="0"/>
  </r>
  <r>
    <s v="Discrete AI"/>
    <x v="4"/>
    <x v="4"/>
    <s v="Consumer Electronics"/>
    <s v="Digital Set-Top Box, IP/Other"/>
    <s v="Semiconductor Revenue M$"/>
    <x v="4"/>
    <n v="0"/>
  </r>
  <r>
    <s v="Discrete AI"/>
    <x v="4"/>
    <x v="4"/>
    <s v="Consumer Electronics"/>
    <s v="Digital Set-Top Box, IP/Other"/>
    <s v="Semiconductor Revenue M$"/>
    <x v="5"/>
    <n v="0"/>
  </r>
  <r>
    <s v="Discrete AI"/>
    <x v="4"/>
    <x v="4"/>
    <s v="Consumer Electronics"/>
    <s v="Digital Set-Top Box, IP/Other"/>
    <s v="Semiconductor Revenue M$"/>
    <x v="6"/>
    <n v="0"/>
  </r>
  <r>
    <s v="Discrete AI"/>
    <x v="4"/>
    <x v="4"/>
    <s v="Consumer Electronics"/>
    <s v="Digital Still Camera"/>
    <s v="Semiconductor Revenue M$"/>
    <x v="0"/>
    <n v="0"/>
  </r>
  <r>
    <s v="Discrete AI"/>
    <x v="4"/>
    <x v="4"/>
    <s v="Consumer Electronics"/>
    <s v="Digital Still Camera"/>
    <s v="Semiconductor Revenue M$"/>
    <x v="1"/>
    <n v="0"/>
  </r>
  <r>
    <s v="Discrete AI"/>
    <x v="4"/>
    <x v="4"/>
    <s v="Consumer Electronics"/>
    <s v="Digital Still Camera"/>
    <s v="Semiconductor Revenue M$"/>
    <x v="2"/>
    <n v="0"/>
  </r>
  <r>
    <s v="Discrete AI"/>
    <x v="4"/>
    <x v="4"/>
    <s v="Consumer Electronics"/>
    <s v="Digital Still Camera"/>
    <s v="Semiconductor Revenue M$"/>
    <x v="3"/>
    <n v="0"/>
  </r>
  <r>
    <s v="Discrete AI"/>
    <x v="4"/>
    <x v="4"/>
    <s v="Consumer Electronics"/>
    <s v="Digital Still Camera"/>
    <s v="Semiconductor Revenue M$"/>
    <x v="4"/>
    <n v="0"/>
  </r>
  <r>
    <s v="Discrete AI"/>
    <x v="4"/>
    <x v="4"/>
    <s v="Consumer Electronics"/>
    <s v="Digital Still Camera"/>
    <s v="Semiconductor Revenue M$"/>
    <x v="5"/>
    <n v="0"/>
  </r>
  <r>
    <s v="Discrete AI"/>
    <x v="4"/>
    <x v="4"/>
    <s v="Consumer Electronics"/>
    <s v="Digital Still Camera"/>
    <s v="Semiconductor Revenue M$"/>
    <x v="6"/>
    <n v="0"/>
  </r>
  <r>
    <s v="Discrete AI"/>
    <x v="4"/>
    <x v="5"/>
    <s v="Industrial Electronics"/>
    <s v="Agriculture"/>
    <s v="Semiconductor Revenue M$"/>
    <x v="0"/>
    <n v="4.0260582725166048E-2"/>
  </r>
  <r>
    <s v="Discrete AI"/>
    <x v="4"/>
    <x v="5"/>
    <s v="Industrial Electronics"/>
    <s v="Agriculture"/>
    <s v="Semiconductor Revenue M$"/>
    <x v="1"/>
    <n v="0.11366523704068046"/>
  </r>
  <r>
    <s v="Discrete AI"/>
    <x v="4"/>
    <x v="5"/>
    <s v="Industrial Electronics"/>
    <s v="Agriculture"/>
    <s v="Semiconductor Revenue M$"/>
    <x v="2"/>
    <n v="0.24111772308046603"/>
  </r>
  <r>
    <s v="Discrete AI"/>
    <x v="4"/>
    <x v="5"/>
    <s v="Industrial Electronics"/>
    <s v="Agriculture"/>
    <s v="Semiconductor Revenue M$"/>
    <x v="3"/>
    <n v="0.44613107174146843"/>
  </r>
  <r>
    <s v="Discrete AI"/>
    <x v="4"/>
    <x v="5"/>
    <s v="Industrial Electronics"/>
    <s v="Agriculture"/>
    <s v="Semiconductor Revenue M$"/>
    <x v="4"/>
    <n v="0.63914062537539496"/>
  </r>
  <r>
    <s v="Discrete AI"/>
    <x v="4"/>
    <x v="5"/>
    <s v="Industrial Electronics"/>
    <s v="Agriculture"/>
    <s v="Semiconductor Revenue M$"/>
    <x v="5"/>
    <n v="0.75672331733163667"/>
  </r>
  <r>
    <s v="Discrete AI"/>
    <x v="4"/>
    <x v="5"/>
    <s v="Industrial Electronics"/>
    <s v="Agriculture"/>
    <s v="Semiconductor Revenue M$"/>
    <x v="6"/>
    <n v="0.91464133092185951"/>
  </r>
  <r>
    <s v="Discrete AI"/>
    <x v="4"/>
    <x v="3"/>
    <s v="Automotive Electronics"/>
    <s v="Automotive HPC"/>
    <s v="Semiconductor Revenue M$"/>
    <x v="0"/>
    <n v="0"/>
  </r>
  <r>
    <s v="Discrete AI"/>
    <x v="4"/>
    <x v="3"/>
    <s v="Automotive Electronics"/>
    <s v="Automotive HPC"/>
    <s v="Semiconductor Revenue M$"/>
    <x v="1"/>
    <n v="0"/>
  </r>
  <r>
    <s v="Discrete AI"/>
    <x v="4"/>
    <x v="3"/>
    <s v="Automotive Electronics"/>
    <s v="Automotive HPC"/>
    <s v="Semiconductor Revenue M$"/>
    <x v="2"/>
    <n v="0"/>
  </r>
  <r>
    <s v="Discrete AI"/>
    <x v="4"/>
    <x v="3"/>
    <s v="Automotive Electronics"/>
    <s v="Automotive HPC"/>
    <s v="Semiconductor Revenue M$"/>
    <x v="3"/>
    <n v="0"/>
  </r>
  <r>
    <s v="Discrete AI"/>
    <x v="4"/>
    <x v="3"/>
    <s v="Automotive Electronics"/>
    <s v="Automotive HPC"/>
    <s v="Semiconductor Revenue M$"/>
    <x v="4"/>
    <n v="0"/>
  </r>
  <r>
    <s v="Discrete AI"/>
    <x v="4"/>
    <x v="3"/>
    <s v="Automotive Electronics"/>
    <s v="Automotive HPC"/>
    <s v="Semiconductor Revenue M$"/>
    <x v="5"/>
    <n v="0"/>
  </r>
  <r>
    <s v="Discrete AI"/>
    <x v="4"/>
    <x v="3"/>
    <s v="Automotive Electronics"/>
    <s v="Automotive HPC"/>
    <s v="Semiconductor Revenue M$"/>
    <x v="6"/>
    <n v="0"/>
  </r>
  <r>
    <s v="Discrete AI"/>
    <x v="4"/>
    <x v="5"/>
    <s v="Industrial Electronics"/>
    <s v="Surveillance"/>
    <s v="Semiconductor Revenue M$"/>
    <x v="0"/>
    <n v="7.1247175984960956E-2"/>
  </r>
  <r>
    <s v="Discrete AI"/>
    <x v="4"/>
    <x v="5"/>
    <s v="Industrial Electronics"/>
    <s v="Surveillance"/>
    <s v="Semiconductor Revenue M$"/>
    <x v="1"/>
    <n v="0.19017204191763423"/>
  </r>
  <r>
    <s v="Discrete AI"/>
    <x v="4"/>
    <x v="5"/>
    <s v="Industrial Electronics"/>
    <s v="Surveillance"/>
    <s v="Semiconductor Revenue M$"/>
    <x v="2"/>
    <n v="0.42716625227590749"/>
  </r>
  <r>
    <s v="Discrete AI"/>
    <x v="4"/>
    <x v="5"/>
    <s v="Industrial Electronics"/>
    <s v="Surveillance"/>
    <s v="Semiconductor Revenue M$"/>
    <x v="3"/>
    <n v="0.99083915467504857"/>
  </r>
  <r>
    <s v="Discrete AI"/>
    <x v="4"/>
    <x v="5"/>
    <s v="Industrial Electronics"/>
    <s v="Surveillance"/>
    <s v="Semiconductor Revenue M$"/>
    <x v="4"/>
    <n v="1.3720244240540982"/>
  </r>
  <r>
    <s v="Discrete AI"/>
    <x v="4"/>
    <x v="5"/>
    <s v="Industrial Electronics"/>
    <s v="Surveillance"/>
    <s v="Semiconductor Revenue M$"/>
    <x v="5"/>
    <n v="2.1657568860757999"/>
  </r>
  <r>
    <s v="Discrete AI"/>
    <x v="4"/>
    <x v="5"/>
    <s v="Industrial Electronics"/>
    <s v="Surveillance"/>
    <s v="Semiconductor Revenue M$"/>
    <x v="6"/>
    <n v="2.8153188303529024"/>
  </r>
  <r>
    <s v="Discrete AI"/>
    <x v="4"/>
    <x v="4"/>
    <s v="Consumer Electronics"/>
    <s v="Portable Media Players"/>
    <s v="Semiconductor Revenue M$"/>
    <x v="0"/>
    <n v="0"/>
  </r>
  <r>
    <s v="Discrete AI"/>
    <x v="4"/>
    <x v="4"/>
    <s v="Consumer Electronics"/>
    <s v="Portable Media Players"/>
    <s v="Semiconductor Revenue M$"/>
    <x v="1"/>
    <n v="0"/>
  </r>
  <r>
    <s v="Discrete AI"/>
    <x v="4"/>
    <x v="4"/>
    <s v="Consumer Electronics"/>
    <s v="Portable Media Players"/>
    <s v="Semiconductor Revenue M$"/>
    <x v="2"/>
    <n v="0"/>
  </r>
  <r>
    <s v="Discrete AI"/>
    <x v="4"/>
    <x v="4"/>
    <s v="Consumer Electronics"/>
    <s v="Portable Media Players"/>
    <s v="Semiconductor Revenue M$"/>
    <x v="3"/>
    <n v="0"/>
  </r>
  <r>
    <s v="Discrete AI"/>
    <x v="4"/>
    <x v="4"/>
    <s v="Consumer Electronics"/>
    <s v="Portable Media Players"/>
    <s v="Semiconductor Revenue M$"/>
    <x v="4"/>
    <n v="0"/>
  </r>
  <r>
    <s v="Discrete AI"/>
    <x v="4"/>
    <x v="4"/>
    <s v="Consumer Electronics"/>
    <s v="Portable Media Players"/>
    <s v="Semiconductor Revenue M$"/>
    <x v="5"/>
    <n v="0"/>
  </r>
  <r>
    <s v="Discrete AI"/>
    <x v="4"/>
    <x v="4"/>
    <s v="Consumer Electronics"/>
    <s v="Portable Media Players"/>
    <s v="Semiconductor Revenue M$"/>
    <x v="6"/>
    <n v="0"/>
  </r>
  <r>
    <s v="Discrete AI"/>
    <x v="4"/>
    <x v="4"/>
    <s v="Consumer Electronics"/>
    <s v="Smart Speakers"/>
    <s v="Semiconductor Revenue M$"/>
    <x v="0"/>
    <n v="0"/>
  </r>
  <r>
    <s v="Discrete AI"/>
    <x v="4"/>
    <x v="4"/>
    <s v="Consumer Electronics"/>
    <s v="Smart Speakers"/>
    <s v="Semiconductor Revenue M$"/>
    <x v="1"/>
    <n v="0"/>
  </r>
  <r>
    <s v="Discrete AI"/>
    <x v="4"/>
    <x v="4"/>
    <s v="Consumer Electronics"/>
    <s v="Smart Speakers"/>
    <s v="Semiconductor Revenue M$"/>
    <x v="2"/>
    <n v="0"/>
  </r>
  <r>
    <s v="Discrete AI"/>
    <x v="4"/>
    <x v="4"/>
    <s v="Consumer Electronics"/>
    <s v="Smart Speakers"/>
    <s v="Semiconductor Revenue M$"/>
    <x v="3"/>
    <n v="0"/>
  </r>
  <r>
    <s v="Discrete AI"/>
    <x v="4"/>
    <x v="4"/>
    <s v="Consumer Electronics"/>
    <s v="Smart Speakers"/>
    <s v="Semiconductor Revenue M$"/>
    <x v="4"/>
    <n v="0"/>
  </r>
  <r>
    <s v="Discrete AI"/>
    <x v="4"/>
    <x v="4"/>
    <s v="Consumer Electronics"/>
    <s v="Smart Speakers"/>
    <s v="Semiconductor Revenue M$"/>
    <x v="5"/>
    <n v="0"/>
  </r>
  <r>
    <s v="Discrete AI"/>
    <x v="4"/>
    <x v="4"/>
    <s v="Consumer Electronics"/>
    <s v="Smart Speakers"/>
    <s v="Semiconductor Revenue M$"/>
    <x v="6"/>
    <n v="0"/>
  </r>
  <r>
    <s v="Discrete AI"/>
    <x v="4"/>
    <x v="4"/>
    <s v="Consumer Electronics"/>
    <s v="TV, Standard"/>
    <s v="Semiconductor Revenue M$"/>
    <x v="0"/>
    <n v="0"/>
  </r>
  <r>
    <s v="Discrete AI"/>
    <x v="4"/>
    <x v="4"/>
    <s v="Consumer Electronics"/>
    <s v="TV, Standard"/>
    <s v="Semiconductor Revenue M$"/>
    <x v="1"/>
    <n v="0"/>
  </r>
  <r>
    <s v="Discrete AI"/>
    <x v="4"/>
    <x v="4"/>
    <s v="Consumer Electronics"/>
    <s v="TV, Standard"/>
    <s v="Semiconductor Revenue M$"/>
    <x v="2"/>
    <n v="0"/>
  </r>
  <r>
    <s v="Discrete AI"/>
    <x v="4"/>
    <x v="4"/>
    <s v="Consumer Electronics"/>
    <s v="TV, Standard"/>
    <s v="Semiconductor Revenue M$"/>
    <x v="3"/>
    <n v="0"/>
  </r>
  <r>
    <s v="Discrete AI"/>
    <x v="4"/>
    <x v="4"/>
    <s v="Consumer Electronics"/>
    <s v="TV, Standard"/>
    <s v="Semiconductor Revenue M$"/>
    <x v="4"/>
    <n v="0"/>
  </r>
  <r>
    <s v="Discrete AI"/>
    <x v="4"/>
    <x v="4"/>
    <s v="Consumer Electronics"/>
    <s v="TV, Standard"/>
    <s v="Semiconductor Revenue M$"/>
    <x v="5"/>
    <n v="0"/>
  </r>
  <r>
    <s v="Discrete AI"/>
    <x v="4"/>
    <x v="4"/>
    <s v="Consumer Electronics"/>
    <s v="TV, Standard"/>
    <s v="Semiconductor Revenue M$"/>
    <x v="6"/>
    <n v="0"/>
  </r>
  <r>
    <s v="Discrete AI"/>
    <x v="4"/>
    <x v="4"/>
    <s v="Consumer Electronics"/>
    <s v="TV, Smart"/>
    <s v="Semiconductor Revenue M$"/>
    <x v="0"/>
    <n v="0"/>
  </r>
  <r>
    <s v="Discrete AI"/>
    <x v="4"/>
    <x v="4"/>
    <s v="Consumer Electronics"/>
    <s v="TV, Smart"/>
    <s v="Semiconductor Revenue M$"/>
    <x v="1"/>
    <n v="0"/>
  </r>
  <r>
    <s v="Discrete AI"/>
    <x v="4"/>
    <x v="4"/>
    <s v="Consumer Electronics"/>
    <s v="TV, Smart"/>
    <s v="Semiconductor Revenue M$"/>
    <x v="2"/>
    <n v="0"/>
  </r>
  <r>
    <s v="Discrete AI"/>
    <x v="4"/>
    <x v="4"/>
    <s v="Consumer Electronics"/>
    <s v="TV, Smart"/>
    <s v="Semiconductor Revenue M$"/>
    <x v="3"/>
    <n v="0"/>
  </r>
  <r>
    <s v="Discrete AI"/>
    <x v="4"/>
    <x v="4"/>
    <s v="Consumer Electronics"/>
    <s v="TV, Smart"/>
    <s v="Semiconductor Revenue M$"/>
    <x v="4"/>
    <n v="0"/>
  </r>
  <r>
    <s v="Discrete AI"/>
    <x v="4"/>
    <x v="4"/>
    <s v="Consumer Electronics"/>
    <s v="TV, Smart"/>
    <s v="Semiconductor Revenue M$"/>
    <x v="5"/>
    <n v="0"/>
  </r>
  <r>
    <s v="Discrete AI"/>
    <x v="4"/>
    <x v="4"/>
    <s v="Consumer Electronics"/>
    <s v="TV, Smart"/>
    <s v="Semiconductor Revenue M$"/>
    <x v="6"/>
    <n v="0"/>
  </r>
  <r>
    <s v="Discrete AI"/>
    <x v="4"/>
    <x v="4"/>
    <s v="Consumer Electronics"/>
    <s v="Video Game Consoles"/>
    <s v="Semiconductor Revenue M$"/>
    <x v="0"/>
    <n v="0"/>
  </r>
  <r>
    <s v="Discrete AI"/>
    <x v="4"/>
    <x v="4"/>
    <s v="Consumer Electronics"/>
    <s v="Video Game Consoles"/>
    <s v="Semiconductor Revenue M$"/>
    <x v="1"/>
    <n v="0"/>
  </r>
  <r>
    <s v="Discrete AI"/>
    <x v="4"/>
    <x v="4"/>
    <s v="Consumer Electronics"/>
    <s v="Video Game Consoles"/>
    <s v="Semiconductor Revenue M$"/>
    <x v="2"/>
    <n v="0"/>
  </r>
  <r>
    <s v="Discrete AI"/>
    <x v="4"/>
    <x v="4"/>
    <s v="Consumer Electronics"/>
    <s v="Video Game Consoles"/>
    <s v="Semiconductor Revenue M$"/>
    <x v="3"/>
    <n v="0"/>
  </r>
  <r>
    <s v="Discrete AI"/>
    <x v="4"/>
    <x v="4"/>
    <s v="Consumer Electronics"/>
    <s v="Video Game Consoles"/>
    <s v="Semiconductor Revenue M$"/>
    <x v="4"/>
    <n v="0"/>
  </r>
  <r>
    <s v="Discrete AI"/>
    <x v="4"/>
    <x v="4"/>
    <s v="Consumer Electronics"/>
    <s v="Video Game Consoles"/>
    <s v="Semiconductor Revenue M$"/>
    <x v="5"/>
    <n v="0"/>
  </r>
  <r>
    <s v="Discrete AI"/>
    <x v="4"/>
    <x v="4"/>
    <s v="Consumer Electronics"/>
    <s v="Video Game Consoles"/>
    <s v="Semiconductor Revenue M$"/>
    <x v="6"/>
    <n v="0"/>
  </r>
  <r>
    <s v="Discrete AI"/>
    <x v="4"/>
    <x v="4"/>
    <s v="Consumer Electronics"/>
    <s v="Video Game Handhelds"/>
    <s v="Semiconductor Revenue M$"/>
    <x v="0"/>
    <n v="0"/>
  </r>
  <r>
    <s v="Discrete AI"/>
    <x v="4"/>
    <x v="4"/>
    <s v="Consumer Electronics"/>
    <s v="Video Game Handhelds"/>
    <s v="Semiconductor Revenue M$"/>
    <x v="1"/>
    <n v="0"/>
  </r>
  <r>
    <s v="Discrete AI"/>
    <x v="4"/>
    <x v="4"/>
    <s v="Consumer Electronics"/>
    <s v="Video Game Handhelds"/>
    <s v="Semiconductor Revenue M$"/>
    <x v="2"/>
    <n v="0"/>
  </r>
  <r>
    <s v="Discrete AI"/>
    <x v="4"/>
    <x v="4"/>
    <s v="Consumer Electronics"/>
    <s v="Video Game Handhelds"/>
    <s v="Semiconductor Revenue M$"/>
    <x v="3"/>
    <n v="0"/>
  </r>
  <r>
    <s v="Discrete AI"/>
    <x v="4"/>
    <x v="4"/>
    <s v="Consumer Electronics"/>
    <s v="Video Game Handhelds"/>
    <s v="Semiconductor Revenue M$"/>
    <x v="4"/>
    <n v="0"/>
  </r>
  <r>
    <s v="Discrete AI"/>
    <x v="4"/>
    <x v="4"/>
    <s v="Consumer Electronics"/>
    <s v="Video Game Handhelds"/>
    <s v="Semiconductor Revenue M$"/>
    <x v="5"/>
    <n v="0"/>
  </r>
  <r>
    <s v="Discrete AI"/>
    <x v="4"/>
    <x v="4"/>
    <s v="Consumer Electronics"/>
    <s v="Video Game Handhelds"/>
    <s v="Semiconductor Revenue M$"/>
    <x v="6"/>
    <n v="0"/>
  </r>
  <r>
    <s v="Discrete AI"/>
    <x v="4"/>
    <x v="4"/>
    <s v="Consumer Electronics"/>
    <s v="Wristbands"/>
    <s v="Semiconductor Revenue M$"/>
    <x v="0"/>
    <n v="0"/>
  </r>
  <r>
    <s v="Discrete AI"/>
    <x v="4"/>
    <x v="4"/>
    <s v="Consumer Electronics"/>
    <s v="Wristbands"/>
    <s v="Semiconductor Revenue M$"/>
    <x v="1"/>
    <n v="0"/>
  </r>
  <r>
    <s v="Discrete AI"/>
    <x v="4"/>
    <x v="4"/>
    <s v="Consumer Electronics"/>
    <s v="Wristbands"/>
    <s v="Semiconductor Revenue M$"/>
    <x v="2"/>
    <n v="0"/>
  </r>
  <r>
    <s v="Discrete AI"/>
    <x v="4"/>
    <x v="4"/>
    <s v="Consumer Electronics"/>
    <s v="Wristbands"/>
    <s v="Semiconductor Revenue M$"/>
    <x v="3"/>
    <n v="0"/>
  </r>
  <r>
    <s v="Discrete AI"/>
    <x v="4"/>
    <x v="4"/>
    <s v="Consumer Electronics"/>
    <s v="Wristbands"/>
    <s v="Semiconductor Revenue M$"/>
    <x v="4"/>
    <n v="0"/>
  </r>
  <r>
    <s v="Discrete AI"/>
    <x v="4"/>
    <x v="4"/>
    <s v="Consumer Electronics"/>
    <s v="Wristbands"/>
    <s v="Semiconductor Revenue M$"/>
    <x v="5"/>
    <n v="0"/>
  </r>
  <r>
    <s v="Discrete AI"/>
    <x v="4"/>
    <x v="4"/>
    <s v="Consumer Electronics"/>
    <s v="Wristbands"/>
    <s v="Semiconductor Revenue M$"/>
    <x v="6"/>
    <n v="0"/>
  </r>
  <r>
    <s v="Discrete AI"/>
    <x v="4"/>
    <x v="4"/>
    <s v="Consumer Electronics"/>
    <s v="Head Mounted Display"/>
    <s v="Semiconductor Revenue M$"/>
    <x v="0"/>
    <n v="0"/>
  </r>
  <r>
    <s v="Discrete AI"/>
    <x v="4"/>
    <x v="4"/>
    <s v="Consumer Electronics"/>
    <s v="Head Mounted Display"/>
    <s v="Semiconductor Revenue M$"/>
    <x v="1"/>
    <n v="0"/>
  </r>
  <r>
    <s v="Discrete AI"/>
    <x v="4"/>
    <x v="4"/>
    <s v="Consumer Electronics"/>
    <s v="Head Mounted Display"/>
    <s v="Semiconductor Revenue M$"/>
    <x v="2"/>
    <n v="0"/>
  </r>
  <r>
    <s v="Discrete AI"/>
    <x v="4"/>
    <x v="4"/>
    <s v="Consumer Electronics"/>
    <s v="Head Mounted Display"/>
    <s v="Semiconductor Revenue M$"/>
    <x v="3"/>
    <n v="0"/>
  </r>
  <r>
    <s v="Discrete AI"/>
    <x v="4"/>
    <x v="4"/>
    <s v="Consumer Electronics"/>
    <s v="Head Mounted Display"/>
    <s v="Semiconductor Revenue M$"/>
    <x v="4"/>
    <n v="0"/>
  </r>
  <r>
    <s v="Discrete AI"/>
    <x v="4"/>
    <x v="4"/>
    <s v="Consumer Electronics"/>
    <s v="Head Mounted Display"/>
    <s v="Semiconductor Revenue M$"/>
    <x v="5"/>
    <n v="0"/>
  </r>
  <r>
    <s v="Discrete AI"/>
    <x v="4"/>
    <x v="4"/>
    <s v="Consumer Electronics"/>
    <s v="Head Mounted Display"/>
    <s v="Semiconductor Revenue M$"/>
    <x v="6"/>
    <n v="0"/>
  </r>
  <r>
    <s v="Discrete AI"/>
    <x v="4"/>
    <x v="4"/>
    <s v="Consumer Electronics"/>
    <s v="Smart Watches"/>
    <s v="Semiconductor Revenue M$"/>
    <x v="0"/>
    <n v="0"/>
  </r>
  <r>
    <s v="Discrete AI"/>
    <x v="4"/>
    <x v="4"/>
    <s v="Consumer Electronics"/>
    <s v="Smart Watches"/>
    <s v="Semiconductor Revenue M$"/>
    <x v="1"/>
    <n v="0"/>
  </r>
  <r>
    <s v="Discrete AI"/>
    <x v="4"/>
    <x v="4"/>
    <s v="Consumer Electronics"/>
    <s v="Smart Watches"/>
    <s v="Semiconductor Revenue M$"/>
    <x v="2"/>
    <n v="0"/>
  </r>
  <r>
    <s v="Discrete AI"/>
    <x v="4"/>
    <x v="4"/>
    <s v="Consumer Electronics"/>
    <s v="Smart Watches"/>
    <s v="Semiconductor Revenue M$"/>
    <x v="3"/>
    <n v="0"/>
  </r>
  <r>
    <s v="Discrete AI"/>
    <x v="4"/>
    <x v="4"/>
    <s v="Consumer Electronics"/>
    <s v="Smart Watches"/>
    <s v="Semiconductor Revenue M$"/>
    <x v="4"/>
    <n v="0"/>
  </r>
  <r>
    <s v="Discrete AI"/>
    <x v="4"/>
    <x v="4"/>
    <s v="Consumer Electronics"/>
    <s v="Smart Watches"/>
    <s v="Semiconductor Revenue M$"/>
    <x v="5"/>
    <n v="0"/>
  </r>
  <r>
    <s v="Discrete AI"/>
    <x v="4"/>
    <x v="4"/>
    <s v="Consumer Electronics"/>
    <s v="Smart Watches"/>
    <s v="Semiconductor Revenue M$"/>
    <x v="6"/>
    <n v="0"/>
  </r>
  <r>
    <s v="Discrete AI"/>
    <x v="4"/>
    <x v="4"/>
    <s v="Consumer Electronics"/>
    <s v="Sports Watches"/>
    <s v="Semiconductor Revenue M$"/>
    <x v="0"/>
    <n v="0"/>
  </r>
  <r>
    <s v="Discrete AI"/>
    <x v="4"/>
    <x v="4"/>
    <s v="Consumer Electronics"/>
    <s v="Sports Watches"/>
    <s v="Semiconductor Revenue M$"/>
    <x v="1"/>
    <n v="0"/>
  </r>
  <r>
    <s v="Discrete AI"/>
    <x v="4"/>
    <x v="4"/>
    <s v="Consumer Electronics"/>
    <s v="Sports Watches"/>
    <s v="Semiconductor Revenue M$"/>
    <x v="2"/>
    <n v="0"/>
  </r>
  <r>
    <s v="Discrete AI"/>
    <x v="4"/>
    <x v="4"/>
    <s v="Consumer Electronics"/>
    <s v="Sports Watches"/>
    <s v="Semiconductor Revenue M$"/>
    <x v="3"/>
    <n v="0"/>
  </r>
  <r>
    <s v="Discrete AI"/>
    <x v="4"/>
    <x v="4"/>
    <s v="Consumer Electronics"/>
    <s v="Sports Watches"/>
    <s v="Semiconductor Revenue M$"/>
    <x v="4"/>
    <n v="0"/>
  </r>
  <r>
    <s v="Discrete AI"/>
    <x v="4"/>
    <x v="4"/>
    <s v="Consumer Electronics"/>
    <s v="Sports Watches"/>
    <s v="Semiconductor Revenue M$"/>
    <x v="5"/>
    <n v="0"/>
  </r>
  <r>
    <s v="Discrete AI"/>
    <x v="4"/>
    <x v="4"/>
    <s v="Consumer Electronics"/>
    <s v="Sports Watches"/>
    <s v="Semiconductor Revenue M$"/>
    <x v="6"/>
    <n v="0"/>
  </r>
  <r>
    <s v="Discrete AI"/>
    <x v="4"/>
    <x v="4"/>
    <s v="Consumer Electronics"/>
    <s v="Other Consumer Electronics"/>
    <s v="Semiconductor Revenue M$"/>
    <x v="0"/>
    <n v="0.47001747115901971"/>
  </r>
  <r>
    <s v="Discrete AI"/>
    <x v="4"/>
    <x v="4"/>
    <s v="Consumer Electronics"/>
    <s v="Other Consumer Electronics"/>
    <s v="Semiconductor Revenue M$"/>
    <x v="1"/>
    <n v="0.93327722767448718"/>
  </r>
  <r>
    <s v="Discrete AI"/>
    <x v="4"/>
    <x v="4"/>
    <s v="Consumer Electronics"/>
    <s v="Other Consumer Electronics"/>
    <s v="Semiconductor Revenue M$"/>
    <x v="2"/>
    <n v="1.5455963879200814"/>
  </r>
  <r>
    <s v="Discrete AI"/>
    <x v="4"/>
    <x v="4"/>
    <s v="Consumer Electronics"/>
    <s v="Other Consumer Electronics"/>
    <s v="Semiconductor Revenue M$"/>
    <x v="3"/>
    <n v="2.8158912915081333"/>
  </r>
  <r>
    <s v="Discrete AI"/>
    <x v="4"/>
    <x v="4"/>
    <s v="Consumer Electronics"/>
    <s v="Other Consumer Electronics"/>
    <s v="Semiconductor Revenue M$"/>
    <x v="4"/>
    <n v="4.2666921579733232"/>
  </r>
  <r>
    <s v="Discrete AI"/>
    <x v="4"/>
    <x v="4"/>
    <s v="Consumer Electronics"/>
    <s v="Other Consumer Electronics"/>
    <s v="Semiconductor Revenue M$"/>
    <x v="5"/>
    <n v="6.2626865166855739"/>
  </r>
  <r>
    <s v="Discrete AI"/>
    <x v="4"/>
    <x v="4"/>
    <s v="Consumer Electronics"/>
    <s v="Other Consumer Electronics"/>
    <s v="Semiconductor Revenue M$"/>
    <x v="6"/>
    <n v="7.73157067324445"/>
  </r>
  <r>
    <s v="Discrete AI"/>
    <x v="4"/>
    <x v="3"/>
    <s v="Automotive Electronics"/>
    <s v="ADAS-Sensors and Connectivity"/>
    <s v="Semiconductor Revenue M$"/>
    <x v="0"/>
    <n v="0.13751291014940631"/>
  </r>
  <r>
    <s v="Discrete AI"/>
    <x v="4"/>
    <x v="3"/>
    <s v="Automotive Electronics"/>
    <s v="ADAS-Sensors and Connectivity"/>
    <s v="Semiconductor Revenue M$"/>
    <x v="1"/>
    <n v="0.33614493068100471"/>
  </r>
  <r>
    <s v="Discrete AI"/>
    <x v="4"/>
    <x v="3"/>
    <s v="Automotive Electronics"/>
    <s v="ADAS-Sensors and Connectivity"/>
    <s v="Semiconductor Revenue M$"/>
    <x v="2"/>
    <n v="0.83756660365866353"/>
  </r>
  <r>
    <s v="Discrete AI"/>
    <x v="4"/>
    <x v="3"/>
    <s v="Automotive Electronics"/>
    <s v="ADAS-Sensors and Connectivity"/>
    <s v="Semiconductor Revenue M$"/>
    <x v="3"/>
    <n v="1.7763289883481497"/>
  </r>
  <r>
    <s v="Discrete AI"/>
    <x v="4"/>
    <x v="3"/>
    <s v="Automotive Electronics"/>
    <s v="ADAS-Sensors and Connectivity"/>
    <s v="Semiconductor Revenue M$"/>
    <x v="4"/>
    <n v="2.5101205819157069"/>
  </r>
  <r>
    <s v="Discrete AI"/>
    <x v="4"/>
    <x v="3"/>
    <s v="Automotive Electronics"/>
    <s v="ADAS-Sensors and Connectivity"/>
    <s v="Semiconductor Revenue M$"/>
    <x v="5"/>
    <n v="4.1883212112996517"/>
  </r>
  <r>
    <s v="Discrete AI"/>
    <x v="4"/>
    <x v="3"/>
    <s v="Automotive Electronics"/>
    <s v="ADAS-Sensors and Connectivity"/>
    <s v="Semiconductor Revenue M$"/>
    <x v="6"/>
    <n v="6.6484141725314068"/>
  </r>
  <r>
    <s v="Discrete AI"/>
    <x v="4"/>
    <x v="3"/>
    <s v="Automotive Electronics"/>
    <s v="Body"/>
    <s v="Semiconductor Revenue M$"/>
    <x v="0"/>
    <n v="0"/>
  </r>
  <r>
    <s v="Discrete AI"/>
    <x v="4"/>
    <x v="3"/>
    <s v="Automotive Electronics"/>
    <s v="Body"/>
    <s v="Semiconductor Revenue M$"/>
    <x v="1"/>
    <n v="0"/>
  </r>
  <r>
    <s v="Discrete AI"/>
    <x v="4"/>
    <x v="3"/>
    <s v="Automotive Electronics"/>
    <s v="Body"/>
    <s v="Semiconductor Revenue M$"/>
    <x v="2"/>
    <n v="0"/>
  </r>
  <r>
    <s v="Discrete AI"/>
    <x v="4"/>
    <x v="3"/>
    <s v="Automotive Electronics"/>
    <s v="Body"/>
    <s v="Semiconductor Revenue M$"/>
    <x v="3"/>
    <n v="0"/>
  </r>
  <r>
    <s v="Discrete AI"/>
    <x v="4"/>
    <x v="3"/>
    <s v="Automotive Electronics"/>
    <s v="Body"/>
    <s v="Semiconductor Revenue M$"/>
    <x v="4"/>
    <n v="0"/>
  </r>
  <r>
    <s v="Discrete AI"/>
    <x v="4"/>
    <x v="3"/>
    <s v="Automotive Electronics"/>
    <s v="Body"/>
    <s v="Semiconductor Revenue M$"/>
    <x v="5"/>
    <n v="0"/>
  </r>
  <r>
    <s v="Discrete AI"/>
    <x v="4"/>
    <x v="3"/>
    <s v="Automotive Electronics"/>
    <s v="Body"/>
    <s v="Semiconductor Revenue M$"/>
    <x v="6"/>
    <n v="0"/>
  </r>
  <r>
    <s v="Discrete AI"/>
    <x v="4"/>
    <x v="3"/>
    <s v="Automotive Electronics"/>
    <s v="Chassis"/>
    <s v="Semiconductor Revenue M$"/>
    <x v="0"/>
    <n v="0"/>
  </r>
  <r>
    <s v="Discrete AI"/>
    <x v="4"/>
    <x v="3"/>
    <s v="Automotive Electronics"/>
    <s v="Chassis"/>
    <s v="Semiconductor Revenue M$"/>
    <x v="1"/>
    <n v="0"/>
  </r>
  <r>
    <s v="Discrete AI"/>
    <x v="4"/>
    <x v="3"/>
    <s v="Automotive Electronics"/>
    <s v="Chassis"/>
    <s v="Semiconductor Revenue M$"/>
    <x v="2"/>
    <n v="0"/>
  </r>
  <r>
    <s v="Discrete AI"/>
    <x v="4"/>
    <x v="3"/>
    <s v="Automotive Electronics"/>
    <s v="Chassis"/>
    <s v="Semiconductor Revenue M$"/>
    <x v="3"/>
    <n v="0"/>
  </r>
  <r>
    <s v="Discrete AI"/>
    <x v="4"/>
    <x v="3"/>
    <s v="Automotive Electronics"/>
    <s v="Chassis"/>
    <s v="Semiconductor Revenue M$"/>
    <x v="4"/>
    <n v="0"/>
  </r>
  <r>
    <s v="Discrete AI"/>
    <x v="4"/>
    <x v="3"/>
    <s v="Automotive Electronics"/>
    <s v="Chassis"/>
    <s v="Semiconductor Revenue M$"/>
    <x v="5"/>
    <n v="0"/>
  </r>
  <r>
    <s v="Discrete AI"/>
    <x v="4"/>
    <x v="3"/>
    <s v="Automotive Electronics"/>
    <s v="Chassis"/>
    <s v="Semiconductor Revenue M$"/>
    <x v="6"/>
    <n v="0"/>
  </r>
  <r>
    <s v="Discrete AI"/>
    <x v="4"/>
    <x v="3"/>
    <s v="Automotive Electronics"/>
    <s v="EV/HEV"/>
    <s v="Semiconductor Revenue M$"/>
    <x v="0"/>
    <n v="0"/>
  </r>
  <r>
    <s v="Discrete AI"/>
    <x v="4"/>
    <x v="3"/>
    <s v="Automotive Electronics"/>
    <s v="EV/HEV"/>
    <s v="Semiconductor Revenue M$"/>
    <x v="1"/>
    <n v="0"/>
  </r>
  <r>
    <s v="Discrete AI"/>
    <x v="4"/>
    <x v="3"/>
    <s v="Automotive Electronics"/>
    <s v="EV/HEV"/>
    <s v="Semiconductor Revenue M$"/>
    <x v="2"/>
    <n v="0"/>
  </r>
  <r>
    <s v="Discrete AI"/>
    <x v="4"/>
    <x v="3"/>
    <s v="Automotive Electronics"/>
    <s v="EV/HEV"/>
    <s v="Semiconductor Revenue M$"/>
    <x v="3"/>
    <n v="0"/>
  </r>
  <r>
    <s v="Discrete AI"/>
    <x v="4"/>
    <x v="3"/>
    <s v="Automotive Electronics"/>
    <s v="EV/HEV"/>
    <s v="Semiconductor Revenue M$"/>
    <x v="4"/>
    <n v="0"/>
  </r>
  <r>
    <s v="Discrete AI"/>
    <x v="4"/>
    <x v="3"/>
    <s v="Automotive Electronics"/>
    <s v="EV/HEV"/>
    <s v="Semiconductor Revenue M$"/>
    <x v="5"/>
    <n v="0"/>
  </r>
  <r>
    <s v="Discrete AI"/>
    <x v="4"/>
    <x v="3"/>
    <s v="Automotive Electronics"/>
    <s v="EV/HEV"/>
    <s v="Semiconductor Revenue M$"/>
    <x v="6"/>
    <n v="0"/>
  </r>
  <r>
    <s v="Discrete AI"/>
    <x v="4"/>
    <x v="3"/>
    <s v="Automotive Electronics"/>
    <s v="Infotainment"/>
    <s v="Semiconductor Revenue M$"/>
    <x v="0"/>
    <n v="2.2605033783057878E-3"/>
  </r>
  <r>
    <s v="Discrete AI"/>
    <x v="4"/>
    <x v="3"/>
    <s v="Automotive Electronics"/>
    <s v="Infotainment"/>
    <s v="Semiconductor Revenue M$"/>
    <x v="1"/>
    <n v="1.1568758094349332E-2"/>
  </r>
  <r>
    <s v="Discrete AI"/>
    <x v="4"/>
    <x v="3"/>
    <s v="Automotive Electronics"/>
    <s v="Infotainment"/>
    <s v="Semiconductor Revenue M$"/>
    <x v="2"/>
    <n v="4.7755266185310646E-2"/>
  </r>
  <r>
    <s v="Discrete AI"/>
    <x v="4"/>
    <x v="3"/>
    <s v="Automotive Electronics"/>
    <s v="Infotainment"/>
    <s v="Semiconductor Revenue M$"/>
    <x v="3"/>
    <n v="0.20558329524727781"/>
  </r>
  <r>
    <s v="Discrete AI"/>
    <x v="4"/>
    <x v="3"/>
    <s v="Automotive Electronics"/>
    <s v="Infotainment"/>
    <s v="Semiconductor Revenue M$"/>
    <x v="4"/>
    <n v="0.85819850964379274"/>
  </r>
  <r>
    <s v="Discrete AI"/>
    <x v="4"/>
    <x v="3"/>
    <s v="Automotive Electronics"/>
    <s v="Infotainment"/>
    <s v="Semiconductor Revenue M$"/>
    <x v="5"/>
    <n v="1.3993725075727672"/>
  </r>
  <r>
    <s v="Discrete AI"/>
    <x v="4"/>
    <x v="3"/>
    <s v="Automotive Electronics"/>
    <s v="Infotainment"/>
    <s v="Semiconductor Revenue M$"/>
    <x v="6"/>
    <n v="2.0267635484561608"/>
  </r>
  <r>
    <s v="Discrete AI"/>
    <x v="4"/>
    <x v="3"/>
    <s v="Automotive Electronics"/>
    <s v="Instrument Cluster"/>
    <s v="Semiconductor Revenue M$"/>
    <x v="0"/>
    <n v="0"/>
  </r>
  <r>
    <s v="Discrete AI"/>
    <x v="4"/>
    <x v="3"/>
    <s v="Automotive Electronics"/>
    <s v="Instrument Cluster"/>
    <s v="Semiconductor Revenue M$"/>
    <x v="1"/>
    <n v="0"/>
  </r>
  <r>
    <s v="Discrete AI"/>
    <x v="4"/>
    <x v="3"/>
    <s v="Automotive Electronics"/>
    <s v="Instrument Cluster"/>
    <s v="Semiconductor Revenue M$"/>
    <x v="2"/>
    <n v="0"/>
  </r>
  <r>
    <s v="Discrete AI"/>
    <x v="4"/>
    <x v="3"/>
    <s v="Automotive Electronics"/>
    <s v="Instrument Cluster"/>
    <s v="Semiconductor Revenue M$"/>
    <x v="3"/>
    <n v="0"/>
  </r>
  <r>
    <s v="Discrete AI"/>
    <x v="4"/>
    <x v="3"/>
    <s v="Automotive Electronics"/>
    <s v="Instrument Cluster"/>
    <s v="Semiconductor Revenue M$"/>
    <x v="4"/>
    <n v="0"/>
  </r>
  <r>
    <s v="Discrete AI"/>
    <x v="4"/>
    <x v="3"/>
    <s v="Automotive Electronics"/>
    <s v="Instrument Cluster"/>
    <s v="Semiconductor Revenue M$"/>
    <x v="5"/>
    <n v="0"/>
  </r>
  <r>
    <s v="Discrete AI"/>
    <x v="4"/>
    <x v="3"/>
    <s v="Automotive Electronics"/>
    <s v="Instrument Cluster"/>
    <s v="Semiconductor Revenue M$"/>
    <x v="6"/>
    <n v="0"/>
  </r>
  <r>
    <s v="Discrete AI"/>
    <x v="4"/>
    <x v="3"/>
    <s v="Automotive Electronics"/>
    <s v="Powertrain"/>
    <s v="Semiconductor Revenue M$"/>
    <x v="0"/>
    <n v="0"/>
  </r>
  <r>
    <s v="Discrete AI"/>
    <x v="4"/>
    <x v="3"/>
    <s v="Automotive Electronics"/>
    <s v="Powertrain"/>
    <s v="Semiconductor Revenue M$"/>
    <x v="1"/>
    <n v="0"/>
  </r>
  <r>
    <s v="Discrete AI"/>
    <x v="4"/>
    <x v="3"/>
    <s v="Automotive Electronics"/>
    <s v="Powertrain"/>
    <s v="Semiconductor Revenue M$"/>
    <x v="2"/>
    <n v="0"/>
  </r>
  <r>
    <s v="Discrete AI"/>
    <x v="4"/>
    <x v="3"/>
    <s v="Automotive Electronics"/>
    <s v="Powertrain"/>
    <s v="Semiconductor Revenue M$"/>
    <x v="3"/>
    <n v="0"/>
  </r>
  <r>
    <s v="Discrete AI"/>
    <x v="4"/>
    <x v="3"/>
    <s v="Automotive Electronics"/>
    <s v="Powertrain"/>
    <s v="Semiconductor Revenue M$"/>
    <x v="4"/>
    <n v="0"/>
  </r>
  <r>
    <s v="Discrete AI"/>
    <x v="4"/>
    <x v="3"/>
    <s v="Automotive Electronics"/>
    <s v="Powertrain"/>
    <s v="Semiconductor Revenue M$"/>
    <x v="5"/>
    <n v="0"/>
  </r>
  <r>
    <s v="Discrete AI"/>
    <x v="4"/>
    <x v="3"/>
    <s v="Automotive Electronics"/>
    <s v="Powertrain"/>
    <s v="Semiconductor Revenue M$"/>
    <x v="6"/>
    <n v="0"/>
  </r>
  <r>
    <s v="Discrete AI"/>
    <x v="4"/>
    <x v="3"/>
    <s v="Automotive Electronics"/>
    <s v="Safety"/>
    <s v="Semiconductor Revenue M$"/>
    <x v="0"/>
    <n v="6.4722392539841803E-3"/>
  </r>
  <r>
    <s v="Discrete AI"/>
    <x v="4"/>
    <x v="3"/>
    <s v="Automotive Electronics"/>
    <s v="Safety"/>
    <s v="Semiconductor Revenue M$"/>
    <x v="1"/>
    <n v="3.0519139459625703E-2"/>
  </r>
  <r>
    <s v="Discrete AI"/>
    <x v="4"/>
    <x v="3"/>
    <s v="Automotive Electronics"/>
    <s v="Safety"/>
    <s v="Semiconductor Revenue M$"/>
    <x v="2"/>
    <n v="0.12666311994910631"/>
  </r>
  <r>
    <s v="Discrete AI"/>
    <x v="4"/>
    <x v="3"/>
    <s v="Automotive Electronics"/>
    <s v="Safety"/>
    <s v="Semiconductor Revenue M$"/>
    <x v="3"/>
    <n v="0.46253396891663362"/>
  </r>
  <r>
    <s v="Discrete AI"/>
    <x v="4"/>
    <x v="3"/>
    <s v="Automotive Electronics"/>
    <s v="Safety"/>
    <s v="Semiconductor Revenue M$"/>
    <x v="4"/>
    <n v="1.6928950574653507"/>
  </r>
  <r>
    <s v="Discrete AI"/>
    <x v="4"/>
    <x v="3"/>
    <s v="Automotive Electronics"/>
    <s v="Safety"/>
    <s v="Semiconductor Revenue M$"/>
    <x v="5"/>
    <n v="2.2675815447833747"/>
  </r>
  <r>
    <s v="Discrete AI"/>
    <x v="4"/>
    <x v="3"/>
    <s v="Automotive Electronics"/>
    <s v="Safety"/>
    <s v="Semiconductor Revenue M$"/>
    <x v="6"/>
    <n v="5.0197358318207979"/>
  </r>
  <r>
    <s v="Discrete AI"/>
    <x v="4"/>
    <x v="3"/>
    <s v="Automotive Electronics"/>
    <s v="Aftermarket"/>
    <s v="Semiconductor Revenue M$"/>
    <x v="0"/>
    <n v="3.3355547586278481E-4"/>
  </r>
  <r>
    <s v="Discrete AI"/>
    <x v="4"/>
    <x v="3"/>
    <s v="Automotive Electronics"/>
    <s v="Aftermarket"/>
    <s v="Semiconductor Revenue M$"/>
    <x v="1"/>
    <n v="1.5281580601622837E-3"/>
  </r>
  <r>
    <s v="Discrete AI"/>
    <x v="4"/>
    <x v="3"/>
    <s v="Automotive Electronics"/>
    <s v="Aftermarket"/>
    <s v="Semiconductor Revenue M$"/>
    <x v="2"/>
    <n v="6.6226321122673879E-3"/>
  </r>
  <r>
    <s v="Discrete AI"/>
    <x v="4"/>
    <x v="3"/>
    <s v="Automotive Electronics"/>
    <s v="Aftermarket"/>
    <s v="Semiconductor Revenue M$"/>
    <x v="3"/>
    <n v="2.9041159174576846E-2"/>
  </r>
  <r>
    <s v="Discrete AI"/>
    <x v="4"/>
    <x v="3"/>
    <s v="Automotive Electronics"/>
    <s v="Aftermarket"/>
    <s v="Semiconductor Revenue M$"/>
    <x v="4"/>
    <n v="0.12058297354165277"/>
  </r>
  <r>
    <s v="Discrete AI"/>
    <x v="4"/>
    <x v="3"/>
    <s v="Automotive Electronics"/>
    <s v="Aftermarket"/>
    <s v="Semiconductor Revenue M$"/>
    <x v="5"/>
    <n v="0.20197482845789158"/>
  </r>
  <r>
    <s v="Discrete AI"/>
    <x v="4"/>
    <x v="3"/>
    <s v="Automotive Electronics"/>
    <s v="Aftermarket"/>
    <s v="Semiconductor Revenue M$"/>
    <x v="6"/>
    <n v="0.31117766724603652"/>
  </r>
  <r>
    <s v="Discrete AI"/>
    <x v="4"/>
    <x v="5"/>
    <s v="Industrial Electronics"/>
    <s v="Commercial Amusement"/>
    <s v="Semiconductor Revenue M$"/>
    <x v="0"/>
    <n v="2.8282829950825525E-3"/>
  </r>
  <r>
    <s v="Discrete AI"/>
    <x v="4"/>
    <x v="5"/>
    <s v="Industrial Electronics"/>
    <s v="Commercial Amusement"/>
    <s v="Semiconductor Revenue M$"/>
    <x v="1"/>
    <n v="6.3746047334801601E-3"/>
  </r>
  <r>
    <s v="Discrete AI"/>
    <x v="4"/>
    <x v="5"/>
    <s v="Industrial Electronics"/>
    <s v="Commercial Amusement"/>
    <s v="Semiconductor Revenue M$"/>
    <x v="2"/>
    <n v="1.5377138202917478E-2"/>
  </r>
  <r>
    <s v="Discrete AI"/>
    <x v="4"/>
    <x v="5"/>
    <s v="Industrial Electronics"/>
    <s v="Commercial Amusement"/>
    <s v="Semiconductor Revenue M$"/>
    <x v="3"/>
    <n v="3.3835416342425657E-2"/>
  </r>
  <r>
    <s v="Discrete AI"/>
    <x v="4"/>
    <x v="5"/>
    <s v="Industrial Electronics"/>
    <s v="Commercial Amusement"/>
    <s v="Semiconductor Revenue M$"/>
    <x v="4"/>
    <n v="5.404608499838142E-2"/>
  </r>
  <r>
    <s v="Discrete AI"/>
    <x v="4"/>
    <x v="5"/>
    <s v="Industrial Electronics"/>
    <s v="Commercial Amusement"/>
    <s v="Semiconductor Revenue M$"/>
    <x v="5"/>
    <n v="7.5766715890438194E-2"/>
  </r>
  <r>
    <s v="Discrete AI"/>
    <x v="4"/>
    <x v="5"/>
    <s v="Industrial Electronics"/>
    <s v="Commercial Amusement"/>
    <s v="Semiconductor Revenue M$"/>
    <x v="6"/>
    <n v="9.731210415846922E-2"/>
  </r>
  <r>
    <s v="Discrete AI"/>
    <x v="4"/>
    <x v="5"/>
    <s v="Industrial Electronics"/>
    <s v="Automation"/>
    <s v="Semiconductor Revenue M$"/>
    <x v="0"/>
    <n v="5.8335564350485453E-2"/>
  </r>
  <r>
    <s v="Discrete AI"/>
    <x v="4"/>
    <x v="5"/>
    <s v="Industrial Electronics"/>
    <s v="Automation"/>
    <s v="Semiconductor Revenue M$"/>
    <x v="1"/>
    <n v="0.14862089089458344"/>
  </r>
  <r>
    <s v="Discrete AI"/>
    <x v="4"/>
    <x v="5"/>
    <s v="Industrial Electronics"/>
    <s v="Automation"/>
    <s v="Semiconductor Revenue M$"/>
    <x v="2"/>
    <n v="0.31381423520148266"/>
  </r>
  <r>
    <s v="Discrete AI"/>
    <x v="4"/>
    <x v="5"/>
    <s v="Industrial Electronics"/>
    <s v="Automation"/>
    <s v="Semiconductor Revenue M$"/>
    <x v="3"/>
    <n v="0.68898616700354021"/>
  </r>
  <r>
    <s v="Discrete AI"/>
    <x v="4"/>
    <x v="5"/>
    <s v="Industrial Electronics"/>
    <s v="Automation"/>
    <s v="Semiconductor Revenue M$"/>
    <x v="4"/>
    <n v="1.02649620111123"/>
  </r>
  <r>
    <s v="Discrete AI"/>
    <x v="4"/>
    <x v="5"/>
    <s v="Industrial Electronics"/>
    <s v="Automation"/>
    <s v="Semiconductor Revenue M$"/>
    <x v="5"/>
    <n v="1.7330656292978484"/>
  </r>
  <r>
    <s v="Discrete AI"/>
    <x v="4"/>
    <x v="5"/>
    <s v="Industrial Electronics"/>
    <s v="Automation"/>
    <s v="Semiconductor Revenue M$"/>
    <x v="6"/>
    <n v="2.4924407929073951"/>
  </r>
  <r>
    <s v="Discrete AI"/>
    <x v="4"/>
    <x v="5"/>
    <s v="Industrial Electronics"/>
    <s v="Energy Management"/>
    <s v="Semiconductor Revenue M$"/>
    <x v="0"/>
    <n v="4.3125662139802921E-2"/>
  </r>
  <r>
    <s v="Discrete AI"/>
    <x v="4"/>
    <x v="5"/>
    <s v="Industrial Electronics"/>
    <s v="Energy Management"/>
    <s v="Semiconductor Revenue M$"/>
    <x v="1"/>
    <n v="9.3984316000775725E-2"/>
  </r>
  <r>
    <s v="Discrete AI"/>
    <x v="4"/>
    <x v="5"/>
    <s v="Industrial Electronics"/>
    <s v="Energy Management"/>
    <s v="Semiconductor Revenue M$"/>
    <x v="2"/>
    <n v="0.19040244692676916"/>
  </r>
  <r>
    <s v="Discrete AI"/>
    <x v="4"/>
    <x v="5"/>
    <s v="Industrial Electronics"/>
    <s v="Energy Management"/>
    <s v="Semiconductor Revenue M$"/>
    <x v="3"/>
    <n v="0.37934674131482199"/>
  </r>
  <r>
    <s v="Discrete AI"/>
    <x v="4"/>
    <x v="5"/>
    <s v="Industrial Electronics"/>
    <s v="Energy Management"/>
    <s v="Semiconductor Revenue M$"/>
    <x v="4"/>
    <n v="0.51475067629805005"/>
  </r>
  <r>
    <s v="Discrete AI"/>
    <x v="4"/>
    <x v="5"/>
    <s v="Industrial Electronics"/>
    <s v="Energy Management"/>
    <s v="Semiconductor Revenue M$"/>
    <x v="5"/>
    <n v="0.81723342625905404"/>
  </r>
  <r>
    <s v="Discrete AI"/>
    <x v="4"/>
    <x v="5"/>
    <s v="Industrial Electronics"/>
    <s v="Energy Management"/>
    <s v="Semiconductor Revenue M$"/>
    <x v="6"/>
    <n v="1.091636265865201"/>
  </r>
  <r>
    <s v="Discrete AI"/>
    <x v="4"/>
    <x v="5"/>
    <s v="Industrial Electronics"/>
    <s v="Solid-State Lighting"/>
    <s v="Semiconductor Revenue M$"/>
    <x v="0"/>
    <n v="0"/>
  </r>
  <r>
    <s v="Discrete AI"/>
    <x v="4"/>
    <x v="5"/>
    <s v="Industrial Electronics"/>
    <s v="Solid-State Lighting"/>
    <s v="Semiconductor Revenue M$"/>
    <x v="1"/>
    <n v="0"/>
  </r>
  <r>
    <s v="Discrete AI"/>
    <x v="4"/>
    <x v="5"/>
    <s v="Industrial Electronics"/>
    <s v="Solid-State Lighting"/>
    <s v="Semiconductor Revenue M$"/>
    <x v="2"/>
    <n v="0"/>
  </r>
  <r>
    <s v="Discrete AI"/>
    <x v="4"/>
    <x v="5"/>
    <s v="Industrial Electronics"/>
    <s v="Solid-State Lighting"/>
    <s v="Semiconductor Revenue M$"/>
    <x v="3"/>
    <n v="0"/>
  </r>
  <r>
    <s v="Discrete AI"/>
    <x v="4"/>
    <x v="5"/>
    <s v="Industrial Electronics"/>
    <s v="Solid-State Lighting"/>
    <s v="Semiconductor Revenue M$"/>
    <x v="4"/>
    <n v="0"/>
  </r>
  <r>
    <s v="Discrete AI"/>
    <x v="4"/>
    <x v="5"/>
    <s v="Industrial Electronics"/>
    <s v="Solid-State Lighting"/>
    <s v="Semiconductor Revenue M$"/>
    <x v="5"/>
    <n v="0"/>
  </r>
  <r>
    <s v="Discrete AI"/>
    <x v="4"/>
    <x v="5"/>
    <s v="Industrial Electronics"/>
    <s v="Solid-State Lighting"/>
    <s v="Semiconductor Revenue M$"/>
    <x v="6"/>
    <n v="0"/>
  </r>
  <r>
    <s v="Discrete AI"/>
    <x v="4"/>
    <x v="5"/>
    <s v="Industrial Electronics"/>
    <s v="Medical/Healthcare"/>
    <s v="Semiconductor Revenue M$"/>
    <x v="0"/>
    <n v="0.25397334798881011"/>
  </r>
  <r>
    <s v="Discrete AI"/>
    <x v="4"/>
    <x v="5"/>
    <s v="Industrial Electronics"/>
    <s v="Medical/Healthcare"/>
    <s v="Semiconductor Revenue M$"/>
    <x v="1"/>
    <n v="0.60380013416555767"/>
  </r>
  <r>
    <s v="Discrete AI"/>
    <x v="4"/>
    <x v="5"/>
    <s v="Industrial Electronics"/>
    <s v="Medical/Healthcare"/>
    <s v="Semiconductor Revenue M$"/>
    <x v="2"/>
    <n v="1.1062516368066586"/>
  </r>
  <r>
    <s v="Discrete AI"/>
    <x v="4"/>
    <x v="5"/>
    <s v="Industrial Electronics"/>
    <s v="Medical/Healthcare"/>
    <s v="Semiconductor Revenue M$"/>
    <x v="3"/>
    <n v="2.2271044561318099"/>
  </r>
  <r>
    <s v="Discrete AI"/>
    <x v="4"/>
    <x v="5"/>
    <s v="Industrial Electronics"/>
    <s v="Medical/Healthcare"/>
    <s v="Semiconductor Revenue M$"/>
    <x v="4"/>
    <n v="2.8521446450832286"/>
  </r>
  <r>
    <s v="Discrete AI"/>
    <x v="4"/>
    <x v="5"/>
    <s v="Industrial Electronics"/>
    <s v="Medical/Healthcare"/>
    <s v="Semiconductor Revenue M$"/>
    <x v="5"/>
    <n v="4.5602476573908701"/>
  </r>
  <r>
    <s v="Discrete AI"/>
    <x v="4"/>
    <x v="5"/>
    <s v="Industrial Electronics"/>
    <s v="Medical/Healthcare"/>
    <s v="Semiconductor Revenue M$"/>
    <x v="6"/>
    <n v="6.0132317032186107"/>
  </r>
  <r>
    <s v="Discrete AI"/>
    <x v="4"/>
    <x v="5"/>
    <s v="Industrial Electronics"/>
    <s v="Test/Measurement"/>
    <s v="Semiconductor Revenue M$"/>
    <x v="0"/>
    <n v="1.964868358731995E-2"/>
  </r>
  <r>
    <s v="Discrete AI"/>
    <x v="4"/>
    <x v="5"/>
    <s v="Industrial Electronics"/>
    <s v="Test/Measurement"/>
    <s v="Semiconductor Revenue M$"/>
    <x v="1"/>
    <n v="4.4984721699901607E-2"/>
  </r>
  <r>
    <s v="Discrete AI"/>
    <x v="4"/>
    <x v="5"/>
    <s v="Industrial Electronics"/>
    <s v="Test/Measurement"/>
    <s v="Semiconductor Revenue M$"/>
    <x v="2"/>
    <n v="9.0097177053301405E-2"/>
  </r>
  <r>
    <s v="Discrete AI"/>
    <x v="4"/>
    <x v="5"/>
    <s v="Industrial Electronics"/>
    <s v="Test/Measurement"/>
    <s v="Semiconductor Revenue M$"/>
    <x v="3"/>
    <n v="0.16839268705970134"/>
  </r>
  <r>
    <s v="Discrete AI"/>
    <x v="4"/>
    <x v="5"/>
    <s v="Industrial Electronics"/>
    <s v="Test/Measurement"/>
    <s v="Semiconductor Revenue M$"/>
    <x v="4"/>
    <n v="0.21702336123255195"/>
  </r>
  <r>
    <s v="Discrete AI"/>
    <x v="4"/>
    <x v="5"/>
    <s v="Industrial Electronics"/>
    <s v="Test/Measurement"/>
    <s v="Semiconductor Revenue M$"/>
    <x v="5"/>
    <n v="0.33400342390019139"/>
  </r>
  <r>
    <s v="Discrete AI"/>
    <x v="4"/>
    <x v="5"/>
    <s v="Industrial Electronics"/>
    <s v="Test/Measurement"/>
    <s v="Semiconductor Revenue M$"/>
    <x v="6"/>
    <n v="0.43528500921669844"/>
  </r>
  <r>
    <s v="Discrete AI"/>
    <x v="4"/>
    <x v="5"/>
    <s v="Industrial Electronics"/>
    <s v="Other Security"/>
    <s v="Semiconductor Revenue M$"/>
    <x v="0"/>
    <n v="0.29639777679728319"/>
  </r>
  <r>
    <s v="Discrete AI"/>
    <x v="4"/>
    <x v="5"/>
    <s v="Industrial Electronics"/>
    <s v="Other Security"/>
    <s v="Semiconductor Revenue M$"/>
    <x v="1"/>
    <n v="0.66969951182787935"/>
  </r>
  <r>
    <s v="Discrete AI"/>
    <x v="4"/>
    <x v="5"/>
    <s v="Industrial Electronics"/>
    <s v="Other Security"/>
    <s v="Semiconductor Revenue M$"/>
    <x v="2"/>
    <n v="1.2151713064289287"/>
  </r>
  <r>
    <s v="Discrete AI"/>
    <x v="4"/>
    <x v="5"/>
    <s v="Industrial Electronics"/>
    <s v="Other Security"/>
    <s v="Semiconductor Revenue M$"/>
    <x v="3"/>
    <n v="2.0974585866632309"/>
  </r>
  <r>
    <s v="Discrete AI"/>
    <x v="4"/>
    <x v="5"/>
    <s v="Industrial Electronics"/>
    <s v="Other Security"/>
    <s v="Semiconductor Revenue M$"/>
    <x v="4"/>
    <n v="2.7217823399379029"/>
  </r>
  <r>
    <s v="Discrete AI"/>
    <x v="4"/>
    <x v="5"/>
    <s v="Industrial Electronics"/>
    <s v="Other Security"/>
    <s v="Semiconductor Revenue M$"/>
    <x v="5"/>
    <n v="4.1861042158093706"/>
  </r>
  <r>
    <s v="Discrete AI"/>
    <x v="4"/>
    <x v="5"/>
    <s v="Industrial Electronics"/>
    <s v="Other Security"/>
    <s v="Semiconductor Revenue M$"/>
    <x v="6"/>
    <n v="5.4596524513054225"/>
  </r>
  <r>
    <s v="Discrete AI"/>
    <x v="4"/>
    <x v="5"/>
    <s v="Industrial Electronics"/>
    <s v="Transportation"/>
    <s v="Semiconductor Revenue M$"/>
    <x v="0"/>
    <n v="7.1509861782597287E-2"/>
  </r>
  <r>
    <s v="Discrete AI"/>
    <x v="4"/>
    <x v="5"/>
    <s v="Industrial Electronics"/>
    <s v="Transportation"/>
    <s v="Semiconductor Revenue M$"/>
    <x v="1"/>
    <n v="0.16090685481524469"/>
  </r>
  <r>
    <s v="Discrete AI"/>
    <x v="4"/>
    <x v="5"/>
    <s v="Industrial Electronics"/>
    <s v="Transportation"/>
    <s v="Semiconductor Revenue M$"/>
    <x v="2"/>
    <n v="0.32915792711516134"/>
  </r>
  <r>
    <s v="Discrete AI"/>
    <x v="4"/>
    <x v="5"/>
    <s v="Industrial Electronics"/>
    <s v="Transportation"/>
    <s v="Semiconductor Revenue M$"/>
    <x v="3"/>
    <n v="0.58918572372361699"/>
  </r>
  <r>
    <s v="Discrete AI"/>
    <x v="4"/>
    <x v="5"/>
    <s v="Industrial Electronics"/>
    <s v="Transportation"/>
    <s v="Semiconductor Revenue M$"/>
    <x v="4"/>
    <n v="0.78137286628075753"/>
  </r>
  <r>
    <s v="Discrete AI"/>
    <x v="4"/>
    <x v="5"/>
    <s v="Industrial Electronics"/>
    <s v="Transportation"/>
    <s v="Semiconductor Revenue M$"/>
    <x v="5"/>
    <n v="1.2131498964835734"/>
  </r>
  <r>
    <s v="Discrete AI"/>
    <x v="4"/>
    <x v="5"/>
    <s v="Industrial Electronics"/>
    <s v="Transportation"/>
    <s v="Semiconductor Revenue M$"/>
    <x v="6"/>
    <n v="1.5459124377976856"/>
  </r>
  <r>
    <s v="Discrete AI"/>
    <x v="4"/>
    <x v="5"/>
    <s v="Industrial Electronics"/>
    <s v="Other Industrial Electronics"/>
    <s v="Semiconductor Revenue M$"/>
    <x v="0"/>
    <n v="1.2442125691578134"/>
  </r>
  <r>
    <s v="Discrete AI"/>
    <x v="4"/>
    <x v="5"/>
    <s v="Industrial Electronics"/>
    <s v="Other Industrial Electronics"/>
    <s v="Semiconductor Revenue M$"/>
    <x v="1"/>
    <n v="3.2228722184208145"/>
  </r>
  <r>
    <s v="Discrete AI"/>
    <x v="4"/>
    <x v="5"/>
    <s v="Industrial Electronics"/>
    <s v="Other Industrial Electronics"/>
    <s v="Semiconductor Revenue M$"/>
    <x v="2"/>
    <n v="7.3816405245919361"/>
  </r>
  <r>
    <s v="Discrete AI"/>
    <x v="4"/>
    <x v="5"/>
    <s v="Industrial Electronics"/>
    <s v="Other Industrial Electronics"/>
    <s v="Semiconductor Revenue M$"/>
    <x v="3"/>
    <n v="16.963020710542512"/>
  </r>
  <r>
    <s v="Discrete AI"/>
    <x v="4"/>
    <x v="5"/>
    <s v="Industrial Electronics"/>
    <s v="Other Industrial Electronics"/>
    <s v="Semiconductor Revenue M$"/>
    <x v="4"/>
    <n v="25.721798994087699"/>
  </r>
  <r>
    <s v="Discrete AI"/>
    <x v="4"/>
    <x v="5"/>
    <s v="Industrial Electronics"/>
    <s v="Other Industrial Electronics"/>
    <s v="Semiconductor Revenue M$"/>
    <x v="5"/>
    <n v="36.225153352534527"/>
  </r>
  <r>
    <s v="Discrete AI"/>
    <x v="4"/>
    <x v="5"/>
    <s v="Industrial Electronics"/>
    <s v="Other Industrial Electronics"/>
    <s v="Semiconductor Revenue M$"/>
    <x v="6"/>
    <n v="45.340489413779302"/>
  </r>
  <r>
    <s v="Discrete AI"/>
    <x v="4"/>
    <x v="5"/>
    <s v="Industrial Electronics"/>
    <s v="Military/Civil Aerospace Electronics"/>
    <s v="Semiconductor Revenue M$"/>
    <x v="0"/>
    <n v="0.69268531298440583"/>
  </r>
  <r>
    <s v="Discrete AI"/>
    <x v="4"/>
    <x v="5"/>
    <s v="Industrial Electronics"/>
    <s v="Military/Civil Aerospace Electronics"/>
    <s v="Semiconductor Revenue M$"/>
    <x v="1"/>
    <n v="1.9027650562529852"/>
  </r>
  <r>
    <s v="Discrete AI"/>
    <x v="4"/>
    <x v="5"/>
    <s v="Industrial Electronics"/>
    <s v="Military/Civil Aerospace Electronics"/>
    <s v="Semiconductor Revenue M$"/>
    <x v="2"/>
    <n v="4.0454581291059304"/>
  </r>
  <r>
    <s v="Discrete AI"/>
    <x v="4"/>
    <x v="5"/>
    <s v="Industrial Electronics"/>
    <s v="Military/Civil Aerospace Electronics"/>
    <s v="Semiconductor Revenue M$"/>
    <x v="3"/>
    <n v="8.7017358675880949"/>
  </r>
  <r>
    <s v="Discrete AI"/>
    <x v="4"/>
    <x v="5"/>
    <s v="Industrial Electronics"/>
    <s v="Military/Civil Aerospace Electronics"/>
    <s v="Semiconductor Revenue M$"/>
    <x v="4"/>
    <n v="12.259147162899291"/>
  </r>
  <r>
    <s v="Discrete AI"/>
    <x v="4"/>
    <x v="5"/>
    <s v="Industrial Electronics"/>
    <s v="Military/Civil Aerospace Electronics"/>
    <s v="Semiconductor Revenue M$"/>
    <x v="5"/>
    <n v="16.42966894058257"/>
  </r>
  <r>
    <s v="Discrete AI"/>
    <x v="4"/>
    <x v="5"/>
    <s v="Industrial Electronics"/>
    <s v="Military/Civil Aerospace Electronics"/>
    <s v="Semiconductor Revenue M$"/>
    <x v="6"/>
    <n v="18.932317821686354"/>
  </r>
  <r>
    <s v="Discrete AI"/>
    <x v="5"/>
    <x v="0"/>
    <s v="Compute"/>
    <s v="External Monitor"/>
    <s v="Semiconductor Revenue M$"/>
    <x v="0"/>
    <n v="0"/>
  </r>
  <r>
    <s v="Discrete AI"/>
    <x v="5"/>
    <x v="0"/>
    <s v="Compute"/>
    <s v="External Monitor"/>
    <s v="Semiconductor Revenue M$"/>
    <x v="1"/>
    <n v="0"/>
  </r>
  <r>
    <s v="Discrete AI"/>
    <x v="5"/>
    <x v="0"/>
    <s v="Compute"/>
    <s v="External Monitor"/>
    <s v="Semiconductor Revenue M$"/>
    <x v="2"/>
    <n v="0"/>
  </r>
  <r>
    <s v="Discrete AI"/>
    <x v="5"/>
    <x v="0"/>
    <s v="Compute"/>
    <s v="External Monitor"/>
    <s v="Semiconductor Revenue M$"/>
    <x v="3"/>
    <n v="0"/>
  </r>
  <r>
    <s v="Discrete AI"/>
    <x v="5"/>
    <x v="0"/>
    <s v="Compute"/>
    <s v="External Monitor"/>
    <s v="Semiconductor Revenue M$"/>
    <x v="4"/>
    <n v="0"/>
  </r>
  <r>
    <s v="Discrete AI"/>
    <x v="5"/>
    <x v="0"/>
    <s v="Compute"/>
    <s v="External Monitor"/>
    <s v="Semiconductor Revenue M$"/>
    <x v="5"/>
    <n v="0"/>
  </r>
  <r>
    <s v="Discrete AI"/>
    <x v="5"/>
    <x v="0"/>
    <s v="Compute"/>
    <s v="External Monitor"/>
    <s v="Semiconductor Revenue M$"/>
    <x v="6"/>
    <n v="0"/>
  </r>
  <r>
    <s v="Discrete AI"/>
    <x v="5"/>
    <x v="0"/>
    <s v="PC"/>
    <s v="Graphics Cards"/>
    <s v="Semiconductor Revenue M$"/>
    <x v="0"/>
    <n v="0"/>
  </r>
  <r>
    <s v="Discrete AI"/>
    <x v="5"/>
    <x v="0"/>
    <s v="PC"/>
    <s v="Graphics Cards"/>
    <s v="Semiconductor Revenue M$"/>
    <x v="1"/>
    <n v="0"/>
  </r>
  <r>
    <s v="Discrete AI"/>
    <x v="5"/>
    <x v="0"/>
    <s v="PC"/>
    <s v="Graphics Cards"/>
    <s v="Semiconductor Revenue M$"/>
    <x v="2"/>
    <n v="0"/>
  </r>
  <r>
    <s v="Discrete AI"/>
    <x v="5"/>
    <x v="0"/>
    <s v="PC"/>
    <s v="Graphics Cards"/>
    <s v="Semiconductor Revenue M$"/>
    <x v="3"/>
    <n v="0"/>
  </r>
  <r>
    <s v="Discrete AI"/>
    <x v="5"/>
    <x v="0"/>
    <s v="PC"/>
    <s v="Graphics Cards"/>
    <s v="Semiconductor Revenue M$"/>
    <x v="4"/>
    <n v="0"/>
  </r>
  <r>
    <s v="Discrete AI"/>
    <x v="5"/>
    <x v="0"/>
    <s v="PC"/>
    <s v="Graphics Cards"/>
    <s v="Semiconductor Revenue M$"/>
    <x v="5"/>
    <n v="0"/>
  </r>
  <r>
    <s v="Discrete AI"/>
    <x v="5"/>
    <x v="0"/>
    <s v="PC"/>
    <s v="Graphics Cards"/>
    <s v="Semiconductor Revenue M$"/>
    <x v="6"/>
    <n v="0"/>
  </r>
  <r>
    <s v="Discrete AI"/>
    <x v="5"/>
    <x v="0"/>
    <s v="PC"/>
    <s v="Desk-Based PC"/>
    <s v="Semiconductor Revenue M$"/>
    <x v="0"/>
    <n v="0"/>
  </r>
  <r>
    <s v="Discrete AI"/>
    <x v="5"/>
    <x v="0"/>
    <s v="PC"/>
    <s v="Desk-Based PC"/>
    <s v="Semiconductor Revenue M$"/>
    <x v="1"/>
    <n v="0"/>
  </r>
  <r>
    <s v="Discrete AI"/>
    <x v="5"/>
    <x v="0"/>
    <s v="PC"/>
    <s v="Desk-Based PC"/>
    <s v="Semiconductor Revenue M$"/>
    <x v="2"/>
    <n v="0"/>
  </r>
  <r>
    <s v="Discrete AI"/>
    <x v="5"/>
    <x v="0"/>
    <s v="PC"/>
    <s v="Desk-Based PC"/>
    <s v="Semiconductor Revenue M$"/>
    <x v="3"/>
    <n v="0"/>
  </r>
  <r>
    <s v="Discrete AI"/>
    <x v="5"/>
    <x v="0"/>
    <s v="PC"/>
    <s v="Desk-Based PC"/>
    <s v="Semiconductor Revenue M$"/>
    <x v="4"/>
    <n v="0"/>
  </r>
  <r>
    <s v="Discrete AI"/>
    <x v="5"/>
    <x v="0"/>
    <s v="PC"/>
    <s v="Desk-Based PC"/>
    <s v="Semiconductor Revenue M$"/>
    <x v="5"/>
    <n v="0"/>
  </r>
  <r>
    <s v="Discrete AI"/>
    <x v="5"/>
    <x v="0"/>
    <s v="PC"/>
    <s v="Desk-Based PC"/>
    <s v="Semiconductor Revenue M$"/>
    <x v="6"/>
    <n v="0"/>
  </r>
  <r>
    <s v="Discrete AI"/>
    <x v="5"/>
    <x v="0"/>
    <s v="PC"/>
    <s v="Ultramobile Basic, Tablet"/>
    <s v="Semiconductor Revenue M$"/>
    <x v="0"/>
    <n v="0"/>
  </r>
  <r>
    <s v="Discrete AI"/>
    <x v="5"/>
    <x v="0"/>
    <s v="PC"/>
    <s v="Ultramobile Basic, Tablet"/>
    <s v="Semiconductor Revenue M$"/>
    <x v="1"/>
    <n v="0"/>
  </r>
  <r>
    <s v="Discrete AI"/>
    <x v="5"/>
    <x v="0"/>
    <s v="PC"/>
    <s v="Ultramobile Basic, Tablet"/>
    <s v="Semiconductor Revenue M$"/>
    <x v="2"/>
    <n v="0"/>
  </r>
  <r>
    <s v="Discrete AI"/>
    <x v="5"/>
    <x v="0"/>
    <s v="PC"/>
    <s v="Ultramobile Basic, Tablet"/>
    <s v="Semiconductor Revenue M$"/>
    <x v="3"/>
    <n v="0"/>
  </r>
  <r>
    <s v="Discrete AI"/>
    <x v="5"/>
    <x v="0"/>
    <s v="PC"/>
    <s v="Ultramobile Basic, Tablet"/>
    <s v="Semiconductor Revenue M$"/>
    <x v="4"/>
    <n v="0"/>
  </r>
  <r>
    <s v="Discrete AI"/>
    <x v="5"/>
    <x v="0"/>
    <s v="PC"/>
    <s v="Ultramobile Basic, Tablet"/>
    <s v="Semiconductor Revenue M$"/>
    <x v="5"/>
    <n v="0"/>
  </r>
  <r>
    <s v="Discrete AI"/>
    <x v="5"/>
    <x v="0"/>
    <s v="PC"/>
    <s v="Ultramobile Basic, Tablet"/>
    <s v="Semiconductor Revenue M$"/>
    <x v="6"/>
    <n v="0"/>
  </r>
  <r>
    <s v="Discrete AI"/>
    <x v="5"/>
    <x v="0"/>
    <s v="PC"/>
    <s v="Ultramobile Utility, Tablet"/>
    <s v="Semiconductor Revenue M$"/>
    <x v="0"/>
    <n v="0"/>
  </r>
  <r>
    <s v="Discrete AI"/>
    <x v="5"/>
    <x v="0"/>
    <s v="PC"/>
    <s v="Ultramobile Utility, Tablet"/>
    <s v="Semiconductor Revenue M$"/>
    <x v="1"/>
    <n v="0"/>
  </r>
  <r>
    <s v="Discrete AI"/>
    <x v="5"/>
    <x v="0"/>
    <s v="PC"/>
    <s v="Ultramobile Utility, Tablet"/>
    <s v="Semiconductor Revenue M$"/>
    <x v="2"/>
    <n v="0"/>
  </r>
  <r>
    <s v="Discrete AI"/>
    <x v="5"/>
    <x v="0"/>
    <s v="PC"/>
    <s v="Ultramobile Utility, Tablet"/>
    <s v="Semiconductor Revenue M$"/>
    <x v="3"/>
    <n v="0"/>
  </r>
  <r>
    <s v="Discrete AI"/>
    <x v="5"/>
    <x v="0"/>
    <s v="PC"/>
    <s v="Ultramobile Utility, Tablet"/>
    <s v="Semiconductor Revenue M$"/>
    <x v="4"/>
    <n v="0"/>
  </r>
  <r>
    <s v="Discrete AI"/>
    <x v="5"/>
    <x v="0"/>
    <s v="PC"/>
    <s v="Ultramobile Utility, Tablet"/>
    <s v="Semiconductor Revenue M$"/>
    <x v="5"/>
    <n v="0"/>
  </r>
  <r>
    <s v="Discrete AI"/>
    <x v="5"/>
    <x v="0"/>
    <s v="PC"/>
    <s v="Ultramobile Utility, Tablet"/>
    <s v="Semiconductor Revenue M$"/>
    <x v="6"/>
    <n v="0"/>
  </r>
  <r>
    <s v="Discrete AI"/>
    <x v="5"/>
    <x v="0"/>
    <s v="PC"/>
    <s v="Ultramobile Premium, Tablet"/>
    <s v="Semiconductor Revenue M$"/>
    <x v="0"/>
    <n v="0"/>
  </r>
  <r>
    <s v="Discrete AI"/>
    <x v="5"/>
    <x v="0"/>
    <s v="PC"/>
    <s v="Ultramobile Premium, Tablet"/>
    <s v="Semiconductor Revenue M$"/>
    <x v="1"/>
    <n v="0"/>
  </r>
  <r>
    <s v="Discrete AI"/>
    <x v="5"/>
    <x v="0"/>
    <s v="PC"/>
    <s v="Ultramobile Premium, Tablet"/>
    <s v="Semiconductor Revenue M$"/>
    <x v="2"/>
    <n v="0"/>
  </r>
  <r>
    <s v="Discrete AI"/>
    <x v="5"/>
    <x v="0"/>
    <s v="PC"/>
    <s v="Ultramobile Premium, Tablet"/>
    <s v="Semiconductor Revenue M$"/>
    <x v="3"/>
    <n v="0"/>
  </r>
  <r>
    <s v="Discrete AI"/>
    <x v="5"/>
    <x v="0"/>
    <s v="PC"/>
    <s v="Ultramobile Premium, Tablet"/>
    <s v="Semiconductor Revenue M$"/>
    <x v="4"/>
    <n v="0"/>
  </r>
  <r>
    <s v="Discrete AI"/>
    <x v="5"/>
    <x v="0"/>
    <s v="PC"/>
    <s v="Ultramobile Premium, Tablet"/>
    <s v="Semiconductor Revenue M$"/>
    <x v="5"/>
    <n v="0"/>
  </r>
  <r>
    <s v="Discrete AI"/>
    <x v="5"/>
    <x v="0"/>
    <s v="PC"/>
    <s v="Ultramobile Premium, Tablet"/>
    <s v="Semiconductor Revenue M$"/>
    <x v="6"/>
    <n v="0"/>
  </r>
  <r>
    <s v="Discrete AI"/>
    <x v="5"/>
    <x v="0"/>
    <s v="PC"/>
    <s v="Ultramobile Basic, Clamshell"/>
    <s v="Semiconductor Revenue M$"/>
    <x v="0"/>
    <n v="0"/>
  </r>
  <r>
    <s v="Discrete AI"/>
    <x v="5"/>
    <x v="0"/>
    <s v="PC"/>
    <s v="Ultramobile Basic, Clamshell"/>
    <s v="Semiconductor Revenue M$"/>
    <x v="1"/>
    <n v="0"/>
  </r>
  <r>
    <s v="Discrete AI"/>
    <x v="5"/>
    <x v="0"/>
    <s v="PC"/>
    <s v="Ultramobile Basic, Clamshell"/>
    <s v="Semiconductor Revenue M$"/>
    <x v="2"/>
    <n v="0"/>
  </r>
  <r>
    <s v="Discrete AI"/>
    <x v="5"/>
    <x v="0"/>
    <s v="PC"/>
    <s v="Ultramobile Basic, Clamshell"/>
    <s v="Semiconductor Revenue M$"/>
    <x v="3"/>
    <n v="0"/>
  </r>
  <r>
    <s v="Discrete AI"/>
    <x v="5"/>
    <x v="0"/>
    <s v="PC"/>
    <s v="Ultramobile Basic, Clamshell"/>
    <s v="Semiconductor Revenue M$"/>
    <x v="4"/>
    <n v="0"/>
  </r>
  <r>
    <s v="Discrete AI"/>
    <x v="5"/>
    <x v="0"/>
    <s v="PC"/>
    <s v="Ultramobile Basic, Clamshell"/>
    <s v="Semiconductor Revenue M$"/>
    <x v="5"/>
    <n v="0"/>
  </r>
  <r>
    <s v="Discrete AI"/>
    <x v="5"/>
    <x v="0"/>
    <s v="PC"/>
    <s v="Ultramobile Basic, Clamshell"/>
    <s v="Semiconductor Revenue M$"/>
    <x v="6"/>
    <n v="0"/>
  </r>
  <r>
    <s v="Discrete AI"/>
    <x v="5"/>
    <x v="0"/>
    <s v="PC"/>
    <s v="Ultramobile Premium, Clamshell"/>
    <s v="Semiconductor Revenue M$"/>
    <x v="0"/>
    <n v="0"/>
  </r>
  <r>
    <s v="Discrete AI"/>
    <x v="5"/>
    <x v="0"/>
    <s v="PC"/>
    <s v="Ultramobile Premium, Clamshell"/>
    <s v="Semiconductor Revenue M$"/>
    <x v="1"/>
    <n v="0"/>
  </r>
  <r>
    <s v="Discrete AI"/>
    <x v="5"/>
    <x v="0"/>
    <s v="PC"/>
    <s v="Ultramobile Premium, Clamshell"/>
    <s v="Semiconductor Revenue M$"/>
    <x v="2"/>
    <n v="0"/>
  </r>
  <r>
    <s v="Discrete AI"/>
    <x v="5"/>
    <x v="0"/>
    <s v="PC"/>
    <s v="Ultramobile Premium, Clamshell"/>
    <s v="Semiconductor Revenue M$"/>
    <x v="3"/>
    <n v="0"/>
  </r>
  <r>
    <s v="Discrete AI"/>
    <x v="5"/>
    <x v="0"/>
    <s v="PC"/>
    <s v="Ultramobile Premium, Clamshell"/>
    <s v="Semiconductor Revenue M$"/>
    <x v="4"/>
    <n v="0"/>
  </r>
  <r>
    <s v="Discrete AI"/>
    <x v="5"/>
    <x v="0"/>
    <s v="PC"/>
    <s v="Ultramobile Premium, Clamshell"/>
    <s v="Semiconductor Revenue M$"/>
    <x v="5"/>
    <n v="0"/>
  </r>
  <r>
    <s v="Discrete AI"/>
    <x v="5"/>
    <x v="0"/>
    <s v="PC"/>
    <s v="Ultramobile Premium, Clamshell"/>
    <s v="Semiconductor Revenue M$"/>
    <x v="6"/>
    <n v="0"/>
  </r>
  <r>
    <s v="Discrete AI"/>
    <x v="5"/>
    <x v="0"/>
    <s v="PC"/>
    <s v="Ultramobile Basic, Hybrid"/>
    <s v="Semiconductor Revenue M$"/>
    <x v="0"/>
    <n v="0"/>
  </r>
  <r>
    <s v="Discrete AI"/>
    <x v="5"/>
    <x v="0"/>
    <s v="PC"/>
    <s v="Ultramobile Basic, Hybrid"/>
    <s v="Semiconductor Revenue M$"/>
    <x v="1"/>
    <n v="0"/>
  </r>
  <r>
    <s v="Discrete AI"/>
    <x v="5"/>
    <x v="0"/>
    <s v="PC"/>
    <s v="Ultramobile Basic, Hybrid"/>
    <s v="Semiconductor Revenue M$"/>
    <x v="2"/>
    <n v="0"/>
  </r>
  <r>
    <s v="Discrete AI"/>
    <x v="5"/>
    <x v="0"/>
    <s v="PC"/>
    <s v="Ultramobile Basic, Hybrid"/>
    <s v="Semiconductor Revenue M$"/>
    <x v="3"/>
    <n v="0"/>
  </r>
  <r>
    <s v="Discrete AI"/>
    <x v="5"/>
    <x v="0"/>
    <s v="PC"/>
    <s v="Ultramobile Basic, Hybrid"/>
    <s v="Semiconductor Revenue M$"/>
    <x v="4"/>
    <n v="0"/>
  </r>
  <r>
    <s v="Discrete AI"/>
    <x v="5"/>
    <x v="0"/>
    <s v="PC"/>
    <s v="Ultramobile Basic, Hybrid"/>
    <s v="Semiconductor Revenue M$"/>
    <x v="5"/>
    <n v="0"/>
  </r>
  <r>
    <s v="Discrete AI"/>
    <x v="5"/>
    <x v="0"/>
    <s v="PC"/>
    <s v="Ultramobile Basic, Hybrid"/>
    <s v="Semiconductor Revenue M$"/>
    <x v="6"/>
    <n v="0"/>
  </r>
  <r>
    <s v="Discrete AI"/>
    <x v="5"/>
    <x v="0"/>
    <s v="PC"/>
    <s v="Ultramobile Premium, Hybrid"/>
    <s v="Semiconductor Revenue M$"/>
    <x v="0"/>
    <n v="0"/>
  </r>
  <r>
    <s v="Discrete AI"/>
    <x v="5"/>
    <x v="0"/>
    <s v="PC"/>
    <s v="Ultramobile Premium, Hybrid"/>
    <s v="Semiconductor Revenue M$"/>
    <x v="1"/>
    <n v="0"/>
  </r>
  <r>
    <s v="Discrete AI"/>
    <x v="5"/>
    <x v="0"/>
    <s v="PC"/>
    <s v="Ultramobile Premium, Hybrid"/>
    <s v="Semiconductor Revenue M$"/>
    <x v="2"/>
    <n v="0"/>
  </r>
  <r>
    <s v="Discrete AI"/>
    <x v="5"/>
    <x v="0"/>
    <s v="PC"/>
    <s v="Ultramobile Premium, Hybrid"/>
    <s v="Semiconductor Revenue M$"/>
    <x v="3"/>
    <n v="0"/>
  </r>
  <r>
    <s v="Discrete AI"/>
    <x v="5"/>
    <x v="0"/>
    <s v="PC"/>
    <s v="Ultramobile Premium, Hybrid"/>
    <s v="Semiconductor Revenue M$"/>
    <x v="4"/>
    <n v="0"/>
  </r>
  <r>
    <s v="Discrete AI"/>
    <x v="5"/>
    <x v="0"/>
    <s v="PC"/>
    <s v="Ultramobile Premium, Hybrid"/>
    <s v="Semiconductor Revenue M$"/>
    <x v="5"/>
    <n v="0"/>
  </r>
  <r>
    <s v="Discrete AI"/>
    <x v="5"/>
    <x v="0"/>
    <s v="PC"/>
    <s v="Ultramobile Premium, Hybrid"/>
    <s v="Semiconductor Revenue M$"/>
    <x v="6"/>
    <n v="0"/>
  </r>
  <r>
    <s v="Discrete AI"/>
    <x v="5"/>
    <x v="0"/>
    <s v="PC"/>
    <s v="Notebook"/>
    <s v="Semiconductor Revenue M$"/>
    <x v="0"/>
    <n v="0"/>
  </r>
  <r>
    <s v="Discrete AI"/>
    <x v="5"/>
    <x v="0"/>
    <s v="PC"/>
    <s v="Notebook"/>
    <s v="Semiconductor Revenue M$"/>
    <x v="1"/>
    <n v="0"/>
  </r>
  <r>
    <s v="Discrete AI"/>
    <x v="5"/>
    <x v="0"/>
    <s v="PC"/>
    <s v="Notebook"/>
    <s v="Semiconductor Revenue M$"/>
    <x v="2"/>
    <n v="0"/>
  </r>
  <r>
    <s v="Discrete AI"/>
    <x v="5"/>
    <x v="0"/>
    <s v="PC"/>
    <s v="Notebook"/>
    <s v="Semiconductor Revenue M$"/>
    <x v="3"/>
    <n v="0"/>
  </r>
  <r>
    <s v="Discrete AI"/>
    <x v="5"/>
    <x v="0"/>
    <s v="PC"/>
    <s v="Notebook"/>
    <s v="Semiconductor Revenue M$"/>
    <x v="4"/>
    <n v="0"/>
  </r>
  <r>
    <s v="Discrete AI"/>
    <x v="5"/>
    <x v="0"/>
    <s v="PC"/>
    <s v="Notebook"/>
    <s v="Semiconductor Revenue M$"/>
    <x v="5"/>
    <n v="0"/>
  </r>
  <r>
    <s v="Discrete AI"/>
    <x v="5"/>
    <x v="0"/>
    <s v="PC"/>
    <s v="Notebook"/>
    <s v="Semiconductor Revenue M$"/>
    <x v="6"/>
    <n v="0"/>
  </r>
  <r>
    <s v="Discrete AI"/>
    <x v="5"/>
    <x v="0"/>
    <s v="Compute"/>
    <s v="Printer/Copier"/>
    <s v="Semiconductor Revenue M$"/>
    <x v="0"/>
    <n v="0"/>
  </r>
  <r>
    <s v="Discrete AI"/>
    <x v="5"/>
    <x v="0"/>
    <s v="Compute"/>
    <s v="Printer/Copier"/>
    <s v="Semiconductor Revenue M$"/>
    <x v="1"/>
    <n v="0"/>
  </r>
  <r>
    <s v="Discrete AI"/>
    <x v="5"/>
    <x v="0"/>
    <s v="Compute"/>
    <s v="Printer/Copier"/>
    <s v="Semiconductor Revenue M$"/>
    <x v="2"/>
    <n v="0"/>
  </r>
  <r>
    <s v="Discrete AI"/>
    <x v="5"/>
    <x v="0"/>
    <s v="Compute"/>
    <s v="Printer/Copier"/>
    <s v="Semiconductor Revenue M$"/>
    <x v="3"/>
    <n v="0"/>
  </r>
  <r>
    <s v="Discrete AI"/>
    <x v="5"/>
    <x v="0"/>
    <s v="Compute"/>
    <s v="Printer/Copier"/>
    <s v="Semiconductor Revenue M$"/>
    <x v="4"/>
    <n v="0"/>
  </r>
  <r>
    <s v="Discrete AI"/>
    <x v="5"/>
    <x v="0"/>
    <s v="Compute"/>
    <s v="Printer/Copier"/>
    <s v="Semiconductor Revenue M$"/>
    <x v="5"/>
    <n v="0"/>
  </r>
  <r>
    <s v="Discrete AI"/>
    <x v="5"/>
    <x v="0"/>
    <s v="Compute"/>
    <s v="Printer/Copier"/>
    <s v="Semiconductor Revenue M$"/>
    <x v="6"/>
    <n v="0"/>
  </r>
  <r>
    <s v="Discrete AI"/>
    <x v="5"/>
    <x v="0"/>
    <s v="Compute"/>
    <s v="Flash Cards"/>
    <s v="Semiconductor Revenue M$"/>
    <x v="0"/>
    <n v="0"/>
  </r>
  <r>
    <s v="Discrete AI"/>
    <x v="5"/>
    <x v="0"/>
    <s v="Compute"/>
    <s v="Flash Cards"/>
    <s v="Semiconductor Revenue M$"/>
    <x v="1"/>
    <n v="0"/>
  </r>
  <r>
    <s v="Discrete AI"/>
    <x v="5"/>
    <x v="0"/>
    <s v="Compute"/>
    <s v="Flash Cards"/>
    <s v="Semiconductor Revenue M$"/>
    <x v="2"/>
    <n v="0"/>
  </r>
  <r>
    <s v="Discrete AI"/>
    <x v="5"/>
    <x v="0"/>
    <s v="Compute"/>
    <s v="Flash Cards"/>
    <s v="Semiconductor Revenue M$"/>
    <x v="3"/>
    <n v="0"/>
  </r>
  <r>
    <s v="Discrete AI"/>
    <x v="5"/>
    <x v="0"/>
    <s v="Compute"/>
    <s v="Flash Cards"/>
    <s v="Semiconductor Revenue M$"/>
    <x v="4"/>
    <n v="0"/>
  </r>
  <r>
    <s v="Discrete AI"/>
    <x v="5"/>
    <x v="0"/>
    <s v="Compute"/>
    <s v="Flash Cards"/>
    <s v="Semiconductor Revenue M$"/>
    <x v="5"/>
    <n v="0"/>
  </r>
  <r>
    <s v="Discrete AI"/>
    <x v="5"/>
    <x v="0"/>
    <s v="Compute"/>
    <s v="Flash Cards"/>
    <s v="Semiconductor Revenue M$"/>
    <x v="6"/>
    <n v="0"/>
  </r>
  <r>
    <s v="Discrete AI"/>
    <x v="5"/>
    <x v="0"/>
    <s v="Compute"/>
    <s v="USB Flash Drives"/>
    <s v="Semiconductor Revenue M$"/>
    <x v="0"/>
    <n v="0"/>
  </r>
  <r>
    <s v="Discrete AI"/>
    <x v="5"/>
    <x v="0"/>
    <s v="Compute"/>
    <s v="USB Flash Drives"/>
    <s v="Semiconductor Revenue M$"/>
    <x v="1"/>
    <n v="0"/>
  </r>
  <r>
    <s v="Discrete AI"/>
    <x v="5"/>
    <x v="0"/>
    <s v="Compute"/>
    <s v="USB Flash Drives"/>
    <s v="Semiconductor Revenue M$"/>
    <x v="2"/>
    <n v="0"/>
  </r>
  <r>
    <s v="Discrete AI"/>
    <x v="5"/>
    <x v="0"/>
    <s v="Compute"/>
    <s v="USB Flash Drives"/>
    <s v="Semiconductor Revenue M$"/>
    <x v="3"/>
    <n v="0"/>
  </r>
  <r>
    <s v="Discrete AI"/>
    <x v="5"/>
    <x v="0"/>
    <s v="Compute"/>
    <s v="USB Flash Drives"/>
    <s v="Semiconductor Revenue M$"/>
    <x v="4"/>
    <n v="0"/>
  </r>
  <r>
    <s v="Discrete AI"/>
    <x v="5"/>
    <x v="0"/>
    <s v="Compute"/>
    <s v="USB Flash Drives"/>
    <s v="Semiconductor Revenue M$"/>
    <x v="5"/>
    <n v="0"/>
  </r>
  <r>
    <s v="Discrete AI"/>
    <x v="5"/>
    <x v="0"/>
    <s v="Compute"/>
    <s v="USB Flash Drives"/>
    <s v="Semiconductor Revenue M$"/>
    <x v="6"/>
    <n v="0"/>
  </r>
  <r>
    <s v="Discrete AI"/>
    <x v="5"/>
    <x v="0"/>
    <s v="Servers"/>
    <s v="Server, 4 CPU sockets and over"/>
    <s v="Semiconductor Revenue M$"/>
    <x v="0"/>
    <n v="0"/>
  </r>
  <r>
    <s v="Discrete AI"/>
    <x v="5"/>
    <x v="0"/>
    <s v="Servers"/>
    <s v="Server, 4 CPU sockets and over"/>
    <s v="Semiconductor Revenue M$"/>
    <x v="1"/>
    <n v="0"/>
  </r>
  <r>
    <s v="Discrete AI"/>
    <x v="5"/>
    <x v="0"/>
    <s v="Servers"/>
    <s v="Server, 4 CPU sockets and over"/>
    <s v="Semiconductor Revenue M$"/>
    <x v="2"/>
    <n v="0"/>
  </r>
  <r>
    <s v="Discrete AI"/>
    <x v="5"/>
    <x v="0"/>
    <s v="Servers"/>
    <s v="Server, 4 CPU sockets and over"/>
    <s v="Semiconductor Revenue M$"/>
    <x v="3"/>
    <n v="0"/>
  </r>
  <r>
    <s v="Discrete AI"/>
    <x v="5"/>
    <x v="0"/>
    <s v="Servers"/>
    <s v="Server, 4 CPU sockets and over"/>
    <s v="Semiconductor Revenue M$"/>
    <x v="4"/>
    <n v="0"/>
  </r>
  <r>
    <s v="Discrete AI"/>
    <x v="5"/>
    <x v="0"/>
    <s v="Servers"/>
    <s v="Server, 4 CPU sockets and over"/>
    <s v="Semiconductor Revenue M$"/>
    <x v="5"/>
    <n v="0"/>
  </r>
  <r>
    <s v="Discrete AI"/>
    <x v="5"/>
    <x v="0"/>
    <s v="Servers"/>
    <s v="Server, 4 CPU sockets and over"/>
    <s v="Semiconductor Revenue M$"/>
    <x v="6"/>
    <n v="0"/>
  </r>
  <r>
    <s v="Discrete AI"/>
    <x v="5"/>
    <x v="0"/>
    <s v="Servers"/>
    <s v="Server, 2 CPU socket"/>
    <s v="Semiconductor Revenue M$"/>
    <x v="0"/>
    <n v="0"/>
  </r>
  <r>
    <s v="Discrete AI"/>
    <x v="5"/>
    <x v="0"/>
    <s v="Servers"/>
    <s v="Server, 2 CPU socket"/>
    <s v="Semiconductor Revenue M$"/>
    <x v="1"/>
    <n v="0"/>
  </r>
  <r>
    <s v="Discrete AI"/>
    <x v="5"/>
    <x v="0"/>
    <s v="Servers"/>
    <s v="Server, 2 CPU socket"/>
    <s v="Semiconductor Revenue M$"/>
    <x v="2"/>
    <n v="0"/>
  </r>
  <r>
    <s v="Discrete AI"/>
    <x v="5"/>
    <x v="0"/>
    <s v="Servers"/>
    <s v="Server, 2 CPU socket"/>
    <s v="Semiconductor Revenue M$"/>
    <x v="3"/>
    <n v="0"/>
  </r>
  <r>
    <s v="Discrete AI"/>
    <x v="5"/>
    <x v="0"/>
    <s v="Servers"/>
    <s v="Server, 2 CPU socket"/>
    <s v="Semiconductor Revenue M$"/>
    <x v="4"/>
    <n v="0"/>
  </r>
  <r>
    <s v="Discrete AI"/>
    <x v="5"/>
    <x v="0"/>
    <s v="Servers"/>
    <s v="Server, 2 CPU socket"/>
    <s v="Semiconductor Revenue M$"/>
    <x v="5"/>
    <n v="0"/>
  </r>
  <r>
    <s v="Discrete AI"/>
    <x v="5"/>
    <x v="0"/>
    <s v="Servers"/>
    <s v="Server, 2 CPU socket"/>
    <s v="Semiconductor Revenue M$"/>
    <x v="6"/>
    <n v="0"/>
  </r>
  <r>
    <s v="Discrete AI"/>
    <x v="5"/>
    <x v="0"/>
    <s v="Servers"/>
    <s v="Server, 1 CPU socket"/>
    <s v="Semiconductor Revenue M$"/>
    <x v="0"/>
    <n v="0"/>
  </r>
  <r>
    <s v="Discrete AI"/>
    <x v="5"/>
    <x v="0"/>
    <s v="Servers"/>
    <s v="Server, 1 CPU socket"/>
    <s v="Semiconductor Revenue M$"/>
    <x v="1"/>
    <n v="0"/>
  </r>
  <r>
    <s v="Discrete AI"/>
    <x v="5"/>
    <x v="0"/>
    <s v="Servers"/>
    <s v="Server, 1 CPU socket"/>
    <s v="Semiconductor Revenue M$"/>
    <x v="2"/>
    <n v="0"/>
  </r>
  <r>
    <s v="Discrete AI"/>
    <x v="5"/>
    <x v="0"/>
    <s v="Servers"/>
    <s v="Server, 1 CPU socket"/>
    <s v="Semiconductor Revenue M$"/>
    <x v="3"/>
    <n v="0"/>
  </r>
  <r>
    <s v="Discrete AI"/>
    <x v="5"/>
    <x v="0"/>
    <s v="Servers"/>
    <s v="Server, 1 CPU socket"/>
    <s v="Semiconductor Revenue M$"/>
    <x v="4"/>
    <n v="0"/>
  </r>
  <r>
    <s v="Discrete AI"/>
    <x v="5"/>
    <x v="0"/>
    <s v="Servers"/>
    <s v="Server, 1 CPU socket"/>
    <s v="Semiconductor Revenue M$"/>
    <x v="5"/>
    <n v="0"/>
  </r>
  <r>
    <s v="Discrete AI"/>
    <x v="5"/>
    <x v="0"/>
    <s v="Servers"/>
    <s v="Server, 1 CPU socket"/>
    <s v="Semiconductor Revenue M$"/>
    <x v="6"/>
    <n v="0"/>
  </r>
  <r>
    <s v="Discrete AI"/>
    <x v="5"/>
    <x v="0"/>
    <s v="Compute"/>
    <s v="Smart Cards"/>
    <s v="Semiconductor Revenue M$"/>
    <x v="0"/>
    <n v="0"/>
  </r>
  <r>
    <s v="Discrete AI"/>
    <x v="5"/>
    <x v="0"/>
    <s v="Compute"/>
    <s v="Smart Cards"/>
    <s v="Semiconductor Revenue M$"/>
    <x v="1"/>
    <n v="0"/>
  </r>
  <r>
    <s v="Discrete AI"/>
    <x v="5"/>
    <x v="0"/>
    <s v="Compute"/>
    <s v="Smart Cards"/>
    <s v="Semiconductor Revenue M$"/>
    <x v="2"/>
    <n v="0"/>
  </r>
  <r>
    <s v="Discrete AI"/>
    <x v="5"/>
    <x v="0"/>
    <s v="Compute"/>
    <s v="Smart Cards"/>
    <s v="Semiconductor Revenue M$"/>
    <x v="3"/>
    <n v="0"/>
  </r>
  <r>
    <s v="Discrete AI"/>
    <x v="5"/>
    <x v="0"/>
    <s v="Compute"/>
    <s v="Smart Cards"/>
    <s v="Semiconductor Revenue M$"/>
    <x v="4"/>
    <n v="0"/>
  </r>
  <r>
    <s v="Discrete AI"/>
    <x v="5"/>
    <x v="0"/>
    <s v="Compute"/>
    <s v="Smart Cards"/>
    <s v="Semiconductor Revenue M$"/>
    <x v="5"/>
    <n v="0"/>
  </r>
  <r>
    <s v="Discrete AI"/>
    <x v="5"/>
    <x v="0"/>
    <s v="Compute"/>
    <s v="Smart Cards"/>
    <s v="Semiconductor Revenue M$"/>
    <x v="6"/>
    <n v="0"/>
  </r>
  <r>
    <s v="Discrete AI"/>
    <x v="5"/>
    <x v="0"/>
    <s v="Servers"/>
    <s v="Accelerator Cards"/>
    <s v="Semiconductor Revenue M$"/>
    <x v="0"/>
    <n v="0"/>
  </r>
  <r>
    <s v="Discrete AI"/>
    <x v="5"/>
    <x v="0"/>
    <s v="Servers"/>
    <s v="Accelerator Cards"/>
    <s v="Semiconductor Revenue M$"/>
    <x v="1"/>
    <n v="0"/>
  </r>
  <r>
    <s v="Discrete AI"/>
    <x v="5"/>
    <x v="0"/>
    <s v="Servers"/>
    <s v="Accelerator Cards"/>
    <s v="Semiconductor Revenue M$"/>
    <x v="2"/>
    <n v="0"/>
  </r>
  <r>
    <s v="Discrete AI"/>
    <x v="5"/>
    <x v="0"/>
    <s v="Servers"/>
    <s v="Accelerator Cards"/>
    <s v="Semiconductor Revenue M$"/>
    <x v="3"/>
    <n v="0"/>
  </r>
  <r>
    <s v="Discrete AI"/>
    <x v="5"/>
    <x v="0"/>
    <s v="Servers"/>
    <s v="Accelerator Cards"/>
    <s v="Semiconductor Revenue M$"/>
    <x v="4"/>
    <n v="0"/>
  </r>
  <r>
    <s v="Discrete AI"/>
    <x v="5"/>
    <x v="0"/>
    <s v="Servers"/>
    <s v="Accelerator Cards"/>
    <s v="Semiconductor Revenue M$"/>
    <x v="5"/>
    <n v="0"/>
  </r>
  <r>
    <s v="Discrete AI"/>
    <x v="5"/>
    <x v="0"/>
    <s v="Servers"/>
    <s v="Accelerator Cards"/>
    <s v="Semiconductor Revenue M$"/>
    <x v="6"/>
    <n v="0"/>
  </r>
  <r>
    <s v="Discrete AI"/>
    <x v="5"/>
    <x v="1"/>
    <s v="Storage"/>
    <s v="Solid-State ECB"/>
    <s v="Semiconductor Revenue M$"/>
    <x v="0"/>
    <n v="0"/>
  </r>
  <r>
    <s v="Discrete AI"/>
    <x v="5"/>
    <x v="1"/>
    <s v="Storage"/>
    <s v="Solid-State ECB"/>
    <s v="Semiconductor Revenue M$"/>
    <x v="1"/>
    <n v="0"/>
  </r>
  <r>
    <s v="Discrete AI"/>
    <x v="5"/>
    <x v="1"/>
    <s v="Storage"/>
    <s v="Solid-State ECB"/>
    <s v="Semiconductor Revenue M$"/>
    <x v="2"/>
    <n v="0"/>
  </r>
  <r>
    <s v="Discrete AI"/>
    <x v="5"/>
    <x v="1"/>
    <s v="Storage"/>
    <s v="Solid-State ECB"/>
    <s v="Semiconductor Revenue M$"/>
    <x v="3"/>
    <n v="0"/>
  </r>
  <r>
    <s v="Discrete AI"/>
    <x v="5"/>
    <x v="1"/>
    <s v="Storage"/>
    <s v="Solid-State ECB"/>
    <s v="Semiconductor Revenue M$"/>
    <x v="4"/>
    <n v="0"/>
  </r>
  <r>
    <s v="Discrete AI"/>
    <x v="5"/>
    <x v="1"/>
    <s v="Storage"/>
    <s v="Solid-State ECB"/>
    <s v="Semiconductor Revenue M$"/>
    <x v="5"/>
    <n v="0"/>
  </r>
  <r>
    <s v="Discrete AI"/>
    <x v="5"/>
    <x v="1"/>
    <s v="Storage"/>
    <s v="Solid-State ECB"/>
    <s v="Semiconductor Revenue M$"/>
    <x v="6"/>
    <n v="0"/>
  </r>
  <r>
    <s v="Discrete AI"/>
    <x v="5"/>
    <x v="1"/>
    <s v="Storage"/>
    <s v="Other ECB (HDD/Hybrid)"/>
    <s v="Semiconductor Revenue M$"/>
    <x v="0"/>
    <n v="0"/>
  </r>
  <r>
    <s v="Discrete AI"/>
    <x v="5"/>
    <x v="1"/>
    <s v="Storage"/>
    <s v="Other ECB (HDD/Hybrid)"/>
    <s v="Semiconductor Revenue M$"/>
    <x v="1"/>
    <n v="0"/>
  </r>
  <r>
    <s v="Discrete AI"/>
    <x v="5"/>
    <x v="1"/>
    <s v="Storage"/>
    <s v="Other ECB (HDD/Hybrid)"/>
    <s v="Semiconductor Revenue M$"/>
    <x v="2"/>
    <n v="0"/>
  </r>
  <r>
    <s v="Discrete AI"/>
    <x v="5"/>
    <x v="1"/>
    <s v="Storage"/>
    <s v="Other ECB (HDD/Hybrid)"/>
    <s v="Semiconductor Revenue M$"/>
    <x v="3"/>
    <n v="0"/>
  </r>
  <r>
    <s v="Discrete AI"/>
    <x v="5"/>
    <x v="1"/>
    <s v="Storage"/>
    <s v="Other ECB (HDD/Hybrid)"/>
    <s v="Semiconductor Revenue M$"/>
    <x v="4"/>
    <n v="0"/>
  </r>
  <r>
    <s v="Discrete AI"/>
    <x v="5"/>
    <x v="1"/>
    <s v="Storage"/>
    <s v="Other ECB (HDD/Hybrid)"/>
    <s v="Semiconductor Revenue M$"/>
    <x v="5"/>
    <n v="0"/>
  </r>
  <r>
    <s v="Discrete AI"/>
    <x v="5"/>
    <x v="1"/>
    <s v="Storage"/>
    <s v="Other ECB (HDD/Hybrid)"/>
    <s v="Semiconductor Revenue M$"/>
    <x v="6"/>
    <n v="0"/>
  </r>
  <r>
    <s v="Discrete AI"/>
    <x v="5"/>
    <x v="1"/>
    <s v="Storage"/>
    <s v="Storage Network Infrastructure"/>
    <s v="Semiconductor Revenue M$"/>
    <x v="0"/>
    <n v="0"/>
  </r>
  <r>
    <s v="Discrete AI"/>
    <x v="5"/>
    <x v="1"/>
    <s v="Storage"/>
    <s v="Storage Network Infrastructure"/>
    <s v="Semiconductor Revenue M$"/>
    <x v="1"/>
    <n v="0"/>
  </r>
  <r>
    <s v="Discrete AI"/>
    <x v="5"/>
    <x v="1"/>
    <s v="Storage"/>
    <s v="Storage Network Infrastructure"/>
    <s v="Semiconductor Revenue M$"/>
    <x v="2"/>
    <n v="0"/>
  </r>
  <r>
    <s v="Discrete AI"/>
    <x v="5"/>
    <x v="1"/>
    <s v="Storage"/>
    <s v="Storage Network Infrastructure"/>
    <s v="Semiconductor Revenue M$"/>
    <x v="3"/>
    <n v="0"/>
  </r>
  <r>
    <s v="Discrete AI"/>
    <x v="5"/>
    <x v="1"/>
    <s v="Storage"/>
    <s v="Storage Network Infrastructure"/>
    <s v="Semiconductor Revenue M$"/>
    <x v="4"/>
    <n v="0"/>
  </r>
  <r>
    <s v="Discrete AI"/>
    <x v="5"/>
    <x v="1"/>
    <s v="Storage"/>
    <s v="Storage Network Infrastructure"/>
    <s v="Semiconductor Revenue M$"/>
    <x v="5"/>
    <n v="0"/>
  </r>
  <r>
    <s v="Discrete AI"/>
    <x v="5"/>
    <x v="1"/>
    <s v="Storage"/>
    <s v="Storage Network Infrastructure"/>
    <s v="Semiconductor Revenue M$"/>
    <x v="6"/>
    <n v="0"/>
  </r>
  <r>
    <s v="Discrete AI"/>
    <x v="5"/>
    <x v="1"/>
    <s v="Storage"/>
    <s v="Hard Disk Drive"/>
    <s v="Semiconductor Revenue M$"/>
    <x v="0"/>
    <n v="0"/>
  </r>
  <r>
    <s v="Discrete AI"/>
    <x v="5"/>
    <x v="1"/>
    <s v="Storage"/>
    <s v="Hard Disk Drive"/>
    <s v="Semiconductor Revenue M$"/>
    <x v="1"/>
    <n v="0"/>
  </r>
  <r>
    <s v="Discrete AI"/>
    <x v="5"/>
    <x v="1"/>
    <s v="Storage"/>
    <s v="Hard Disk Drive"/>
    <s v="Semiconductor Revenue M$"/>
    <x v="2"/>
    <n v="0"/>
  </r>
  <r>
    <s v="Discrete AI"/>
    <x v="5"/>
    <x v="1"/>
    <s v="Storage"/>
    <s v="Hard Disk Drive"/>
    <s v="Semiconductor Revenue M$"/>
    <x v="3"/>
    <n v="0"/>
  </r>
  <r>
    <s v="Discrete AI"/>
    <x v="5"/>
    <x v="1"/>
    <s v="Storage"/>
    <s v="Hard Disk Drive"/>
    <s v="Semiconductor Revenue M$"/>
    <x v="4"/>
    <n v="0"/>
  </r>
  <r>
    <s v="Discrete AI"/>
    <x v="5"/>
    <x v="1"/>
    <s v="Storage"/>
    <s v="Hard Disk Drive"/>
    <s v="Semiconductor Revenue M$"/>
    <x v="5"/>
    <n v="0"/>
  </r>
  <r>
    <s v="Discrete AI"/>
    <x v="5"/>
    <x v="1"/>
    <s v="Storage"/>
    <s v="Hard Disk Drive"/>
    <s v="Semiconductor Revenue M$"/>
    <x v="6"/>
    <n v="0"/>
  </r>
  <r>
    <s v="Discrete AI"/>
    <x v="5"/>
    <x v="1"/>
    <s v="Storage"/>
    <s v="Solid-State Drives"/>
    <s v="Semiconductor Revenue M$"/>
    <x v="0"/>
    <n v="0"/>
  </r>
  <r>
    <s v="Discrete AI"/>
    <x v="5"/>
    <x v="1"/>
    <s v="Storage"/>
    <s v="Solid-State Drives"/>
    <s v="Semiconductor Revenue M$"/>
    <x v="1"/>
    <n v="0"/>
  </r>
  <r>
    <s v="Discrete AI"/>
    <x v="5"/>
    <x v="1"/>
    <s v="Storage"/>
    <s v="Solid-State Drives"/>
    <s v="Semiconductor Revenue M$"/>
    <x v="2"/>
    <n v="0"/>
  </r>
  <r>
    <s v="Discrete AI"/>
    <x v="5"/>
    <x v="1"/>
    <s v="Storage"/>
    <s v="Solid-State Drives"/>
    <s v="Semiconductor Revenue M$"/>
    <x v="3"/>
    <n v="0"/>
  </r>
  <r>
    <s v="Discrete AI"/>
    <x v="5"/>
    <x v="1"/>
    <s v="Storage"/>
    <s v="Solid-State Drives"/>
    <s v="Semiconductor Revenue M$"/>
    <x v="4"/>
    <n v="0"/>
  </r>
  <r>
    <s v="Discrete AI"/>
    <x v="5"/>
    <x v="1"/>
    <s v="Storage"/>
    <s v="Solid-State Drives"/>
    <s v="Semiconductor Revenue M$"/>
    <x v="5"/>
    <n v="0"/>
  </r>
  <r>
    <s v="Discrete AI"/>
    <x v="5"/>
    <x v="1"/>
    <s v="Storage"/>
    <s v="Solid-State Drives"/>
    <s v="Semiconductor Revenue M$"/>
    <x v="6"/>
    <n v="0"/>
  </r>
  <r>
    <s v="Discrete AI"/>
    <x v="5"/>
    <x v="1"/>
    <s v="Storage"/>
    <s v="Other Storage Media"/>
    <s v="Semiconductor Revenue M$"/>
    <x v="0"/>
    <n v="0"/>
  </r>
  <r>
    <s v="Discrete AI"/>
    <x v="5"/>
    <x v="1"/>
    <s v="Storage"/>
    <s v="Other Storage Media"/>
    <s v="Semiconductor Revenue M$"/>
    <x v="1"/>
    <n v="0"/>
  </r>
  <r>
    <s v="Discrete AI"/>
    <x v="5"/>
    <x v="1"/>
    <s v="Storage"/>
    <s v="Other Storage Media"/>
    <s v="Semiconductor Revenue M$"/>
    <x v="2"/>
    <n v="0"/>
  </r>
  <r>
    <s v="Discrete AI"/>
    <x v="5"/>
    <x v="1"/>
    <s v="Storage"/>
    <s v="Other Storage Media"/>
    <s v="Semiconductor Revenue M$"/>
    <x v="3"/>
    <n v="0"/>
  </r>
  <r>
    <s v="Discrete AI"/>
    <x v="5"/>
    <x v="1"/>
    <s v="Storage"/>
    <s v="Other Storage Media"/>
    <s v="Semiconductor Revenue M$"/>
    <x v="4"/>
    <n v="0"/>
  </r>
  <r>
    <s v="Discrete AI"/>
    <x v="5"/>
    <x v="1"/>
    <s v="Storage"/>
    <s v="Other Storage Media"/>
    <s v="Semiconductor Revenue M$"/>
    <x v="5"/>
    <n v="0"/>
  </r>
  <r>
    <s v="Discrete AI"/>
    <x v="5"/>
    <x v="1"/>
    <s v="Storage"/>
    <s v="Other Storage Media"/>
    <s v="Semiconductor Revenue M$"/>
    <x v="6"/>
    <n v="0"/>
  </r>
  <r>
    <s v="Discrete AI"/>
    <x v="5"/>
    <x v="1"/>
    <s v="Storage"/>
    <s v="Other Storage Electronics"/>
    <s v="Semiconductor Revenue M$"/>
    <x v="0"/>
    <n v="0"/>
  </r>
  <r>
    <s v="Discrete AI"/>
    <x v="5"/>
    <x v="1"/>
    <s v="Storage"/>
    <s v="Other Storage Electronics"/>
    <s v="Semiconductor Revenue M$"/>
    <x v="1"/>
    <n v="0"/>
  </r>
  <r>
    <s v="Discrete AI"/>
    <x v="5"/>
    <x v="1"/>
    <s v="Storage"/>
    <s v="Other Storage Electronics"/>
    <s v="Semiconductor Revenue M$"/>
    <x v="2"/>
    <n v="0"/>
  </r>
  <r>
    <s v="Discrete AI"/>
    <x v="5"/>
    <x v="1"/>
    <s v="Storage"/>
    <s v="Other Storage Electronics"/>
    <s v="Semiconductor Revenue M$"/>
    <x v="3"/>
    <n v="0"/>
  </r>
  <r>
    <s v="Discrete AI"/>
    <x v="5"/>
    <x v="1"/>
    <s v="Storage"/>
    <s v="Other Storage Electronics"/>
    <s v="Semiconductor Revenue M$"/>
    <x v="4"/>
    <n v="0"/>
  </r>
  <r>
    <s v="Discrete AI"/>
    <x v="5"/>
    <x v="1"/>
    <s v="Storage"/>
    <s v="Other Storage Electronics"/>
    <s v="Semiconductor Revenue M$"/>
    <x v="5"/>
    <n v="0"/>
  </r>
  <r>
    <s v="Discrete AI"/>
    <x v="5"/>
    <x v="1"/>
    <s v="Storage"/>
    <s v="Other Storage Electronics"/>
    <s v="Semiconductor Revenue M$"/>
    <x v="6"/>
    <n v="0"/>
  </r>
  <r>
    <s v="Discrete AI"/>
    <x v="5"/>
    <x v="2"/>
    <s v="Wireless Communications Electronics"/>
    <s v="Utility Traditional Phone"/>
    <s v="Semiconductor Revenue M$"/>
    <x v="0"/>
    <n v="0"/>
  </r>
  <r>
    <s v="Discrete AI"/>
    <x v="5"/>
    <x v="2"/>
    <s v="Wireless Communications Electronics"/>
    <s v="Utility Traditional Phone"/>
    <s v="Semiconductor Revenue M$"/>
    <x v="1"/>
    <n v="0"/>
  </r>
  <r>
    <s v="Discrete AI"/>
    <x v="5"/>
    <x v="2"/>
    <s v="Wireless Communications Electronics"/>
    <s v="Utility Traditional Phone"/>
    <s v="Semiconductor Revenue M$"/>
    <x v="2"/>
    <n v="0"/>
  </r>
  <r>
    <s v="Discrete AI"/>
    <x v="5"/>
    <x v="2"/>
    <s v="Wireless Communications Electronics"/>
    <s v="Utility Traditional Phone"/>
    <s v="Semiconductor Revenue M$"/>
    <x v="3"/>
    <n v="0"/>
  </r>
  <r>
    <s v="Discrete AI"/>
    <x v="5"/>
    <x v="2"/>
    <s v="Wireless Communications Electronics"/>
    <s v="Utility Traditional Phone"/>
    <s v="Semiconductor Revenue M$"/>
    <x v="4"/>
    <n v="0"/>
  </r>
  <r>
    <s v="Discrete AI"/>
    <x v="5"/>
    <x v="2"/>
    <s v="Wireless Communications Electronics"/>
    <s v="Utility Traditional Phone"/>
    <s v="Semiconductor Revenue M$"/>
    <x v="5"/>
    <n v="0"/>
  </r>
  <r>
    <s v="Discrete AI"/>
    <x v="5"/>
    <x v="2"/>
    <s v="Wireless Communications Electronics"/>
    <s v="Utility Traditional Phone"/>
    <s v="Semiconductor Revenue M$"/>
    <x v="6"/>
    <n v="0"/>
  </r>
  <r>
    <s v="Discrete AI"/>
    <x v="5"/>
    <x v="2"/>
    <s v="Wireless Communications Electronics"/>
    <s v="Basic Smartphone"/>
    <s v="Semiconductor Revenue M$"/>
    <x v="0"/>
    <n v="0"/>
  </r>
  <r>
    <s v="Discrete AI"/>
    <x v="5"/>
    <x v="2"/>
    <s v="Wireless Communications Electronics"/>
    <s v="Basic Smartphone"/>
    <s v="Semiconductor Revenue M$"/>
    <x v="1"/>
    <n v="0"/>
  </r>
  <r>
    <s v="Discrete AI"/>
    <x v="5"/>
    <x v="2"/>
    <s v="Wireless Communications Electronics"/>
    <s v="Basic Smartphone"/>
    <s v="Semiconductor Revenue M$"/>
    <x v="2"/>
    <n v="0"/>
  </r>
  <r>
    <s v="Discrete AI"/>
    <x v="5"/>
    <x v="2"/>
    <s v="Wireless Communications Electronics"/>
    <s v="Basic Smartphone"/>
    <s v="Semiconductor Revenue M$"/>
    <x v="3"/>
    <n v="0"/>
  </r>
  <r>
    <s v="Discrete AI"/>
    <x v="5"/>
    <x v="2"/>
    <s v="Wireless Communications Electronics"/>
    <s v="Basic Smartphone"/>
    <s v="Semiconductor Revenue M$"/>
    <x v="4"/>
    <n v="0"/>
  </r>
  <r>
    <s v="Discrete AI"/>
    <x v="5"/>
    <x v="2"/>
    <s v="Wireless Communications Electronics"/>
    <s v="Basic Smartphone"/>
    <s v="Semiconductor Revenue M$"/>
    <x v="5"/>
    <n v="0"/>
  </r>
  <r>
    <s v="Discrete AI"/>
    <x v="5"/>
    <x v="2"/>
    <s v="Wireless Communications Electronics"/>
    <s v="Basic Smartphone"/>
    <s v="Semiconductor Revenue M$"/>
    <x v="6"/>
    <n v="0"/>
  </r>
  <r>
    <s v="Discrete AI"/>
    <x v="5"/>
    <x v="2"/>
    <s v="Wireless Communications Electronics"/>
    <s v="Utility Smartphone"/>
    <s v="Semiconductor Revenue M$"/>
    <x v="0"/>
    <n v="0"/>
  </r>
  <r>
    <s v="Discrete AI"/>
    <x v="5"/>
    <x v="2"/>
    <s v="Wireless Communications Electronics"/>
    <s v="Utility Smartphone"/>
    <s v="Semiconductor Revenue M$"/>
    <x v="1"/>
    <n v="0"/>
  </r>
  <r>
    <s v="Discrete AI"/>
    <x v="5"/>
    <x v="2"/>
    <s v="Wireless Communications Electronics"/>
    <s v="Utility Smartphone"/>
    <s v="Semiconductor Revenue M$"/>
    <x v="2"/>
    <n v="0"/>
  </r>
  <r>
    <s v="Discrete AI"/>
    <x v="5"/>
    <x v="2"/>
    <s v="Wireless Communications Electronics"/>
    <s v="Utility Smartphone"/>
    <s v="Semiconductor Revenue M$"/>
    <x v="3"/>
    <n v="0"/>
  </r>
  <r>
    <s v="Discrete AI"/>
    <x v="5"/>
    <x v="2"/>
    <s v="Wireless Communications Electronics"/>
    <s v="Utility Smartphone"/>
    <s v="Semiconductor Revenue M$"/>
    <x v="4"/>
    <n v="0"/>
  </r>
  <r>
    <s v="Discrete AI"/>
    <x v="5"/>
    <x v="2"/>
    <s v="Wireless Communications Electronics"/>
    <s v="Utility Smartphone"/>
    <s v="Semiconductor Revenue M$"/>
    <x v="5"/>
    <n v="0"/>
  </r>
  <r>
    <s v="Discrete AI"/>
    <x v="5"/>
    <x v="2"/>
    <s v="Wireless Communications Electronics"/>
    <s v="Utility Smartphone"/>
    <s v="Semiconductor Revenue M$"/>
    <x v="6"/>
    <n v="0"/>
  </r>
  <r>
    <s v="Discrete AI"/>
    <x v="5"/>
    <x v="2"/>
    <s v="Wireless Communications Electronics"/>
    <s v="Premium Smartphone"/>
    <s v="Semiconductor Revenue M$"/>
    <x v="0"/>
    <n v="0"/>
  </r>
  <r>
    <s v="Discrete AI"/>
    <x v="5"/>
    <x v="2"/>
    <s v="Wireless Communications Electronics"/>
    <s v="Premium Smartphone"/>
    <s v="Semiconductor Revenue M$"/>
    <x v="1"/>
    <n v="0"/>
  </r>
  <r>
    <s v="Discrete AI"/>
    <x v="5"/>
    <x v="2"/>
    <s v="Wireless Communications Electronics"/>
    <s v="Premium Smartphone"/>
    <s v="Semiconductor Revenue M$"/>
    <x v="2"/>
    <n v="0"/>
  </r>
  <r>
    <s v="Discrete AI"/>
    <x v="5"/>
    <x v="2"/>
    <s v="Wireless Communications Electronics"/>
    <s v="Premium Smartphone"/>
    <s v="Semiconductor Revenue M$"/>
    <x v="3"/>
    <n v="0"/>
  </r>
  <r>
    <s v="Discrete AI"/>
    <x v="5"/>
    <x v="2"/>
    <s v="Wireless Communications Electronics"/>
    <s v="Premium Smartphone"/>
    <s v="Semiconductor Revenue M$"/>
    <x v="4"/>
    <n v="0"/>
  </r>
  <r>
    <s v="Discrete AI"/>
    <x v="5"/>
    <x v="2"/>
    <s v="Wireless Communications Electronics"/>
    <s v="Premium Smartphone"/>
    <s v="Semiconductor Revenue M$"/>
    <x v="5"/>
    <n v="0"/>
  </r>
  <r>
    <s v="Discrete AI"/>
    <x v="5"/>
    <x v="2"/>
    <s v="Wireless Communications Electronics"/>
    <s v="Premium Smartphone"/>
    <s v="Semiconductor Revenue M$"/>
    <x v="6"/>
    <n v="0"/>
  </r>
  <r>
    <s v="Discrete AI"/>
    <x v="5"/>
    <x v="3"/>
    <s v="Automotive Electronics"/>
    <s v="ADAS-ECU (Level-2+/3/4)"/>
    <s v="Semiconductor Revenue M$"/>
    <x v="0"/>
    <n v="0"/>
  </r>
  <r>
    <s v="Discrete AI"/>
    <x v="5"/>
    <x v="3"/>
    <s v="Automotive Electronics"/>
    <s v="ADAS-ECU (Level-2+/3/4)"/>
    <s v="Semiconductor Revenue M$"/>
    <x v="1"/>
    <n v="0"/>
  </r>
  <r>
    <s v="Discrete AI"/>
    <x v="5"/>
    <x v="3"/>
    <s v="Automotive Electronics"/>
    <s v="ADAS-ECU (Level-2+/3/4)"/>
    <s v="Semiconductor Revenue M$"/>
    <x v="2"/>
    <n v="0"/>
  </r>
  <r>
    <s v="Discrete AI"/>
    <x v="5"/>
    <x v="3"/>
    <s v="Automotive Electronics"/>
    <s v="ADAS-ECU (Level-2+/3/4)"/>
    <s v="Semiconductor Revenue M$"/>
    <x v="3"/>
    <n v="0"/>
  </r>
  <r>
    <s v="Discrete AI"/>
    <x v="5"/>
    <x v="3"/>
    <s v="Automotive Electronics"/>
    <s v="ADAS-ECU (Level-2+/3/4)"/>
    <s v="Semiconductor Revenue M$"/>
    <x v="4"/>
    <n v="0"/>
  </r>
  <r>
    <s v="Discrete AI"/>
    <x v="5"/>
    <x v="3"/>
    <s v="Automotive Electronics"/>
    <s v="ADAS-ECU (Level-2+/3/4)"/>
    <s v="Semiconductor Revenue M$"/>
    <x v="5"/>
    <n v="0"/>
  </r>
  <r>
    <s v="Discrete AI"/>
    <x v="5"/>
    <x v="3"/>
    <s v="Automotive Electronics"/>
    <s v="ADAS-ECU (Level-2+/3/4)"/>
    <s v="Semiconductor Revenue M$"/>
    <x v="6"/>
    <n v="0"/>
  </r>
  <r>
    <s v="Discrete AI"/>
    <x v="5"/>
    <x v="2"/>
    <s v="Wireless Communications Electronics"/>
    <s v="Mobile Infrastructure - Base Station Equipment"/>
    <s v="Semiconductor Revenue M$"/>
    <x v="0"/>
    <n v="0"/>
  </r>
  <r>
    <s v="Discrete AI"/>
    <x v="5"/>
    <x v="2"/>
    <s v="Wireless Communications Electronics"/>
    <s v="Mobile Infrastructure - Base Station Equipment"/>
    <s v="Semiconductor Revenue M$"/>
    <x v="1"/>
    <n v="0"/>
  </r>
  <r>
    <s v="Discrete AI"/>
    <x v="5"/>
    <x v="2"/>
    <s v="Wireless Communications Electronics"/>
    <s v="Mobile Infrastructure - Base Station Equipment"/>
    <s v="Semiconductor Revenue M$"/>
    <x v="2"/>
    <n v="0"/>
  </r>
  <r>
    <s v="Discrete AI"/>
    <x v="5"/>
    <x v="2"/>
    <s v="Wireless Communications Electronics"/>
    <s v="Mobile Infrastructure - Base Station Equipment"/>
    <s v="Semiconductor Revenue M$"/>
    <x v="3"/>
    <n v="0"/>
  </r>
  <r>
    <s v="Discrete AI"/>
    <x v="5"/>
    <x v="2"/>
    <s v="Wireless Communications Electronics"/>
    <s v="Mobile Infrastructure - Base Station Equipment"/>
    <s v="Semiconductor Revenue M$"/>
    <x v="4"/>
    <n v="0"/>
  </r>
  <r>
    <s v="Discrete AI"/>
    <x v="5"/>
    <x v="2"/>
    <s v="Wireless Communications Electronics"/>
    <s v="Mobile Infrastructure - Base Station Equipment"/>
    <s v="Semiconductor Revenue M$"/>
    <x v="5"/>
    <n v="0"/>
  </r>
  <r>
    <s v="Discrete AI"/>
    <x v="5"/>
    <x v="2"/>
    <s v="Wireless Communications Electronics"/>
    <s v="Mobile Infrastructure - Base Station Equipment"/>
    <s v="Semiconductor Revenue M$"/>
    <x v="6"/>
    <n v="0"/>
  </r>
  <r>
    <s v="Discrete AI"/>
    <x v="5"/>
    <x v="2"/>
    <s v="Wireless Communications Electronics"/>
    <s v="Wireless LAN Infrastructure"/>
    <s v="Semiconductor Revenue M$"/>
    <x v="0"/>
    <n v="0"/>
  </r>
  <r>
    <s v="Discrete AI"/>
    <x v="5"/>
    <x v="2"/>
    <s v="Wireless Communications Electronics"/>
    <s v="Wireless LAN Infrastructure"/>
    <s v="Semiconductor Revenue M$"/>
    <x v="1"/>
    <n v="0"/>
  </r>
  <r>
    <s v="Discrete AI"/>
    <x v="5"/>
    <x v="2"/>
    <s v="Wireless Communications Electronics"/>
    <s v="Wireless LAN Infrastructure"/>
    <s v="Semiconductor Revenue M$"/>
    <x v="2"/>
    <n v="0"/>
  </r>
  <r>
    <s v="Discrete AI"/>
    <x v="5"/>
    <x v="2"/>
    <s v="Wireless Communications Electronics"/>
    <s v="Wireless LAN Infrastructure"/>
    <s v="Semiconductor Revenue M$"/>
    <x v="3"/>
    <n v="0"/>
  </r>
  <r>
    <s v="Discrete AI"/>
    <x v="5"/>
    <x v="2"/>
    <s v="Wireless Communications Electronics"/>
    <s v="Wireless LAN Infrastructure"/>
    <s v="Semiconductor Revenue M$"/>
    <x v="4"/>
    <n v="0"/>
  </r>
  <r>
    <s v="Discrete AI"/>
    <x v="5"/>
    <x v="2"/>
    <s v="Wireless Communications Electronics"/>
    <s v="Wireless LAN Infrastructure"/>
    <s v="Semiconductor Revenue M$"/>
    <x v="5"/>
    <n v="0"/>
  </r>
  <r>
    <s v="Discrete AI"/>
    <x v="5"/>
    <x v="2"/>
    <s v="Wireless Communications Electronics"/>
    <s v="Wireless LAN Infrastructure"/>
    <s v="Semiconductor Revenue M$"/>
    <x v="6"/>
    <n v="0"/>
  </r>
  <r>
    <s v="Discrete AI"/>
    <x v="5"/>
    <x v="2"/>
    <s v="Wireless Communications Electronics"/>
    <s v="Cellular Modems"/>
    <s v="Semiconductor Revenue M$"/>
    <x v="0"/>
    <n v="0"/>
  </r>
  <r>
    <s v="Discrete AI"/>
    <x v="5"/>
    <x v="2"/>
    <s v="Wireless Communications Electronics"/>
    <s v="Cellular Modems"/>
    <s v="Semiconductor Revenue M$"/>
    <x v="1"/>
    <n v="0"/>
  </r>
  <r>
    <s v="Discrete AI"/>
    <x v="5"/>
    <x v="2"/>
    <s v="Wireless Communications Electronics"/>
    <s v="Cellular Modems"/>
    <s v="Semiconductor Revenue M$"/>
    <x v="2"/>
    <n v="0"/>
  </r>
  <r>
    <s v="Discrete AI"/>
    <x v="5"/>
    <x v="2"/>
    <s v="Wireless Communications Electronics"/>
    <s v="Cellular Modems"/>
    <s v="Semiconductor Revenue M$"/>
    <x v="3"/>
    <n v="0"/>
  </r>
  <r>
    <s v="Discrete AI"/>
    <x v="5"/>
    <x v="2"/>
    <s v="Wireless Communications Electronics"/>
    <s v="Cellular Modems"/>
    <s v="Semiconductor Revenue M$"/>
    <x v="4"/>
    <n v="0"/>
  </r>
  <r>
    <s v="Discrete AI"/>
    <x v="5"/>
    <x v="2"/>
    <s v="Wireless Communications Electronics"/>
    <s v="Cellular Modems"/>
    <s v="Semiconductor Revenue M$"/>
    <x v="5"/>
    <n v="0"/>
  </r>
  <r>
    <s v="Discrete AI"/>
    <x v="5"/>
    <x v="2"/>
    <s v="Wireless Communications Electronics"/>
    <s v="Cellular Modems"/>
    <s v="Semiconductor Revenue M$"/>
    <x v="6"/>
    <n v="0"/>
  </r>
  <r>
    <s v="Discrete AI"/>
    <x v="5"/>
    <x v="2"/>
    <s v="Wireless Communications Electronics"/>
    <s v="Other Wireless Communications Electronics"/>
    <s v="Semiconductor Revenue M$"/>
    <x v="0"/>
    <n v="0"/>
  </r>
  <r>
    <s v="Discrete AI"/>
    <x v="5"/>
    <x v="2"/>
    <s v="Wireless Communications Electronics"/>
    <s v="Other Wireless Communications Electronics"/>
    <s v="Semiconductor Revenue M$"/>
    <x v="1"/>
    <n v="0"/>
  </r>
  <r>
    <s v="Discrete AI"/>
    <x v="5"/>
    <x v="2"/>
    <s v="Wireless Communications Electronics"/>
    <s v="Other Wireless Communications Electronics"/>
    <s v="Semiconductor Revenue M$"/>
    <x v="2"/>
    <n v="0"/>
  </r>
  <r>
    <s v="Discrete AI"/>
    <x v="5"/>
    <x v="2"/>
    <s v="Wireless Communications Electronics"/>
    <s v="Other Wireless Communications Electronics"/>
    <s v="Semiconductor Revenue M$"/>
    <x v="3"/>
    <n v="0"/>
  </r>
  <r>
    <s v="Discrete AI"/>
    <x v="5"/>
    <x v="2"/>
    <s v="Wireless Communications Electronics"/>
    <s v="Other Wireless Communications Electronics"/>
    <s v="Semiconductor Revenue M$"/>
    <x v="4"/>
    <n v="0"/>
  </r>
  <r>
    <s v="Discrete AI"/>
    <x v="5"/>
    <x v="2"/>
    <s v="Wireless Communications Electronics"/>
    <s v="Other Wireless Communications Electronics"/>
    <s v="Semiconductor Revenue M$"/>
    <x v="5"/>
    <n v="0"/>
  </r>
  <r>
    <s v="Discrete AI"/>
    <x v="5"/>
    <x v="2"/>
    <s v="Wireless Communications Electronics"/>
    <s v="Other Wireless Communications Electronics"/>
    <s v="Semiconductor Revenue M$"/>
    <x v="6"/>
    <n v="0"/>
  </r>
  <r>
    <s v="Discrete AI"/>
    <x v="5"/>
    <x v="2"/>
    <s v="Wired Communications Electronics"/>
    <s v="DSL Broadband Access"/>
    <s v="Semiconductor Revenue M$"/>
    <x v="0"/>
    <n v="0"/>
  </r>
  <r>
    <s v="Discrete AI"/>
    <x v="5"/>
    <x v="2"/>
    <s v="Wired Communications Electronics"/>
    <s v="DSL Broadband Access"/>
    <s v="Semiconductor Revenue M$"/>
    <x v="1"/>
    <n v="0"/>
  </r>
  <r>
    <s v="Discrete AI"/>
    <x v="5"/>
    <x v="2"/>
    <s v="Wired Communications Electronics"/>
    <s v="DSL Broadband Access"/>
    <s v="Semiconductor Revenue M$"/>
    <x v="2"/>
    <n v="0"/>
  </r>
  <r>
    <s v="Discrete AI"/>
    <x v="5"/>
    <x v="2"/>
    <s v="Wired Communications Electronics"/>
    <s v="DSL Broadband Access"/>
    <s v="Semiconductor Revenue M$"/>
    <x v="3"/>
    <n v="0"/>
  </r>
  <r>
    <s v="Discrete AI"/>
    <x v="5"/>
    <x v="2"/>
    <s v="Wired Communications Electronics"/>
    <s v="DSL Broadband Access"/>
    <s v="Semiconductor Revenue M$"/>
    <x v="4"/>
    <n v="0"/>
  </r>
  <r>
    <s v="Discrete AI"/>
    <x v="5"/>
    <x v="2"/>
    <s v="Wired Communications Electronics"/>
    <s v="DSL Broadband Access"/>
    <s v="Semiconductor Revenue M$"/>
    <x v="5"/>
    <n v="0"/>
  </r>
  <r>
    <s v="Discrete AI"/>
    <x v="5"/>
    <x v="2"/>
    <s v="Wired Communications Electronics"/>
    <s v="DSL Broadband Access"/>
    <s v="Semiconductor Revenue M$"/>
    <x v="6"/>
    <n v="0"/>
  </r>
  <r>
    <s v="Discrete AI"/>
    <x v="5"/>
    <x v="2"/>
    <s v="Wired Communications Electronics"/>
    <s v="Fiber Broadband Access"/>
    <s v="Semiconductor Revenue M$"/>
    <x v="0"/>
    <n v="0"/>
  </r>
  <r>
    <s v="Discrete AI"/>
    <x v="5"/>
    <x v="2"/>
    <s v="Wired Communications Electronics"/>
    <s v="Fiber Broadband Access"/>
    <s v="Semiconductor Revenue M$"/>
    <x v="1"/>
    <n v="0"/>
  </r>
  <r>
    <s v="Discrete AI"/>
    <x v="5"/>
    <x v="2"/>
    <s v="Wired Communications Electronics"/>
    <s v="Fiber Broadband Access"/>
    <s v="Semiconductor Revenue M$"/>
    <x v="2"/>
    <n v="0"/>
  </r>
  <r>
    <s v="Discrete AI"/>
    <x v="5"/>
    <x v="2"/>
    <s v="Wired Communications Electronics"/>
    <s v="Fiber Broadband Access"/>
    <s v="Semiconductor Revenue M$"/>
    <x v="3"/>
    <n v="0"/>
  </r>
  <r>
    <s v="Discrete AI"/>
    <x v="5"/>
    <x v="2"/>
    <s v="Wired Communications Electronics"/>
    <s v="Fiber Broadband Access"/>
    <s v="Semiconductor Revenue M$"/>
    <x v="4"/>
    <n v="0"/>
  </r>
  <r>
    <s v="Discrete AI"/>
    <x v="5"/>
    <x v="2"/>
    <s v="Wired Communications Electronics"/>
    <s v="Fiber Broadband Access"/>
    <s v="Semiconductor Revenue M$"/>
    <x v="5"/>
    <n v="0"/>
  </r>
  <r>
    <s v="Discrete AI"/>
    <x v="5"/>
    <x v="2"/>
    <s v="Wired Communications Electronics"/>
    <s v="Fiber Broadband Access"/>
    <s v="Semiconductor Revenue M$"/>
    <x v="6"/>
    <n v="0"/>
  </r>
  <r>
    <s v="Discrete AI"/>
    <x v="5"/>
    <x v="2"/>
    <s v="Wired Communications Electronics"/>
    <s v="Other Broadband Access"/>
    <s v="Semiconductor Revenue M$"/>
    <x v="0"/>
    <n v="0"/>
  </r>
  <r>
    <s v="Discrete AI"/>
    <x v="5"/>
    <x v="2"/>
    <s v="Wired Communications Electronics"/>
    <s v="Other Broadband Access"/>
    <s v="Semiconductor Revenue M$"/>
    <x v="1"/>
    <n v="0"/>
  </r>
  <r>
    <s v="Discrete AI"/>
    <x v="5"/>
    <x v="2"/>
    <s v="Wired Communications Electronics"/>
    <s v="Other Broadband Access"/>
    <s v="Semiconductor Revenue M$"/>
    <x v="2"/>
    <n v="0"/>
  </r>
  <r>
    <s v="Discrete AI"/>
    <x v="5"/>
    <x v="2"/>
    <s v="Wired Communications Electronics"/>
    <s v="Other Broadband Access"/>
    <s v="Semiconductor Revenue M$"/>
    <x v="3"/>
    <n v="0"/>
  </r>
  <r>
    <s v="Discrete AI"/>
    <x v="5"/>
    <x v="2"/>
    <s v="Wired Communications Electronics"/>
    <s v="Other Broadband Access"/>
    <s v="Semiconductor Revenue M$"/>
    <x v="4"/>
    <n v="0"/>
  </r>
  <r>
    <s v="Discrete AI"/>
    <x v="5"/>
    <x v="2"/>
    <s v="Wired Communications Electronics"/>
    <s v="Other Broadband Access"/>
    <s v="Semiconductor Revenue M$"/>
    <x v="5"/>
    <n v="0"/>
  </r>
  <r>
    <s v="Discrete AI"/>
    <x v="5"/>
    <x v="2"/>
    <s v="Wired Communications Electronics"/>
    <s v="Other Broadband Access"/>
    <s v="Semiconductor Revenue M$"/>
    <x v="6"/>
    <n v="0"/>
  </r>
  <r>
    <s v="Discrete AI"/>
    <x v="5"/>
    <x v="2"/>
    <s v="Wired Communications Electronics"/>
    <s v="Enterprise LAN"/>
    <s v="Semiconductor Revenue M$"/>
    <x v="0"/>
    <n v="0"/>
  </r>
  <r>
    <s v="Discrete AI"/>
    <x v="5"/>
    <x v="2"/>
    <s v="Wired Communications Electronics"/>
    <s v="Enterprise LAN"/>
    <s v="Semiconductor Revenue M$"/>
    <x v="1"/>
    <n v="0"/>
  </r>
  <r>
    <s v="Discrete AI"/>
    <x v="5"/>
    <x v="2"/>
    <s v="Wired Communications Electronics"/>
    <s v="Enterprise LAN"/>
    <s v="Semiconductor Revenue M$"/>
    <x v="2"/>
    <n v="0"/>
  </r>
  <r>
    <s v="Discrete AI"/>
    <x v="5"/>
    <x v="2"/>
    <s v="Wired Communications Electronics"/>
    <s v="Enterprise LAN"/>
    <s v="Semiconductor Revenue M$"/>
    <x v="3"/>
    <n v="0"/>
  </r>
  <r>
    <s v="Discrete AI"/>
    <x v="5"/>
    <x v="2"/>
    <s v="Wired Communications Electronics"/>
    <s v="Enterprise LAN"/>
    <s v="Semiconductor Revenue M$"/>
    <x v="4"/>
    <n v="0"/>
  </r>
  <r>
    <s v="Discrete AI"/>
    <x v="5"/>
    <x v="2"/>
    <s v="Wired Communications Electronics"/>
    <s v="Enterprise LAN"/>
    <s v="Semiconductor Revenue M$"/>
    <x v="5"/>
    <n v="0"/>
  </r>
  <r>
    <s v="Discrete AI"/>
    <x v="5"/>
    <x v="2"/>
    <s v="Wired Communications Electronics"/>
    <s v="Enterprise LAN"/>
    <s v="Semiconductor Revenue M$"/>
    <x v="6"/>
    <n v="0"/>
  </r>
  <r>
    <s v="Discrete AI"/>
    <x v="5"/>
    <x v="3"/>
    <s v="Automotive Electronics"/>
    <s v="ADAS-ECU (Level-0/1/2)"/>
    <s v="Semiconductor Revenue M$"/>
    <x v="0"/>
    <n v="0"/>
  </r>
  <r>
    <s v="Discrete AI"/>
    <x v="5"/>
    <x v="3"/>
    <s v="Automotive Electronics"/>
    <s v="ADAS-ECU (Level-0/1/2)"/>
    <s v="Semiconductor Revenue M$"/>
    <x v="1"/>
    <n v="0"/>
  </r>
  <r>
    <s v="Discrete AI"/>
    <x v="5"/>
    <x v="3"/>
    <s v="Automotive Electronics"/>
    <s v="ADAS-ECU (Level-0/1/2)"/>
    <s v="Semiconductor Revenue M$"/>
    <x v="2"/>
    <n v="0"/>
  </r>
  <r>
    <s v="Discrete AI"/>
    <x v="5"/>
    <x v="3"/>
    <s v="Automotive Electronics"/>
    <s v="ADAS-ECU (Level-0/1/2)"/>
    <s v="Semiconductor Revenue M$"/>
    <x v="3"/>
    <n v="0"/>
  </r>
  <r>
    <s v="Discrete AI"/>
    <x v="5"/>
    <x v="3"/>
    <s v="Automotive Electronics"/>
    <s v="ADAS-ECU (Level-0/1/2)"/>
    <s v="Semiconductor Revenue M$"/>
    <x v="4"/>
    <n v="0"/>
  </r>
  <r>
    <s v="Discrete AI"/>
    <x v="5"/>
    <x v="3"/>
    <s v="Automotive Electronics"/>
    <s v="ADAS-ECU (Level-0/1/2)"/>
    <s v="Semiconductor Revenue M$"/>
    <x v="5"/>
    <n v="0"/>
  </r>
  <r>
    <s v="Discrete AI"/>
    <x v="5"/>
    <x v="3"/>
    <s v="Automotive Electronics"/>
    <s v="ADAS-ECU (Level-0/1/2)"/>
    <s v="Semiconductor Revenue M$"/>
    <x v="6"/>
    <n v="0"/>
  </r>
  <r>
    <s v="Discrete AI"/>
    <x v="5"/>
    <x v="2"/>
    <s v="Wired Communications Electronics"/>
    <s v="Enterprise WAN"/>
    <s v="Semiconductor Revenue M$"/>
    <x v="0"/>
    <n v="0"/>
  </r>
  <r>
    <s v="Discrete AI"/>
    <x v="5"/>
    <x v="2"/>
    <s v="Wired Communications Electronics"/>
    <s v="Enterprise WAN"/>
    <s v="Semiconductor Revenue M$"/>
    <x v="1"/>
    <n v="0"/>
  </r>
  <r>
    <s v="Discrete AI"/>
    <x v="5"/>
    <x v="2"/>
    <s v="Wired Communications Electronics"/>
    <s v="Enterprise WAN"/>
    <s v="Semiconductor Revenue M$"/>
    <x v="2"/>
    <n v="0"/>
  </r>
  <r>
    <s v="Discrete AI"/>
    <x v="5"/>
    <x v="2"/>
    <s v="Wired Communications Electronics"/>
    <s v="Enterprise WAN"/>
    <s v="Semiconductor Revenue M$"/>
    <x v="3"/>
    <n v="0"/>
  </r>
  <r>
    <s v="Discrete AI"/>
    <x v="5"/>
    <x v="2"/>
    <s v="Wired Communications Electronics"/>
    <s v="Enterprise WAN"/>
    <s v="Semiconductor Revenue M$"/>
    <x v="4"/>
    <n v="0"/>
  </r>
  <r>
    <s v="Discrete AI"/>
    <x v="5"/>
    <x v="2"/>
    <s v="Wired Communications Electronics"/>
    <s v="Enterprise WAN"/>
    <s v="Semiconductor Revenue M$"/>
    <x v="5"/>
    <n v="0"/>
  </r>
  <r>
    <s v="Discrete AI"/>
    <x v="5"/>
    <x v="2"/>
    <s v="Wired Communications Electronics"/>
    <s v="Enterprise WAN"/>
    <s v="Semiconductor Revenue M$"/>
    <x v="6"/>
    <n v="0"/>
  </r>
  <r>
    <s v="Discrete AI"/>
    <x v="5"/>
    <x v="2"/>
    <s v="Wired Communications Electronics"/>
    <s v="Optical Transport"/>
    <s v="Semiconductor Revenue M$"/>
    <x v="0"/>
    <n v="0"/>
  </r>
  <r>
    <s v="Discrete AI"/>
    <x v="5"/>
    <x v="2"/>
    <s v="Wired Communications Electronics"/>
    <s v="Optical Transport"/>
    <s v="Semiconductor Revenue M$"/>
    <x v="1"/>
    <n v="0"/>
  </r>
  <r>
    <s v="Discrete AI"/>
    <x v="5"/>
    <x v="2"/>
    <s v="Wired Communications Electronics"/>
    <s v="Optical Transport"/>
    <s v="Semiconductor Revenue M$"/>
    <x v="2"/>
    <n v="0"/>
  </r>
  <r>
    <s v="Discrete AI"/>
    <x v="5"/>
    <x v="2"/>
    <s v="Wired Communications Electronics"/>
    <s v="Optical Transport"/>
    <s v="Semiconductor Revenue M$"/>
    <x v="3"/>
    <n v="0"/>
  </r>
  <r>
    <s v="Discrete AI"/>
    <x v="5"/>
    <x v="2"/>
    <s v="Wired Communications Electronics"/>
    <s v="Optical Transport"/>
    <s v="Semiconductor Revenue M$"/>
    <x v="4"/>
    <n v="0"/>
  </r>
  <r>
    <s v="Discrete AI"/>
    <x v="5"/>
    <x v="2"/>
    <s v="Wired Communications Electronics"/>
    <s v="Optical Transport"/>
    <s v="Semiconductor Revenue M$"/>
    <x v="5"/>
    <n v="0"/>
  </r>
  <r>
    <s v="Discrete AI"/>
    <x v="5"/>
    <x v="2"/>
    <s v="Wired Communications Electronics"/>
    <s v="Optical Transport"/>
    <s v="Semiconductor Revenue M$"/>
    <x v="6"/>
    <n v="0"/>
  </r>
  <r>
    <s v="Discrete AI"/>
    <x v="5"/>
    <x v="2"/>
    <s v="Wired Communications Electronics"/>
    <s v="Service Provider Routers and Switches"/>
    <s v="Semiconductor Revenue M$"/>
    <x v="0"/>
    <n v="0"/>
  </r>
  <r>
    <s v="Discrete AI"/>
    <x v="5"/>
    <x v="2"/>
    <s v="Wired Communications Electronics"/>
    <s v="Service Provider Routers and Switches"/>
    <s v="Semiconductor Revenue M$"/>
    <x v="1"/>
    <n v="0"/>
  </r>
  <r>
    <s v="Discrete AI"/>
    <x v="5"/>
    <x v="2"/>
    <s v="Wired Communications Electronics"/>
    <s v="Service Provider Routers and Switches"/>
    <s v="Semiconductor Revenue M$"/>
    <x v="2"/>
    <n v="0"/>
  </r>
  <r>
    <s v="Discrete AI"/>
    <x v="5"/>
    <x v="2"/>
    <s v="Wired Communications Electronics"/>
    <s v="Service Provider Routers and Switches"/>
    <s v="Semiconductor Revenue M$"/>
    <x v="3"/>
    <n v="0"/>
  </r>
  <r>
    <s v="Discrete AI"/>
    <x v="5"/>
    <x v="2"/>
    <s v="Wired Communications Electronics"/>
    <s v="Service Provider Routers and Switches"/>
    <s v="Semiconductor Revenue M$"/>
    <x v="4"/>
    <n v="0"/>
  </r>
  <r>
    <s v="Discrete AI"/>
    <x v="5"/>
    <x v="2"/>
    <s v="Wired Communications Electronics"/>
    <s v="Service Provider Routers and Switches"/>
    <s v="Semiconductor Revenue M$"/>
    <x v="5"/>
    <n v="0"/>
  </r>
  <r>
    <s v="Discrete AI"/>
    <x v="5"/>
    <x v="2"/>
    <s v="Wired Communications Electronics"/>
    <s v="Service Provider Routers and Switches"/>
    <s v="Semiconductor Revenue M$"/>
    <x v="6"/>
    <n v="0"/>
  </r>
  <r>
    <s v="Discrete AI"/>
    <x v="5"/>
    <x v="2"/>
    <s v="Wired Communications Electronics"/>
    <s v="Other Wired Communications Electronics"/>
    <s v="Semiconductor Revenue M$"/>
    <x v="0"/>
    <n v="0"/>
  </r>
  <r>
    <s v="Discrete AI"/>
    <x v="5"/>
    <x v="2"/>
    <s v="Wired Communications Electronics"/>
    <s v="Other Wired Communications Electronics"/>
    <s v="Semiconductor Revenue M$"/>
    <x v="1"/>
    <n v="0"/>
  </r>
  <r>
    <s v="Discrete AI"/>
    <x v="5"/>
    <x v="2"/>
    <s v="Wired Communications Electronics"/>
    <s v="Other Wired Communications Electronics"/>
    <s v="Semiconductor Revenue M$"/>
    <x v="2"/>
    <n v="0"/>
  </r>
  <r>
    <s v="Discrete AI"/>
    <x v="5"/>
    <x v="2"/>
    <s v="Wired Communications Electronics"/>
    <s v="Other Wired Communications Electronics"/>
    <s v="Semiconductor Revenue M$"/>
    <x v="3"/>
    <n v="0"/>
  </r>
  <r>
    <s v="Discrete AI"/>
    <x v="5"/>
    <x v="2"/>
    <s v="Wired Communications Electronics"/>
    <s v="Other Wired Communications Electronics"/>
    <s v="Semiconductor Revenue M$"/>
    <x v="4"/>
    <n v="0"/>
  </r>
  <r>
    <s v="Discrete AI"/>
    <x v="5"/>
    <x v="2"/>
    <s v="Wired Communications Electronics"/>
    <s v="Other Wired Communications Electronics"/>
    <s v="Semiconductor Revenue M$"/>
    <x v="5"/>
    <n v="0"/>
  </r>
  <r>
    <s v="Discrete AI"/>
    <x v="5"/>
    <x v="2"/>
    <s v="Wired Communications Electronics"/>
    <s v="Other Wired Communications Electronics"/>
    <s v="Semiconductor Revenue M$"/>
    <x v="6"/>
    <n v="0"/>
  </r>
  <r>
    <s v="Discrete AI"/>
    <x v="5"/>
    <x v="4"/>
    <s v="Consumer Electronics"/>
    <s v="Appliances"/>
    <s v="Semiconductor Revenue M$"/>
    <x v="0"/>
    <n v="0"/>
  </r>
  <r>
    <s v="Discrete AI"/>
    <x v="5"/>
    <x v="4"/>
    <s v="Consumer Electronics"/>
    <s v="Appliances"/>
    <s v="Semiconductor Revenue M$"/>
    <x v="1"/>
    <n v="0"/>
  </r>
  <r>
    <s v="Discrete AI"/>
    <x v="5"/>
    <x v="4"/>
    <s v="Consumer Electronics"/>
    <s v="Appliances"/>
    <s v="Semiconductor Revenue M$"/>
    <x v="2"/>
    <n v="0"/>
  </r>
  <r>
    <s v="Discrete AI"/>
    <x v="5"/>
    <x v="4"/>
    <s v="Consumer Electronics"/>
    <s v="Appliances"/>
    <s v="Semiconductor Revenue M$"/>
    <x v="3"/>
    <n v="0"/>
  </r>
  <r>
    <s v="Discrete AI"/>
    <x v="5"/>
    <x v="4"/>
    <s v="Consumer Electronics"/>
    <s v="Appliances"/>
    <s v="Semiconductor Revenue M$"/>
    <x v="4"/>
    <n v="0"/>
  </r>
  <r>
    <s v="Discrete AI"/>
    <x v="5"/>
    <x v="4"/>
    <s v="Consumer Electronics"/>
    <s v="Appliances"/>
    <s v="Semiconductor Revenue M$"/>
    <x v="5"/>
    <n v="0"/>
  </r>
  <r>
    <s v="Discrete AI"/>
    <x v="5"/>
    <x v="4"/>
    <s v="Consumer Electronics"/>
    <s v="Appliances"/>
    <s v="Semiconductor Revenue M$"/>
    <x v="6"/>
    <n v="0"/>
  </r>
  <r>
    <s v="Discrete AI"/>
    <x v="5"/>
    <x v="4"/>
    <s v="Consumer Electronics"/>
    <s v="Digital Camcorder"/>
    <s v="Semiconductor Revenue M$"/>
    <x v="0"/>
    <n v="0"/>
  </r>
  <r>
    <s v="Discrete AI"/>
    <x v="5"/>
    <x v="4"/>
    <s v="Consumer Electronics"/>
    <s v="Digital Camcorder"/>
    <s v="Semiconductor Revenue M$"/>
    <x v="1"/>
    <n v="0"/>
  </r>
  <r>
    <s v="Discrete AI"/>
    <x v="5"/>
    <x v="4"/>
    <s v="Consumer Electronics"/>
    <s v="Digital Camcorder"/>
    <s v="Semiconductor Revenue M$"/>
    <x v="2"/>
    <n v="0"/>
  </r>
  <r>
    <s v="Discrete AI"/>
    <x v="5"/>
    <x v="4"/>
    <s v="Consumer Electronics"/>
    <s v="Digital Camcorder"/>
    <s v="Semiconductor Revenue M$"/>
    <x v="3"/>
    <n v="0"/>
  </r>
  <r>
    <s v="Discrete AI"/>
    <x v="5"/>
    <x v="4"/>
    <s v="Consumer Electronics"/>
    <s v="Digital Camcorder"/>
    <s v="Semiconductor Revenue M$"/>
    <x v="4"/>
    <n v="0"/>
  </r>
  <r>
    <s v="Discrete AI"/>
    <x v="5"/>
    <x v="4"/>
    <s v="Consumer Electronics"/>
    <s v="Digital Camcorder"/>
    <s v="Semiconductor Revenue M$"/>
    <x v="5"/>
    <n v="0"/>
  </r>
  <r>
    <s v="Discrete AI"/>
    <x v="5"/>
    <x v="4"/>
    <s v="Consumer Electronics"/>
    <s v="Digital Camcorder"/>
    <s v="Semiconductor Revenue M$"/>
    <x v="6"/>
    <n v="0"/>
  </r>
  <r>
    <s v="Discrete AI"/>
    <x v="5"/>
    <x v="4"/>
    <s v="Consumer Electronics"/>
    <s v="Digital Set-Top Box, Cable"/>
    <s v="Semiconductor Revenue M$"/>
    <x v="0"/>
    <n v="0"/>
  </r>
  <r>
    <s v="Discrete AI"/>
    <x v="5"/>
    <x v="4"/>
    <s v="Consumer Electronics"/>
    <s v="Digital Set-Top Box, Cable"/>
    <s v="Semiconductor Revenue M$"/>
    <x v="1"/>
    <n v="0"/>
  </r>
  <r>
    <s v="Discrete AI"/>
    <x v="5"/>
    <x v="4"/>
    <s v="Consumer Electronics"/>
    <s v="Digital Set-Top Box, Cable"/>
    <s v="Semiconductor Revenue M$"/>
    <x v="2"/>
    <n v="0"/>
  </r>
  <r>
    <s v="Discrete AI"/>
    <x v="5"/>
    <x v="4"/>
    <s v="Consumer Electronics"/>
    <s v="Digital Set-Top Box, Cable"/>
    <s v="Semiconductor Revenue M$"/>
    <x v="3"/>
    <n v="0"/>
  </r>
  <r>
    <s v="Discrete AI"/>
    <x v="5"/>
    <x v="4"/>
    <s v="Consumer Electronics"/>
    <s v="Digital Set-Top Box, Cable"/>
    <s v="Semiconductor Revenue M$"/>
    <x v="4"/>
    <n v="0"/>
  </r>
  <r>
    <s v="Discrete AI"/>
    <x v="5"/>
    <x v="4"/>
    <s v="Consumer Electronics"/>
    <s v="Digital Set-Top Box, Cable"/>
    <s v="Semiconductor Revenue M$"/>
    <x v="5"/>
    <n v="0"/>
  </r>
  <r>
    <s v="Discrete AI"/>
    <x v="5"/>
    <x v="4"/>
    <s v="Consumer Electronics"/>
    <s v="Digital Set-Top Box, Cable"/>
    <s v="Semiconductor Revenue M$"/>
    <x v="6"/>
    <n v="0"/>
  </r>
  <r>
    <s v="Discrete AI"/>
    <x v="5"/>
    <x v="4"/>
    <s v="Consumer Electronics"/>
    <s v="Digital Set-Top Box, Satellite"/>
    <s v="Semiconductor Revenue M$"/>
    <x v="0"/>
    <n v="0"/>
  </r>
  <r>
    <s v="Discrete AI"/>
    <x v="5"/>
    <x v="4"/>
    <s v="Consumer Electronics"/>
    <s v="Digital Set-Top Box, Satellite"/>
    <s v="Semiconductor Revenue M$"/>
    <x v="1"/>
    <n v="0"/>
  </r>
  <r>
    <s v="Discrete AI"/>
    <x v="5"/>
    <x v="4"/>
    <s v="Consumer Electronics"/>
    <s v="Digital Set-Top Box, Satellite"/>
    <s v="Semiconductor Revenue M$"/>
    <x v="2"/>
    <n v="0"/>
  </r>
  <r>
    <s v="Discrete AI"/>
    <x v="5"/>
    <x v="4"/>
    <s v="Consumer Electronics"/>
    <s v="Digital Set-Top Box, Satellite"/>
    <s v="Semiconductor Revenue M$"/>
    <x v="3"/>
    <n v="0"/>
  </r>
  <r>
    <s v="Discrete AI"/>
    <x v="5"/>
    <x v="4"/>
    <s v="Consumer Electronics"/>
    <s v="Digital Set-Top Box, Satellite"/>
    <s v="Semiconductor Revenue M$"/>
    <x v="4"/>
    <n v="0"/>
  </r>
  <r>
    <s v="Discrete AI"/>
    <x v="5"/>
    <x v="4"/>
    <s v="Consumer Electronics"/>
    <s v="Digital Set-Top Box, Satellite"/>
    <s v="Semiconductor Revenue M$"/>
    <x v="5"/>
    <n v="0"/>
  </r>
  <r>
    <s v="Discrete AI"/>
    <x v="5"/>
    <x v="4"/>
    <s v="Consumer Electronics"/>
    <s v="Digital Set-Top Box, Satellite"/>
    <s v="Semiconductor Revenue M$"/>
    <x v="6"/>
    <n v="0"/>
  </r>
  <r>
    <s v="Discrete AI"/>
    <x v="5"/>
    <x v="4"/>
    <s v="Consumer Electronics"/>
    <s v="Digital Set-Top Box, Terrestrial"/>
    <s v="Semiconductor Revenue M$"/>
    <x v="0"/>
    <n v="0"/>
  </r>
  <r>
    <s v="Discrete AI"/>
    <x v="5"/>
    <x v="4"/>
    <s v="Consumer Electronics"/>
    <s v="Digital Set-Top Box, Terrestrial"/>
    <s v="Semiconductor Revenue M$"/>
    <x v="1"/>
    <n v="0"/>
  </r>
  <r>
    <s v="Discrete AI"/>
    <x v="5"/>
    <x v="4"/>
    <s v="Consumer Electronics"/>
    <s v="Digital Set-Top Box, Terrestrial"/>
    <s v="Semiconductor Revenue M$"/>
    <x v="2"/>
    <n v="0"/>
  </r>
  <r>
    <s v="Discrete AI"/>
    <x v="5"/>
    <x v="4"/>
    <s v="Consumer Electronics"/>
    <s v="Digital Set-Top Box, Terrestrial"/>
    <s v="Semiconductor Revenue M$"/>
    <x v="3"/>
    <n v="0"/>
  </r>
  <r>
    <s v="Discrete AI"/>
    <x v="5"/>
    <x v="4"/>
    <s v="Consumer Electronics"/>
    <s v="Digital Set-Top Box, Terrestrial"/>
    <s v="Semiconductor Revenue M$"/>
    <x v="4"/>
    <n v="0"/>
  </r>
  <r>
    <s v="Discrete AI"/>
    <x v="5"/>
    <x v="4"/>
    <s v="Consumer Electronics"/>
    <s v="Digital Set-Top Box, Terrestrial"/>
    <s v="Semiconductor Revenue M$"/>
    <x v="5"/>
    <n v="0"/>
  </r>
  <r>
    <s v="Discrete AI"/>
    <x v="5"/>
    <x v="4"/>
    <s v="Consumer Electronics"/>
    <s v="Digital Set-Top Box, Terrestrial"/>
    <s v="Semiconductor Revenue M$"/>
    <x v="6"/>
    <n v="0"/>
  </r>
  <r>
    <s v="Discrete AI"/>
    <x v="5"/>
    <x v="4"/>
    <s v="Consumer Electronics"/>
    <s v="Digital Set-Top Box, IP/Other"/>
    <s v="Semiconductor Revenue M$"/>
    <x v="0"/>
    <n v="0"/>
  </r>
  <r>
    <s v="Discrete AI"/>
    <x v="5"/>
    <x v="4"/>
    <s v="Consumer Electronics"/>
    <s v="Digital Set-Top Box, IP/Other"/>
    <s v="Semiconductor Revenue M$"/>
    <x v="1"/>
    <n v="0"/>
  </r>
  <r>
    <s v="Discrete AI"/>
    <x v="5"/>
    <x v="4"/>
    <s v="Consumer Electronics"/>
    <s v="Digital Set-Top Box, IP/Other"/>
    <s v="Semiconductor Revenue M$"/>
    <x v="2"/>
    <n v="0"/>
  </r>
  <r>
    <s v="Discrete AI"/>
    <x v="5"/>
    <x v="4"/>
    <s v="Consumer Electronics"/>
    <s v="Digital Set-Top Box, IP/Other"/>
    <s v="Semiconductor Revenue M$"/>
    <x v="3"/>
    <n v="0"/>
  </r>
  <r>
    <s v="Discrete AI"/>
    <x v="5"/>
    <x v="4"/>
    <s v="Consumer Electronics"/>
    <s v="Digital Set-Top Box, IP/Other"/>
    <s v="Semiconductor Revenue M$"/>
    <x v="4"/>
    <n v="0"/>
  </r>
  <r>
    <s v="Discrete AI"/>
    <x v="5"/>
    <x v="4"/>
    <s v="Consumer Electronics"/>
    <s v="Digital Set-Top Box, IP/Other"/>
    <s v="Semiconductor Revenue M$"/>
    <x v="5"/>
    <n v="0"/>
  </r>
  <r>
    <s v="Discrete AI"/>
    <x v="5"/>
    <x v="4"/>
    <s v="Consumer Electronics"/>
    <s v="Digital Set-Top Box, IP/Other"/>
    <s v="Semiconductor Revenue M$"/>
    <x v="6"/>
    <n v="0"/>
  </r>
  <r>
    <s v="Discrete AI"/>
    <x v="5"/>
    <x v="4"/>
    <s v="Consumer Electronics"/>
    <s v="Digital Still Camera"/>
    <s v="Semiconductor Revenue M$"/>
    <x v="0"/>
    <n v="0"/>
  </r>
  <r>
    <s v="Discrete AI"/>
    <x v="5"/>
    <x v="4"/>
    <s v="Consumer Electronics"/>
    <s v="Digital Still Camera"/>
    <s v="Semiconductor Revenue M$"/>
    <x v="1"/>
    <n v="0"/>
  </r>
  <r>
    <s v="Discrete AI"/>
    <x v="5"/>
    <x v="4"/>
    <s v="Consumer Electronics"/>
    <s v="Digital Still Camera"/>
    <s v="Semiconductor Revenue M$"/>
    <x v="2"/>
    <n v="0"/>
  </r>
  <r>
    <s v="Discrete AI"/>
    <x v="5"/>
    <x v="4"/>
    <s v="Consumer Electronics"/>
    <s v="Digital Still Camera"/>
    <s v="Semiconductor Revenue M$"/>
    <x v="3"/>
    <n v="0"/>
  </r>
  <r>
    <s v="Discrete AI"/>
    <x v="5"/>
    <x v="4"/>
    <s v="Consumer Electronics"/>
    <s v="Digital Still Camera"/>
    <s v="Semiconductor Revenue M$"/>
    <x v="4"/>
    <n v="0"/>
  </r>
  <r>
    <s v="Discrete AI"/>
    <x v="5"/>
    <x v="4"/>
    <s v="Consumer Electronics"/>
    <s v="Digital Still Camera"/>
    <s v="Semiconductor Revenue M$"/>
    <x v="5"/>
    <n v="0"/>
  </r>
  <r>
    <s v="Discrete AI"/>
    <x v="5"/>
    <x v="4"/>
    <s v="Consumer Electronics"/>
    <s v="Digital Still Camera"/>
    <s v="Semiconductor Revenue M$"/>
    <x v="6"/>
    <n v="0"/>
  </r>
  <r>
    <s v="Discrete AI"/>
    <x v="5"/>
    <x v="5"/>
    <s v="Industrial Electronics"/>
    <s v="Agriculture"/>
    <s v="Semiconductor Revenue M$"/>
    <x v="0"/>
    <n v="0"/>
  </r>
  <r>
    <s v="Discrete AI"/>
    <x v="5"/>
    <x v="5"/>
    <s v="Industrial Electronics"/>
    <s v="Agriculture"/>
    <s v="Semiconductor Revenue M$"/>
    <x v="1"/>
    <n v="0"/>
  </r>
  <r>
    <s v="Discrete AI"/>
    <x v="5"/>
    <x v="5"/>
    <s v="Industrial Electronics"/>
    <s v="Agriculture"/>
    <s v="Semiconductor Revenue M$"/>
    <x v="2"/>
    <n v="0"/>
  </r>
  <r>
    <s v="Discrete AI"/>
    <x v="5"/>
    <x v="5"/>
    <s v="Industrial Electronics"/>
    <s v="Agriculture"/>
    <s v="Semiconductor Revenue M$"/>
    <x v="3"/>
    <n v="0"/>
  </r>
  <r>
    <s v="Discrete AI"/>
    <x v="5"/>
    <x v="5"/>
    <s v="Industrial Electronics"/>
    <s v="Agriculture"/>
    <s v="Semiconductor Revenue M$"/>
    <x v="4"/>
    <n v="0"/>
  </r>
  <r>
    <s v="Discrete AI"/>
    <x v="5"/>
    <x v="5"/>
    <s v="Industrial Electronics"/>
    <s v="Agriculture"/>
    <s v="Semiconductor Revenue M$"/>
    <x v="5"/>
    <n v="0"/>
  </r>
  <r>
    <s v="Discrete AI"/>
    <x v="5"/>
    <x v="5"/>
    <s v="Industrial Electronics"/>
    <s v="Agriculture"/>
    <s v="Semiconductor Revenue M$"/>
    <x v="6"/>
    <n v="0"/>
  </r>
  <r>
    <s v="Discrete AI"/>
    <x v="5"/>
    <x v="3"/>
    <s v="Automotive Electronics"/>
    <s v="Automotive HPC"/>
    <s v="Semiconductor Revenue M$"/>
    <x v="0"/>
    <n v="0"/>
  </r>
  <r>
    <s v="Discrete AI"/>
    <x v="5"/>
    <x v="3"/>
    <s v="Automotive Electronics"/>
    <s v="Automotive HPC"/>
    <s v="Semiconductor Revenue M$"/>
    <x v="1"/>
    <n v="0"/>
  </r>
  <r>
    <s v="Discrete AI"/>
    <x v="5"/>
    <x v="3"/>
    <s v="Automotive Electronics"/>
    <s v="Automotive HPC"/>
    <s v="Semiconductor Revenue M$"/>
    <x v="2"/>
    <n v="0"/>
  </r>
  <r>
    <s v="Discrete AI"/>
    <x v="5"/>
    <x v="3"/>
    <s v="Automotive Electronics"/>
    <s v="Automotive HPC"/>
    <s v="Semiconductor Revenue M$"/>
    <x v="3"/>
    <n v="0"/>
  </r>
  <r>
    <s v="Discrete AI"/>
    <x v="5"/>
    <x v="3"/>
    <s v="Automotive Electronics"/>
    <s v="Automotive HPC"/>
    <s v="Semiconductor Revenue M$"/>
    <x v="4"/>
    <n v="0"/>
  </r>
  <r>
    <s v="Discrete AI"/>
    <x v="5"/>
    <x v="3"/>
    <s v="Automotive Electronics"/>
    <s v="Automotive HPC"/>
    <s v="Semiconductor Revenue M$"/>
    <x v="5"/>
    <n v="0"/>
  </r>
  <r>
    <s v="Discrete AI"/>
    <x v="5"/>
    <x v="3"/>
    <s v="Automotive Electronics"/>
    <s v="Automotive HPC"/>
    <s v="Semiconductor Revenue M$"/>
    <x v="6"/>
    <n v="0"/>
  </r>
  <r>
    <s v="Discrete AI"/>
    <x v="5"/>
    <x v="5"/>
    <s v="Industrial Electronics"/>
    <s v="Surveillance"/>
    <s v="Semiconductor Revenue M$"/>
    <x v="0"/>
    <n v="0"/>
  </r>
  <r>
    <s v="Discrete AI"/>
    <x v="5"/>
    <x v="5"/>
    <s v="Industrial Electronics"/>
    <s v="Surveillance"/>
    <s v="Semiconductor Revenue M$"/>
    <x v="1"/>
    <n v="0"/>
  </r>
  <r>
    <s v="Discrete AI"/>
    <x v="5"/>
    <x v="5"/>
    <s v="Industrial Electronics"/>
    <s v="Surveillance"/>
    <s v="Semiconductor Revenue M$"/>
    <x v="2"/>
    <n v="0"/>
  </r>
  <r>
    <s v="Discrete AI"/>
    <x v="5"/>
    <x v="5"/>
    <s v="Industrial Electronics"/>
    <s v="Surveillance"/>
    <s v="Semiconductor Revenue M$"/>
    <x v="3"/>
    <n v="0"/>
  </r>
  <r>
    <s v="Discrete AI"/>
    <x v="5"/>
    <x v="5"/>
    <s v="Industrial Electronics"/>
    <s v="Surveillance"/>
    <s v="Semiconductor Revenue M$"/>
    <x v="4"/>
    <n v="0"/>
  </r>
  <r>
    <s v="Discrete AI"/>
    <x v="5"/>
    <x v="5"/>
    <s v="Industrial Electronics"/>
    <s v="Surveillance"/>
    <s v="Semiconductor Revenue M$"/>
    <x v="5"/>
    <n v="0"/>
  </r>
  <r>
    <s v="Discrete AI"/>
    <x v="5"/>
    <x v="5"/>
    <s v="Industrial Electronics"/>
    <s v="Surveillance"/>
    <s v="Semiconductor Revenue M$"/>
    <x v="6"/>
    <n v="0"/>
  </r>
  <r>
    <s v="Discrete AI"/>
    <x v="5"/>
    <x v="4"/>
    <s v="Consumer Electronics"/>
    <s v="Portable Media Players"/>
    <s v="Semiconductor Revenue M$"/>
    <x v="0"/>
    <n v="0"/>
  </r>
  <r>
    <s v="Discrete AI"/>
    <x v="5"/>
    <x v="4"/>
    <s v="Consumer Electronics"/>
    <s v="Portable Media Players"/>
    <s v="Semiconductor Revenue M$"/>
    <x v="1"/>
    <n v="0"/>
  </r>
  <r>
    <s v="Discrete AI"/>
    <x v="5"/>
    <x v="4"/>
    <s v="Consumer Electronics"/>
    <s v="Portable Media Players"/>
    <s v="Semiconductor Revenue M$"/>
    <x v="2"/>
    <n v="0"/>
  </r>
  <r>
    <s v="Discrete AI"/>
    <x v="5"/>
    <x v="4"/>
    <s v="Consumer Electronics"/>
    <s v="Portable Media Players"/>
    <s v="Semiconductor Revenue M$"/>
    <x v="3"/>
    <n v="0"/>
  </r>
  <r>
    <s v="Discrete AI"/>
    <x v="5"/>
    <x v="4"/>
    <s v="Consumer Electronics"/>
    <s v="Portable Media Players"/>
    <s v="Semiconductor Revenue M$"/>
    <x v="4"/>
    <n v="0"/>
  </r>
  <r>
    <s v="Discrete AI"/>
    <x v="5"/>
    <x v="4"/>
    <s v="Consumer Electronics"/>
    <s v="Portable Media Players"/>
    <s v="Semiconductor Revenue M$"/>
    <x v="5"/>
    <n v="0"/>
  </r>
  <r>
    <s v="Discrete AI"/>
    <x v="5"/>
    <x v="4"/>
    <s v="Consumer Electronics"/>
    <s v="Portable Media Players"/>
    <s v="Semiconductor Revenue M$"/>
    <x v="6"/>
    <n v="0"/>
  </r>
  <r>
    <s v="Discrete AI"/>
    <x v="5"/>
    <x v="4"/>
    <s v="Consumer Electronics"/>
    <s v="Smart Speakers"/>
    <s v="Semiconductor Revenue M$"/>
    <x v="0"/>
    <n v="0"/>
  </r>
  <r>
    <s v="Discrete AI"/>
    <x v="5"/>
    <x v="4"/>
    <s v="Consumer Electronics"/>
    <s v="Smart Speakers"/>
    <s v="Semiconductor Revenue M$"/>
    <x v="1"/>
    <n v="0"/>
  </r>
  <r>
    <s v="Discrete AI"/>
    <x v="5"/>
    <x v="4"/>
    <s v="Consumer Electronics"/>
    <s v="Smart Speakers"/>
    <s v="Semiconductor Revenue M$"/>
    <x v="2"/>
    <n v="0"/>
  </r>
  <r>
    <s v="Discrete AI"/>
    <x v="5"/>
    <x v="4"/>
    <s v="Consumer Electronics"/>
    <s v="Smart Speakers"/>
    <s v="Semiconductor Revenue M$"/>
    <x v="3"/>
    <n v="0"/>
  </r>
  <r>
    <s v="Discrete AI"/>
    <x v="5"/>
    <x v="4"/>
    <s v="Consumer Electronics"/>
    <s v="Smart Speakers"/>
    <s v="Semiconductor Revenue M$"/>
    <x v="4"/>
    <n v="0"/>
  </r>
  <r>
    <s v="Discrete AI"/>
    <x v="5"/>
    <x v="4"/>
    <s v="Consumer Electronics"/>
    <s v="Smart Speakers"/>
    <s v="Semiconductor Revenue M$"/>
    <x v="5"/>
    <n v="0"/>
  </r>
  <r>
    <s v="Discrete AI"/>
    <x v="5"/>
    <x v="4"/>
    <s v="Consumer Electronics"/>
    <s v="Smart Speakers"/>
    <s v="Semiconductor Revenue M$"/>
    <x v="6"/>
    <n v="0"/>
  </r>
  <r>
    <s v="Discrete AI"/>
    <x v="5"/>
    <x v="4"/>
    <s v="Consumer Electronics"/>
    <s v="TV, Standard"/>
    <s v="Semiconductor Revenue M$"/>
    <x v="0"/>
    <n v="0"/>
  </r>
  <r>
    <s v="Discrete AI"/>
    <x v="5"/>
    <x v="4"/>
    <s v="Consumer Electronics"/>
    <s v="TV, Standard"/>
    <s v="Semiconductor Revenue M$"/>
    <x v="1"/>
    <n v="0"/>
  </r>
  <r>
    <s v="Discrete AI"/>
    <x v="5"/>
    <x v="4"/>
    <s v="Consumer Electronics"/>
    <s v="TV, Standard"/>
    <s v="Semiconductor Revenue M$"/>
    <x v="2"/>
    <n v="0"/>
  </r>
  <r>
    <s v="Discrete AI"/>
    <x v="5"/>
    <x v="4"/>
    <s v="Consumer Electronics"/>
    <s v="TV, Standard"/>
    <s v="Semiconductor Revenue M$"/>
    <x v="3"/>
    <n v="0"/>
  </r>
  <r>
    <s v="Discrete AI"/>
    <x v="5"/>
    <x v="4"/>
    <s v="Consumer Electronics"/>
    <s v="TV, Standard"/>
    <s v="Semiconductor Revenue M$"/>
    <x v="4"/>
    <n v="0"/>
  </r>
  <r>
    <s v="Discrete AI"/>
    <x v="5"/>
    <x v="4"/>
    <s v="Consumer Electronics"/>
    <s v="TV, Standard"/>
    <s v="Semiconductor Revenue M$"/>
    <x v="5"/>
    <n v="0"/>
  </r>
  <r>
    <s v="Discrete AI"/>
    <x v="5"/>
    <x v="4"/>
    <s v="Consumer Electronics"/>
    <s v="TV, Standard"/>
    <s v="Semiconductor Revenue M$"/>
    <x v="6"/>
    <n v="0"/>
  </r>
  <r>
    <s v="Discrete AI"/>
    <x v="5"/>
    <x v="4"/>
    <s v="Consumer Electronics"/>
    <s v="TV, Smart"/>
    <s v="Semiconductor Revenue M$"/>
    <x v="0"/>
    <n v="0"/>
  </r>
  <r>
    <s v="Discrete AI"/>
    <x v="5"/>
    <x v="4"/>
    <s v="Consumer Electronics"/>
    <s v="TV, Smart"/>
    <s v="Semiconductor Revenue M$"/>
    <x v="1"/>
    <n v="0"/>
  </r>
  <r>
    <s v="Discrete AI"/>
    <x v="5"/>
    <x v="4"/>
    <s v="Consumer Electronics"/>
    <s v="TV, Smart"/>
    <s v="Semiconductor Revenue M$"/>
    <x v="2"/>
    <n v="0"/>
  </r>
  <r>
    <s v="Discrete AI"/>
    <x v="5"/>
    <x v="4"/>
    <s v="Consumer Electronics"/>
    <s v="TV, Smart"/>
    <s v="Semiconductor Revenue M$"/>
    <x v="3"/>
    <n v="0"/>
  </r>
  <r>
    <s v="Discrete AI"/>
    <x v="5"/>
    <x v="4"/>
    <s v="Consumer Electronics"/>
    <s v="TV, Smart"/>
    <s v="Semiconductor Revenue M$"/>
    <x v="4"/>
    <n v="0"/>
  </r>
  <r>
    <s v="Discrete AI"/>
    <x v="5"/>
    <x v="4"/>
    <s v="Consumer Electronics"/>
    <s v="TV, Smart"/>
    <s v="Semiconductor Revenue M$"/>
    <x v="5"/>
    <n v="0"/>
  </r>
  <r>
    <s v="Discrete AI"/>
    <x v="5"/>
    <x v="4"/>
    <s v="Consumer Electronics"/>
    <s v="TV, Smart"/>
    <s v="Semiconductor Revenue M$"/>
    <x v="6"/>
    <n v="0"/>
  </r>
  <r>
    <s v="Discrete AI"/>
    <x v="5"/>
    <x v="4"/>
    <s v="Consumer Electronics"/>
    <s v="Video Game Consoles"/>
    <s v="Semiconductor Revenue M$"/>
    <x v="0"/>
    <n v="0"/>
  </r>
  <r>
    <s v="Discrete AI"/>
    <x v="5"/>
    <x v="4"/>
    <s v="Consumer Electronics"/>
    <s v="Video Game Consoles"/>
    <s v="Semiconductor Revenue M$"/>
    <x v="1"/>
    <n v="0"/>
  </r>
  <r>
    <s v="Discrete AI"/>
    <x v="5"/>
    <x v="4"/>
    <s v="Consumer Electronics"/>
    <s v="Video Game Consoles"/>
    <s v="Semiconductor Revenue M$"/>
    <x v="2"/>
    <n v="0"/>
  </r>
  <r>
    <s v="Discrete AI"/>
    <x v="5"/>
    <x v="4"/>
    <s v="Consumer Electronics"/>
    <s v="Video Game Consoles"/>
    <s v="Semiconductor Revenue M$"/>
    <x v="3"/>
    <n v="0"/>
  </r>
  <r>
    <s v="Discrete AI"/>
    <x v="5"/>
    <x v="4"/>
    <s v="Consumer Electronics"/>
    <s v="Video Game Consoles"/>
    <s v="Semiconductor Revenue M$"/>
    <x v="4"/>
    <n v="0"/>
  </r>
  <r>
    <s v="Discrete AI"/>
    <x v="5"/>
    <x v="4"/>
    <s v="Consumer Electronics"/>
    <s v="Video Game Consoles"/>
    <s v="Semiconductor Revenue M$"/>
    <x v="5"/>
    <n v="0"/>
  </r>
  <r>
    <s v="Discrete AI"/>
    <x v="5"/>
    <x v="4"/>
    <s v="Consumer Electronics"/>
    <s v="Video Game Consoles"/>
    <s v="Semiconductor Revenue M$"/>
    <x v="6"/>
    <n v="0"/>
  </r>
  <r>
    <s v="Discrete AI"/>
    <x v="5"/>
    <x v="4"/>
    <s v="Consumer Electronics"/>
    <s v="Video Game Handhelds"/>
    <s v="Semiconductor Revenue M$"/>
    <x v="0"/>
    <n v="0"/>
  </r>
  <r>
    <s v="Discrete AI"/>
    <x v="5"/>
    <x v="4"/>
    <s v="Consumer Electronics"/>
    <s v="Video Game Handhelds"/>
    <s v="Semiconductor Revenue M$"/>
    <x v="1"/>
    <n v="0"/>
  </r>
  <r>
    <s v="Discrete AI"/>
    <x v="5"/>
    <x v="4"/>
    <s v="Consumer Electronics"/>
    <s v="Video Game Handhelds"/>
    <s v="Semiconductor Revenue M$"/>
    <x v="2"/>
    <n v="0"/>
  </r>
  <r>
    <s v="Discrete AI"/>
    <x v="5"/>
    <x v="4"/>
    <s v="Consumer Electronics"/>
    <s v="Video Game Handhelds"/>
    <s v="Semiconductor Revenue M$"/>
    <x v="3"/>
    <n v="0"/>
  </r>
  <r>
    <s v="Discrete AI"/>
    <x v="5"/>
    <x v="4"/>
    <s v="Consumer Electronics"/>
    <s v="Video Game Handhelds"/>
    <s v="Semiconductor Revenue M$"/>
    <x v="4"/>
    <n v="0"/>
  </r>
  <r>
    <s v="Discrete AI"/>
    <x v="5"/>
    <x v="4"/>
    <s v="Consumer Electronics"/>
    <s v="Video Game Handhelds"/>
    <s v="Semiconductor Revenue M$"/>
    <x v="5"/>
    <n v="0"/>
  </r>
  <r>
    <s v="Discrete AI"/>
    <x v="5"/>
    <x v="4"/>
    <s v="Consumer Electronics"/>
    <s v="Video Game Handhelds"/>
    <s v="Semiconductor Revenue M$"/>
    <x v="6"/>
    <n v="0"/>
  </r>
  <r>
    <s v="Discrete AI"/>
    <x v="5"/>
    <x v="4"/>
    <s v="Consumer Electronics"/>
    <s v="Wristbands"/>
    <s v="Semiconductor Revenue M$"/>
    <x v="0"/>
    <n v="0"/>
  </r>
  <r>
    <s v="Discrete AI"/>
    <x v="5"/>
    <x v="4"/>
    <s v="Consumer Electronics"/>
    <s v="Wristbands"/>
    <s v="Semiconductor Revenue M$"/>
    <x v="1"/>
    <n v="0"/>
  </r>
  <r>
    <s v="Discrete AI"/>
    <x v="5"/>
    <x v="4"/>
    <s v="Consumer Electronics"/>
    <s v="Wristbands"/>
    <s v="Semiconductor Revenue M$"/>
    <x v="2"/>
    <n v="0"/>
  </r>
  <r>
    <s v="Discrete AI"/>
    <x v="5"/>
    <x v="4"/>
    <s v="Consumer Electronics"/>
    <s v="Wristbands"/>
    <s v="Semiconductor Revenue M$"/>
    <x v="3"/>
    <n v="0"/>
  </r>
  <r>
    <s v="Discrete AI"/>
    <x v="5"/>
    <x v="4"/>
    <s v="Consumer Electronics"/>
    <s v="Wristbands"/>
    <s v="Semiconductor Revenue M$"/>
    <x v="4"/>
    <n v="0"/>
  </r>
  <r>
    <s v="Discrete AI"/>
    <x v="5"/>
    <x v="4"/>
    <s v="Consumer Electronics"/>
    <s v="Wristbands"/>
    <s v="Semiconductor Revenue M$"/>
    <x v="5"/>
    <n v="0"/>
  </r>
  <r>
    <s v="Discrete AI"/>
    <x v="5"/>
    <x v="4"/>
    <s v="Consumer Electronics"/>
    <s v="Wristbands"/>
    <s v="Semiconductor Revenue M$"/>
    <x v="6"/>
    <n v="0"/>
  </r>
  <r>
    <s v="Discrete AI"/>
    <x v="5"/>
    <x v="4"/>
    <s v="Consumer Electronics"/>
    <s v="Head Mounted Display"/>
    <s v="Semiconductor Revenue M$"/>
    <x v="0"/>
    <n v="0"/>
  </r>
  <r>
    <s v="Discrete AI"/>
    <x v="5"/>
    <x v="4"/>
    <s v="Consumer Electronics"/>
    <s v="Head Mounted Display"/>
    <s v="Semiconductor Revenue M$"/>
    <x v="1"/>
    <n v="0"/>
  </r>
  <r>
    <s v="Discrete AI"/>
    <x v="5"/>
    <x v="4"/>
    <s v="Consumer Electronics"/>
    <s v="Head Mounted Display"/>
    <s v="Semiconductor Revenue M$"/>
    <x v="2"/>
    <n v="0"/>
  </r>
  <r>
    <s v="Discrete AI"/>
    <x v="5"/>
    <x v="4"/>
    <s v="Consumer Electronics"/>
    <s v="Head Mounted Display"/>
    <s v="Semiconductor Revenue M$"/>
    <x v="3"/>
    <n v="0"/>
  </r>
  <r>
    <s v="Discrete AI"/>
    <x v="5"/>
    <x v="4"/>
    <s v="Consumer Electronics"/>
    <s v="Head Mounted Display"/>
    <s v="Semiconductor Revenue M$"/>
    <x v="4"/>
    <n v="0"/>
  </r>
  <r>
    <s v="Discrete AI"/>
    <x v="5"/>
    <x v="4"/>
    <s v="Consumer Electronics"/>
    <s v="Head Mounted Display"/>
    <s v="Semiconductor Revenue M$"/>
    <x v="5"/>
    <n v="0"/>
  </r>
  <r>
    <s v="Discrete AI"/>
    <x v="5"/>
    <x v="4"/>
    <s v="Consumer Electronics"/>
    <s v="Head Mounted Display"/>
    <s v="Semiconductor Revenue M$"/>
    <x v="6"/>
    <n v="0"/>
  </r>
  <r>
    <s v="Discrete AI"/>
    <x v="5"/>
    <x v="4"/>
    <s v="Consumer Electronics"/>
    <s v="Smart Watches"/>
    <s v="Semiconductor Revenue M$"/>
    <x v="0"/>
    <n v="0"/>
  </r>
  <r>
    <s v="Discrete AI"/>
    <x v="5"/>
    <x v="4"/>
    <s v="Consumer Electronics"/>
    <s v="Smart Watches"/>
    <s v="Semiconductor Revenue M$"/>
    <x v="1"/>
    <n v="0"/>
  </r>
  <r>
    <s v="Discrete AI"/>
    <x v="5"/>
    <x v="4"/>
    <s v="Consumer Electronics"/>
    <s v="Smart Watches"/>
    <s v="Semiconductor Revenue M$"/>
    <x v="2"/>
    <n v="0"/>
  </r>
  <r>
    <s v="Discrete AI"/>
    <x v="5"/>
    <x v="4"/>
    <s v="Consumer Electronics"/>
    <s v="Smart Watches"/>
    <s v="Semiconductor Revenue M$"/>
    <x v="3"/>
    <n v="0"/>
  </r>
  <r>
    <s v="Discrete AI"/>
    <x v="5"/>
    <x v="4"/>
    <s v="Consumer Electronics"/>
    <s v="Smart Watches"/>
    <s v="Semiconductor Revenue M$"/>
    <x v="4"/>
    <n v="0"/>
  </r>
  <r>
    <s v="Discrete AI"/>
    <x v="5"/>
    <x v="4"/>
    <s v="Consumer Electronics"/>
    <s v="Smart Watches"/>
    <s v="Semiconductor Revenue M$"/>
    <x v="5"/>
    <n v="0"/>
  </r>
  <r>
    <s v="Discrete AI"/>
    <x v="5"/>
    <x v="4"/>
    <s v="Consumer Electronics"/>
    <s v="Smart Watches"/>
    <s v="Semiconductor Revenue M$"/>
    <x v="6"/>
    <n v="0"/>
  </r>
  <r>
    <s v="Discrete AI"/>
    <x v="5"/>
    <x v="4"/>
    <s v="Consumer Electronics"/>
    <s v="Sports Watches"/>
    <s v="Semiconductor Revenue M$"/>
    <x v="0"/>
    <n v="0"/>
  </r>
  <r>
    <s v="Discrete AI"/>
    <x v="5"/>
    <x v="4"/>
    <s v="Consumer Electronics"/>
    <s v="Sports Watches"/>
    <s v="Semiconductor Revenue M$"/>
    <x v="1"/>
    <n v="0"/>
  </r>
  <r>
    <s v="Discrete AI"/>
    <x v="5"/>
    <x v="4"/>
    <s v="Consumer Electronics"/>
    <s v="Sports Watches"/>
    <s v="Semiconductor Revenue M$"/>
    <x v="2"/>
    <n v="0"/>
  </r>
  <r>
    <s v="Discrete AI"/>
    <x v="5"/>
    <x v="4"/>
    <s v="Consumer Electronics"/>
    <s v="Sports Watches"/>
    <s v="Semiconductor Revenue M$"/>
    <x v="3"/>
    <n v="0"/>
  </r>
  <r>
    <s v="Discrete AI"/>
    <x v="5"/>
    <x v="4"/>
    <s v="Consumer Electronics"/>
    <s v="Sports Watches"/>
    <s v="Semiconductor Revenue M$"/>
    <x v="4"/>
    <n v="0"/>
  </r>
  <r>
    <s v="Discrete AI"/>
    <x v="5"/>
    <x v="4"/>
    <s v="Consumer Electronics"/>
    <s v="Sports Watches"/>
    <s v="Semiconductor Revenue M$"/>
    <x v="5"/>
    <n v="0"/>
  </r>
  <r>
    <s v="Discrete AI"/>
    <x v="5"/>
    <x v="4"/>
    <s v="Consumer Electronics"/>
    <s v="Sports Watches"/>
    <s v="Semiconductor Revenue M$"/>
    <x v="6"/>
    <n v="0"/>
  </r>
  <r>
    <s v="Discrete AI"/>
    <x v="5"/>
    <x v="4"/>
    <s v="Consumer Electronics"/>
    <s v="Other Consumer Electronics"/>
    <s v="Semiconductor Revenue M$"/>
    <x v="0"/>
    <n v="0"/>
  </r>
  <r>
    <s v="Discrete AI"/>
    <x v="5"/>
    <x v="4"/>
    <s v="Consumer Electronics"/>
    <s v="Other Consumer Electronics"/>
    <s v="Semiconductor Revenue M$"/>
    <x v="1"/>
    <n v="0"/>
  </r>
  <r>
    <s v="Discrete AI"/>
    <x v="5"/>
    <x v="4"/>
    <s v="Consumer Electronics"/>
    <s v="Other Consumer Electronics"/>
    <s v="Semiconductor Revenue M$"/>
    <x v="2"/>
    <n v="0"/>
  </r>
  <r>
    <s v="Discrete AI"/>
    <x v="5"/>
    <x v="4"/>
    <s v="Consumer Electronics"/>
    <s v="Other Consumer Electronics"/>
    <s v="Semiconductor Revenue M$"/>
    <x v="3"/>
    <n v="0"/>
  </r>
  <r>
    <s v="Discrete AI"/>
    <x v="5"/>
    <x v="4"/>
    <s v="Consumer Electronics"/>
    <s v="Other Consumer Electronics"/>
    <s v="Semiconductor Revenue M$"/>
    <x v="4"/>
    <n v="0"/>
  </r>
  <r>
    <s v="Discrete AI"/>
    <x v="5"/>
    <x v="4"/>
    <s v="Consumer Electronics"/>
    <s v="Other Consumer Electronics"/>
    <s v="Semiconductor Revenue M$"/>
    <x v="5"/>
    <n v="0"/>
  </r>
  <r>
    <s v="Discrete AI"/>
    <x v="5"/>
    <x v="4"/>
    <s v="Consumer Electronics"/>
    <s v="Other Consumer Electronics"/>
    <s v="Semiconductor Revenue M$"/>
    <x v="6"/>
    <n v="0"/>
  </r>
  <r>
    <s v="Discrete AI"/>
    <x v="5"/>
    <x v="3"/>
    <s v="Automotive Electronics"/>
    <s v="ADAS-Sensors and Connectivity"/>
    <s v="Semiconductor Revenue M$"/>
    <x v="0"/>
    <n v="0"/>
  </r>
  <r>
    <s v="Discrete AI"/>
    <x v="5"/>
    <x v="3"/>
    <s v="Automotive Electronics"/>
    <s v="ADAS-Sensors and Connectivity"/>
    <s v="Semiconductor Revenue M$"/>
    <x v="1"/>
    <n v="0"/>
  </r>
  <r>
    <s v="Discrete AI"/>
    <x v="5"/>
    <x v="3"/>
    <s v="Automotive Electronics"/>
    <s v="ADAS-Sensors and Connectivity"/>
    <s v="Semiconductor Revenue M$"/>
    <x v="2"/>
    <n v="0"/>
  </r>
  <r>
    <s v="Discrete AI"/>
    <x v="5"/>
    <x v="3"/>
    <s v="Automotive Electronics"/>
    <s v="ADAS-Sensors and Connectivity"/>
    <s v="Semiconductor Revenue M$"/>
    <x v="3"/>
    <n v="0"/>
  </r>
  <r>
    <s v="Discrete AI"/>
    <x v="5"/>
    <x v="3"/>
    <s v="Automotive Electronics"/>
    <s v="ADAS-Sensors and Connectivity"/>
    <s v="Semiconductor Revenue M$"/>
    <x v="4"/>
    <n v="0"/>
  </r>
  <r>
    <s v="Discrete AI"/>
    <x v="5"/>
    <x v="3"/>
    <s v="Automotive Electronics"/>
    <s v="ADAS-Sensors and Connectivity"/>
    <s v="Semiconductor Revenue M$"/>
    <x v="5"/>
    <n v="0"/>
  </r>
  <r>
    <s v="Discrete AI"/>
    <x v="5"/>
    <x v="3"/>
    <s v="Automotive Electronics"/>
    <s v="ADAS-Sensors and Connectivity"/>
    <s v="Semiconductor Revenue M$"/>
    <x v="6"/>
    <n v="0"/>
  </r>
  <r>
    <s v="Discrete AI"/>
    <x v="5"/>
    <x v="3"/>
    <s v="Automotive Electronics"/>
    <s v="Body"/>
    <s v="Semiconductor Revenue M$"/>
    <x v="0"/>
    <n v="0"/>
  </r>
  <r>
    <s v="Discrete AI"/>
    <x v="5"/>
    <x v="3"/>
    <s v="Automotive Electronics"/>
    <s v="Body"/>
    <s v="Semiconductor Revenue M$"/>
    <x v="1"/>
    <n v="0"/>
  </r>
  <r>
    <s v="Discrete AI"/>
    <x v="5"/>
    <x v="3"/>
    <s v="Automotive Electronics"/>
    <s v="Body"/>
    <s v="Semiconductor Revenue M$"/>
    <x v="2"/>
    <n v="0"/>
  </r>
  <r>
    <s v="Discrete AI"/>
    <x v="5"/>
    <x v="3"/>
    <s v="Automotive Electronics"/>
    <s v="Body"/>
    <s v="Semiconductor Revenue M$"/>
    <x v="3"/>
    <n v="0"/>
  </r>
  <r>
    <s v="Discrete AI"/>
    <x v="5"/>
    <x v="3"/>
    <s v="Automotive Electronics"/>
    <s v="Body"/>
    <s v="Semiconductor Revenue M$"/>
    <x v="4"/>
    <n v="0"/>
  </r>
  <r>
    <s v="Discrete AI"/>
    <x v="5"/>
    <x v="3"/>
    <s v="Automotive Electronics"/>
    <s v="Body"/>
    <s v="Semiconductor Revenue M$"/>
    <x v="5"/>
    <n v="0"/>
  </r>
  <r>
    <s v="Discrete AI"/>
    <x v="5"/>
    <x v="3"/>
    <s v="Automotive Electronics"/>
    <s v="Body"/>
    <s v="Semiconductor Revenue M$"/>
    <x v="6"/>
    <n v="0"/>
  </r>
  <r>
    <s v="Discrete AI"/>
    <x v="5"/>
    <x v="3"/>
    <s v="Automotive Electronics"/>
    <s v="Chassis"/>
    <s v="Semiconductor Revenue M$"/>
    <x v="0"/>
    <n v="0"/>
  </r>
  <r>
    <s v="Discrete AI"/>
    <x v="5"/>
    <x v="3"/>
    <s v="Automotive Electronics"/>
    <s v="Chassis"/>
    <s v="Semiconductor Revenue M$"/>
    <x v="1"/>
    <n v="0"/>
  </r>
  <r>
    <s v="Discrete AI"/>
    <x v="5"/>
    <x v="3"/>
    <s v="Automotive Electronics"/>
    <s v="Chassis"/>
    <s v="Semiconductor Revenue M$"/>
    <x v="2"/>
    <n v="0"/>
  </r>
  <r>
    <s v="Discrete AI"/>
    <x v="5"/>
    <x v="3"/>
    <s v="Automotive Electronics"/>
    <s v="Chassis"/>
    <s v="Semiconductor Revenue M$"/>
    <x v="3"/>
    <n v="0"/>
  </r>
  <r>
    <s v="Discrete AI"/>
    <x v="5"/>
    <x v="3"/>
    <s v="Automotive Electronics"/>
    <s v="Chassis"/>
    <s v="Semiconductor Revenue M$"/>
    <x v="4"/>
    <n v="0"/>
  </r>
  <r>
    <s v="Discrete AI"/>
    <x v="5"/>
    <x v="3"/>
    <s v="Automotive Electronics"/>
    <s v="Chassis"/>
    <s v="Semiconductor Revenue M$"/>
    <x v="5"/>
    <n v="0"/>
  </r>
  <r>
    <s v="Discrete AI"/>
    <x v="5"/>
    <x v="3"/>
    <s v="Automotive Electronics"/>
    <s v="Chassis"/>
    <s v="Semiconductor Revenue M$"/>
    <x v="6"/>
    <n v="0"/>
  </r>
  <r>
    <s v="Discrete AI"/>
    <x v="5"/>
    <x v="3"/>
    <s v="Automotive Electronics"/>
    <s v="EV/HEV"/>
    <s v="Semiconductor Revenue M$"/>
    <x v="0"/>
    <n v="0"/>
  </r>
  <r>
    <s v="Discrete AI"/>
    <x v="5"/>
    <x v="3"/>
    <s v="Automotive Electronics"/>
    <s v="EV/HEV"/>
    <s v="Semiconductor Revenue M$"/>
    <x v="1"/>
    <n v="0"/>
  </r>
  <r>
    <s v="Discrete AI"/>
    <x v="5"/>
    <x v="3"/>
    <s v="Automotive Electronics"/>
    <s v="EV/HEV"/>
    <s v="Semiconductor Revenue M$"/>
    <x v="2"/>
    <n v="0"/>
  </r>
  <r>
    <s v="Discrete AI"/>
    <x v="5"/>
    <x v="3"/>
    <s v="Automotive Electronics"/>
    <s v="EV/HEV"/>
    <s v="Semiconductor Revenue M$"/>
    <x v="3"/>
    <n v="0"/>
  </r>
  <r>
    <s v="Discrete AI"/>
    <x v="5"/>
    <x v="3"/>
    <s v="Automotive Electronics"/>
    <s v="EV/HEV"/>
    <s v="Semiconductor Revenue M$"/>
    <x v="4"/>
    <n v="0"/>
  </r>
  <r>
    <s v="Discrete AI"/>
    <x v="5"/>
    <x v="3"/>
    <s v="Automotive Electronics"/>
    <s v="EV/HEV"/>
    <s v="Semiconductor Revenue M$"/>
    <x v="5"/>
    <n v="0"/>
  </r>
  <r>
    <s v="Discrete AI"/>
    <x v="5"/>
    <x v="3"/>
    <s v="Automotive Electronics"/>
    <s v="EV/HEV"/>
    <s v="Semiconductor Revenue M$"/>
    <x v="6"/>
    <n v="0"/>
  </r>
  <r>
    <s v="Discrete AI"/>
    <x v="5"/>
    <x v="3"/>
    <s v="Automotive Electronics"/>
    <s v="Infotainment"/>
    <s v="Semiconductor Revenue M$"/>
    <x v="0"/>
    <n v="0"/>
  </r>
  <r>
    <s v="Discrete AI"/>
    <x v="5"/>
    <x v="3"/>
    <s v="Automotive Electronics"/>
    <s v="Infotainment"/>
    <s v="Semiconductor Revenue M$"/>
    <x v="1"/>
    <n v="0"/>
  </r>
  <r>
    <s v="Discrete AI"/>
    <x v="5"/>
    <x v="3"/>
    <s v="Automotive Electronics"/>
    <s v="Infotainment"/>
    <s v="Semiconductor Revenue M$"/>
    <x v="2"/>
    <n v="0"/>
  </r>
  <r>
    <s v="Discrete AI"/>
    <x v="5"/>
    <x v="3"/>
    <s v="Automotive Electronics"/>
    <s v="Infotainment"/>
    <s v="Semiconductor Revenue M$"/>
    <x v="3"/>
    <n v="0"/>
  </r>
  <r>
    <s v="Discrete AI"/>
    <x v="5"/>
    <x v="3"/>
    <s v="Automotive Electronics"/>
    <s v="Infotainment"/>
    <s v="Semiconductor Revenue M$"/>
    <x v="4"/>
    <n v="0"/>
  </r>
  <r>
    <s v="Discrete AI"/>
    <x v="5"/>
    <x v="3"/>
    <s v="Automotive Electronics"/>
    <s v="Infotainment"/>
    <s v="Semiconductor Revenue M$"/>
    <x v="5"/>
    <n v="0"/>
  </r>
  <r>
    <s v="Discrete AI"/>
    <x v="5"/>
    <x v="3"/>
    <s v="Automotive Electronics"/>
    <s v="Infotainment"/>
    <s v="Semiconductor Revenue M$"/>
    <x v="6"/>
    <n v="0"/>
  </r>
  <r>
    <s v="Discrete AI"/>
    <x v="5"/>
    <x v="3"/>
    <s v="Automotive Electronics"/>
    <s v="Instrument Cluster"/>
    <s v="Semiconductor Revenue M$"/>
    <x v="0"/>
    <n v="0"/>
  </r>
  <r>
    <s v="Discrete AI"/>
    <x v="5"/>
    <x v="3"/>
    <s v="Automotive Electronics"/>
    <s v="Instrument Cluster"/>
    <s v="Semiconductor Revenue M$"/>
    <x v="1"/>
    <n v="0"/>
  </r>
  <r>
    <s v="Discrete AI"/>
    <x v="5"/>
    <x v="3"/>
    <s v="Automotive Electronics"/>
    <s v="Instrument Cluster"/>
    <s v="Semiconductor Revenue M$"/>
    <x v="2"/>
    <n v="0"/>
  </r>
  <r>
    <s v="Discrete AI"/>
    <x v="5"/>
    <x v="3"/>
    <s v="Automotive Electronics"/>
    <s v="Instrument Cluster"/>
    <s v="Semiconductor Revenue M$"/>
    <x v="3"/>
    <n v="0"/>
  </r>
  <r>
    <s v="Discrete AI"/>
    <x v="5"/>
    <x v="3"/>
    <s v="Automotive Electronics"/>
    <s v="Instrument Cluster"/>
    <s v="Semiconductor Revenue M$"/>
    <x v="4"/>
    <n v="0"/>
  </r>
  <r>
    <s v="Discrete AI"/>
    <x v="5"/>
    <x v="3"/>
    <s v="Automotive Electronics"/>
    <s v="Instrument Cluster"/>
    <s v="Semiconductor Revenue M$"/>
    <x v="5"/>
    <n v="0"/>
  </r>
  <r>
    <s v="Discrete AI"/>
    <x v="5"/>
    <x v="3"/>
    <s v="Automotive Electronics"/>
    <s v="Instrument Cluster"/>
    <s v="Semiconductor Revenue M$"/>
    <x v="6"/>
    <n v="0"/>
  </r>
  <r>
    <s v="Discrete AI"/>
    <x v="5"/>
    <x v="3"/>
    <s v="Automotive Electronics"/>
    <s v="Powertrain"/>
    <s v="Semiconductor Revenue M$"/>
    <x v="0"/>
    <n v="0"/>
  </r>
  <r>
    <s v="Discrete AI"/>
    <x v="5"/>
    <x v="3"/>
    <s v="Automotive Electronics"/>
    <s v="Powertrain"/>
    <s v="Semiconductor Revenue M$"/>
    <x v="1"/>
    <n v="0"/>
  </r>
  <r>
    <s v="Discrete AI"/>
    <x v="5"/>
    <x v="3"/>
    <s v="Automotive Electronics"/>
    <s v="Powertrain"/>
    <s v="Semiconductor Revenue M$"/>
    <x v="2"/>
    <n v="0"/>
  </r>
  <r>
    <s v="Discrete AI"/>
    <x v="5"/>
    <x v="3"/>
    <s v="Automotive Electronics"/>
    <s v="Powertrain"/>
    <s v="Semiconductor Revenue M$"/>
    <x v="3"/>
    <n v="0"/>
  </r>
  <r>
    <s v="Discrete AI"/>
    <x v="5"/>
    <x v="3"/>
    <s v="Automotive Electronics"/>
    <s v="Powertrain"/>
    <s v="Semiconductor Revenue M$"/>
    <x v="4"/>
    <n v="0"/>
  </r>
  <r>
    <s v="Discrete AI"/>
    <x v="5"/>
    <x v="3"/>
    <s v="Automotive Electronics"/>
    <s v="Powertrain"/>
    <s v="Semiconductor Revenue M$"/>
    <x v="5"/>
    <n v="0"/>
  </r>
  <r>
    <s v="Discrete AI"/>
    <x v="5"/>
    <x v="3"/>
    <s v="Automotive Electronics"/>
    <s v="Powertrain"/>
    <s v="Semiconductor Revenue M$"/>
    <x v="6"/>
    <n v="0"/>
  </r>
  <r>
    <s v="Discrete AI"/>
    <x v="5"/>
    <x v="3"/>
    <s v="Automotive Electronics"/>
    <s v="Safety"/>
    <s v="Semiconductor Revenue M$"/>
    <x v="0"/>
    <n v="0"/>
  </r>
  <r>
    <s v="Discrete AI"/>
    <x v="5"/>
    <x v="3"/>
    <s v="Automotive Electronics"/>
    <s v="Safety"/>
    <s v="Semiconductor Revenue M$"/>
    <x v="1"/>
    <n v="0"/>
  </r>
  <r>
    <s v="Discrete AI"/>
    <x v="5"/>
    <x v="3"/>
    <s v="Automotive Electronics"/>
    <s v="Safety"/>
    <s v="Semiconductor Revenue M$"/>
    <x v="2"/>
    <n v="0"/>
  </r>
  <r>
    <s v="Discrete AI"/>
    <x v="5"/>
    <x v="3"/>
    <s v="Automotive Electronics"/>
    <s v="Safety"/>
    <s v="Semiconductor Revenue M$"/>
    <x v="3"/>
    <n v="0"/>
  </r>
  <r>
    <s v="Discrete AI"/>
    <x v="5"/>
    <x v="3"/>
    <s v="Automotive Electronics"/>
    <s v="Safety"/>
    <s v="Semiconductor Revenue M$"/>
    <x v="4"/>
    <n v="0"/>
  </r>
  <r>
    <s v="Discrete AI"/>
    <x v="5"/>
    <x v="3"/>
    <s v="Automotive Electronics"/>
    <s v="Safety"/>
    <s v="Semiconductor Revenue M$"/>
    <x v="5"/>
    <n v="0"/>
  </r>
  <r>
    <s v="Discrete AI"/>
    <x v="5"/>
    <x v="3"/>
    <s v="Automotive Electronics"/>
    <s v="Safety"/>
    <s v="Semiconductor Revenue M$"/>
    <x v="6"/>
    <n v="0"/>
  </r>
  <r>
    <s v="Discrete AI"/>
    <x v="5"/>
    <x v="3"/>
    <s v="Automotive Electronics"/>
    <s v="Aftermarket"/>
    <s v="Semiconductor Revenue M$"/>
    <x v="0"/>
    <n v="0"/>
  </r>
  <r>
    <s v="Discrete AI"/>
    <x v="5"/>
    <x v="3"/>
    <s v="Automotive Electronics"/>
    <s v="Aftermarket"/>
    <s v="Semiconductor Revenue M$"/>
    <x v="1"/>
    <n v="0"/>
  </r>
  <r>
    <s v="Discrete AI"/>
    <x v="5"/>
    <x v="3"/>
    <s v="Automotive Electronics"/>
    <s v="Aftermarket"/>
    <s v="Semiconductor Revenue M$"/>
    <x v="2"/>
    <n v="0"/>
  </r>
  <r>
    <s v="Discrete AI"/>
    <x v="5"/>
    <x v="3"/>
    <s v="Automotive Electronics"/>
    <s v="Aftermarket"/>
    <s v="Semiconductor Revenue M$"/>
    <x v="3"/>
    <n v="0"/>
  </r>
  <r>
    <s v="Discrete AI"/>
    <x v="5"/>
    <x v="3"/>
    <s v="Automotive Electronics"/>
    <s v="Aftermarket"/>
    <s v="Semiconductor Revenue M$"/>
    <x v="4"/>
    <n v="0"/>
  </r>
  <r>
    <s v="Discrete AI"/>
    <x v="5"/>
    <x v="3"/>
    <s v="Automotive Electronics"/>
    <s v="Aftermarket"/>
    <s v="Semiconductor Revenue M$"/>
    <x v="5"/>
    <n v="0"/>
  </r>
  <r>
    <s v="Discrete AI"/>
    <x v="5"/>
    <x v="3"/>
    <s v="Automotive Electronics"/>
    <s v="Aftermarket"/>
    <s v="Semiconductor Revenue M$"/>
    <x v="6"/>
    <n v="0"/>
  </r>
  <r>
    <s v="Discrete AI"/>
    <x v="5"/>
    <x v="5"/>
    <s v="Industrial Electronics"/>
    <s v="Commercial Amusement"/>
    <s v="Semiconductor Revenue M$"/>
    <x v="0"/>
    <n v="0"/>
  </r>
  <r>
    <s v="Discrete AI"/>
    <x v="5"/>
    <x v="5"/>
    <s v="Industrial Electronics"/>
    <s v="Commercial Amusement"/>
    <s v="Semiconductor Revenue M$"/>
    <x v="1"/>
    <n v="0"/>
  </r>
  <r>
    <s v="Discrete AI"/>
    <x v="5"/>
    <x v="5"/>
    <s v="Industrial Electronics"/>
    <s v="Commercial Amusement"/>
    <s v="Semiconductor Revenue M$"/>
    <x v="2"/>
    <n v="0"/>
  </r>
  <r>
    <s v="Discrete AI"/>
    <x v="5"/>
    <x v="5"/>
    <s v="Industrial Electronics"/>
    <s v="Commercial Amusement"/>
    <s v="Semiconductor Revenue M$"/>
    <x v="3"/>
    <n v="0"/>
  </r>
  <r>
    <s v="Discrete AI"/>
    <x v="5"/>
    <x v="5"/>
    <s v="Industrial Electronics"/>
    <s v="Commercial Amusement"/>
    <s v="Semiconductor Revenue M$"/>
    <x v="4"/>
    <n v="0"/>
  </r>
  <r>
    <s v="Discrete AI"/>
    <x v="5"/>
    <x v="5"/>
    <s v="Industrial Electronics"/>
    <s v="Commercial Amusement"/>
    <s v="Semiconductor Revenue M$"/>
    <x v="5"/>
    <n v="0"/>
  </r>
  <r>
    <s v="Discrete AI"/>
    <x v="5"/>
    <x v="5"/>
    <s v="Industrial Electronics"/>
    <s v="Commercial Amusement"/>
    <s v="Semiconductor Revenue M$"/>
    <x v="6"/>
    <n v="0"/>
  </r>
  <r>
    <s v="Discrete AI"/>
    <x v="5"/>
    <x v="5"/>
    <s v="Industrial Electronics"/>
    <s v="Automation"/>
    <s v="Semiconductor Revenue M$"/>
    <x v="0"/>
    <n v="0"/>
  </r>
  <r>
    <s v="Discrete AI"/>
    <x v="5"/>
    <x v="5"/>
    <s v="Industrial Electronics"/>
    <s v="Automation"/>
    <s v="Semiconductor Revenue M$"/>
    <x v="1"/>
    <n v="0"/>
  </r>
  <r>
    <s v="Discrete AI"/>
    <x v="5"/>
    <x v="5"/>
    <s v="Industrial Electronics"/>
    <s v="Automation"/>
    <s v="Semiconductor Revenue M$"/>
    <x v="2"/>
    <n v="0"/>
  </r>
  <r>
    <s v="Discrete AI"/>
    <x v="5"/>
    <x v="5"/>
    <s v="Industrial Electronics"/>
    <s v="Automation"/>
    <s v="Semiconductor Revenue M$"/>
    <x v="3"/>
    <n v="0"/>
  </r>
  <r>
    <s v="Discrete AI"/>
    <x v="5"/>
    <x v="5"/>
    <s v="Industrial Electronics"/>
    <s v="Automation"/>
    <s v="Semiconductor Revenue M$"/>
    <x v="4"/>
    <n v="0"/>
  </r>
  <r>
    <s v="Discrete AI"/>
    <x v="5"/>
    <x v="5"/>
    <s v="Industrial Electronics"/>
    <s v="Automation"/>
    <s v="Semiconductor Revenue M$"/>
    <x v="5"/>
    <n v="0"/>
  </r>
  <r>
    <s v="Discrete AI"/>
    <x v="5"/>
    <x v="5"/>
    <s v="Industrial Electronics"/>
    <s v="Automation"/>
    <s v="Semiconductor Revenue M$"/>
    <x v="6"/>
    <n v="0"/>
  </r>
  <r>
    <s v="Discrete AI"/>
    <x v="5"/>
    <x v="5"/>
    <s v="Industrial Electronics"/>
    <s v="Energy Management"/>
    <s v="Semiconductor Revenue M$"/>
    <x v="0"/>
    <n v="0"/>
  </r>
  <r>
    <s v="Discrete AI"/>
    <x v="5"/>
    <x v="5"/>
    <s v="Industrial Electronics"/>
    <s v="Energy Management"/>
    <s v="Semiconductor Revenue M$"/>
    <x v="1"/>
    <n v="0"/>
  </r>
  <r>
    <s v="Discrete AI"/>
    <x v="5"/>
    <x v="5"/>
    <s v="Industrial Electronics"/>
    <s v="Energy Management"/>
    <s v="Semiconductor Revenue M$"/>
    <x v="2"/>
    <n v="0"/>
  </r>
  <r>
    <s v="Discrete AI"/>
    <x v="5"/>
    <x v="5"/>
    <s v="Industrial Electronics"/>
    <s v="Energy Management"/>
    <s v="Semiconductor Revenue M$"/>
    <x v="3"/>
    <n v="0"/>
  </r>
  <r>
    <s v="Discrete AI"/>
    <x v="5"/>
    <x v="5"/>
    <s v="Industrial Electronics"/>
    <s v="Energy Management"/>
    <s v="Semiconductor Revenue M$"/>
    <x v="4"/>
    <n v="0"/>
  </r>
  <r>
    <s v="Discrete AI"/>
    <x v="5"/>
    <x v="5"/>
    <s v="Industrial Electronics"/>
    <s v="Energy Management"/>
    <s v="Semiconductor Revenue M$"/>
    <x v="5"/>
    <n v="0"/>
  </r>
  <r>
    <s v="Discrete AI"/>
    <x v="5"/>
    <x v="5"/>
    <s v="Industrial Electronics"/>
    <s v="Energy Management"/>
    <s v="Semiconductor Revenue M$"/>
    <x v="6"/>
    <n v="0"/>
  </r>
  <r>
    <s v="Discrete AI"/>
    <x v="5"/>
    <x v="5"/>
    <s v="Industrial Electronics"/>
    <s v="Solid-State Lighting"/>
    <s v="Semiconductor Revenue M$"/>
    <x v="0"/>
    <n v="0"/>
  </r>
  <r>
    <s v="Discrete AI"/>
    <x v="5"/>
    <x v="5"/>
    <s v="Industrial Electronics"/>
    <s v="Solid-State Lighting"/>
    <s v="Semiconductor Revenue M$"/>
    <x v="1"/>
    <n v="0"/>
  </r>
  <r>
    <s v="Discrete AI"/>
    <x v="5"/>
    <x v="5"/>
    <s v="Industrial Electronics"/>
    <s v="Solid-State Lighting"/>
    <s v="Semiconductor Revenue M$"/>
    <x v="2"/>
    <n v="0"/>
  </r>
  <r>
    <s v="Discrete AI"/>
    <x v="5"/>
    <x v="5"/>
    <s v="Industrial Electronics"/>
    <s v="Solid-State Lighting"/>
    <s v="Semiconductor Revenue M$"/>
    <x v="3"/>
    <n v="0"/>
  </r>
  <r>
    <s v="Discrete AI"/>
    <x v="5"/>
    <x v="5"/>
    <s v="Industrial Electronics"/>
    <s v="Solid-State Lighting"/>
    <s v="Semiconductor Revenue M$"/>
    <x v="4"/>
    <n v="0"/>
  </r>
  <r>
    <s v="Discrete AI"/>
    <x v="5"/>
    <x v="5"/>
    <s v="Industrial Electronics"/>
    <s v="Solid-State Lighting"/>
    <s v="Semiconductor Revenue M$"/>
    <x v="5"/>
    <n v="0"/>
  </r>
  <r>
    <s v="Discrete AI"/>
    <x v="5"/>
    <x v="5"/>
    <s v="Industrial Electronics"/>
    <s v="Solid-State Lighting"/>
    <s v="Semiconductor Revenue M$"/>
    <x v="6"/>
    <n v="0"/>
  </r>
  <r>
    <s v="Discrete AI"/>
    <x v="5"/>
    <x v="5"/>
    <s v="Industrial Electronics"/>
    <s v="Medical/Healthcare"/>
    <s v="Semiconductor Revenue M$"/>
    <x v="0"/>
    <n v="0"/>
  </r>
  <r>
    <s v="Discrete AI"/>
    <x v="5"/>
    <x v="5"/>
    <s v="Industrial Electronics"/>
    <s v="Medical/Healthcare"/>
    <s v="Semiconductor Revenue M$"/>
    <x v="1"/>
    <n v="0"/>
  </r>
  <r>
    <s v="Discrete AI"/>
    <x v="5"/>
    <x v="5"/>
    <s v="Industrial Electronics"/>
    <s v="Medical/Healthcare"/>
    <s v="Semiconductor Revenue M$"/>
    <x v="2"/>
    <n v="0"/>
  </r>
  <r>
    <s v="Discrete AI"/>
    <x v="5"/>
    <x v="5"/>
    <s v="Industrial Electronics"/>
    <s v="Medical/Healthcare"/>
    <s v="Semiconductor Revenue M$"/>
    <x v="3"/>
    <n v="0"/>
  </r>
  <r>
    <s v="Discrete AI"/>
    <x v="5"/>
    <x v="5"/>
    <s v="Industrial Electronics"/>
    <s v="Medical/Healthcare"/>
    <s v="Semiconductor Revenue M$"/>
    <x v="4"/>
    <n v="0"/>
  </r>
  <r>
    <s v="Discrete AI"/>
    <x v="5"/>
    <x v="5"/>
    <s v="Industrial Electronics"/>
    <s v="Medical/Healthcare"/>
    <s v="Semiconductor Revenue M$"/>
    <x v="5"/>
    <n v="0"/>
  </r>
  <r>
    <s v="Discrete AI"/>
    <x v="5"/>
    <x v="5"/>
    <s v="Industrial Electronics"/>
    <s v="Medical/Healthcare"/>
    <s v="Semiconductor Revenue M$"/>
    <x v="6"/>
    <n v="0"/>
  </r>
  <r>
    <s v="Discrete AI"/>
    <x v="5"/>
    <x v="5"/>
    <s v="Industrial Electronics"/>
    <s v="Test/Measurement"/>
    <s v="Semiconductor Revenue M$"/>
    <x v="0"/>
    <n v="0"/>
  </r>
  <r>
    <s v="Discrete AI"/>
    <x v="5"/>
    <x v="5"/>
    <s v="Industrial Electronics"/>
    <s v="Test/Measurement"/>
    <s v="Semiconductor Revenue M$"/>
    <x v="1"/>
    <n v="0"/>
  </r>
  <r>
    <s v="Discrete AI"/>
    <x v="5"/>
    <x v="5"/>
    <s v="Industrial Electronics"/>
    <s v="Test/Measurement"/>
    <s v="Semiconductor Revenue M$"/>
    <x v="2"/>
    <n v="0"/>
  </r>
  <r>
    <s v="Discrete AI"/>
    <x v="5"/>
    <x v="5"/>
    <s v="Industrial Electronics"/>
    <s v="Test/Measurement"/>
    <s v="Semiconductor Revenue M$"/>
    <x v="3"/>
    <n v="0"/>
  </r>
  <r>
    <s v="Discrete AI"/>
    <x v="5"/>
    <x v="5"/>
    <s v="Industrial Electronics"/>
    <s v="Test/Measurement"/>
    <s v="Semiconductor Revenue M$"/>
    <x v="4"/>
    <n v="0"/>
  </r>
  <r>
    <s v="Discrete AI"/>
    <x v="5"/>
    <x v="5"/>
    <s v="Industrial Electronics"/>
    <s v="Test/Measurement"/>
    <s v="Semiconductor Revenue M$"/>
    <x v="5"/>
    <n v="0"/>
  </r>
  <r>
    <s v="Discrete AI"/>
    <x v="5"/>
    <x v="5"/>
    <s v="Industrial Electronics"/>
    <s v="Test/Measurement"/>
    <s v="Semiconductor Revenue M$"/>
    <x v="6"/>
    <n v="0"/>
  </r>
  <r>
    <s v="Discrete AI"/>
    <x v="5"/>
    <x v="5"/>
    <s v="Industrial Electronics"/>
    <s v="Other Security"/>
    <s v="Semiconductor Revenue M$"/>
    <x v="0"/>
    <n v="0"/>
  </r>
  <r>
    <s v="Discrete AI"/>
    <x v="5"/>
    <x v="5"/>
    <s v="Industrial Electronics"/>
    <s v="Other Security"/>
    <s v="Semiconductor Revenue M$"/>
    <x v="1"/>
    <n v="0"/>
  </r>
  <r>
    <s v="Discrete AI"/>
    <x v="5"/>
    <x v="5"/>
    <s v="Industrial Electronics"/>
    <s v="Other Security"/>
    <s v="Semiconductor Revenue M$"/>
    <x v="2"/>
    <n v="0"/>
  </r>
  <r>
    <s v="Discrete AI"/>
    <x v="5"/>
    <x v="5"/>
    <s v="Industrial Electronics"/>
    <s v="Other Security"/>
    <s v="Semiconductor Revenue M$"/>
    <x v="3"/>
    <n v="0"/>
  </r>
  <r>
    <s v="Discrete AI"/>
    <x v="5"/>
    <x v="5"/>
    <s v="Industrial Electronics"/>
    <s v="Other Security"/>
    <s v="Semiconductor Revenue M$"/>
    <x v="4"/>
    <n v="0"/>
  </r>
  <r>
    <s v="Discrete AI"/>
    <x v="5"/>
    <x v="5"/>
    <s v="Industrial Electronics"/>
    <s v="Other Security"/>
    <s v="Semiconductor Revenue M$"/>
    <x v="5"/>
    <n v="0"/>
  </r>
  <r>
    <s v="Discrete AI"/>
    <x v="5"/>
    <x v="5"/>
    <s v="Industrial Electronics"/>
    <s v="Other Security"/>
    <s v="Semiconductor Revenue M$"/>
    <x v="6"/>
    <n v="0"/>
  </r>
  <r>
    <s v="Discrete AI"/>
    <x v="5"/>
    <x v="5"/>
    <s v="Industrial Electronics"/>
    <s v="Transportation"/>
    <s v="Semiconductor Revenue M$"/>
    <x v="0"/>
    <n v="0"/>
  </r>
  <r>
    <s v="Discrete AI"/>
    <x v="5"/>
    <x v="5"/>
    <s v="Industrial Electronics"/>
    <s v="Transportation"/>
    <s v="Semiconductor Revenue M$"/>
    <x v="1"/>
    <n v="0"/>
  </r>
  <r>
    <s v="Discrete AI"/>
    <x v="5"/>
    <x v="5"/>
    <s v="Industrial Electronics"/>
    <s v="Transportation"/>
    <s v="Semiconductor Revenue M$"/>
    <x v="2"/>
    <n v="0"/>
  </r>
  <r>
    <s v="Discrete AI"/>
    <x v="5"/>
    <x v="5"/>
    <s v="Industrial Electronics"/>
    <s v="Transportation"/>
    <s v="Semiconductor Revenue M$"/>
    <x v="3"/>
    <n v="0"/>
  </r>
  <r>
    <s v="Discrete AI"/>
    <x v="5"/>
    <x v="5"/>
    <s v="Industrial Electronics"/>
    <s v="Transportation"/>
    <s v="Semiconductor Revenue M$"/>
    <x v="4"/>
    <n v="0"/>
  </r>
  <r>
    <s v="Discrete AI"/>
    <x v="5"/>
    <x v="5"/>
    <s v="Industrial Electronics"/>
    <s v="Transportation"/>
    <s v="Semiconductor Revenue M$"/>
    <x v="5"/>
    <n v="0"/>
  </r>
  <r>
    <s v="Discrete AI"/>
    <x v="5"/>
    <x v="5"/>
    <s v="Industrial Electronics"/>
    <s v="Transportation"/>
    <s v="Semiconductor Revenue M$"/>
    <x v="6"/>
    <n v="0"/>
  </r>
  <r>
    <s v="Discrete AI"/>
    <x v="5"/>
    <x v="5"/>
    <s v="Industrial Electronics"/>
    <s v="Other Industrial Electronics"/>
    <s v="Semiconductor Revenue M$"/>
    <x v="0"/>
    <n v="0"/>
  </r>
  <r>
    <s v="Discrete AI"/>
    <x v="5"/>
    <x v="5"/>
    <s v="Industrial Electronics"/>
    <s v="Other Industrial Electronics"/>
    <s v="Semiconductor Revenue M$"/>
    <x v="1"/>
    <n v="0"/>
  </r>
  <r>
    <s v="Discrete AI"/>
    <x v="5"/>
    <x v="5"/>
    <s v="Industrial Electronics"/>
    <s v="Other Industrial Electronics"/>
    <s v="Semiconductor Revenue M$"/>
    <x v="2"/>
    <n v="0"/>
  </r>
  <r>
    <s v="Discrete AI"/>
    <x v="5"/>
    <x v="5"/>
    <s v="Industrial Electronics"/>
    <s v="Other Industrial Electronics"/>
    <s v="Semiconductor Revenue M$"/>
    <x v="3"/>
    <n v="0"/>
  </r>
  <r>
    <s v="Discrete AI"/>
    <x v="5"/>
    <x v="5"/>
    <s v="Industrial Electronics"/>
    <s v="Other Industrial Electronics"/>
    <s v="Semiconductor Revenue M$"/>
    <x v="4"/>
    <n v="0"/>
  </r>
  <r>
    <s v="Discrete AI"/>
    <x v="5"/>
    <x v="5"/>
    <s v="Industrial Electronics"/>
    <s v="Other Industrial Electronics"/>
    <s v="Semiconductor Revenue M$"/>
    <x v="5"/>
    <n v="0"/>
  </r>
  <r>
    <s v="Discrete AI"/>
    <x v="5"/>
    <x v="5"/>
    <s v="Industrial Electronics"/>
    <s v="Other Industrial Electronics"/>
    <s v="Semiconductor Revenue M$"/>
    <x v="6"/>
    <n v="0"/>
  </r>
  <r>
    <s v="Discrete AI"/>
    <x v="5"/>
    <x v="5"/>
    <s v="Industrial Electronics"/>
    <s v="Military/Civil Aerospace Electronics"/>
    <s v="Semiconductor Revenue M$"/>
    <x v="0"/>
    <n v="0"/>
  </r>
  <r>
    <s v="Discrete AI"/>
    <x v="5"/>
    <x v="5"/>
    <s v="Industrial Electronics"/>
    <s v="Military/Civil Aerospace Electronics"/>
    <s v="Semiconductor Revenue M$"/>
    <x v="1"/>
    <n v="0"/>
  </r>
  <r>
    <s v="Discrete AI"/>
    <x v="5"/>
    <x v="5"/>
    <s v="Industrial Electronics"/>
    <s v="Military/Civil Aerospace Electronics"/>
    <s v="Semiconductor Revenue M$"/>
    <x v="2"/>
    <n v="0"/>
  </r>
  <r>
    <s v="Discrete AI"/>
    <x v="5"/>
    <x v="5"/>
    <s v="Industrial Electronics"/>
    <s v="Military/Civil Aerospace Electronics"/>
    <s v="Semiconductor Revenue M$"/>
    <x v="3"/>
    <n v="0"/>
  </r>
  <r>
    <s v="Discrete AI"/>
    <x v="5"/>
    <x v="5"/>
    <s v="Industrial Electronics"/>
    <s v="Military/Civil Aerospace Electronics"/>
    <s v="Semiconductor Revenue M$"/>
    <x v="4"/>
    <n v="0"/>
  </r>
  <r>
    <s v="Discrete AI"/>
    <x v="5"/>
    <x v="5"/>
    <s v="Industrial Electronics"/>
    <s v="Military/Civil Aerospace Electronics"/>
    <s v="Semiconductor Revenue M$"/>
    <x v="5"/>
    <n v="0"/>
  </r>
  <r>
    <s v="Discrete AI"/>
    <x v="5"/>
    <x v="5"/>
    <s v="Industrial Electronics"/>
    <s v="Military/Civil Aerospace Electronics"/>
    <s v="Semiconductor Revenue M$"/>
    <x v="6"/>
    <n v="0"/>
  </r>
  <r>
    <s v="Discrete AI"/>
    <x v="6"/>
    <x v="0"/>
    <s v="Compute"/>
    <s v="External Monitor"/>
    <s v="Semiconductor Revenue M$"/>
    <x v="0"/>
    <n v="0"/>
  </r>
  <r>
    <s v="Discrete AI"/>
    <x v="6"/>
    <x v="0"/>
    <s v="Compute"/>
    <s v="External Monitor"/>
    <s v="Semiconductor Revenue M$"/>
    <x v="1"/>
    <n v="0"/>
  </r>
  <r>
    <s v="Discrete AI"/>
    <x v="6"/>
    <x v="0"/>
    <s v="Compute"/>
    <s v="External Monitor"/>
    <s v="Semiconductor Revenue M$"/>
    <x v="2"/>
    <n v="0"/>
  </r>
  <r>
    <s v="Discrete AI"/>
    <x v="6"/>
    <x v="0"/>
    <s v="Compute"/>
    <s v="External Monitor"/>
    <s v="Semiconductor Revenue M$"/>
    <x v="3"/>
    <n v="0"/>
  </r>
  <r>
    <s v="Discrete AI"/>
    <x v="6"/>
    <x v="0"/>
    <s v="Compute"/>
    <s v="External Monitor"/>
    <s v="Semiconductor Revenue M$"/>
    <x v="4"/>
    <n v="0"/>
  </r>
  <r>
    <s v="Discrete AI"/>
    <x v="6"/>
    <x v="0"/>
    <s v="Compute"/>
    <s v="External Monitor"/>
    <s v="Semiconductor Revenue M$"/>
    <x v="5"/>
    <n v="0"/>
  </r>
  <r>
    <s v="Discrete AI"/>
    <x v="6"/>
    <x v="0"/>
    <s v="Compute"/>
    <s v="External Monitor"/>
    <s v="Semiconductor Revenue M$"/>
    <x v="6"/>
    <n v="0"/>
  </r>
  <r>
    <s v="Discrete AI"/>
    <x v="6"/>
    <x v="0"/>
    <s v="PC"/>
    <s v="Graphics Cards"/>
    <s v="Semiconductor Revenue M$"/>
    <x v="0"/>
    <n v="0"/>
  </r>
  <r>
    <s v="Discrete AI"/>
    <x v="6"/>
    <x v="0"/>
    <s v="PC"/>
    <s v="Graphics Cards"/>
    <s v="Semiconductor Revenue M$"/>
    <x v="1"/>
    <n v="0"/>
  </r>
  <r>
    <s v="Discrete AI"/>
    <x v="6"/>
    <x v="0"/>
    <s v="PC"/>
    <s v="Graphics Cards"/>
    <s v="Semiconductor Revenue M$"/>
    <x v="2"/>
    <n v="0"/>
  </r>
  <r>
    <s v="Discrete AI"/>
    <x v="6"/>
    <x v="0"/>
    <s v="PC"/>
    <s v="Graphics Cards"/>
    <s v="Semiconductor Revenue M$"/>
    <x v="3"/>
    <n v="0"/>
  </r>
  <r>
    <s v="Discrete AI"/>
    <x v="6"/>
    <x v="0"/>
    <s v="PC"/>
    <s v="Graphics Cards"/>
    <s v="Semiconductor Revenue M$"/>
    <x v="4"/>
    <n v="0"/>
  </r>
  <r>
    <s v="Discrete AI"/>
    <x v="6"/>
    <x v="0"/>
    <s v="PC"/>
    <s v="Graphics Cards"/>
    <s v="Semiconductor Revenue M$"/>
    <x v="5"/>
    <n v="0"/>
  </r>
  <r>
    <s v="Discrete AI"/>
    <x v="6"/>
    <x v="0"/>
    <s v="PC"/>
    <s v="Graphics Cards"/>
    <s v="Semiconductor Revenue M$"/>
    <x v="6"/>
    <n v="0"/>
  </r>
  <r>
    <s v="Discrete AI"/>
    <x v="6"/>
    <x v="0"/>
    <s v="PC"/>
    <s v="Desk-Based PC"/>
    <s v="Semiconductor Revenue M$"/>
    <x v="0"/>
    <n v="0"/>
  </r>
  <r>
    <s v="Discrete AI"/>
    <x v="6"/>
    <x v="0"/>
    <s v="PC"/>
    <s v="Desk-Based PC"/>
    <s v="Semiconductor Revenue M$"/>
    <x v="1"/>
    <n v="0"/>
  </r>
  <r>
    <s v="Discrete AI"/>
    <x v="6"/>
    <x v="0"/>
    <s v="PC"/>
    <s v="Desk-Based PC"/>
    <s v="Semiconductor Revenue M$"/>
    <x v="2"/>
    <n v="0"/>
  </r>
  <r>
    <s v="Discrete AI"/>
    <x v="6"/>
    <x v="0"/>
    <s v="PC"/>
    <s v="Desk-Based PC"/>
    <s v="Semiconductor Revenue M$"/>
    <x v="3"/>
    <n v="0"/>
  </r>
  <r>
    <s v="Discrete AI"/>
    <x v="6"/>
    <x v="0"/>
    <s v="PC"/>
    <s v="Desk-Based PC"/>
    <s v="Semiconductor Revenue M$"/>
    <x v="4"/>
    <n v="0"/>
  </r>
  <r>
    <s v="Discrete AI"/>
    <x v="6"/>
    <x v="0"/>
    <s v="PC"/>
    <s v="Desk-Based PC"/>
    <s v="Semiconductor Revenue M$"/>
    <x v="5"/>
    <n v="0"/>
  </r>
  <r>
    <s v="Discrete AI"/>
    <x v="6"/>
    <x v="0"/>
    <s v="PC"/>
    <s v="Desk-Based PC"/>
    <s v="Semiconductor Revenue M$"/>
    <x v="6"/>
    <n v="0"/>
  </r>
  <r>
    <s v="Discrete AI"/>
    <x v="6"/>
    <x v="0"/>
    <s v="PC"/>
    <s v="Ultramobile Basic, Tablet"/>
    <s v="Semiconductor Revenue M$"/>
    <x v="0"/>
    <n v="0"/>
  </r>
  <r>
    <s v="Discrete AI"/>
    <x v="6"/>
    <x v="0"/>
    <s v="PC"/>
    <s v="Ultramobile Basic, Tablet"/>
    <s v="Semiconductor Revenue M$"/>
    <x v="1"/>
    <n v="0"/>
  </r>
  <r>
    <s v="Discrete AI"/>
    <x v="6"/>
    <x v="0"/>
    <s v="PC"/>
    <s v="Ultramobile Basic, Tablet"/>
    <s v="Semiconductor Revenue M$"/>
    <x v="2"/>
    <n v="0"/>
  </r>
  <r>
    <s v="Discrete AI"/>
    <x v="6"/>
    <x v="0"/>
    <s v="PC"/>
    <s v="Ultramobile Basic, Tablet"/>
    <s v="Semiconductor Revenue M$"/>
    <x v="3"/>
    <n v="0"/>
  </r>
  <r>
    <s v="Discrete AI"/>
    <x v="6"/>
    <x v="0"/>
    <s v="PC"/>
    <s v="Ultramobile Basic, Tablet"/>
    <s v="Semiconductor Revenue M$"/>
    <x v="4"/>
    <n v="0"/>
  </r>
  <r>
    <s v="Discrete AI"/>
    <x v="6"/>
    <x v="0"/>
    <s v="PC"/>
    <s v="Ultramobile Basic, Tablet"/>
    <s v="Semiconductor Revenue M$"/>
    <x v="5"/>
    <n v="0"/>
  </r>
  <r>
    <s v="Discrete AI"/>
    <x v="6"/>
    <x v="0"/>
    <s v="PC"/>
    <s v="Ultramobile Basic, Tablet"/>
    <s v="Semiconductor Revenue M$"/>
    <x v="6"/>
    <n v="0"/>
  </r>
  <r>
    <s v="Discrete AI"/>
    <x v="6"/>
    <x v="0"/>
    <s v="PC"/>
    <s v="Ultramobile Utility, Tablet"/>
    <s v="Semiconductor Revenue M$"/>
    <x v="0"/>
    <n v="0"/>
  </r>
  <r>
    <s v="Discrete AI"/>
    <x v="6"/>
    <x v="0"/>
    <s v="PC"/>
    <s v="Ultramobile Utility, Tablet"/>
    <s v="Semiconductor Revenue M$"/>
    <x v="1"/>
    <n v="0"/>
  </r>
  <r>
    <s v="Discrete AI"/>
    <x v="6"/>
    <x v="0"/>
    <s v="PC"/>
    <s v="Ultramobile Utility, Tablet"/>
    <s v="Semiconductor Revenue M$"/>
    <x v="2"/>
    <n v="0"/>
  </r>
  <r>
    <s v="Discrete AI"/>
    <x v="6"/>
    <x v="0"/>
    <s v="PC"/>
    <s v="Ultramobile Utility, Tablet"/>
    <s v="Semiconductor Revenue M$"/>
    <x v="3"/>
    <n v="0"/>
  </r>
  <r>
    <s v="Discrete AI"/>
    <x v="6"/>
    <x v="0"/>
    <s v="PC"/>
    <s v="Ultramobile Utility, Tablet"/>
    <s v="Semiconductor Revenue M$"/>
    <x v="4"/>
    <n v="0"/>
  </r>
  <r>
    <s v="Discrete AI"/>
    <x v="6"/>
    <x v="0"/>
    <s v="PC"/>
    <s v="Ultramobile Utility, Tablet"/>
    <s v="Semiconductor Revenue M$"/>
    <x v="5"/>
    <n v="0"/>
  </r>
  <r>
    <s v="Discrete AI"/>
    <x v="6"/>
    <x v="0"/>
    <s v="PC"/>
    <s v="Ultramobile Utility, Tablet"/>
    <s v="Semiconductor Revenue M$"/>
    <x v="6"/>
    <n v="0"/>
  </r>
  <r>
    <s v="Discrete AI"/>
    <x v="6"/>
    <x v="0"/>
    <s v="PC"/>
    <s v="Ultramobile Premium, Tablet"/>
    <s v="Semiconductor Revenue M$"/>
    <x v="0"/>
    <n v="0"/>
  </r>
  <r>
    <s v="Discrete AI"/>
    <x v="6"/>
    <x v="0"/>
    <s v="PC"/>
    <s v="Ultramobile Premium, Tablet"/>
    <s v="Semiconductor Revenue M$"/>
    <x v="1"/>
    <n v="0"/>
  </r>
  <r>
    <s v="Discrete AI"/>
    <x v="6"/>
    <x v="0"/>
    <s v="PC"/>
    <s v="Ultramobile Premium, Tablet"/>
    <s v="Semiconductor Revenue M$"/>
    <x v="2"/>
    <n v="0"/>
  </r>
  <r>
    <s v="Discrete AI"/>
    <x v="6"/>
    <x v="0"/>
    <s v="PC"/>
    <s v="Ultramobile Premium, Tablet"/>
    <s v="Semiconductor Revenue M$"/>
    <x v="3"/>
    <n v="0"/>
  </r>
  <r>
    <s v="Discrete AI"/>
    <x v="6"/>
    <x v="0"/>
    <s v="PC"/>
    <s v="Ultramobile Premium, Tablet"/>
    <s v="Semiconductor Revenue M$"/>
    <x v="4"/>
    <n v="0"/>
  </r>
  <r>
    <s v="Discrete AI"/>
    <x v="6"/>
    <x v="0"/>
    <s v="PC"/>
    <s v="Ultramobile Premium, Tablet"/>
    <s v="Semiconductor Revenue M$"/>
    <x v="5"/>
    <n v="0"/>
  </r>
  <r>
    <s v="Discrete AI"/>
    <x v="6"/>
    <x v="0"/>
    <s v="PC"/>
    <s v="Ultramobile Premium, Tablet"/>
    <s v="Semiconductor Revenue M$"/>
    <x v="6"/>
    <n v="0"/>
  </r>
  <r>
    <s v="Discrete AI"/>
    <x v="6"/>
    <x v="0"/>
    <s v="PC"/>
    <s v="Ultramobile Basic, Clamshell"/>
    <s v="Semiconductor Revenue M$"/>
    <x v="0"/>
    <n v="0"/>
  </r>
  <r>
    <s v="Discrete AI"/>
    <x v="6"/>
    <x v="0"/>
    <s v="PC"/>
    <s v="Ultramobile Basic, Clamshell"/>
    <s v="Semiconductor Revenue M$"/>
    <x v="1"/>
    <n v="0"/>
  </r>
  <r>
    <s v="Discrete AI"/>
    <x v="6"/>
    <x v="0"/>
    <s v="PC"/>
    <s v="Ultramobile Basic, Clamshell"/>
    <s v="Semiconductor Revenue M$"/>
    <x v="2"/>
    <n v="0"/>
  </r>
  <r>
    <s v="Discrete AI"/>
    <x v="6"/>
    <x v="0"/>
    <s v="PC"/>
    <s v="Ultramobile Basic, Clamshell"/>
    <s v="Semiconductor Revenue M$"/>
    <x v="3"/>
    <n v="0"/>
  </r>
  <r>
    <s v="Discrete AI"/>
    <x v="6"/>
    <x v="0"/>
    <s v="PC"/>
    <s v="Ultramobile Basic, Clamshell"/>
    <s v="Semiconductor Revenue M$"/>
    <x v="4"/>
    <n v="0"/>
  </r>
  <r>
    <s v="Discrete AI"/>
    <x v="6"/>
    <x v="0"/>
    <s v="PC"/>
    <s v="Ultramobile Basic, Clamshell"/>
    <s v="Semiconductor Revenue M$"/>
    <x v="5"/>
    <n v="0"/>
  </r>
  <r>
    <s v="Discrete AI"/>
    <x v="6"/>
    <x v="0"/>
    <s v="PC"/>
    <s v="Ultramobile Basic, Clamshell"/>
    <s v="Semiconductor Revenue M$"/>
    <x v="6"/>
    <n v="0"/>
  </r>
  <r>
    <s v="Discrete AI"/>
    <x v="6"/>
    <x v="0"/>
    <s v="PC"/>
    <s v="Ultramobile Premium, Clamshell"/>
    <s v="Semiconductor Revenue M$"/>
    <x v="0"/>
    <n v="0"/>
  </r>
  <r>
    <s v="Discrete AI"/>
    <x v="6"/>
    <x v="0"/>
    <s v="PC"/>
    <s v="Ultramobile Premium, Clamshell"/>
    <s v="Semiconductor Revenue M$"/>
    <x v="1"/>
    <n v="0"/>
  </r>
  <r>
    <s v="Discrete AI"/>
    <x v="6"/>
    <x v="0"/>
    <s v="PC"/>
    <s v="Ultramobile Premium, Clamshell"/>
    <s v="Semiconductor Revenue M$"/>
    <x v="2"/>
    <n v="0"/>
  </r>
  <r>
    <s v="Discrete AI"/>
    <x v="6"/>
    <x v="0"/>
    <s v="PC"/>
    <s v="Ultramobile Premium, Clamshell"/>
    <s v="Semiconductor Revenue M$"/>
    <x v="3"/>
    <n v="0"/>
  </r>
  <r>
    <s v="Discrete AI"/>
    <x v="6"/>
    <x v="0"/>
    <s v="PC"/>
    <s v="Ultramobile Premium, Clamshell"/>
    <s v="Semiconductor Revenue M$"/>
    <x v="4"/>
    <n v="0"/>
  </r>
  <r>
    <s v="Discrete AI"/>
    <x v="6"/>
    <x v="0"/>
    <s v="PC"/>
    <s v="Ultramobile Premium, Clamshell"/>
    <s v="Semiconductor Revenue M$"/>
    <x v="5"/>
    <n v="0"/>
  </r>
  <r>
    <s v="Discrete AI"/>
    <x v="6"/>
    <x v="0"/>
    <s v="PC"/>
    <s v="Ultramobile Premium, Clamshell"/>
    <s v="Semiconductor Revenue M$"/>
    <x v="6"/>
    <n v="0"/>
  </r>
  <r>
    <s v="Discrete AI"/>
    <x v="6"/>
    <x v="0"/>
    <s v="PC"/>
    <s v="Ultramobile Basic, Hybrid"/>
    <s v="Semiconductor Revenue M$"/>
    <x v="0"/>
    <n v="0"/>
  </r>
  <r>
    <s v="Discrete AI"/>
    <x v="6"/>
    <x v="0"/>
    <s v="PC"/>
    <s v="Ultramobile Basic, Hybrid"/>
    <s v="Semiconductor Revenue M$"/>
    <x v="1"/>
    <n v="0"/>
  </r>
  <r>
    <s v="Discrete AI"/>
    <x v="6"/>
    <x v="0"/>
    <s v="PC"/>
    <s v="Ultramobile Basic, Hybrid"/>
    <s v="Semiconductor Revenue M$"/>
    <x v="2"/>
    <n v="0"/>
  </r>
  <r>
    <s v="Discrete AI"/>
    <x v="6"/>
    <x v="0"/>
    <s v="PC"/>
    <s v="Ultramobile Basic, Hybrid"/>
    <s v="Semiconductor Revenue M$"/>
    <x v="3"/>
    <n v="0"/>
  </r>
  <r>
    <s v="Discrete AI"/>
    <x v="6"/>
    <x v="0"/>
    <s v="PC"/>
    <s v="Ultramobile Basic, Hybrid"/>
    <s v="Semiconductor Revenue M$"/>
    <x v="4"/>
    <n v="0"/>
  </r>
  <r>
    <s v="Discrete AI"/>
    <x v="6"/>
    <x v="0"/>
    <s v="PC"/>
    <s v="Ultramobile Basic, Hybrid"/>
    <s v="Semiconductor Revenue M$"/>
    <x v="5"/>
    <n v="0"/>
  </r>
  <r>
    <s v="Discrete AI"/>
    <x v="6"/>
    <x v="0"/>
    <s v="PC"/>
    <s v="Ultramobile Basic, Hybrid"/>
    <s v="Semiconductor Revenue M$"/>
    <x v="6"/>
    <n v="0"/>
  </r>
  <r>
    <s v="Discrete AI"/>
    <x v="6"/>
    <x v="0"/>
    <s v="PC"/>
    <s v="Ultramobile Premium, Hybrid"/>
    <s v="Semiconductor Revenue M$"/>
    <x v="0"/>
    <n v="0"/>
  </r>
  <r>
    <s v="Discrete AI"/>
    <x v="6"/>
    <x v="0"/>
    <s v="PC"/>
    <s v="Ultramobile Premium, Hybrid"/>
    <s v="Semiconductor Revenue M$"/>
    <x v="1"/>
    <n v="0"/>
  </r>
  <r>
    <s v="Discrete AI"/>
    <x v="6"/>
    <x v="0"/>
    <s v="PC"/>
    <s v="Ultramobile Premium, Hybrid"/>
    <s v="Semiconductor Revenue M$"/>
    <x v="2"/>
    <n v="0"/>
  </r>
  <r>
    <s v="Discrete AI"/>
    <x v="6"/>
    <x v="0"/>
    <s v="PC"/>
    <s v="Ultramobile Premium, Hybrid"/>
    <s v="Semiconductor Revenue M$"/>
    <x v="3"/>
    <n v="0"/>
  </r>
  <r>
    <s v="Discrete AI"/>
    <x v="6"/>
    <x v="0"/>
    <s v="PC"/>
    <s v="Ultramobile Premium, Hybrid"/>
    <s v="Semiconductor Revenue M$"/>
    <x v="4"/>
    <n v="0"/>
  </r>
  <r>
    <s v="Discrete AI"/>
    <x v="6"/>
    <x v="0"/>
    <s v="PC"/>
    <s v="Ultramobile Premium, Hybrid"/>
    <s v="Semiconductor Revenue M$"/>
    <x v="5"/>
    <n v="0"/>
  </r>
  <r>
    <s v="Discrete AI"/>
    <x v="6"/>
    <x v="0"/>
    <s v="PC"/>
    <s v="Ultramobile Premium, Hybrid"/>
    <s v="Semiconductor Revenue M$"/>
    <x v="6"/>
    <n v="0"/>
  </r>
  <r>
    <s v="Discrete AI"/>
    <x v="6"/>
    <x v="0"/>
    <s v="PC"/>
    <s v="Notebook"/>
    <s v="Semiconductor Revenue M$"/>
    <x v="0"/>
    <n v="0"/>
  </r>
  <r>
    <s v="Discrete AI"/>
    <x v="6"/>
    <x v="0"/>
    <s v="PC"/>
    <s v="Notebook"/>
    <s v="Semiconductor Revenue M$"/>
    <x v="1"/>
    <n v="0"/>
  </r>
  <r>
    <s v="Discrete AI"/>
    <x v="6"/>
    <x v="0"/>
    <s v="PC"/>
    <s v="Notebook"/>
    <s v="Semiconductor Revenue M$"/>
    <x v="2"/>
    <n v="0"/>
  </r>
  <r>
    <s v="Discrete AI"/>
    <x v="6"/>
    <x v="0"/>
    <s v="PC"/>
    <s v="Notebook"/>
    <s v="Semiconductor Revenue M$"/>
    <x v="3"/>
    <n v="0"/>
  </r>
  <r>
    <s v="Discrete AI"/>
    <x v="6"/>
    <x v="0"/>
    <s v="PC"/>
    <s v="Notebook"/>
    <s v="Semiconductor Revenue M$"/>
    <x v="4"/>
    <n v="0"/>
  </r>
  <r>
    <s v="Discrete AI"/>
    <x v="6"/>
    <x v="0"/>
    <s v="PC"/>
    <s v="Notebook"/>
    <s v="Semiconductor Revenue M$"/>
    <x v="5"/>
    <n v="0"/>
  </r>
  <r>
    <s v="Discrete AI"/>
    <x v="6"/>
    <x v="0"/>
    <s v="PC"/>
    <s v="Notebook"/>
    <s v="Semiconductor Revenue M$"/>
    <x v="6"/>
    <n v="0"/>
  </r>
  <r>
    <s v="Discrete AI"/>
    <x v="6"/>
    <x v="0"/>
    <s v="Compute"/>
    <s v="Printer/Copier"/>
    <s v="Semiconductor Revenue M$"/>
    <x v="0"/>
    <n v="0"/>
  </r>
  <r>
    <s v="Discrete AI"/>
    <x v="6"/>
    <x v="0"/>
    <s v="Compute"/>
    <s v="Printer/Copier"/>
    <s v="Semiconductor Revenue M$"/>
    <x v="1"/>
    <n v="0"/>
  </r>
  <r>
    <s v="Discrete AI"/>
    <x v="6"/>
    <x v="0"/>
    <s v="Compute"/>
    <s v="Printer/Copier"/>
    <s v="Semiconductor Revenue M$"/>
    <x v="2"/>
    <n v="0"/>
  </r>
  <r>
    <s v="Discrete AI"/>
    <x v="6"/>
    <x v="0"/>
    <s v="Compute"/>
    <s v="Printer/Copier"/>
    <s v="Semiconductor Revenue M$"/>
    <x v="3"/>
    <n v="0"/>
  </r>
  <r>
    <s v="Discrete AI"/>
    <x v="6"/>
    <x v="0"/>
    <s v="Compute"/>
    <s v="Printer/Copier"/>
    <s v="Semiconductor Revenue M$"/>
    <x v="4"/>
    <n v="0"/>
  </r>
  <r>
    <s v="Discrete AI"/>
    <x v="6"/>
    <x v="0"/>
    <s v="Compute"/>
    <s v="Printer/Copier"/>
    <s v="Semiconductor Revenue M$"/>
    <x v="5"/>
    <n v="0"/>
  </r>
  <r>
    <s v="Discrete AI"/>
    <x v="6"/>
    <x v="0"/>
    <s v="Compute"/>
    <s v="Printer/Copier"/>
    <s v="Semiconductor Revenue M$"/>
    <x v="6"/>
    <n v="0"/>
  </r>
  <r>
    <s v="Discrete AI"/>
    <x v="6"/>
    <x v="0"/>
    <s v="Compute"/>
    <s v="Flash Cards"/>
    <s v="Semiconductor Revenue M$"/>
    <x v="0"/>
    <n v="0"/>
  </r>
  <r>
    <s v="Discrete AI"/>
    <x v="6"/>
    <x v="0"/>
    <s v="Compute"/>
    <s v="Flash Cards"/>
    <s v="Semiconductor Revenue M$"/>
    <x v="1"/>
    <n v="0"/>
  </r>
  <r>
    <s v="Discrete AI"/>
    <x v="6"/>
    <x v="0"/>
    <s v="Compute"/>
    <s v="Flash Cards"/>
    <s v="Semiconductor Revenue M$"/>
    <x v="2"/>
    <n v="0"/>
  </r>
  <r>
    <s v="Discrete AI"/>
    <x v="6"/>
    <x v="0"/>
    <s v="Compute"/>
    <s v="Flash Cards"/>
    <s v="Semiconductor Revenue M$"/>
    <x v="3"/>
    <n v="0"/>
  </r>
  <r>
    <s v="Discrete AI"/>
    <x v="6"/>
    <x v="0"/>
    <s v="Compute"/>
    <s v="Flash Cards"/>
    <s v="Semiconductor Revenue M$"/>
    <x v="4"/>
    <n v="0"/>
  </r>
  <r>
    <s v="Discrete AI"/>
    <x v="6"/>
    <x v="0"/>
    <s v="Compute"/>
    <s v="Flash Cards"/>
    <s v="Semiconductor Revenue M$"/>
    <x v="5"/>
    <n v="0"/>
  </r>
  <r>
    <s v="Discrete AI"/>
    <x v="6"/>
    <x v="0"/>
    <s v="Compute"/>
    <s v="Flash Cards"/>
    <s v="Semiconductor Revenue M$"/>
    <x v="6"/>
    <n v="0"/>
  </r>
  <r>
    <s v="Discrete AI"/>
    <x v="6"/>
    <x v="0"/>
    <s v="Compute"/>
    <s v="USB Flash Drives"/>
    <s v="Semiconductor Revenue M$"/>
    <x v="0"/>
    <n v="0"/>
  </r>
  <r>
    <s v="Discrete AI"/>
    <x v="6"/>
    <x v="0"/>
    <s v="Compute"/>
    <s v="USB Flash Drives"/>
    <s v="Semiconductor Revenue M$"/>
    <x v="1"/>
    <n v="0"/>
  </r>
  <r>
    <s v="Discrete AI"/>
    <x v="6"/>
    <x v="0"/>
    <s v="Compute"/>
    <s v="USB Flash Drives"/>
    <s v="Semiconductor Revenue M$"/>
    <x v="2"/>
    <n v="0"/>
  </r>
  <r>
    <s v="Discrete AI"/>
    <x v="6"/>
    <x v="0"/>
    <s v="Compute"/>
    <s v="USB Flash Drives"/>
    <s v="Semiconductor Revenue M$"/>
    <x v="3"/>
    <n v="0"/>
  </r>
  <r>
    <s v="Discrete AI"/>
    <x v="6"/>
    <x v="0"/>
    <s v="Compute"/>
    <s v="USB Flash Drives"/>
    <s v="Semiconductor Revenue M$"/>
    <x v="4"/>
    <n v="0"/>
  </r>
  <r>
    <s v="Discrete AI"/>
    <x v="6"/>
    <x v="0"/>
    <s v="Compute"/>
    <s v="USB Flash Drives"/>
    <s v="Semiconductor Revenue M$"/>
    <x v="5"/>
    <n v="0"/>
  </r>
  <r>
    <s v="Discrete AI"/>
    <x v="6"/>
    <x v="0"/>
    <s v="Compute"/>
    <s v="USB Flash Drives"/>
    <s v="Semiconductor Revenue M$"/>
    <x v="6"/>
    <n v="0"/>
  </r>
  <r>
    <s v="Discrete AI"/>
    <x v="6"/>
    <x v="0"/>
    <s v="Servers"/>
    <s v="Server, 4 CPU sockets and over"/>
    <s v="Semiconductor Revenue M$"/>
    <x v="0"/>
    <n v="0"/>
  </r>
  <r>
    <s v="Discrete AI"/>
    <x v="6"/>
    <x v="0"/>
    <s v="Servers"/>
    <s v="Server, 4 CPU sockets and over"/>
    <s v="Semiconductor Revenue M$"/>
    <x v="1"/>
    <n v="0"/>
  </r>
  <r>
    <s v="Discrete AI"/>
    <x v="6"/>
    <x v="0"/>
    <s v="Servers"/>
    <s v="Server, 4 CPU sockets and over"/>
    <s v="Semiconductor Revenue M$"/>
    <x v="2"/>
    <n v="0"/>
  </r>
  <r>
    <s v="Discrete AI"/>
    <x v="6"/>
    <x v="0"/>
    <s v="Servers"/>
    <s v="Server, 4 CPU sockets and over"/>
    <s v="Semiconductor Revenue M$"/>
    <x v="3"/>
    <n v="0"/>
  </r>
  <r>
    <s v="Discrete AI"/>
    <x v="6"/>
    <x v="0"/>
    <s v="Servers"/>
    <s v="Server, 4 CPU sockets and over"/>
    <s v="Semiconductor Revenue M$"/>
    <x v="4"/>
    <n v="0"/>
  </r>
  <r>
    <s v="Discrete AI"/>
    <x v="6"/>
    <x v="0"/>
    <s v="Servers"/>
    <s v="Server, 4 CPU sockets and over"/>
    <s v="Semiconductor Revenue M$"/>
    <x v="5"/>
    <n v="0"/>
  </r>
  <r>
    <s v="Discrete AI"/>
    <x v="6"/>
    <x v="0"/>
    <s v="Servers"/>
    <s v="Server, 4 CPU sockets and over"/>
    <s v="Semiconductor Revenue M$"/>
    <x v="6"/>
    <n v="0"/>
  </r>
  <r>
    <s v="Discrete AI"/>
    <x v="6"/>
    <x v="0"/>
    <s v="Servers"/>
    <s v="Server, 2 CPU socket"/>
    <s v="Semiconductor Revenue M$"/>
    <x v="0"/>
    <n v="0"/>
  </r>
  <r>
    <s v="Discrete AI"/>
    <x v="6"/>
    <x v="0"/>
    <s v="Servers"/>
    <s v="Server, 2 CPU socket"/>
    <s v="Semiconductor Revenue M$"/>
    <x v="1"/>
    <n v="0"/>
  </r>
  <r>
    <s v="Discrete AI"/>
    <x v="6"/>
    <x v="0"/>
    <s v="Servers"/>
    <s v="Server, 2 CPU socket"/>
    <s v="Semiconductor Revenue M$"/>
    <x v="2"/>
    <n v="0"/>
  </r>
  <r>
    <s v="Discrete AI"/>
    <x v="6"/>
    <x v="0"/>
    <s v="Servers"/>
    <s v="Server, 2 CPU socket"/>
    <s v="Semiconductor Revenue M$"/>
    <x v="3"/>
    <n v="0"/>
  </r>
  <r>
    <s v="Discrete AI"/>
    <x v="6"/>
    <x v="0"/>
    <s v="Servers"/>
    <s v="Server, 2 CPU socket"/>
    <s v="Semiconductor Revenue M$"/>
    <x v="4"/>
    <n v="0"/>
  </r>
  <r>
    <s v="Discrete AI"/>
    <x v="6"/>
    <x v="0"/>
    <s v="Servers"/>
    <s v="Server, 2 CPU socket"/>
    <s v="Semiconductor Revenue M$"/>
    <x v="5"/>
    <n v="0"/>
  </r>
  <r>
    <s v="Discrete AI"/>
    <x v="6"/>
    <x v="0"/>
    <s v="Servers"/>
    <s v="Server, 2 CPU socket"/>
    <s v="Semiconductor Revenue M$"/>
    <x v="6"/>
    <n v="0"/>
  </r>
  <r>
    <s v="Discrete AI"/>
    <x v="6"/>
    <x v="0"/>
    <s v="Servers"/>
    <s v="Server, 1 CPU socket"/>
    <s v="Semiconductor Revenue M$"/>
    <x v="0"/>
    <n v="0"/>
  </r>
  <r>
    <s v="Discrete AI"/>
    <x v="6"/>
    <x v="0"/>
    <s v="Servers"/>
    <s v="Server, 1 CPU socket"/>
    <s v="Semiconductor Revenue M$"/>
    <x v="1"/>
    <n v="0"/>
  </r>
  <r>
    <s v="Discrete AI"/>
    <x v="6"/>
    <x v="0"/>
    <s v="Servers"/>
    <s v="Server, 1 CPU socket"/>
    <s v="Semiconductor Revenue M$"/>
    <x v="2"/>
    <n v="0"/>
  </r>
  <r>
    <s v="Discrete AI"/>
    <x v="6"/>
    <x v="0"/>
    <s v="Servers"/>
    <s v="Server, 1 CPU socket"/>
    <s v="Semiconductor Revenue M$"/>
    <x v="3"/>
    <n v="0"/>
  </r>
  <r>
    <s v="Discrete AI"/>
    <x v="6"/>
    <x v="0"/>
    <s v="Servers"/>
    <s v="Server, 1 CPU socket"/>
    <s v="Semiconductor Revenue M$"/>
    <x v="4"/>
    <n v="0"/>
  </r>
  <r>
    <s v="Discrete AI"/>
    <x v="6"/>
    <x v="0"/>
    <s v="Servers"/>
    <s v="Server, 1 CPU socket"/>
    <s v="Semiconductor Revenue M$"/>
    <x v="5"/>
    <n v="0"/>
  </r>
  <r>
    <s v="Discrete AI"/>
    <x v="6"/>
    <x v="0"/>
    <s v="Servers"/>
    <s v="Server, 1 CPU socket"/>
    <s v="Semiconductor Revenue M$"/>
    <x v="6"/>
    <n v="0"/>
  </r>
  <r>
    <s v="Discrete AI"/>
    <x v="6"/>
    <x v="0"/>
    <s v="Compute"/>
    <s v="Smart Cards"/>
    <s v="Semiconductor Revenue M$"/>
    <x v="0"/>
    <n v="0"/>
  </r>
  <r>
    <s v="Discrete AI"/>
    <x v="6"/>
    <x v="0"/>
    <s v="Compute"/>
    <s v="Smart Cards"/>
    <s v="Semiconductor Revenue M$"/>
    <x v="1"/>
    <n v="0"/>
  </r>
  <r>
    <s v="Discrete AI"/>
    <x v="6"/>
    <x v="0"/>
    <s v="Compute"/>
    <s v="Smart Cards"/>
    <s v="Semiconductor Revenue M$"/>
    <x v="2"/>
    <n v="0"/>
  </r>
  <r>
    <s v="Discrete AI"/>
    <x v="6"/>
    <x v="0"/>
    <s v="Compute"/>
    <s v="Smart Cards"/>
    <s v="Semiconductor Revenue M$"/>
    <x v="3"/>
    <n v="0"/>
  </r>
  <r>
    <s v="Discrete AI"/>
    <x v="6"/>
    <x v="0"/>
    <s v="Compute"/>
    <s v="Smart Cards"/>
    <s v="Semiconductor Revenue M$"/>
    <x v="4"/>
    <n v="0"/>
  </r>
  <r>
    <s v="Discrete AI"/>
    <x v="6"/>
    <x v="0"/>
    <s v="Compute"/>
    <s v="Smart Cards"/>
    <s v="Semiconductor Revenue M$"/>
    <x v="5"/>
    <n v="0"/>
  </r>
  <r>
    <s v="Discrete AI"/>
    <x v="6"/>
    <x v="0"/>
    <s v="Compute"/>
    <s v="Smart Cards"/>
    <s v="Semiconductor Revenue M$"/>
    <x v="6"/>
    <n v="0"/>
  </r>
  <r>
    <s v="Discrete AI"/>
    <x v="6"/>
    <x v="0"/>
    <s v="Servers"/>
    <s v="Accelerator Cards"/>
    <s v="Semiconductor Revenue M$"/>
    <x v="0"/>
    <n v="0"/>
  </r>
  <r>
    <s v="Discrete AI"/>
    <x v="6"/>
    <x v="0"/>
    <s v="Servers"/>
    <s v="Accelerator Cards"/>
    <s v="Semiconductor Revenue M$"/>
    <x v="1"/>
    <n v="0"/>
  </r>
  <r>
    <s v="Discrete AI"/>
    <x v="6"/>
    <x v="0"/>
    <s v="Servers"/>
    <s v="Accelerator Cards"/>
    <s v="Semiconductor Revenue M$"/>
    <x v="2"/>
    <n v="0"/>
  </r>
  <r>
    <s v="Discrete AI"/>
    <x v="6"/>
    <x v="0"/>
    <s v="Servers"/>
    <s v="Accelerator Cards"/>
    <s v="Semiconductor Revenue M$"/>
    <x v="3"/>
    <n v="0"/>
  </r>
  <r>
    <s v="Discrete AI"/>
    <x v="6"/>
    <x v="0"/>
    <s v="Servers"/>
    <s v="Accelerator Cards"/>
    <s v="Semiconductor Revenue M$"/>
    <x v="4"/>
    <n v="0"/>
  </r>
  <r>
    <s v="Discrete AI"/>
    <x v="6"/>
    <x v="0"/>
    <s v="Servers"/>
    <s v="Accelerator Cards"/>
    <s v="Semiconductor Revenue M$"/>
    <x v="5"/>
    <n v="0"/>
  </r>
  <r>
    <s v="Discrete AI"/>
    <x v="6"/>
    <x v="0"/>
    <s v="Servers"/>
    <s v="Accelerator Cards"/>
    <s v="Semiconductor Revenue M$"/>
    <x v="6"/>
    <n v="0"/>
  </r>
  <r>
    <s v="Discrete AI"/>
    <x v="6"/>
    <x v="1"/>
    <s v="Storage"/>
    <s v="Solid-State ECB"/>
    <s v="Semiconductor Revenue M$"/>
    <x v="0"/>
    <n v="0"/>
  </r>
  <r>
    <s v="Discrete AI"/>
    <x v="6"/>
    <x v="1"/>
    <s v="Storage"/>
    <s v="Solid-State ECB"/>
    <s v="Semiconductor Revenue M$"/>
    <x v="1"/>
    <n v="0"/>
  </r>
  <r>
    <s v="Discrete AI"/>
    <x v="6"/>
    <x v="1"/>
    <s v="Storage"/>
    <s v="Solid-State ECB"/>
    <s v="Semiconductor Revenue M$"/>
    <x v="2"/>
    <n v="0"/>
  </r>
  <r>
    <s v="Discrete AI"/>
    <x v="6"/>
    <x v="1"/>
    <s v="Storage"/>
    <s v="Solid-State ECB"/>
    <s v="Semiconductor Revenue M$"/>
    <x v="3"/>
    <n v="0"/>
  </r>
  <r>
    <s v="Discrete AI"/>
    <x v="6"/>
    <x v="1"/>
    <s v="Storage"/>
    <s v="Solid-State ECB"/>
    <s v="Semiconductor Revenue M$"/>
    <x v="4"/>
    <n v="0"/>
  </r>
  <r>
    <s v="Discrete AI"/>
    <x v="6"/>
    <x v="1"/>
    <s v="Storage"/>
    <s v="Solid-State ECB"/>
    <s v="Semiconductor Revenue M$"/>
    <x v="5"/>
    <n v="0"/>
  </r>
  <r>
    <s v="Discrete AI"/>
    <x v="6"/>
    <x v="1"/>
    <s v="Storage"/>
    <s v="Solid-State ECB"/>
    <s v="Semiconductor Revenue M$"/>
    <x v="6"/>
    <n v="0"/>
  </r>
  <r>
    <s v="Discrete AI"/>
    <x v="6"/>
    <x v="1"/>
    <s v="Storage"/>
    <s v="Other ECB (HDD/Hybrid)"/>
    <s v="Semiconductor Revenue M$"/>
    <x v="0"/>
    <n v="0"/>
  </r>
  <r>
    <s v="Discrete AI"/>
    <x v="6"/>
    <x v="1"/>
    <s v="Storage"/>
    <s v="Other ECB (HDD/Hybrid)"/>
    <s v="Semiconductor Revenue M$"/>
    <x v="1"/>
    <n v="0"/>
  </r>
  <r>
    <s v="Discrete AI"/>
    <x v="6"/>
    <x v="1"/>
    <s v="Storage"/>
    <s v="Other ECB (HDD/Hybrid)"/>
    <s v="Semiconductor Revenue M$"/>
    <x v="2"/>
    <n v="0"/>
  </r>
  <r>
    <s v="Discrete AI"/>
    <x v="6"/>
    <x v="1"/>
    <s v="Storage"/>
    <s v="Other ECB (HDD/Hybrid)"/>
    <s v="Semiconductor Revenue M$"/>
    <x v="3"/>
    <n v="0"/>
  </r>
  <r>
    <s v="Discrete AI"/>
    <x v="6"/>
    <x v="1"/>
    <s v="Storage"/>
    <s v="Other ECB (HDD/Hybrid)"/>
    <s v="Semiconductor Revenue M$"/>
    <x v="4"/>
    <n v="0"/>
  </r>
  <r>
    <s v="Discrete AI"/>
    <x v="6"/>
    <x v="1"/>
    <s v="Storage"/>
    <s v="Other ECB (HDD/Hybrid)"/>
    <s v="Semiconductor Revenue M$"/>
    <x v="5"/>
    <n v="0"/>
  </r>
  <r>
    <s v="Discrete AI"/>
    <x v="6"/>
    <x v="1"/>
    <s v="Storage"/>
    <s v="Other ECB (HDD/Hybrid)"/>
    <s v="Semiconductor Revenue M$"/>
    <x v="6"/>
    <n v="0"/>
  </r>
  <r>
    <s v="Discrete AI"/>
    <x v="6"/>
    <x v="1"/>
    <s v="Storage"/>
    <s v="Storage Network Infrastructure"/>
    <s v="Semiconductor Revenue M$"/>
    <x v="0"/>
    <n v="0"/>
  </r>
  <r>
    <s v="Discrete AI"/>
    <x v="6"/>
    <x v="1"/>
    <s v="Storage"/>
    <s v="Storage Network Infrastructure"/>
    <s v="Semiconductor Revenue M$"/>
    <x v="1"/>
    <n v="0"/>
  </r>
  <r>
    <s v="Discrete AI"/>
    <x v="6"/>
    <x v="1"/>
    <s v="Storage"/>
    <s v="Storage Network Infrastructure"/>
    <s v="Semiconductor Revenue M$"/>
    <x v="2"/>
    <n v="0"/>
  </r>
  <r>
    <s v="Discrete AI"/>
    <x v="6"/>
    <x v="1"/>
    <s v="Storage"/>
    <s v="Storage Network Infrastructure"/>
    <s v="Semiconductor Revenue M$"/>
    <x v="3"/>
    <n v="0"/>
  </r>
  <r>
    <s v="Discrete AI"/>
    <x v="6"/>
    <x v="1"/>
    <s v="Storage"/>
    <s v="Storage Network Infrastructure"/>
    <s v="Semiconductor Revenue M$"/>
    <x v="4"/>
    <n v="0"/>
  </r>
  <r>
    <s v="Discrete AI"/>
    <x v="6"/>
    <x v="1"/>
    <s v="Storage"/>
    <s v="Storage Network Infrastructure"/>
    <s v="Semiconductor Revenue M$"/>
    <x v="5"/>
    <n v="0"/>
  </r>
  <r>
    <s v="Discrete AI"/>
    <x v="6"/>
    <x v="1"/>
    <s v="Storage"/>
    <s v="Storage Network Infrastructure"/>
    <s v="Semiconductor Revenue M$"/>
    <x v="6"/>
    <n v="0"/>
  </r>
  <r>
    <s v="Discrete AI"/>
    <x v="6"/>
    <x v="1"/>
    <s v="Storage"/>
    <s v="Hard Disk Drive"/>
    <s v="Semiconductor Revenue M$"/>
    <x v="0"/>
    <n v="0"/>
  </r>
  <r>
    <s v="Discrete AI"/>
    <x v="6"/>
    <x v="1"/>
    <s v="Storage"/>
    <s v="Hard Disk Drive"/>
    <s v="Semiconductor Revenue M$"/>
    <x v="1"/>
    <n v="0"/>
  </r>
  <r>
    <s v="Discrete AI"/>
    <x v="6"/>
    <x v="1"/>
    <s v="Storage"/>
    <s v="Hard Disk Drive"/>
    <s v="Semiconductor Revenue M$"/>
    <x v="2"/>
    <n v="0"/>
  </r>
  <r>
    <s v="Discrete AI"/>
    <x v="6"/>
    <x v="1"/>
    <s v="Storage"/>
    <s v="Hard Disk Drive"/>
    <s v="Semiconductor Revenue M$"/>
    <x v="3"/>
    <n v="0"/>
  </r>
  <r>
    <s v="Discrete AI"/>
    <x v="6"/>
    <x v="1"/>
    <s v="Storage"/>
    <s v="Hard Disk Drive"/>
    <s v="Semiconductor Revenue M$"/>
    <x v="4"/>
    <n v="0"/>
  </r>
  <r>
    <s v="Discrete AI"/>
    <x v="6"/>
    <x v="1"/>
    <s v="Storage"/>
    <s v="Hard Disk Drive"/>
    <s v="Semiconductor Revenue M$"/>
    <x v="5"/>
    <n v="0"/>
  </r>
  <r>
    <s v="Discrete AI"/>
    <x v="6"/>
    <x v="1"/>
    <s v="Storage"/>
    <s v="Hard Disk Drive"/>
    <s v="Semiconductor Revenue M$"/>
    <x v="6"/>
    <n v="0"/>
  </r>
  <r>
    <s v="Discrete AI"/>
    <x v="6"/>
    <x v="1"/>
    <s v="Storage"/>
    <s v="Solid-State Drives"/>
    <s v="Semiconductor Revenue M$"/>
    <x v="0"/>
    <n v="0"/>
  </r>
  <r>
    <s v="Discrete AI"/>
    <x v="6"/>
    <x v="1"/>
    <s v="Storage"/>
    <s v="Solid-State Drives"/>
    <s v="Semiconductor Revenue M$"/>
    <x v="1"/>
    <n v="0"/>
  </r>
  <r>
    <s v="Discrete AI"/>
    <x v="6"/>
    <x v="1"/>
    <s v="Storage"/>
    <s v="Solid-State Drives"/>
    <s v="Semiconductor Revenue M$"/>
    <x v="2"/>
    <n v="0"/>
  </r>
  <r>
    <s v="Discrete AI"/>
    <x v="6"/>
    <x v="1"/>
    <s v="Storage"/>
    <s v="Solid-State Drives"/>
    <s v="Semiconductor Revenue M$"/>
    <x v="3"/>
    <n v="0"/>
  </r>
  <r>
    <s v="Discrete AI"/>
    <x v="6"/>
    <x v="1"/>
    <s v="Storage"/>
    <s v="Solid-State Drives"/>
    <s v="Semiconductor Revenue M$"/>
    <x v="4"/>
    <n v="0"/>
  </r>
  <r>
    <s v="Discrete AI"/>
    <x v="6"/>
    <x v="1"/>
    <s v="Storage"/>
    <s v="Solid-State Drives"/>
    <s v="Semiconductor Revenue M$"/>
    <x v="5"/>
    <n v="0"/>
  </r>
  <r>
    <s v="Discrete AI"/>
    <x v="6"/>
    <x v="1"/>
    <s v="Storage"/>
    <s v="Solid-State Drives"/>
    <s v="Semiconductor Revenue M$"/>
    <x v="6"/>
    <n v="0"/>
  </r>
  <r>
    <s v="Discrete AI"/>
    <x v="6"/>
    <x v="1"/>
    <s v="Storage"/>
    <s v="Other Storage Media"/>
    <s v="Semiconductor Revenue M$"/>
    <x v="0"/>
    <n v="0"/>
  </r>
  <r>
    <s v="Discrete AI"/>
    <x v="6"/>
    <x v="1"/>
    <s v="Storage"/>
    <s v="Other Storage Media"/>
    <s v="Semiconductor Revenue M$"/>
    <x v="1"/>
    <n v="0"/>
  </r>
  <r>
    <s v="Discrete AI"/>
    <x v="6"/>
    <x v="1"/>
    <s v="Storage"/>
    <s v="Other Storage Media"/>
    <s v="Semiconductor Revenue M$"/>
    <x v="2"/>
    <n v="0"/>
  </r>
  <r>
    <s v="Discrete AI"/>
    <x v="6"/>
    <x v="1"/>
    <s v="Storage"/>
    <s v="Other Storage Media"/>
    <s v="Semiconductor Revenue M$"/>
    <x v="3"/>
    <n v="0"/>
  </r>
  <r>
    <s v="Discrete AI"/>
    <x v="6"/>
    <x v="1"/>
    <s v="Storage"/>
    <s v="Other Storage Media"/>
    <s v="Semiconductor Revenue M$"/>
    <x v="4"/>
    <n v="0"/>
  </r>
  <r>
    <s v="Discrete AI"/>
    <x v="6"/>
    <x v="1"/>
    <s v="Storage"/>
    <s v="Other Storage Media"/>
    <s v="Semiconductor Revenue M$"/>
    <x v="5"/>
    <n v="0"/>
  </r>
  <r>
    <s v="Discrete AI"/>
    <x v="6"/>
    <x v="1"/>
    <s v="Storage"/>
    <s v="Other Storage Media"/>
    <s v="Semiconductor Revenue M$"/>
    <x v="6"/>
    <n v="0"/>
  </r>
  <r>
    <s v="Discrete AI"/>
    <x v="6"/>
    <x v="1"/>
    <s v="Storage"/>
    <s v="Other Storage Electronics"/>
    <s v="Semiconductor Revenue M$"/>
    <x v="0"/>
    <n v="0"/>
  </r>
  <r>
    <s v="Discrete AI"/>
    <x v="6"/>
    <x v="1"/>
    <s v="Storage"/>
    <s v="Other Storage Electronics"/>
    <s v="Semiconductor Revenue M$"/>
    <x v="1"/>
    <n v="0"/>
  </r>
  <r>
    <s v="Discrete AI"/>
    <x v="6"/>
    <x v="1"/>
    <s v="Storage"/>
    <s v="Other Storage Electronics"/>
    <s v="Semiconductor Revenue M$"/>
    <x v="2"/>
    <n v="0"/>
  </r>
  <r>
    <s v="Discrete AI"/>
    <x v="6"/>
    <x v="1"/>
    <s v="Storage"/>
    <s v="Other Storage Electronics"/>
    <s v="Semiconductor Revenue M$"/>
    <x v="3"/>
    <n v="0"/>
  </r>
  <r>
    <s v="Discrete AI"/>
    <x v="6"/>
    <x v="1"/>
    <s v="Storage"/>
    <s v="Other Storage Electronics"/>
    <s v="Semiconductor Revenue M$"/>
    <x v="4"/>
    <n v="0"/>
  </r>
  <r>
    <s v="Discrete AI"/>
    <x v="6"/>
    <x v="1"/>
    <s v="Storage"/>
    <s v="Other Storage Electronics"/>
    <s v="Semiconductor Revenue M$"/>
    <x v="5"/>
    <n v="0"/>
  </r>
  <r>
    <s v="Discrete AI"/>
    <x v="6"/>
    <x v="1"/>
    <s v="Storage"/>
    <s v="Other Storage Electronics"/>
    <s v="Semiconductor Revenue M$"/>
    <x v="6"/>
    <n v="0"/>
  </r>
  <r>
    <s v="Discrete AI"/>
    <x v="6"/>
    <x v="2"/>
    <s v="Wireless Communications Electronics"/>
    <s v="Utility Traditional Phone"/>
    <s v="Semiconductor Revenue M$"/>
    <x v="0"/>
    <n v="0"/>
  </r>
  <r>
    <s v="Discrete AI"/>
    <x v="6"/>
    <x v="2"/>
    <s v="Wireless Communications Electronics"/>
    <s v="Utility Traditional Phone"/>
    <s v="Semiconductor Revenue M$"/>
    <x v="1"/>
    <n v="0"/>
  </r>
  <r>
    <s v="Discrete AI"/>
    <x v="6"/>
    <x v="2"/>
    <s v="Wireless Communications Electronics"/>
    <s v="Utility Traditional Phone"/>
    <s v="Semiconductor Revenue M$"/>
    <x v="2"/>
    <n v="0"/>
  </r>
  <r>
    <s v="Discrete AI"/>
    <x v="6"/>
    <x v="2"/>
    <s v="Wireless Communications Electronics"/>
    <s v="Utility Traditional Phone"/>
    <s v="Semiconductor Revenue M$"/>
    <x v="3"/>
    <n v="0"/>
  </r>
  <r>
    <s v="Discrete AI"/>
    <x v="6"/>
    <x v="2"/>
    <s v="Wireless Communications Electronics"/>
    <s v="Utility Traditional Phone"/>
    <s v="Semiconductor Revenue M$"/>
    <x v="4"/>
    <n v="0"/>
  </r>
  <r>
    <s v="Discrete AI"/>
    <x v="6"/>
    <x v="2"/>
    <s v="Wireless Communications Electronics"/>
    <s v="Utility Traditional Phone"/>
    <s v="Semiconductor Revenue M$"/>
    <x v="5"/>
    <n v="0"/>
  </r>
  <r>
    <s v="Discrete AI"/>
    <x v="6"/>
    <x v="2"/>
    <s v="Wireless Communications Electronics"/>
    <s v="Utility Traditional Phone"/>
    <s v="Semiconductor Revenue M$"/>
    <x v="6"/>
    <n v="0"/>
  </r>
  <r>
    <s v="Discrete AI"/>
    <x v="6"/>
    <x v="2"/>
    <s v="Wireless Communications Electronics"/>
    <s v="Basic Smartphone"/>
    <s v="Semiconductor Revenue M$"/>
    <x v="0"/>
    <n v="0"/>
  </r>
  <r>
    <s v="Discrete AI"/>
    <x v="6"/>
    <x v="2"/>
    <s v="Wireless Communications Electronics"/>
    <s v="Basic Smartphone"/>
    <s v="Semiconductor Revenue M$"/>
    <x v="1"/>
    <n v="0"/>
  </r>
  <r>
    <s v="Discrete AI"/>
    <x v="6"/>
    <x v="2"/>
    <s v="Wireless Communications Electronics"/>
    <s v="Basic Smartphone"/>
    <s v="Semiconductor Revenue M$"/>
    <x v="2"/>
    <n v="0"/>
  </r>
  <r>
    <s v="Discrete AI"/>
    <x v="6"/>
    <x v="2"/>
    <s v="Wireless Communications Electronics"/>
    <s v="Basic Smartphone"/>
    <s v="Semiconductor Revenue M$"/>
    <x v="3"/>
    <n v="0"/>
  </r>
  <r>
    <s v="Discrete AI"/>
    <x v="6"/>
    <x v="2"/>
    <s v="Wireless Communications Electronics"/>
    <s v="Basic Smartphone"/>
    <s v="Semiconductor Revenue M$"/>
    <x v="4"/>
    <n v="0"/>
  </r>
  <r>
    <s v="Discrete AI"/>
    <x v="6"/>
    <x v="2"/>
    <s v="Wireless Communications Electronics"/>
    <s v="Basic Smartphone"/>
    <s v="Semiconductor Revenue M$"/>
    <x v="5"/>
    <n v="0"/>
  </r>
  <r>
    <s v="Discrete AI"/>
    <x v="6"/>
    <x v="2"/>
    <s v="Wireless Communications Electronics"/>
    <s v="Basic Smartphone"/>
    <s v="Semiconductor Revenue M$"/>
    <x v="6"/>
    <n v="0"/>
  </r>
  <r>
    <s v="Discrete AI"/>
    <x v="6"/>
    <x v="2"/>
    <s v="Wireless Communications Electronics"/>
    <s v="Utility Smartphone"/>
    <s v="Semiconductor Revenue M$"/>
    <x v="0"/>
    <n v="0"/>
  </r>
  <r>
    <s v="Discrete AI"/>
    <x v="6"/>
    <x v="2"/>
    <s v="Wireless Communications Electronics"/>
    <s v="Utility Smartphone"/>
    <s v="Semiconductor Revenue M$"/>
    <x v="1"/>
    <n v="0"/>
  </r>
  <r>
    <s v="Discrete AI"/>
    <x v="6"/>
    <x v="2"/>
    <s v="Wireless Communications Electronics"/>
    <s v="Utility Smartphone"/>
    <s v="Semiconductor Revenue M$"/>
    <x v="2"/>
    <n v="0"/>
  </r>
  <r>
    <s v="Discrete AI"/>
    <x v="6"/>
    <x v="2"/>
    <s v="Wireless Communications Electronics"/>
    <s v="Utility Smartphone"/>
    <s v="Semiconductor Revenue M$"/>
    <x v="3"/>
    <n v="0"/>
  </r>
  <r>
    <s v="Discrete AI"/>
    <x v="6"/>
    <x v="2"/>
    <s v="Wireless Communications Electronics"/>
    <s v="Utility Smartphone"/>
    <s v="Semiconductor Revenue M$"/>
    <x v="4"/>
    <n v="0"/>
  </r>
  <r>
    <s v="Discrete AI"/>
    <x v="6"/>
    <x v="2"/>
    <s v="Wireless Communications Electronics"/>
    <s v="Utility Smartphone"/>
    <s v="Semiconductor Revenue M$"/>
    <x v="5"/>
    <n v="0"/>
  </r>
  <r>
    <s v="Discrete AI"/>
    <x v="6"/>
    <x v="2"/>
    <s v="Wireless Communications Electronics"/>
    <s v="Utility Smartphone"/>
    <s v="Semiconductor Revenue M$"/>
    <x v="6"/>
    <n v="0"/>
  </r>
  <r>
    <s v="Discrete AI"/>
    <x v="6"/>
    <x v="2"/>
    <s v="Wireless Communications Electronics"/>
    <s v="Premium Smartphone"/>
    <s v="Semiconductor Revenue M$"/>
    <x v="0"/>
    <n v="0"/>
  </r>
  <r>
    <s v="Discrete AI"/>
    <x v="6"/>
    <x v="2"/>
    <s v="Wireless Communications Electronics"/>
    <s v="Premium Smartphone"/>
    <s v="Semiconductor Revenue M$"/>
    <x v="1"/>
    <n v="0"/>
  </r>
  <r>
    <s v="Discrete AI"/>
    <x v="6"/>
    <x v="2"/>
    <s v="Wireless Communications Electronics"/>
    <s v="Premium Smartphone"/>
    <s v="Semiconductor Revenue M$"/>
    <x v="2"/>
    <n v="0"/>
  </r>
  <r>
    <s v="Discrete AI"/>
    <x v="6"/>
    <x v="2"/>
    <s v="Wireless Communications Electronics"/>
    <s v="Premium Smartphone"/>
    <s v="Semiconductor Revenue M$"/>
    <x v="3"/>
    <n v="0"/>
  </r>
  <r>
    <s v="Discrete AI"/>
    <x v="6"/>
    <x v="2"/>
    <s v="Wireless Communications Electronics"/>
    <s v="Premium Smartphone"/>
    <s v="Semiconductor Revenue M$"/>
    <x v="4"/>
    <n v="0"/>
  </r>
  <r>
    <s v="Discrete AI"/>
    <x v="6"/>
    <x v="2"/>
    <s v="Wireless Communications Electronics"/>
    <s v="Premium Smartphone"/>
    <s v="Semiconductor Revenue M$"/>
    <x v="5"/>
    <n v="0"/>
  </r>
  <r>
    <s v="Discrete AI"/>
    <x v="6"/>
    <x v="2"/>
    <s v="Wireless Communications Electronics"/>
    <s v="Premium Smartphone"/>
    <s v="Semiconductor Revenue M$"/>
    <x v="6"/>
    <n v="0"/>
  </r>
  <r>
    <s v="Discrete AI"/>
    <x v="6"/>
    <x v="3"/>
    <s v="Automotive Electronics"/>
    <s v="ADAS-ECU (Level-2+/3/4)"/>
    <s v="Semiconductor Revenue M$"/>
    <x v="0"/>
    <n v="0"/>
  </r>
  <r>
    <s v="Discrete AI"/>
    <x v="6"/>
    <x v="3"/>
    <s v="Automotive Electronics"/>
    <s v="ADAS-ECU (Level-2+/3/4)"/>
    <s v="Semiconductor Revenue M$"/>
    <x v="1"/>
    <n v="0"/>
  </r>
  <r>
    <s v="Discrete AI"/>
    <x v="6"/>
    <x v="3"/>
    <s v="Automotive Electronics"/>
    <s v="ADAS-ECU (Level-2+/3/4)"/>
    <s v="Semiconductor Revenue M$"/>
    <x v="2"/>
    <n v="0"/>
  </r>
  <r>
    <s v="Discrete AI"/>
    <x v="6"/>
    <x v="3"/>
    <s v="Automotive Electronics"/>
    <s v="ADAS-ECU (Level-2+/3/4)"/>
    <s v="Semiconductor Revenue M$"/>
    <x v="3"/>
    <n v="0"/>
  </r>
  <r>
    <s v="Discrete AI"/>
    <x v="6"/>
    <x v="3"/>
    <s v="Automotive Electronics"/>
    <s v="ADAS-ECU (Level-2+/3/4)"/>
    <s v="Semiconductor Revenue M$"/>
    <x v="4"/>
    <n v="0"/>
  </r>
  <r>
    <s v="Discrete AI"/>
    <x v="6"/>
    <x v="3"/>
    <s v="Automotive Electronics"/>
    <s v="ADAS-ECU (Level-2+/3/4)"/>
    <s v="Semiconductor Revenue M$"/>
    <x v="5"/>
    <n v="0"/>
  </r>
  <r>
    <s v="Discrete AI"/>
    <x v="6"/>
    <x v="3"/>
    <s v="Automotive Electronics"/>
    <s v="ADAS-ECU (Level-2+/3/4)"/>
    <s v="Semiconductor Revenue M$"/>
    <x v="6"/>
    <n v="0"/>
  </r>
  <r>
    <s v="Discrete AI"/>
    <x v="6"/>
    <x v="2"/>
    <s v="Wireless Communications Electronics"/>
    <s v="Mobile Infrastructure - Base Station Equipment"/>
    <s v="Semiconductor Revenue M$"/>
    <x v="0"/>
    <n v="0"/>
  </r>
  <r>
    <s v="Discrete AI"/>
    <x v="6"/>
    <x v="2"/>
    <s v="Wireless Communications Electronics"/>
    <s v="Mobile Infrastructure - Base Station Equipment"/>
    <s v="Semiconductor Revenue M$"/>
    <x v="1"/>
    <n v="0"/>
  </r>
  <r>
    <s v="Discrete AI"/>
    <x v="6"/>
    <x v="2"/>
    <s v="Wireless Communications Electronics"/>
    <s v="Mobile Infrastructure - Base Station Equipment"/>
    <s v="Semiconductor Revenue M$"/>
    <x v="2"/>
    <n v="0"/>
  </r>
  <r>
    <s v="Discrete AI"/>
    <x v="6"/>
    <x v="2"/>
    <s v="Wireless Communications Electronics"/>
    <s v="Mobile Infrastructure - Base Station Equipment"/>
    <s v="Semiconductor Revenue M$"/>
    <x v="3"/>
    <n v="0"/>
  </r>
  <r>
    <s v="Discrete AI"/>
    <x v="6"/>
    <x v="2"/>
    <s v="Wireless Communications Electronics"/>
    <s v="Mobile Infrastructure - Base Station Equipment"/>
    <s v="Semiconductor Revenue M$"/>
    <x v="4"/>
    <n v="0"/>
  </r>
  <r>
    <s v="Discrete AI"/>
    <x v="6"/>
    <x v="2"/>
    <s v="Wireless Communications Electronics"/>
    <s v="Mobile Infrastructure - Base Station Equipment"/>
    <s v="Semiconductor Revenue M$"/>
    <x v="5"/>
    <n v="0"/>
  </r>
  <r>
    <s v="Discrete AI"/>
    <x v="6"/>
    <x v="2"/>
    <s v="Wireless Communications Electronics"/>
    <s v="Mobile Infrastructure - Base Station Equipment"/>
    <s v="Semiconductor Revenue M$"/>
    <x v="6"/>
    <n v="0"/>
  </r>
  <r>
    <s v="Discrete AI"/>
    <x v="6"/>
    <x v="2"/>
    <s v="Wireless Communications Electronics"/>
    <s v="Wireless LAN Infrastructure"/>
    <s v="Semiconductor Revenue M$"/>
    <x v="0"/>
    <n v="0"/>
  </r>
  <r>
    <s v="Discrete AI"/>
    <x v="6"/>
    <x v="2"/>
    <s v="Wireless Communications Electronics"/>
    <s v="Wireless LAN Infrastructure"/>
    <s v="Semiconductor Revenue M$"/>
    <x v="1"/>
    <n v="0"/>
  </r>
  <r>
    <s v="Discrete AI"/>
    <x v="6"/>
    <x v="2"/>
    <s v="Wireless Communications Electronics"/>
    <s v="Wireless LAN Infrastructure"/>
    <s v="Semiconductor Revenue M$"/>
    <x v="2"/>
    <n v="0"/>
  </r>
  <r>
    <s v="Discrete AI"/>
    <x v="6"/>
    <x v="2"/>
    <s v="Wireless Communications Electronics"/>
    <s v="Wireless LAN Infrastructure"/>
    <s v="Semiconductor Revenue M$"/>
    <x v="3"/>
    <n v="0"/>
  </r>
  <r>
    <s v="Discrete AI"/>
    <x v="6"/>
    <x v="2"/>
    <s v="Wireless Communications Electronics"/>
    <s v="Wireless LAN Infrastructure"/>
    <s v="Semiconductor Revenue M$"/>
    <x v="4"/>
    <n v="0"/>
  </r>
  <r>
    <s v="Discrete AI"/>
    <x v="6"/>
    <x v="2"/>
    <s v="Wireless Communications Electronics"/>
    <s v="Wireless LAN Infrastructure"/>
    <s v="Semiconductor Revenue M$"/>
    <x v="5"/>
    <n v="0"/>
  </r>
  <r>
    <s v="Discrete AI"/>
    <x v="6"/>
    <x v="2"/>
    <s v="Wireless Communications Electronics"/>
    <s v="Wireless LAN Infrastructure"/>
    <s v="Semiconductor Revenue M$"/>
    <x v="6"/>
    <n v="0"/>
  </r>
  <r>
    <s v="Discrete AI"/>
    <x v="6"/>
    <x v="2"/>
    <s v="Wireless Communications Electronics"/>
    <s v="Cellular Modems"/>
    <s v="Semiconductor Revenue M$"/>
    <x v="0"/>
    <n v="0"/>
  </r>
  <r>
    <s v="Discrete AI"/>
    <x v="6"/>
    <x v="2"/>
    <s v="Wireless Communications Electronics"/>
    <s v="Cellular Modems"/>
    <s v="Semiconductor Revenue M$"/>
    <x v="1"/>
    <n v="0"/>
  </r>
  <r>
    <s v="Discrete AI"/>
    <x v="6"/>
    <x v="2"/>
    <s v="Wireless Communications Electronics"/>
    <s v="Cellular Modems"/>
    <s v="Semiconductor Revenue M$"/>
    <x v="2"/>
    <n v="0"/>
  </r>
  <r>
    <s v="Discrete AI"/>
    <x v="6"/>
    <x v="2"/>
    <s v="Wireless Communications Electronics"/>
    <s v="Cellular Modems"/>
    <s v="Semiconductor Revenue M$"/>
    <x v="3"/>
    <n v="0"/>
  </r>
  <r>
    <s v="Discrete AI"/>
    <x v="6"/>
    <x v="2"/>
    <s v="Wireless Communications Electronics"/>
    <s v="Cellular Modems"/>
    <s v="Semiconductor Revenue M$"/>
    <x v="4"/>
    <n v="0"/>
  </r>
  <r>
    <s v="Discrete AI"/>
    <x v="6"/>
    <x v="2"/>
    <s v="Wireless Communications Electronics"/>
    <s v="Cellular Modems"/>
    <s v="Semiconductor Revenue M$"/>
    <x v="5"/>
    <n v="0"/>
  </r>
  <r>
    <s v="Discrete AI"/>
    <x v="6"/>
    <x v="2"/>
    <s v="Wireless Communications Electronics"/>
    <s v="Cellular Modems"/>
    <s v="Semiconductor Revenue M$"/>
    <x v="6"/>
    <n v="0"/>
  </r>
  <r>
    <s v="Discrete AI"/>
    <x v="6"/>
    <x v="2"/>
    <s v="Wireless Communications Electronics"/>
    <s v="Other Wireless Communications Electronics"/>
    <s v="Semiconductor Revenue M$"/>
    <x v="0"/>
    <n v="0"/>
  </r>
  <r>
    <s v="Discrete AI"/>
    <x v="6"/>
    <x v="2"/>
    <s v="Wireless Communications Electronics"/>
    <s v="Other Wireless Communications Electronics"/>
    <s v="Semiconductor Revenue M$"/>
    <x v="1"/>
    <n v="0"/>
  </r>
  <r>
    <s v="Discrete AI"/>
    <x v="6"/>
    <x v="2"/>
    <s v="Wireless Communications Electronics"/>
    <s v="Other Wireless Communications Electronics"/>
    <s v="Semiconductor Revenue M$"/>
    <x v="2"/>
    <n v="0"/>
  </r>
  <r>
    <s v="Discrete AI"/>
    <x v="6"/>
    <x v="2"/>
    <s v="Wireless Communications Electronics"/>
    <s v="Other Wireless Communications Electronics"/>
    <s v="Semiconductor Revenue M$"/>
    <x v="3"/>
    <n v="0"/>
  </r>
  <r>
    <s v="Discrete AI"/>
    <x v="6"/>
    <x v="2"/>
    <s v="Wireless Communications Electronics"/>
    <s v="Other Wireless Communications Electronics"/>
    <s v="Semiconductor Revenue M$"/>
    <x v="4"/>
    <n v="0"/>
  </r>
  <r>
    <s v="Discrete AI"/>
    <x v="6"/>
    <x v="2"/>
    <s v="Wireless Communications Electronics"/>
    <s v="Other Wireless Communications Electronics"/>
    <s v="Semiconductor Revenue M$"/>
    <x v="5"/>
    <n v="0"/>
  </r>
  <r>
    <s v="Discrete AI"/>
    <x v="6"/>
    <x v="2"/>
    <s v="Wireless Communications Electronics"/>
    <s v="Other Wireless Communications Electronics"/>
    <s v="Semiconductor Revenue M$"/>
    <x v="6"/>
    <n v="0"/>
  </r>
  <r>
    <s v="Discrete AI"/>
    <x v="6"/>
    <x v="2"/>
    <s v="Wired Communications Electronics"/>
    <s v="DSL Broadband Access"/>
    <s v="Semiconductor Revenue M$"/>
    <x v="0"/>
    <n v="0"/>
  </r>
  <r>
    <s v="Discrete AI"/>
    <x v="6"/>
    <x v="2"/>
    <s v="Wired Communications Electronics"/>
    <s v="DSL Broadband Access"/>
    <s v="Semiconductor Revenue M$"/>
    <x v="1"/>
    <n v="0"/>
  </r>
  <r>
    <s v="Discrete AI"/>
    <x v="6"/>
    <x v="2"/>
    <s v="Wired Communications Electronics"/>
    <s v="DSL Broadband Access"/>
    <s v="Semiconductor Revenue M$"/>
    <x v="2"/>
    <n v="0"/>
  </r>
  <r>
    <s v="Discrete AI"/>
    <x v="6"/>
    <x v="2"/>
    <s v="Wired Communications Electronics"/>
    <s v="DSL Broadband Access"/>
    <s v="Semiconductor Revenue M$"/>
    <x v="3"/>
    <n v="0"/>
  </r>
  <r>
    <s v="Discrete AI"/>
    <x v="6"/>
    <x v="2"/>
    <s v="Wired Communications Electronics"/>
    <s v="DSL Broadband Access"/>
    <s v="Semiconductor Revenue M$"/>
    <x v="4"/>
    <n v="0"/>
  </r>
  <r>
    <s v="Discrete AI"/>
    <x v="6"/>
    <x v="2"/>
    <s v="Wired Communications Electronics"/>
    <s v="DSL Broadband Access"/>
    <s v="Semiconductor Revenue M$"/>
    <x v="5"/>
    <n v="0"/>
  </r>
  <r>
    <s v="Discrete AI"/>
    <x v="6"/>
    <x v="2"/>
    <s v="Wired Communications Electronics"/>
    <s v="DSL Broadband Access"/>
    <s v="Semiconductor Revenue M$"/>
    <x v="6"/>
    <n v="0"/>
  </r>
  <r>
    <s v="Discrete AI"/>
    <x v="6"/>
    <x v="2"/>
    <s v="Wired Communications Electronics"/>
    <s v="Fiber Broadband Access"/>
    <s v="Semiconductor Revenue M$"/>
    <x v="0"/>
    <n v="0"/>
  </r>
  <r>
    <s v="Discrete AI"/>
    <x v="6"/>
    <x v="2"/>
    <s v="Wired Communications Electronics"/>
    <s v="Fiber Broadband Access"/>
    <s v="Semiconductor Revenue M$"/>
    <x v="1"/>
    <n v="0"/>
  </r>
  <r>
    <s v="Discrete AI"/>
    <x v="6"/>
    <x v="2"/>
    <s v="Wired Communications Electronics"/>
    <s v="Fiber Broadband Access"/>
    <s v="Semiconductor Revenue M$"/>
    <x v="2"/>
    <n v="0"/>
  </r>
  <r>
    <s v="Discrete AI"/>
    <x v="6"/>
    <x v="2"/>
    <s v="Wired Communications Electronics"/>
    <s v="Fiber Broadband Access"/>
    <s v="Semiconductor Revenue M$"/>
    <x v="3"/>
    <n v="0"/>
  </r>
  <r>
    <s v="Discrete AI"/>
    <x v="6"/>
    <x v="2"/>
    <s v="Wired Communications Electronics"/>
    <s v="Fiber Broadband Access"/>
    <s v="Semiconductor Revenue M$"/>
    <x v="4"/>
    <n v="0"/>
  </r>
  <r>
    <s v="Discrete AI"/>
    <x v="6"/>
    <x v="2"/>
    <s v="Wired Communications Electronics"/>
    <s v="Fiber Broadband Access"/>
    <s v="Semiconductor Revenue M$"/>
    <x v="5"/>
    <n v="0"/>
  </r>
  <r>
    <s v="Discrete AI"/>
    <x v="6"/>
    <x v="2"/>
    <s v="Wired Communications Electronics"/>
    <s v="Fiber Broadband Access"/>
    <s v="Semiconductor Revenue M$"/>
    <x v="6"/>
    <n v="0"/>
  </r>
  <r>
    <s v="Discrete AI"/>
    <x v="6"/>
    <x v="2"/>
    <s v="Wired Communications Electronics"/>
    <s v="Other Broadband Access"/>
    <s v="Semiconductor Revenue M$"/>
    <x v="0"/>
    <n v="0"/>
  </r>
  <r>
    <s v="Discrete AI"/>
    <x v="6"/>
    <x v="2"/>
    <s v="Wired Communications Electronics"/>
    <s v="Other Broadband Access"/>
    <s v="Semiconductor Revenue M$"/>
    <x v="1"/>
    <n v="0"/>
  </r>
  <r>
    <s v="Discrete AI"/>
    <x v="6"/>
    <x v="2"/>
    <s v="Wired Communications Electronics"/>
    <s v="Other Broadband Access"/>
    <s v="Semiconductor Revenue M$"/>
    <x v="2"/>
    <n v="0"/>
  </r>
  <r>
    <s v="Discrete AI"/>
    <x v="6"/>
    <x v="2"/>
    <s v="Wired Communications Electronics"/>
    <s v="Other Broadband Access"/>
    <s v="Semiconductor Revenue M$"/>
    <x v="3"/>
    <n v="0"/>
  </r>
  <r>
    <s v="Discrete AI"/>
    <x v="6"/>
    <x v="2"/>
    <s v="Wired Communications Electronics"/>
    <s v="Other Broadband Access"/>
    <s v="Semiconductor Revenue M$"/>
    <x v="4"/>
    <n v="0"/>
  </r>
  <r>
    <s v="Discrete AI"/>
    <x v="6"/>
    <x v="2"/>
    <s v="Wired Communications Electronics"/>
    <s v="Other Broadband Access"/>
    <s v="Semiconductor Revenue M$"/>
    <x v="5"/>
    <n v="0"/>
  </r>
  <r>
    <s v="Discrete AI"/>
    <x v="6"/>
    <x v="2"/>
    <s v="Wired Communications Electronics"/>
    <s v="Other Broadband Access"/>
    <s v="Semiconductor Revenue M$"/>
    <x v="6"/>
    <n v="0"/>
  </r>
  <r>
    <s v="Discrete AI"/>
    <x v="6"/>
    <x v="2"/>
    <s v="Wired Communications Electronics"/>
    <s v="Enterprise LAN"/>
    <s v="Semiconductor Revenue M$"/>
    <x v="0"/>
    <n v="0"/>
  </r>
  <r>
    <s v="Discrete AI"/>
    <x v="6"/>
    <x v="2"/>
    <s v="Wired Communications Electronics"/>
    <s v="Enterprise LAN"/>
    <s v="Semiconductor Revenue M$"/>
    <x v="1"/>
    <n v="0"/>
  </r>
  <r>
    <s v="Discrete AI"/>
    <x v="6"/>
    <x v="2"/>
    <s v="Wired Communications Electronics"/>
    <s v="Enterprise LAN"/>
    <s v="Semiconductor Revenue M$"/>
    <x v="2"/>
    <n v="0"/>
  </r>
  <r>
    <s v="Discrete AI"/>
    <x v="6"/>
    <x v="2"/>
    <s v="Wired Communications Electronics"/>
    <s v="Enterprise LAN"/>
    <s v="Semiconductor Revenue M$"/>
    <x v="3"/>
    <n v="0"/>
  </r>
  <r>
    <s v="Discrete AI"/>
    <x v="6"/>
    <x v="2"/>
    <s v="Wired Communications Electronics"/>
    <s v="Enterprise LAN"/>
    <s v="Semiconductor Revenue M$"/>
    <x v="4"/>
    <n v="0"/>
  </r>
  <r>
    <s v="Discrete AI"/>
    <x v="6"/>
    <x v="2"/>
    <s v="Wired Communications Electronics"/>
    <s v="Enterprise LAN"/>
    <s v="Semiconductor Revenue M$"/>
    <x v="5"/>
    <n v="0"/>
  </r>
  <r>
    <s v="Discrete AI"/>
    <x v="6"/>
    <x v="2"/>
    <s v="Wired Communications Electronics"/>
    <s v="Enterprise LAN"/>
    <s v="Semiconductor Revenue M$"/>
    <x v="6"/>
    <n v="0"/>
  </r>
  <r>
    <s v="Discrete AI"/>
    <x v="6"/>
    <x v="3"/>
    <s v="Automotive Electronics"/>
    <s v="ADAS-ECU (Level-0/1/2)"/>
    <s v="Semiconductor Revenue M$"/>
    <x v="0"/>
    <n v="0"/>
  </r>
  <r>
    <s v="Discrete AI"/>
    <x v="6"/>
    <x v="3"/>
    <s v="Automotive Electronics"/>
    <s v="ADAS-ECU (Level-0/1/2)"/>
    <s v="Semiconductor Revenue M$"/>
    <x v="1"/>
    <n v="0"/>
  </r>
  <r>
    <s v="Discrete AI"/>
    <x v="6"/>
    <x v="3"/>
    <s v="Automotive Electronics"/>
    <s v="ADAS-ECU (Level-0/1/2)"/>
    <s v="Semiconductor Revenue M$"/>
    <x v="2"/>
    <n v="0"/>
  </r>
  <r>
    <s v="Discrete AI"/>
    <x v="6"/>
    <x v="3"/>
    <s v="Automotive Electronics"/>
    <s v="ADAS-ECU (Level-0/1/2)"/>
    <s v="Semiconductor Revenue M$"/>
    <x v="3"/>
    <n v="0"/>
  </r>
  <r>
    <s v="Discrete AI"/>
    <x v="6"/>
    <x v="3"/>
    <s v="Automotive Electronics"/>
    <s v="ADAS-ECU (Level-0/1/2)"/>
    <s v="Semiconductor Revenue M$"/>
    <x v="4"/>
    <n v="0"/>
  </r>
  <r>
    <s v="Discrete AI"/>
    <x v="6"/>
    <x v="3"/>
    <s v="Automotive Electronics"/>
    <s v="ADAS-ECU (Level-0/1/2)"/>
    <s v="Semiconductor Revenue M$"/>
    <x v="5"/>
    <n v="0"/>
  </r>
  <r>
    <s v="Discrete AI"/>
    <x v="6"/>
    <x v="3"/>
    <s v="Automotive Electronics"/>
    <s v="ADAS-ECU (Level-0/1/2)"/>
    <s v="Semiconductor Revenue M$"/>
    <x v="6"/>
    <n v="0"/>
  </r>
  <r>
    <s v="Discrete AI"/>
    <x v="6"/>
    <x v="2"/>
    <s v="Wired Communications Electronics"/>
    <s v="Enterprise WAN"/>
    <s v="Semiconductor Revenue M$"/>
    <x v="0"/>
    <n v="0"/>
  </r>
  <r>
    <s v="Discrete AI"/>
    <x v="6"/>
    <x v="2"/>
    <s v="Wired Communications Electronics"/>
    <s v="Enterprise WAN"/>
    <s v="Semiconductor Revenue M$"/>
    <x v="1"/>
    <n v="0"/>
  </r>
  <r>
    <s v="Discrete AI"/>
    <x v="6"/>
    <x v="2"/>
    <s v="Wired Communications Electronics"/>
    <s v="Enterprise WAN"/>
    <s v="Semiconductor Revenue M$"/>
    <x v="2"/>
    <n v="0"/>
  </r>
  <r>
    <s v="Discrete AI"/>
    <x v="6"/>
    <x v="2"/>
    <s v="Wired Communications Electronics"/>
    <s v="Enterprise WAN"/>
    <s v="Semiconductor Revenue M$"/>
    <x v="3"/>
    <n v="0"/>
  </r>
  <r>
    <s v="Discrete AI"/>
    <x v="6"/>
    <x v="2"/>
    <s v="Wired Communications Electronics"/>
    <s v="Enterprise WAN"/>
    <s v="Semiconductor Revenue M$"/>
    <x v="4"/>
    <n v="0"/>
  </r>
  <r>
    <s v="Discrete AI"/>
    <x v="6"/>
    <x v="2"/>
    <s v="Wired Communications Electronics"/>
    <s v="Enterprise WAN"/>
    <s v="Semiconductor Revenue M$"/>
    <x v="5"/>
    <n v="0"/>
  </r>
  <r>
    <s v="Discrete AI"/>
    <x v="6"/>
    <x v="2"/>
    <s v="Wired Communications Electronics"/>
    <s v="Enterprise WAN"/>
    <s v="Semiconductor Revenue M$"/>
    <x v="6"/>
    <n v="0"/>
  </r>
  <r>
    <s v="Discrete AI"/>
    <x v="6"/>
    <x v="2"/>
    <s v="Wired Communications Electronics"/>
    <s v="Optical Transport"/>
    <s v="Semiconductor Revenue M$"/>
    <x v="0"/>
    <n v="0"/>
  </r>
  <r>
    <s v="Discrete AI"/>
    <x v="6"/>
    <x v="2"/>
    <s v="Wired Communications Electronics"/>
    <s v="Optical Transport"/>
    <s v="Semiconductor Revenue M$"/>
    <x v="1"/>
    <n v="0"/>
  </r>
  <r>
    <s v="Discrete AI"/>
    <x v="6"/>
    <x v="2"/>
    <s v="Wired Communications Electronics"/>
    <s v="Optical Transport"/>
    <s v="Semiconductor Revenue M$"/>
    <x v="2"/>
    <n v="0"/>
  </r>
  <r>
    <s v="Discrete AI"/>
    <x v="6"/>
    <x v="2"/>
    <s v="Wired Communications Electronics"/>
    <s v="Optical Transport"/>
    <s v="Semiconductor Revenue M$"/>
    <x v="3"/>
    <n v="0"/>
  </r>
  <r>
    <s v="Discrete AI"/>
    <x v="6"/>
    <x v="2"/>
    <s v="Wired Communications Electronics"/>
    <s v="Optical Transport"/>
    <s v="Semiconductor Revenue M$"/>
    <x v="4"/>
    <n v="0"/>
  </r>
  <r>
    <s v="Discrete AI"/>
    <x v="6"/>
    <x v="2"/>
    <s v="Wired Communications Electronics"/>
    <s v="Optical Transport"/>
    <s v="Semiconductor Revenue M$"/>
    <x v="5"/>
    <n v="0"/>
  </r>
  <r>
    <s v="Discrete AI"/>
    <x v="6"/>
    <x v="2"/>
    <s v="Wired Communications Electronics"/>
    <s v="Optical Transport"/>
    <s v="Semiconductor Revenue M$"/>
    <x v="6"/>
    <n v="0"/>
  </r>
  <r>
    <s v="Discrete AI"/>
    <x v="6"/>
    <x v="2"/>
    <s v="Wired Communications Electronics"/>
    <s v="Service Provider Routers and Switches"/>
    <s v="Semiconductor Revenue M$"/>
    <x v="0"/>
    <n v="0"/>
  </r>
  <r>
    <s v="Discrete AI"/>
    <x v="6"/>
    <x v="2"/>
    <s v="Wired Communications Electronics"/>
    <s v="Service Provider Routers and Switches"/>
    <s v="Semiconductor Revenue M$"/>
    <x v="1"/>
    <n v="0"/>
  </r>
  <r>
    <s v="Discrete AI"/>
    <x v="6"/>
    <x v="2"/>
    <s v="Wired Communications Electronics"/>
    <s v="Service Provider Routers and Switches"/>
    <s v="Semiconductor Revenue M$"/>
    <x v="2"/>
    <n v="0"/>
  </r>
  <r>
    <s v="Discrete AI"/>
    <x v="6"/>
    <x v="2"/>
    <s v="Wired Communications Electronics"/>
    <s v="Service Provider Routers and Switches"/>
    <s v="Semiconductor Revenue M$"/>
    <x v="3"/>
    <n v="0"/>
  </r>
  <r>
    <s v="Discrete AI"/>
    <x v="6"/>
    <x v="2"/>
    <s v="Wired Communications Electronics"/>
    <s v="Service Provider Routers and Switches"/>
    <s v="Semiconductor Revenue M$"/>
    <x v="4"/>
    <n v="0"/>
  </r>
  <r>
    <s v="Discrete AI"/>
    <x v="6"/>
    <x v="2"/>
    <s v="Wired Communications Electronics"/>
    <s v="Service Provider Routers and Switches"/>
    <s v="Semiconductor Revenue M$"/>
    <x v="5"/>
    <n v="0"/>
  </r>
  <r>
    <s v="Discrete AI"/>
    <x v="6"/>
    <x v="2"/>
    <s v="Wired Communications Electronics"/>
    <s v="Service Provider Routers and Switches"/>
    <s v="Semiconductor Revenue M$"/>
    <x v="6"/>
    <n v="0"/>
  </r>
  <r>
    <s v="Discrete AI"/>
    <x v="6"/>
    <x v="2"/>
    <s v="Wired Communications Electronics"/>
    <s v="Other Wired Communications Electronics"/>
    <s v="Semiconductor Revenue M$"/>
    <x v="0"/>
    <n v="0"/>
  </r>
  <r>
    <s v="Discrete AI"/>
    <x v="6"/>
    <x v="2"/>
    <s v="Wired Communications Electronics"/>
    <s v="Other Wired Communications Electronics"/>
    <s v="Semiconductor Revenue M$"/>
    <x v="1"/>
    <n v="0"/>
  </r>
  <r>
    <s v="Discrete AI"/>
    <x v="6"/>
    <x v="2"/>
    <s v="Wired Communications Electronics"/>
    <s v="Other Wired Communications Electronics"/>
    <s v="Semiconductor Revenue M$"/>
    <x v="2"/>
    <n v="0"/>
  </r>
  <r>
    <s v="Discrete AI"/>
    <x v="6"/>
    <x v="2"/>
    <s v="Wired Communications Electronics"/>
    <s v="Other Wired Communications Electronics"/>
    <s v="Semiconductor Revenue M$"/>
    <x v="3"/>
    <n v="0"/>
  </r>
  <r>
    <s v="Discrete AI"/>
    <x v="6"/>
    <x v="2"/>
    <s v="Wired Communications Electronics"/>
    <s v="Other Wired Communications Electronics"/>
    <s v="Semiconductor Revenue M$"/>
    <x v="4"/>
    <n v="0"/>
  </r>
  <r>
    <s v="Discrete AI"/>
    <x v="6"/>
    <x v="2"/>
    <s v="Wired Communications Electronics"/>
    <s v="Other Wired Communications Electronics"/>
    <s v="Semiconductor Revenue M$"/>
    <x v="5"/>
    <n v="0"/>
  </r>
  <r>
    <s v="Discrete AI"/>
    <x v="6"/>
    <x v="2"/>
    <s v="Wired Communications Electronics"/>
    <s v="Other Wired Communications Electronics"/>
    <s v="Semiconductor Revenue M$"/>
    <x v="6"/>
    <n v="0"/>
  </r>
  <r>
    <s v="Discrete AI"/>
    <x v="6"/>
    <x v="4"/>
    <s v="Consumer Electronics"/>
    <s v="Appliances"/>
    <s v="Semiconductor Revenue M$"/>
    <x v="0"/>
    <n v="0"/>
  </r>
  <r>
    <s v="Discrete AI"/>
    <x v="6"/>
    <x v="4"/>
    <s v="Consumer Electronics"/>
    <s v="Appliances"/>
    <s v="Semiconductor Revenue M$"/>
    <x v="1"/>
    <n v="0"/>
  </r>
  <r>
    <s v="Discrete AI"/>
    <x v="6"/>
    <x v="4"/>
    <s v="Consumer Electronics"/>
    <s v="Appliances"/>
    <s v="Semiconductor Revenue M$"/>
    <x v="2"/>
    <n v="0"/>
  </r>
  <r>
    <s v="Discrete AI"/>
    <x v="6"/>
    <x v="4"/>
    <s v="Consumer Electronics"/>
    <s v="Appliances"/>
    <s v="Semiconductor Revenue M$"/>
    <x v="3"/>
    <n v="0"/>
  </r>
  <r>
    <s v="Discrete AI"/>
    <x v="6"/>
    <x v="4"/>
    <s v="Consumer Electronics"/>
    <s v="Appliances"/>
    <s v="Semiconductor Revenue M$"/>
    <x v="4"/>
    <n v="0"/>
  </r>
  <r>
    <s v="Discrete AI"/>
    <x v="6"/>
    <x v="4"/>
    <s v="Consumer Electronics"/>
    <s v="Appliances"/>
    <s v="Semiconductor Revenue M$"/>
    <x v="5"/>
    <n v="0"/>
  </r>
  <r>
    <s v="Discrete AI"/>
    <x v="6"/>
    <x v="4"/>
    <s v="Consumer Electronics"/>
    <s v="Appliances"/>
    <s v="Semiconductor Revenue M$"/>
    <x v="6"/>
    <n v="0"/>
  </r>
  <r>
    <s v="Discrete AI"/>
    <x v="6"/>
    <x v="4"/>
    <s v="Consumer Electronics"/>
    <s v="Digital Camcorder"/>
    <s v="Semiconductor Revenue M$"/>
    <x v="0"/>
    <n v="0"/>
  </r>
  <r>
    <s v="Discrete AI"/>
    <x v="6"/>
    <x v="4"/>
    <s v="Consumer Electronics"/>
    <s v="Digital Camcorder"/>
    <s v="Semiconductor Revenue M$"/>
    <x v="1"/>
    <n v="0"/>
  </r>
  <r>
    <s v="Discrete AI"/>
    <x v="6"/>
    <x v="4"/>
    <s v="Consumer Electronics"/>
    <s v="Digital Camcorder"/>
    <s v="Semiconductor Revenue M$"/>
    <x v="2"/>
    <n v="0"/>
  </r>
  <r>
    <s v="Discrete AI"/>
    <x v="6"/>
    <x v="4"/>
    <s v="Consumer Electronics"/>
    <s v="Digital Camcorder"/>
    <s v="Semiconductor Revenue M$"/>
    <x v="3"/>
    <n v="0"/>
  </r>
  <r>
    <s v="Discrete AI"/>
    <x v="6"/>
    <x v="4"/>
    <s v="Consumer Electronics"/>
    <s v="Digital Camcorder"/>
    <s v="Semiconductor Revenue M$"/>
    <x v="4"/>
    <n v="0"/>
  </r>
  <r>
    <s v="Discrete AI"/>
    <x v="6"/>
    <x v="4"/>
    <s v="Consumer Electronics"/>
    <s v="Digital Camcorder"/>
    <s v="Semiconductor Revenue M$"/>
    <x v="5"/>
    <n v="0"/>
  </r>
  <r>
    <s v="Discrete AI"/>
    <x v="6"/>
    <x v="4"/>
    <s v="Consumer Electronics"/>
    <s v="Digital Camcorder"/>
    <s v="Semiconductor Revenue M$"/>
    <x v="6"/>
    <n v="0"/>
  </r>
  <r>
    <s v="Discrete AI"/>
    <x v="6"/>
    <x v="4"/>
    <s v="Consumer Electronics"/>
    <s v="Digital Set-Top Box, Cable"/>
    <s v="Semiconductor Revenue M$"/>
    <x v="0"/>
    <n v="0"/>
  </r>
  <r>
    <s v="Discrete AI"/>
    <x v="6"/>
    <x v="4"/>
    <s v="Consumer Electronics"/>
    <s v="Digital Set-Top Box, Cable"/>
    <s v="Semiconductor Revenue M$"/>
    <x v="1"/>
    <n v="0"/>
  </r>
  <r>
    <s v="Discrete AI"/>
    <x v="6"/>
    <x v="4"/>
    <s v="Consumer Electronics"/>
    <s v="Digital Set-Top Box, Cable"/>
    <s v="Semiconductor Revenue M$"/>
    <x v="2"/>
    <n v="0"/>
  </r>
  <r>
    <s v="Discrete AI"/>
    <x v="6"/>
    <x v="4"/>
    <s v="Consumer Electronics"/>
    <s v="Digital Set-Top Box, Cable"/>
    <s v="Semiconductor Revenue M$"/>
    <x v="3"/>
    <n v="0"/>
  </r>
  <r>
    <s v="Discrete AI"/>
    <x v="6"/>
    <x v="4"/>
    <s v="Consumer Electronics"/>
    <s v="Digital Set-Top Box, Cable"/>
    <s v="Semiconductor Revenue M$"/>
    <x v="4"/>
    <n v="0"/>
  </r>
  <r>
    <s v="Discrete AI"/>
    <x v="6"/>
    <x v="4"/>
    <s v="Consumer Electronics"/>
    <s v="Digital Set-Top Box, Cable"/>
    <s v="Semiconductor Revenue M$"/>
    <x v="5"/>
    <n v="0"/>
  </r>
  <r>
    <s v="Discrete AI"/>
    <x v="6"/>
    <x v="4"/>
    <s v="Consumer Electronics"/>
    <s v="Digital Set-Top Box, Cable"/>
    <s v="Semiconductor Revenue M$"/>
    <x v="6"/>
    <n v="0"/>
  </r>
  <r>
    <s v="Discrete AI"/>
    <x v="6"/>
    <x v="4"/>
    <s v="Consumer Electronics"/>
    <s v="Digital Set-Top Box, Satellite"/>
    <s v="Semiconductor Revenue M$"/>
    <x v="0"/>
    <n v="0"/>
  </r>
  <r>
    <s v="Discrete AI"/>
    <x v="6"/>
    <x v="4"/>
    <s v="Consumer Electronics"/>
    <s v="Digital Set-Top Box, Satellite"/>
    <s v="Semiconductor Revenue M$"/>
    <x v="1"/>
    <n v="0"/>
  </r>
  <r>
    <s v="Discrete AI"/>
    <x v="6"/>
    <x v="4"/>
    <s v="Consumer Electronics"/>
    <s v="Digital Set-Top Box, Satellite"/>
    <s v="Semiconductor Revenue M$"/>
    <x v="2"/>
    <n v="0"/>
  </r>
  <r>
    <s v="Discrete AI"/>
    <x v="6"/>
    <x v="4"/>
    <s v="Consumer Electronics"/>
    <s v="Digital Set-Top Box, Satellite"/>
    <s v="Semiconductor Revenue M$"/>
    <x v="3"/>
    <n v="0"/>
  </r>
  <r>
    <s v="Discrete AI"/>
    <x v="6"/>
    <x v="4"/>
    <s v="Consumer Electronics"/>
    <s v="Digital Set-Top Box, Satellite"/>
    <s v="Semiconductor Revenue M$"/>
    <x v="4"/>
    <n v="0"/>
  </r>
  <r>
    <s v="Discrete AI"/>
    <x v="6"/>
    <x v="4"/>
    <s v="Consumer Electronics"/>
    <s v="Digital Set-Top Box, Satellite"/>
    <s v="Semiconductor Revenue M$"/>
    <x v="5"/>
    <n v="0"/>
  </r>
  <r>
    <s v="Discrete AI"/>
    <x v="6"/>
    <x v="4"/>
    <s v="Consumer Electronics"/>
    <s v="Digital Set-Top Box, Satellite"/>
    <s v="Semiconductor Revenue M$"/>
    <x v="6"/>
    <n v="0"/>
  </r>
  <r>
    <s v="Discrete AI"/>
    <x v="6"/>
    <x v="4"/>
    <s v="Consumer Electronics"/>
    <s v="Digital Set-Top Box, Terrestrial"/>
    <s v="Semiconductor Revenue M$"/>
    <x v="0"/>
    <n v="0"/>
  </r>
  <r>
    <s v="Discrete AI"/>
    <x v="6"/>
    <x v="4"/>
    <s v="Consumer Electronics"/>
    <s v="Digital Set-Top Box, Terrestrial"/>
    <s v="Semiconductor Revenue M$"/>
    <x v="1"/>
    <n v="0"/>
  </r>
  <r>
    <s v="Discrete AI"/>
    <x v="6"/>
    <x v="4"/>
    <s v="Consumer Electronics"/>
    <s v="Digital Set-Top Box, Terrestrial"/>
    <s v="Semiconductor Revenue M$"/>
    <x v="2"/>
    <n v="0"/>
  </r>
  <r>
    <s v="Discrete AI"/>
    <x v="6"/>
    <x v="4"/>
    <s v="Consumer Electronics"/>
    <s v="Digital Set-Top Box, Terrestrial"/>
    <s v="Semiconductor Revenue M$"/>
    <x v="3"/>
    <n v="0"/>
  </r>
  <r>
    <s v="Discrete AI"/>
    <x v="6"/>
    <x v="4"/>
    <s v="Consumer Electronics"/>
    <s v="Digital Set-Top Box, Terrestrial"/>
    <s v="Semiconductor Revenue M$"/>
    <x v="4"/>
    <n v="0"/>
  </r>
  <r>
    <s v="Discrete AI"/>
    <x v="6"/>
    <x v="4"/>
    <s v="Consumer Electronics"/>
    <s v="Digital Set-Top Box, Terrestrial"/>
    <s v="Semiconductor Revenue M$"/>
    <x v="5"/>
    <n v="0"/>
  </r>
  <r>
    <s v="Discrete AI"/>
    <x v="6"/>
    <x v="4"/>
    <s v="Consumer Electronics"/>
    <s v="Digital Set-Top Box, Terrestrial"/>
    <s v="Semiconductor Revenue M$"/>
    <x v="6"/>
    <n v="0"/>
  </r>
  <r>
    <s v="Discrete AI"/>
    <x v="6"/>
    <x v="4"/>
    <s v="Consumer Electronics"/>
    <s v="Digital Set-Top Box, IP/Other"/>
    <s v="Semiconductor Revenue M$"/>
    <x v="0"/>
    <n v="0"/>
  </r>
  <r>
    <s v="Discrete AI"/>
    <x v="6"/>
    <x v="4"/>
    <s v="Consumer Electronics"/>
    <s v="Digital Set-Top Box, IP/Other"/>
    <s v="Semiconductor Revenue M$"/>
    <x v="1"/>
    <n v="0"/>
  </r>
  <r>
    <s v="Discrete AI"/>
    <x v="6"/>
    <x v="4"/>
    <s v="Consumer Electronics"/>
    <s v="Digital Set-Top Box, IP/Other"/>
    <s v="Semiconductor Revenue M$"/>
    <x v="2"/>
    <n v="0"/>
  </r>
  <r>
    <s v="Discrete AI"/>
    <x v="6"/>
    <x v="4"/>
    <s v="Consumer Electronics"/>
    <s v="Digital Set-Top Box, IP/Other"/>
    <s v="Semiconductor Revenue M$"/>
    <x v="3"/>
    <n v="0"/>
  </r>
  <r>
    <s v="Discrete AI"/>
    <x v="6"/>
    <x v="4"/>
    <s v="Consumer Electronics"/>
    <s v="Digital Set-Top Box, IP/Other"/>
    <s v="Semiconductor Revenue M$"/>
    <x v="4"/>
    <n v="0"/>
  </r>
  <r>
    <s v="Discrete AI"/>
    <x v="6"/>
    <x v="4"/>
    <s v="Consumer Electronics"/>
    <s v="Digital Set-Top Box, IP/Other"/>
    <s v="Semiconductor Revenue M$"/>
    <x v="5"/>
    <n v="0"/>
  </r>
  <r>
    <s v="Discrete AI"/>
    <x v="6"/>
    <x v="4"/>
    <s v="Consumer Electronics"/>
    <s v="Digital Set-Top Box, IP/Other"/>
    <s v="Semiconductor Revenue M$"/>
    <x v="6"/>
    <n v="0"/>
  </r>
  <r>
    <s v="Discrete AI"/>
    <x v="6"/>
    <x v="4"/>
    <s v="Consumer Electronics"/>
    <s v="Digital Still Camera"/>
    <s v="Semiconductor Revenue M$"/>
    <x v="0"/>
    <n v="0"/>
  </r>
  <r>
    <s v="Discrete AI"/>
    <x v="6"/>
    <x v="4"/>
    <s v="Consumer Electronics"/>
    <s v="Digital Still Camera"/>
    <s v="Semiconductor Revenue M$"/>
    <x v="1"/>
    <n v="0"/>
  </r>
  <r>
    <s v="Discrete AI"/>
    <x v="6"/>
    <x v="4"/>
    <s v="Consumer Electronics"/>
    <s v="Digital Still Camera"/>
    <s v="Semiconductor Revenue M$"/>
    <x v="2"/>
    <n v="0"/>
  </r>
  <r>
    <s v="Discrete AI"/>
    <x v="6"/>
    <x v="4"/>
    <s v="Consumer Electronics"/>
    <s v="Digital Still Camera"/>
    <s v="Semiconductor Revenue M$"/>
    <x v="3"/>
    <n v="0"/>
  </r>
  <r>
    <s v="Discrete AI"/>
    <x v="6"/>
    <x v="4"/>
    <s v="Consumer Electronics"/>
    <s v="Digital Still Camera"/>
    <s v="Semiconductor Revenue M$"/>
    <x v="4"/>
    <n v="0"/>
  </r>
  <r>
    <s v="Discrete AI"/>
    <x v="6"/>
    <x v="4"/>
    <s v="Consumer Electronics"/>
    <s v="Digital Still Camera"/>
    <s v="Semiconductor Revenue M$"/>
    <x v="5"/>
    <n v="0"/>
  </r>
  <r>
    <s v="Discrete AI"/>
    <x v="6"/>
    <x v="4"/>
    <s v="Consumer Electronics"/>
    <s v="Digital Still Camera"/>
    <s v="Semiconductor Revenue M$"/>
    <x v="6"/>
    <n v="0"/>
  </r>
  <r>
    <s v="Discrete AI"/>
    <x v="6"/>
    <x v="5"/>
    <s v="Industrial Electronics"/>
    <s v="Agriculture"/>
    <s v="Semiconductor Revenue M$"/>
    <x v="0"/>
    <n v="0"/>
  </r>
  <r>
    <s v="Discrete AI"/>
    <x v="6"/>
    <x v="5"/>
    <s v="Industrial Electronics"/>
    <s v="Agriculture"/>
    <s v="Semiconductor Revenue M$"/>
    <x v="1"/>
    <n v="0"/>
  </r>
  <r>
    <s v="Discrete AI"/>
    <x v="6"/>
    <x v="5"/>
    <s v="Industrial Electronics"/>
    <s v="Agriculture"/>
    <s v="Semiconductor Revenue M$"/>
    <x v="2"/>
    <n v="0"/>
  </r>
  <r>
    <s v="Discrete AI"/>
    <x v="6"/>
    <x v="5"/>
    <s v="Industrial Electronics"/>
    <s v="Agriculture"/>
    <s v="Semiconductor Revenue M$"/>
    <x v="3"/>
    <n v="0"/>
  </r>
  <r>
    <s v="Discrete AI"/>
    <x v="6"/>
    <x v="5"/>
    <s v="Industrial Electronics"/>
    <s v="Agriculture"/>
    <s v="Semiconductor Revenue M$"/>
    <x v="4"/>
    <n v="0"/>
  </r>
  <r>
    <s v="Discrete AI"/>
    <x v="6"/>
    <x v="5"/>
    <s v="Industrial Electronics"/>
    <s v="Agriculture"/>
    <s v="Semiconductor Revenue M$"/>
    <x v="5"/>
    <n v="0"/>
  </r>
  <r>
    <s v="Discrete AI"/>
    <x v="6"/>
    <x v="5"/>
    <s v="Industrial Electronics"/>
    <s v="Agriculture"/>
    <s v="Semiconductor Revenue M$"/>
    <x v="6"/>
    <n v="0"/>
  </r>
  <r>
    <s v="Discrete AI"/>
    <x v="6"/>
    <x v="3"/>
    <s v="Automotive Electronics"/>
    <s v="Automotive HPC"/>
    <s v="Semiconductor Revenue M$"/>
    <x v="0"/>
    <n v="0"/>
  </r>
  <r>
    <s v="Discrete AI"/>
    <x v="6"/>
    <x v="3"/>
    <s v="Automotive Electronics"/>
    <s v="Automotive HPC"/>
    <s v="Semiconductor Revenue M$"/>
    <x v="1"/>
    <n v="0"/>
  </r>
  <r>
    <s v="Discrete AI"/>
    <x v="6"/>
    <x v="3"/>
    <s v="Automotive Electronics"/>
    <s v="Automotive HPC"/>
    <s v="Semiconductor Revenue M$"/>
    <x v="2"/>
    <n v="0"/>
  </r>
  <r>
    <s v="Discrete AI"/>
    <x v="6"/>
    <x v="3"/>
    <s v="Automotive Electronics"/>
    <s v="Automotive HPC"/>
    <s v="Semiconductor Revenue M$"/>
    <x v="3"/>
    <n v="0"/>
  </r>
  <r>
    <s v="Discrete AI"/>
    <x v="6"/>
    <x v="3"/>
    <s v="Automotive Electronics"/>
    <s v="Automotive HPC"/>
    <s v="Semiconductor Revenue M$"/>
    <x v="4"/>
    <n v="0"/>
  </r>
  <r>
    <s v="Discrete AI"/>
    <x v="6"/>
    <x v="3"/>
    <s v="Automotive Electronics"/>
    <s v="Automotive HPC"/>
    <s v="Semiconductor Revenue M$"/>
    <x v="5"/>
    <n v="0"/>
  </r>
  <r>
    <s v="Discrete AI"/>
    <x v="6"/>
    <x v="3"/>
    <s v="Automotive Electronics"/>
    <s v="Automotive HPC"/>
    <s v="Semiconductor Revenue M$"/>
    <x v="6"/>
    <n v="0"/>
  </r>
  <r>
    <s v="Discrete AI"/>
    <x v="6"/>
    <x v="5"/>
    <s v="Industrial Electronics"/>
    <s v="Surveillance"/>
    <s v="Semiconductor Revenue M$"/>
    <x v="0"/>
    <n v="0"/>
  </r>
  <r>
    <s v="Discrete AI"/>
    <x v="6"/>
    <x v="5"/>
    <s v="Industrial Electronics"/>
    <s v="Surveillance"/>
    <s v="Semiconductor Revenue M$"/>
    <x v="1"/>
    <n v="0"/>
  </r>
  <r>
    <s v="Discrete AI"/>
    <x v="6"/>
    <x v="5"/>
    <s v="Industrial Electronics"/>
    <s v="Surveillance"/>
    <s v="Semiconductor Revenue M$"/>
    <x v="2"/>
    <n v="0"/>
  </r>
  <r>
    <s v="Discrete AI"/>
    <x v="6"/>
    <x v="5"/>
    <s v="Industrial Electronics"/>
    <s v="Surveillance"/>
    <s v="Semiconductor Revenue M$"/>
    <x v="3"/>
    <n v="0"/>
  </r>
  <r>
    <s v="Discrete AI"/>
    <x v="6"/>
    <x v="5"/>
    <s v="Industrial Electronics"/>
    <s v="Surveillance"/>
    <s v="Semiconductor Revenue M$"/>
    <x v="4"/>
    <n v="0"/>
  </r>
  <r>
    <s v="Discrete AI"/>
    <x v="6"/>
    <x v="5"/>
    <s v="Industrial Electronics"/>
    <s v="Surveillance"/>
    <s v="Semiconductor Revenue M$"/>
    <x v="5"/>
    <n v="0"/>
  </r>
  <r>
    <s v="Discrete AI"/>
    <x v="6"/>
    <x v="5"/>
    <s v="Industrial Electronics"/>
    <s v="Surveillance"/>
    <s v="Semiconductor Revenue M$"/>
    <x v="6"/>
    <n v="0"/>
  </r>
  <r>
    <s v="Discrete AI"/>
    <x v="6"/>
    <x v="4"/>
    <s v="Consumer Electronics"/>
    <s v="Portable Media Players"/>
    <s v="Semiconductor Revenue M$"/>
    <x v="0"/>
    <n v="0"/>
  </r>
  <r>
    <s v="Discrete AI"/>
    <x v="6"/>
    <x v="4"/>
    <s v="Consumer Electronics"/>
    <s v="Portable Media Players"/>
    <s v="Semiconductor Revenue M$"/>
    <x v="1"/>
    <n v="0"/>
  </r>
  <r>
    <s v="Discrete AI"/>
    <x v="6"/>
    <x v="4"/>
    <s v="Consumer Electronics"/>
    <s v="Portable Media Players"/>
    <s v="Semiconductor Revenue M$"/>
    <x v="2"/>
    <n v="0"/>
  </r>
  <r>
    <s v="Discrete AI"/>
    <x v="6"/>
    <x v="4"/>
    <s v="Consumer Electronics"/>
    <s v="Portable Media Players"/>
    <s v="Semiconductor Revenue M$"/>
    <x v="3"/>
    <n v="0"/>
  </r>
  <r>
    <s v="Discrete AI"/>
    <x v="6"/>
    <x v="4"/>
    <s v="Consumer Electronics"/>
    <s v="Portable Media Players"/>
    <s v="Semiconductor Revenue M$"/>
    <x v="4"/>
    <n v="0"/>
  </r>
  <r>
    <s v="Discrete AI"/>
    <x v="6"/>
    <x v="4"/>
    <s v="Consumer Electronics"/>
    <s v="Portable Media Players"/>
    <s v="Semiconductor Revenue M$"/>
    <x v="5"/>
    <n v="0"/>
  </r>
  <r>
    <s v="Discrete AI"/>
    <x v="6"/>
    <x v="4"/>
    <s v="Consumer Electronics"/>
    <s v="Portable Media Players"/>
    <s v="Semiconductor Revenue M$"/>
    <x v="6"/>
    <n v="0"/>
  </r>
  <r>
    <s v="Discrete AI"/>
    <x v="6"/>
    <x v="4"/>
    <s v="Consumer Electronics"/>
    <s v="Smart Speakers"/>
    <s v="Semiconductor Revenue M$"/>
    <x v="0"/>
    <n v="0"/>
  </r>
  <r>
    <s v="Discrete AI"/>
    <x v="6"/>
    <x v="4"/>
    <s v="Consumer Electronics"/>
    <s v="Smart Speakers"/>
    <s v="Semiconductor Revenue M$"/>
    <x v="1"/>
    <n v="0"/>
  </r>
  <r>
    <s v="Discrete AI"/>
    <x v="6"/>
    <x v="4"/>
    <s v="Consumer Electronics"/>
    <s v="Smart Speakers"/>
    <s v="Semiconductor Revenue M$"/>
    <x v="2"/>
    <n v="0"/>
  </r>
  <r>
    <s v="Discrete AI"/>
    <x v="6"/>
    <x v="4"/>
    <s v="Consumer Electronics"/>
    <s v="Smart Speakers"/>
    <s v="Semiconductor Revenue M$"/>
    <x v="3"/>
    <n v="0"/>
  </r>
  <r>
    <s v="Discrete AI"/>
    <x v="6"/>
    <x v="4"/>
    <s v="Consumer Electronics"/>
    <s v="Smart Speakers"/>
    <s v="Semiconductor Revenue M$"/>
    <x v="4"/>
    <n v="0"/>
  </r>
  <r>
    <s v="Discrete AI"/>
    <x v="6"/>
    <x v="4"/>
    <s v="Consumer Electronics"/>
    <s v="Smart Speakers"/>
    <s v="Semiconductor Revenue M$"/>
    <x v="5"/>
    <n v="0"/>
  </r>
  <r>
    <s v="Discrete AI"/>
    <x v="6"/>
    <x v="4"/>
    <s v="Consumer Electronics"/>
    <s v="Smart Speakers"/>
    <s v="Semiconductor Revenue M$"/>
    <x v="6"/>
    <n v="0"/>
  </r>
  <r>
    <s v="Discrete AI"/>
    <x v="6"/>
    <x v="4"/>
    <s v="Consumer Electronics"/>
    <s v="TV, Standard"/>
    <s v="Semiconductor Revenue M$"/>
    <x v="0"/>
    <n v="0"/>
  </r>
  <r>
    <s v="Discrete AI"/>
    <x v="6"/>
    <x v="4"/>
    <s v="Consumer Electronics"/>
    <s v="TV, Standard"/>
    <s v="Semiconductor Revenue M$"/>
    <x v="1"/>
    <n v="0"/>
  </r>
  <r>
    <s v="Discrete AI"/>
    <x v="6"/>
    <x v="4"/>
    <s v="Consumer Electronics"/>
    <s v="TV, Standard"/>
    <s v="Semiconductor Revenue M$"/>
    <x v="2"/>
    <n v="0"/>
  </r>
  <r>
    <s v="Discrete AI"/>
    <x v="6"/>
    <x v="4"/>
    <s v="Consumer Electronics"/>
    <s v="TV, Standard"/>
    <s v="Semiconductor Revenue M$"/>
    <x v="3"/>
    <n v="0"/>
  </r>
  <r>
    <s v="Discrete AI"/>
    <x v="6"/>
    <x v="4"/>
    <s v="Consumer Electronics"/>
    <s v="TV, Standard"/>
    <s v="Semiconductor Revenue M$"/>
    <x v="4"/>
    <n v="0"/>
  </r>
  <r>
    <s v="Discrete AI"/>
    <x v="6"/>
    <x v="4"/>
    <s v="Consumer Electronics"/>
    <s v="TV, Standard"/>
    <s v="Semiconductor Revenue M$"/>
    <x v="5"/>
    <n v="0"/>
  </r>
  <r>
    <s v="Discrete AI"/>
    <x v="6"/>
    <x v="4"/>
    <s v="Consumer Electronics"/>
    <s v="TV, Standard"/>
    <s v="Semiconductor Revenue M$"/>
    <x v="6"/>
    <n v="0"/>
  </r>
  <r>
    <s v="Discrete AI"/>
    <x v="6"/>
    <x v="4"/>
    <s v="Consumer Electronics"/>
    <s v="TV, Smart"/>
    <s v="Semiconductor Revenue M$"/>
    <x v="0"/>
    <n v="0"/>
  </r>
  <r>
    <s v="Discrete AI"/>
    <x v="6"/>
    <x v="4"/>
    <s v="Consumer Electronics"/>
    <s v="TV, Smart"/>
    <s v="Semiconductor Revenue M$"/>
    <x v="1"/>
    <n v="0"/>
  </r>
  <r>
    <s v="Discrete AI"/>
    <x v="6"/>
    <x v="4"/>
    <s v="Consumer Electronics"/>
    <s v="TV, Smart"/>
    <s v="Semiconductor Revenue M$"/>
    <x v="2"/>
    <n v="0"/>
  </r>
  <r>
    <s v="Discrete AI"/>
    <x v="6"/>
    <x v="4"/>
    <s v="Consumer Electronics"/>
    <s v="TV, Smart"/>
    <s v="Semiconductor Revenue M$"/>
    <x v="3"/>
    <n v="0"/>
  </r>
  <r>
    <s v="Discrete AI"/>
    <x v="6"/>
    <x v="4"/>
    <s v="Consumer Electronics"/>
    <s v="TV, Smart"/>
    <s v="Semiconductor Revenue M$"/>
    <x v="4"/>
    <n v="0"/>
  </r>
  <r>
    <s v="Discrete AI"/>
    <x v="6"/>
    <x v="4"/>
    <s v="Consumer Electronics"/>
    <s v="TV, Smart"/>
    <s v="Semiconductor Revenue M$"/>
    <x v="5"/>
    <n v="0"/>
  </r>
  <r>
    <s v="Discrete AI"/>
    <x v="6"/>
    <x v="4"/>
    <s v="Consumer Electronics"/>
    <s v="TV, Smart"/>
    <s v="Semiconductor Revenue M$"/>
    <x v="6"/>
    <n v="0"/>
  </r>
  <r>
    <s v="Discrete AI"/>
    <x v="6"/>
    <x v="4"/>
    <s v="Consumer Electronics"/>
    <s v="Video Game Consoles"/>
    <s v="Semiconductor Revenue M$"/>
    <x v="0"/>
    <n v="0"/>
  </r>
  <r>
    <s v="Discrete AI"/>
    <x v="6"/>
    <x v="4"/>
    <s v="Consumer Electronics"/>
    <s v="Video Game Consoles"/>
    <s v="Semiconductor Revenue M$"/>
    <x v="1"/>
    <n v="0"/>
  </r>
  <r>
    <s v="Discrete AI"/>
    <x v="6"/>
    <x v="4"/>
    <s v="Consumer Electronics"/>
    <s v="Video Game Consoles"/>
    <s v="Semiconductor Revenue M$"/>
    <x v="2"/>
    <n v="0"/>
  </r>
  <r>
    <s v="Discrete AI"/>
    <x v="6"/>
    <x v="4"/>
    <s v="Consumer Electronics"/>
    <s v="Video Game Consoles"/>
    <s v="Semiconductor Revenue M$"/>
    <x v="3"/>
    <n v="0"/>
  </r>
  <r>
    <s v="Discrete AI"/>
    <x v="6"/>
    <x v="4"/>
    <s v="Consumer Electronics"/>
    <s v="Video Game Consoles"/>
    <s v="Semiconductor Revenue M$"/>
    <x v="4"/>
    <n v="0"/>
  </r>
  <r>
    <s v="Discrete AI"/>
    <x v="6"/>
    <x v="4"/>
    <s v="Consumer Electronics"/>
    <s v="Video Game Consoles"/>
    <s v="Semiconductor Revenue M$"/>
    <x v="5"/>
    <n v="0"/>
  </r>
  <r>
    <s v="Discrete AI"/>
    <x v="6"/>
    <x v="4"/>
    <s v="Consumer Electronics"/>
    <s v="Video Game Consoles"/>
    <s v="Semiconductor Revenue M$"/>
    <x v="6"/>
    <n v="0"/>
  </r>
  <r>
    <s v="Discrete AI"/>
    <x v="6"/>
    <x v="4"/>
    <s v="Consumer Electronics"/>
    <s v="Video Game Handhelds"/>
    <s v="Semiconductor Revenue M$"/>
    <x v="0"/>
    <n v="0"/>
  </r>
  <r>
    <s v="Discrete AI"/>
    <x v="6"/>
    <x v="4"/>
    <s v="Consumer Electronics"/>
    <s v="Video Game Handhelds"/>
    <s v="Semiconductor Revenue M$"/>
    <x v="1"/>
    <n v="0"/>
  </r>
  <r>
    <s v="Discrete AI"/>
    <x v="6"/>
    <x v="4"/>
    <s v="Consumer Electronics"/>
    <s v="Video Game Handhelds"/>
    <s v="Semiconductor Revenue M$"/>
    <x v="2"/>
    <n v="0"/>
  </r>
  <r>
    <s v="Discrete AI"/>
    <x v="6"/>
    <x v="4"/>
    <s v="Consumer Electronics"/>
    <s v="Video Game Handhelds"/>
    <s v="Semiconductor Revenue M$"/>
    <x v="3"/>
    <n v="0"/>
  </r>
  <r>
    <s v="Discrete AI"/>
    <x v="6"/>
    <x v="4"/>
    <s v="Consumer Electronics"/>
    <s v="Video Game Handhelds"/>
    <s v="Semiconductor Revenue M$"/>
    <x v="4"/>
    <n v="0"/>
  </r>
  <r>
    <s v="Discrete AI"/>
    <x v="6"/>
    <x v="4"/>
    <s v="Consumer Electronics"/>
    <s v="Video Game Handhelds"/>
    <s v="Semiconductor Revenue M$"/>
    <x v="5"/>
    <n v="0"/>
  </r>
  <r>
    <s v="Discrete AI"/>
    <x v="6"/>
    <x v="4"/>
    <s v="Consumer Electronics"/>
    <s v="Video Game Handhelds"/>
    <s v="Semiconductor Revenue M$"/>
    <x v="6"/>
    <n v="0"/>
  </r>
  <r>
    <s v="Discrete AI"/>
    <x v="6"/>
    <x v="4"/>
    <s v="Consumer Electronics"/>
    <s v="Wristbands"/>
    <s v="Semiconductor Revenue M$"/>
    <x v="0"/>
    <n v="0"/>
  </r>
  <r>
    <s v="Discrete AI"/>
    <x v="6"/>
    <x v="4"/>
    <s v="Consumer Electronics"/>
    <s v="Wristbands"/>
    <s v="Semiconductor Revenue M$"/>
    <x v="1"/>
    <n v="0"/>
  </r>
  <r>
    <s v="Discrete AI"/>
    <x v="6"/>
    <x v="4"/>
    <s v="Consumer Electronics"/>
    <s v="Wristbands"/>
    <s v="Semiconductor Revenue M$"/>
    <x v="2"/>
    <n v="0"/>
  </r>
  <r>
    <s v="Discrete AI"/>
    <x v="6"/>
    <x v="4"/>
    <s v="Consumer Electronics"/>
    <s v="Wristbands"/>
    <s v="Semiconductor Revenue M$"/>
    <x v="3"/>
    <n v="0"/>
  </r>
  <r>
    <s v="Discrete AI"/>
    <x v="6"/>
    <x v="4"/>
    <s v="Consumer Electronics"/>
    <s v="Wristbands"/>
    <s v="Semiconductor Revenue M$"/>
    <x v="4"/>
    <n v="0"/>
  </r>
  <r>
    <s v="Discrete AI"/>
    <x v="6"/>
    <x v="4"/>
    <s v="Consumer Electronics"/>
    <s v="Wristbands"/>
    <s v="Semiconductor Revenue M$"/>
    <x v="5"/>
    <n v="0"/>
  </r>
  <r>
    <s v="Discrete AI"/>
    <x v="6"/>
    <x v="4"/>
    <s v="Consumer Electronics"/>
    <s v="Wristbands"/>
    <s v="Semiconductor Revenue M$"/>
    <x v="6"/>
    <n v="0"/>
  </r>
  <r>
    <s v="Discrete AI"/>
    <x v="6"/>
    <x v="4"/>
    <s v="Consumer Electronics"/>
    <s v="Head Mounted Display"/>
    <s v="Semiconductor Revenue M$"/>
    <x v="0"/>
    <n v="0"/>
  </r>
  <r>
    <s v="Discrete AI"/>
    <x v="6"/>
    <x v="4"/>
    <s v="Consumer Electronics"/>
    <s v="Head Mounted Display"/>
    <s v="Semiconductor Revenue M$"/>
    <x v="1"/>
    <n v="0"/>
  </r>
  <r>
    <s v="Discrete AI"/>
    <x v="6"/>
    <x v="4"/>
    <s v="Consumer Electronics"/>
    <s v="Head Mounted Display"/>
    <s v="Semiconductor Revenue M$"/>
    <x v="2"/>
    <n v="0"/>
  </r>
  <r>
    <s v="Discrete AI"/>
    <x v="6"/>
    <x v="4"/>
    <s v="Consumer Electronics"/>
    <s v="Head Mounted Display"/>
    <s v="Semiconductor Revenue M$"/>
    <x v="3"/>
    <n v="0"/>
  </r>
  <r>
    <s v="Discrete AI"/>
    <x v="6"/>
    <x v="4"/>
    <s v="Consumer Electronics"/>
    <s v="Head Mounted Display"/>
    <s v="Semiconductor Revenue M$"/>
    <x v="4"/>
    <n v="0"/>
  </r>
  <r>
    <s v="Discrete AI"/>
    <x v="6"/>
    <x v="4"/>
    <s v="Consumer Electronics"/>
    <s v="Head Mounted Display"/>
    <s v="Semiconductor Revenue M$"/>
    <x v="5"/>
    <n v="0"/>
  </r>
  <r>
    <s v="Discrete AI"/>
    <x v="6"/>
    <x v="4"/>
    <s v="Consumer Electronics"/>
    <s v="Head Mounted Display"/>
    <s v="Semiconductor Revenue M$"/>
    <x v="6"/>
    <n v="0"/>
  </r>
  <r>
    <s v="Discrete AI"/>
    <x v="6"/>
    <x v="4"/>
    <s v="Consumer Electronics"/>
    <s v="Smart Watches"/>
    <s v="Semiconductor Revenue M$"/>
    <x v="0"/>
    <n v="0"/>
  </r>
  <r>
    <s v="Discrete AI"/>
    <x v="6"/>
    <x v="4"/>
    <s v="Consumer Electronics"/>
    <s v="Smart Watches"/>
    <s v="Semiconductor Revenue M$"/>
    <x v="1"/>
    <n v="0"/>
  </r>
  <r>
    <s v="Discrete AI"/>
    <x v="6"/>
    <x v="4"/>
    <s v="Consumer Electronics"/>
    <s v="Smart Watches"/>
    <s v="Semiconductor Revenue M$"/>
    <x v="2"/>
    <n v="0"/>
  </r>
  <r>
    <s v="Discrete AI"/>
    <x v="6"/>
    <x v="4"/>
    <s v="Consumer Electronics"/>
    <s v="Smart Watches"/>
    <s v="Semiconductor Revenue M$"/>
    <x v="3"/>
    <n v="0"/>
  </r>
  <r>
    <s v="Discrete AI"/>
    <x v="6"/>
    <x v="4"/>
    <s v="Consumer Electronics"/>
    <s v="Smart Watches"/>
    <s v="Semiconductor Revenue M$"/>
    <x v="4"/>
    <n v="0"/>
  </r>
  <r>
    <s v="Discrete AI"/>
    <x v="6"/>
    <x v="4"/>
    <s v="Consumer Electronics"/>
    <s v="Smart Watches"/>
    <s v="Semiconductor Revenue M$"/>
    <x v="5"/>
    <n v="0"/>
  </r>
  <r>
    <s v="Discrete AI"/>
    <x v="6"/>
    <x v="4"/>
    <s v="Consumer Electronics"/>
    <s v="Smart Watches"/>
    <s v="Semiconductor Revenue M$"/>
    <x v="6"/>
    <n v="0"/>
  </r>
  <r>
    <s v="Discrete AI"/>
    <x v="6"/>
    <x v="4"/>
    <s v="Consumer Electronics"/>
    <s v="Sports Watches"/>
    <s v="Semiconductor Revenue M$"/>
    <x v="0"/>
    <n v="0"/>
  </r>
  <r>
    <s v="Discrete AI"/>
    <x v="6"/>
    <x v="4"/>
    <s v="Consumer Electronics"/>
    <s v="Sports Watches"/>
    <s v="Semiconductor Revenue M$"/>
    <x v="1"/>
    <n v="0"/>
  </r>
  <r>
    <s v="Discrete AI"/>
    <x v="6"/>
    <x v="4"/>
    <s v="Consumer Electronics"/>
    <s v="Sports Watches"/>
    <s v="Semiconductor Revenue M$"/>
    <x v="2"/>
    <n v="0"/>
  </r>
  <r>
    <s v="Discrete AI"/>
    <x v="6"/>
    <x v="4"/>
    <s v="Consumer Electronics"/>
    <s v="Sports Watches"/>
    <s v="Semiconductor Revenue M$"/>
    <x v="3"/>
    <n v="0"/>
  </r>
  <r>
    <s v="Discrete AI"/>
    <x v="6"/>
    <x v="4"/>
    <s v="Consumer Electronics"/>
    <s v="Sports Watches"/>
    <s v="Semiconductor Revenue M$"/>
    <x v="4"/>
    <n v="0"/>
  </r>
  <r>
    <s v="Discrete AI"/>
    <x v="6"/>
    <x v="4"/>
    <s v="Consumer Electronics"/>
    <s v="Sports Watches"/>
    <s v="Semiconductor Revenue M$"/>
    <x v="5"/>
    <n v="0"/>
  </r>
  <r>
    <s v="Discrete AI"/>
    <x v="6"/>
    <x v="4"/>
    <s v="Consumer Electronics"/>
    <s v="Sports Watches"/>
    <s v="Semiconductor Revenue M$"/>
    <x v="6"/>
    <n v="0"/>
  </r>
  <r>
    <s v="Discrete AI"/>
    <x v="6"/>
    <x v="4"/>
    <s v="Consumer Electronics"/>
    <s v="Other Consumer Electronics"/>
    <s v="Semiconductor Revenue M$"/>
    <x v="0"/>
    <n v="0"/>
  </r>
  <r>
    <s v="Discrete AI"/>
    <x v="6"/>
    <x v="4"/>
    <s v="Consumer Electronics"/>
    <s v="Other Consumer Electronics"/>
    <s v="Semiconductor Revenue M$"/>
    <x v="1"/>
    <n v="0"/>
  </r>
  <r>
    <s v="Discrete AI"/>
    <x v="6"/>
    <x v="4"/>
    <s v="Consumer Electronics"/>
    <s v="Other Consumer Electronics"/>
    <s v="Semiconductor Revenue M$"/>
    <x v="2"/>
    <n v="0"/>
  </r>
  <r>
    <s v="Discrete AI"/>
    <x v="6"/>
    <x v="4"/>
    <s v="Consumer Electronics"/>
    <s v="Other Consumer Electronics"/>
    <s v="Semiconductor Revenue M$"/>
    <x v="3"/>
    <n v="0"/>
  </r>
  <r>
    <s v="Discrete AI"/>
    <x v="6"/>
    <x v="4"/>
    <s v="Consumer Electronics"/>
    <s v="Other Consumer Electronics"/>
    <s v="Semiconductor Revenue M$"/>
    <x v="4"/>
    <n v="0"/>
  </r>
  <r>
    <s v="Discrete AI"/>
    <x v="6"/>
    <x v="4"/>
    <s v="Consumer Electronics"/>
    <s v="Other Consumer Electronics"/>
    <s v="Semiconductor Revenue M$"/>
    <x v="5"/>
    <n v="0"/>
  </r>
  <r>
    <s v="Discrete AI"/>
    <x v="6"/>
    <x v="4"/>
    <s v="Consumer Electronics"/>
    <s v="Other Consumer Electronics"/>
    <s v="Semiconductor Revenue M$"/>
    <x v="6"/>
    <n v="0"/>
  </r>
  <r>
    <s v="Discrete AI"/>
    <x v="6"/>
    <x v="3"/>
    <s v="Automotive Electronics"/>
    <s v="ADAS-Sensors and Connectivity"/>
    <s v="Semiconductor Revenue M$"/>
    <x v="0"/>
    <n v="0"/>
  </r>
  <r>
    <s v="Discrete AI"/>
    <x v="6"/>
    <x v="3"/>
    <s v="Automotive Electronics"/>
    <s v="ADAS-Sensors and Connectivity"/>
    <s v="Semiconductor Revenue M$"/>
    <x v="1"/>
    <n v="0"/>
  </r>
  <r>
    <s v="Discrete AI"/>
    <x v="6"/>
    <x v="3"/>
    <s v="Automotive Electronics"/>
    <s v="ADAS-Sensors and Connectivity"/>
    <s v="Semiconductor Revenue M$"/>
    <x v="2"/>
    <n v="0"/>
  </r>
  <r>
    <s v="Discrete AI"/>
    <x v="6"/>
    <x v="3"/>
    <s v="Automotive Electronics"/>
    <s v="ADAS-Sensors and Connectivity"/>
    <s v="Semiconductor Revenue M$"/>
    <x v="3"/>
    <n v="0"/>
  </r>
  <r>
    <s v="Discrete AI"/>
    <x v="6"/>
    <x v="3"/>
    <s v="Automotive Electronics"/>
    <s v="ADAS-Sensors and Connectivity"/>
    <s v="Semiconductor Revenue M$"/>
    <x v="4"/>
    <n v="0"/>
  </r>
  <r>
    <s v="Discrete AI"/>
    <x v="6"/>
    <x v="3"/>
    <s v="Automotive Electronics"/>
    <s v="ADAS-Sensors and Connectivity"/>
    <s v="Semiconductor Revenue M$"/>
    <x v="5"/>
    <n v="0"/>
  </r>
  <r>
    <s v="Discrete AI"/>
    <x v="6"/>
    <x v="3"/>
    <s v="Automotive Electronics"/>
    <s v="ADAS-Sensors and Connectivity"/>
    <s v="Semiconductor Revenue M$"/>
    <x v="6"/>
    <n v="0"/>
  </r>
  <r>
    <s v="Discrete AI"/>
    <x v="6"/>
    <x v="3"/>
    <s v="Automotive Electronics"/>
    <s v="Body"/>
    <s v="Semiconductor Revenue M$"/>
    <x v="0"/>
    <n v="0"/>
  </r>
  <r>
    <s v="Discrete AI"/>
    <x v="6"/>
    <x v="3"/>
    <s v="Automotive Electronics"/>
    <s v="Body"/>
    <s v="Semiconductor Revenue M$"/>
    <x v="1"/>
    <n v="0"/>
  </r>
  <r>
    <s v="Discrete AI"/>
    <x v="6"/>
    <x v="3"/>
    <s v="Automotive Electronics"/>
    <s v="Body"/>
    <s v="Semiconductor Revenue M$"/>
    <x v="2"/>
    <n v="0"/>
  </r>
  <r>
    <s v="Discrete AI"/>
    <x v="6"/>
    <x v="3"/>
    <s v="Automotive Electronics"/>
    <s v="Body"/>
    <s v="Semiconductor Revenue M$"/>
    <x v="3"/>
    <n v="0"/>
  </r>
  <r>
    <s v="Discrete AI"/>
    <x v="6"/>
    <x v="3"/>
    <s v="Automotive Electronics"/>
    <s v="Body"/>
    <s v="Semiconductor Revenue M$"/>
    <x v="4"/>
    <n v="0"/>
  </r>
  <r>
    <s v="Discrete AI"/>
    <x v="6"/>
    <x v="3"/>
    <s v="Automotive Electronics"/>
    <s v="Body"/>
    <s v="Semiconductor Revenue M$"/>
    <x v="5"/>
    <n v="0"/>
  </r>
  <r>
    <s v="Discrete AI"/>
    <x v="6"/>
    <x v="3"/>
    <s v="Automotive Electronics"/>
    <s v="Body"/>
    <s v="Semiconductor Revenue M$"/>
    <x v="6"/>
    <n v="0"/>
  </r>
  <r>
    <s v="Discrete AI"/>
    <x v="6"/>
    <x v="3"/>
    <s v="Automotive Electronics"/>
    <s v="Chassis"/>
    <s v="Semiconductor Revenue M$"/>
    <x v="0"/>
    <n v="0"/>
  </r>
  <r>
    <s v="Discrete AI"/>
    <x v="6"/>
    <x v="3"/>
    <s v="Automotive Electronics"/>
    <s v="Chassis"/>
    <s v="Semiconductor Revenue M$"/>
    <x v="1"/>
    <n v="0"/>
  </r>
  <r>
    <s v="Discrete AI"/>
    <x v="6"/>
    <x v="3"/>
    <s v="Automotive Electronics"/>
    <s v="Chassis"/>
    <s v="Semiconductor Revenue M$"/>
    <x v="2"/>
    <n v="0"/>
  </r>
  <r>
    <s v="Discrete AI"/>
    <x v="6"/>
    <x v="3"/>
    <s v="Automotive Electronics"/>
    <s v="Chassis"/>
    <s v="Semiconductor Revenue M$"/>
    <x v="3"/>
    <n v="0"/>
  </r>
  <r>
    <s v="Discrete AI"/>
    <x v="6"/>
    <x v="3"/>
    <s v="Automotive Electronics"/>
    <s v="Chassis"/>
    <s v="Semiconductor Revenue M$"/>
    <x v="4"/>
    <n v="0"/>
  </r>
  <r>
    <s v="Discrete AI"/>
    <x v="6"/>
    <x v="3"/>
    <s v="Automotive Electronics"/>
    <s v="Chassis"/>
    <s v="Semiconductor Revenue M$"/>
    <x v="5"/>
    <n v="0"/>
  </r>
  <r>
    <s v="Discrete AI"/>
    <x v="6"/>
    <x v="3"/>
    <s v="Automotive Electronics"/>
    <s v="Chassis"/>
    <s v="Semiconductor Revenue M$"/>
    <x v="6"/>
    <n v="0"/>
  </r>
  <r>
    <s v="Discrete AI"/>
    <x v="6"/>
    <x v="3"/>
    <s v="Automotive Electronics"/>
    <s v="EV/HEV"/>
    <s v="Semiconductor Revenue M$"/>
    <x v="0"/>
    <n v="0"/>
  </r>
  <r>
    <s v="Discrete AI"/>
    <x v="6"/>
    <x v="3"/>
    <s v="Automotive Electronics"/>
    <s v="EV/HEV"/>
    <s v="Semiconductor Revenue M$"/>
    <x v="1"/>
    <n v="0"/>
  </r>
  <r>
    <s v="Discrete AI"/>
    <x v="6"/>
    <x v="3"/>
    <s v="Automotive Electronics"/>
    <s v="EV/HEV"/>
    <s v="Semiconductor Revenue M$"/>
    <x v="2"/>
    <n v="0"/>
  </r>
  <r>
    <s v="Discrete AI"/>
    <x v="6"/>
    <x v="3"/>
    <s v="Automotive Electronics"/>
    <s v="EV/HEV"/>
    <s v="Semiconductor Revenue M$"/>
    <x v="3"/>
    <n v="0"/>
  </r>
  <r>
    <s v="Discrete AI"/>
    <x v="6"/>
    <x v="3"/>
    <s v="Automotive Electronics"/>
    <s v="EV/HEV"/>
    <s v="Semiconductor Revenue M$"/>
    <x v="4"/>
    <n v="0"/>
  </r>
  <r>
    <s v="Discrete AI"/>
    <x v="6"/>
    <x v="3"/>
    <s v="Automotive Electronics"/>
    <s v="EV/HEV"/>
    <s v="Semiconductor Revenue M$"/>
    <x v="5"/>
    <n v="0"/>
  </r>
  <r>
    <s v="Discrete AI"/>
    <x v="6"/>
    <x v="3"/>
    <s v="Automotive Electronics"/>
    <s v="EV/HEV"/>
    <s v="Semiconductor Revenue M$"/>
    <x v="6"/>
    <n v="0"/>
  </r>
  <r>
    <s v="Discrete AI"/>
    <x v="6"/>
    <x v="3"/>
    <s v="Automotive Electronics"/>
    <s v="Infotainment"/>
    <s v="Semiconductor Revenue M$"/>
    <x v="0"/>
    <n v="0"/>
  </r>
  <r>
    <s v="Discrete AI"/>
    <x v="6"/>
    <x v="3"/>
    <s v="Automotive Electronics"/>
    <s v="Infotainment"/>
    <s v="Semiconductor Revenue M$"/>
    <x v="1"/>
    <n v="0"/>
  </r>
  <r>
    <s v="Discrete AI"/>
    <x v="6"/>
    <x v="3"/>
    <s v="Automotive Electronics"/>
    <s v="Infotainment"/>
    <s v="Semiconductor Revenue M$"/>
    <x v="2"/>
    <n v="0"/>
  </r>
  <r>
    <s v="Discrete AI"/>
    <x v="6"/>
    <x v="3"/>
    <s v="Automotive Electronics"/>
    <s v="Infotainment"/>
    <s v="Semiconductor Revenue M$"/>
    <x v="3"/>
    <n v="0"/>
  </r>
  <r>
    <s v="Discrete AI"/>
    <x v="6"/>
    <x v="3"/>
    <s v="Automotive Electronics"/>
    <s v="Infotainment"/>
    <s v="Semiconductor Revenue M$"/>
    <x v="4"/>
    <n v="0"/>
  </r>
  <r>
    <s v="Discrete AI"/>
    <x v="6"/>
    <x v="3"/>
    <s v="Automotive Electronics"/>
    <s v="Infotainment"/>
    <s v="Semiconductor Revenue M$"/>
    <x v="5"/>
    <n v="0"/>
  </r>
  <r>
    <s v="Discrete AI"/>
    <x v="6"/>
    <x v="3"/>
    <s v="Automotive Electronics"/>
    <s v="Infotainment"/>
    <s v="Semiconductor Revenue M$"/>
    <x v="6"/>
    <n v="0"/>
  </r>
  <r>
    <s v="Discrete AI"/>
    <x v="6"/>
    <x v="3"/>
    <s v="Automotive Electronics"/>
    <s v="Instrument Cluster"/>
    <s v="Semiconductor Revenue M$"/>
    <x v="0"/>
    <n v="0"/>
  </r>
  <r>
    <s v="Discrete AI"/>
    <x v="6"/>
    <x v="3"/>
    <s v="Automotive Electronics"/>
    <s v="Instrument Cluster"/>
    <s v="Semiconductor Revenue M$"/>
    <x v="1"/>
    <n v="0"/>
  </r>
  <r>
    <s v="Discrete AI"/>
    <x v="6"/>
    <x v="3"/>
    <s v="Automotive Electronics"/>
    <s v="Instrument Cluster"/>
    <s v="Semiconductor Revenue M$"/>
    <x v="2"/>
    <n v="0"/>
  </r>
  <r>
    <s v="Discrete AI"/>
    <x v="6"/>
    <x v="3"/>
    <s v="Automotive Electronics"/>
    <s v="Instrument Cluster"/>
    <s v="Semiconductor Revenue M$"/>
    <x v="3"/>
    <n v="0"/>
  </r>
  <r>
    <s v="Discrete AI"/>
    <x v="6"/>
    <x v="3"/>
    <s v="Automotive Electronics"/>
    <s v="Instrument Cluster"/>
    <s v="Semiconductor Revenue M$"/>
    <x v="4"/>
    <n v="0"/>
  </r>
  <r>
    <s v="Discrete AI"/>
    <x v="6"/>
    <x v="3"/>
    <s v="Automotive Electronics"/>
    <s v="Instrument Cluster"/>
    <s v="Semiconductor Revenue M$"/>
    <x v="5"/>
    <n v="0"/>
  </r>
  <r>
    <s v="Discrete AI"/>
    <x v="6"/>
    <x v="3"/>
    <s v="Automotive Electronics"/>
    <s v="Instrument Cluster"/>
    <s v="Semiconductor Revenue M$"/>
    <x v="6"/>
    <n v="0"/>
  </r>
  <r>
    <s v="Discrete AI"/>
    <x v="6"/>
    <x v="3"/>
    <s v="Automotive Electronics"/>
    <s v="Powertrain"/>
    <s v="Semiconductor Revenue M$"/>
    <x v="0"/>
    <n v="0"/>
  </r>
  <r>
    <s v="Discrete AI"/>
    <x v="6"/>
    <x v="3"/>
    <s v="Automotive Electronics"/>
    <s v="Powertrain"/>
    <s v="Semiconductor Revenue M$"/>
    <x v="1"/>
    <n v="0"/>
  </r>
  <r>
    <s v="Discrete AI"/>
    <x v="6"/>
    <x v="3"/>
    <s v="Automotive Electronics"/>
    <s v="Powertrain"/>
    <s v="Semiconductor Revenue M$"/>
    <x v="2"/>
    <n v="0"/>
  </r>
  <r>
    <s v="Discrete AI"/>
    <x v="6"/>
    <x v="3"/>
    <s v="Automotive Electronics"/>
    <s v="Powertrain"/>
    <s v="Semiconductor Revenue M$"/>
    <x v="3"/>
    <n v="0"/>
  </r>
  <r>
    <s v="Discrete AI"/>
    <x v="6"/>
    <x v="3"/>
    <s v="Automotive Electronics"/>
    <s v="Powertrain"/>
    <s v="Semiconductor Revenue M$"/>
    <x v="4"/>
    <n v="0"/>
  </r>
  <r>
    <s v="Discrete AI"/>
    <x v="6"/>
    <x v="3"/>
    <s v="Automotive Electronics"/>
    <s v="Powertrain"/>
    <s v="Semiconductor Revenue M$"/>
    <x v="5"/>
    <n v="0"/>
  </r>
  <r>
    <s v="Discrete AI"/>
    <x v="6"/>
    <x v="3"/>
    <s v="Automotive Electronics"/>
    <s v="Powertrain"/>
    <s v="Semiconductor Revenue M$"/>
    <x v="6"/>
    <n v="0"/>
  </r>
  <r>
    <s v="Discrete AI"/>
    <x v="6"/>
    <x v="3"/>
    <s v="Automotive Electronics"/>
    <s v="Safety"/>
    <s v="Semiconductor Revenue M$"/>
    <x v="0"/>
    <n v="0"/>
  </r>
  <r>
    <s v="Discrete AI"/>
    <x v="6"/>
    <x v="3"/>
    <s v="Automotive Electronics"/>
    <s v="Safety"/>
    <s v="Semiconductor Revenue M$"/>
    <x v="1"/>
    <n v="0"/>
  </r>
  <r>
    <s v="Discrete AI"/>
    <x v="6"/>
    <x v="3"/>
    <s v="Automotive Electronics"/>
    <s v="Safety"/>
    <s v="Semiconductor Revenue M$"/>
    <x v="2"/>
    <n v="0"/>
  </r>
  <r>
    <s v="Discrete AI"/>
    <x v="6"/>
    <x v="3"/>
    <s v="Automotive Electronics"/>
    <s v="Safety"/>
    <s v="Semiconductor Revenue M$"/>
    <x v="3"/>
    <n v="0"/>
  </r>
  <r>
    <s v="Discrete AI"/>
    <x v="6"/>
    <x v="3"/>
    <s v="Automotive Electronics"/>
    <s v="Safety"/>
    <s v="Semiconductor Revenue M$"/>
    <x v="4"/>
    <n v="0"/>
  </r>
  <r>
    <s v="Discrete AI"/>
    <x v="6"/>
    <x v="3"/>
    <s v="Automotive Electronics"/>
    <s v="Safety"/>
    <s v="Semiconductor Revenue M$"/>
    <x v="5"/>
    <n v="0"/>
  </r>
  <r>
    <s v="Discrete AI"/>
    <x v="6"/>
    <x v="3"/>
    <s v="Automotive Electronics"/>
    <s v="Safety"/>
    <s v="Semiconductor Revenue M$"/>
    <x v="6"/>
    <n v="0"/>
  </r>
  <r>
    <s v="Discrete AI"/>
    <x v="6"/>
    <x v="3"/>
    <s v="Automotive Electronics"/>
    <s v="Aftermarket"/>
    <s v="Semiconductor Revenue M$"/>
    <x v="0"/>
    <n v="0"/>
  </r>
  <r>
    <s v="Discrete AI"/>
    <x v="6"/>
    <x v="3"/>
    <s v="Automotive Electronics"/>
    <s v="Aftermarket"/>
    <s v="Semiconductor Revenue M$"/>
    <x v="1"/>
    <n v="0"/>
  </r>
  <r>
    <s v="Discrete AI"/>
    <x v="6"/>
    <x v="3"/>
    <s v="Automotive Electronics"/>
    <s v="Aftermarket"/>
    <s v="Semiconductor Revenue M$"/>
    <x v="2"/>
    <n v="0"/>
  </r>
  <r>
    <s v="Discrete AI"/>
    <x v="6"/>
    <x v="3"/>
    <s v="Automotive Electronics"/>
    <s v="Aftermarket"/>
    <s v="Semiconductor Revenue M$"/>
    <x v="3"/>
    <n v="0"/>
  </r>
  <r>
    <s v="Discrete AI"/>
    <x v="6"/>
    <x v="3"/>
    <s v="Automotive Electronics"/>
    <s v="Aftermarket"/>
    <s v="Semiconductor Revenue M$"/>
    <x v="4"/>
    <n v="0"/>
  </r>
  <r>
    <s v="Discrete AI"/>
    <x v="6"/>
    <x v="3"/>
    <s v="Automotive Electronics"/>
    <s v="Aftermarket"/>
    <s v="Semiconductor Revenue M$"/>
    <x v="5"/>
    <n v="0"/>
  </r>
  <r>
    <s v="Discrete AI"/>
    <x v="6"/>
    <x v="3"/>
    <s v="Automotive Electronics"/>
    <s v="Aftermarket"/>
    <s v="Semiconductor Revenue M$"/>
    <x v="6"/>
    <n v="0"/>
  </r>
  <r>
    <s v="Discrete AI"/>
    <x v="6"/>
    <x v="5"/>
    <s v="Industrial Electronics"/>
    <s v="Commercial Amusement"/>
    <s v="Semiconductor Revenue M$"/>
    <x v="0"/>
    <n v="0"/>
  </r>
  <r>
    <s v="Discrete AI"/>
    <x v="6"/>
    <x v="5"/>
    <s v="Industrial Electronics"/>
    <s v="Commercial Amusement"/>
    <s v="Semiconductor Revenue M$"/>
    <x v="1"/>
    <n v="0"/>
  </r>
  <r>
    <s v="Discrete AI"/>
    <x v="6"/>
    <x v="5"/>
    <s v="Industrial Electronics"/>
    <s v="Commercial Amusement"/>
    <s v="Semiconductor Revenue M$"/>
    <x v="2"/>
    <n v="0"/>
  </r>
  <r>
    <s v="Discrete AI"/>
    <x v="6"/>
    <x v="5"/>
    <s v="Industrial Electronics"/>
    <s v="Commercial Amusement"/>
    <s v="Semiconductor Revenue M$"/>
    <x v="3"/>
    <n v="0"/>
  </r>
  <r>
    <s v="Discrete AI"/>
    <x v="6"/>
    <x v="5"/>
    <s v="Industrial Electronics"/>
    <s v="Commercial Amusement"/>
    <s v="Semiconductor Revenue M$"/>
    <x v="4"/>
    <n v="0"/>
  </r>
  <r>
    <s v="Discrete AI"/>
    <x v="6"/>
    <x v="5"/>
    <s v="Industrial Electronics"/>
    <s v="Commercial Amusement"/>
    <s v="Semiconductor Revenue M$"/>
    <x v="5"/>
    <n v="0"/>
  </r>
  <r>
    <s v="Discrete AI"/>
    <x v="6"/>
    <x v="5"/>
    <s v="Industrial Electronics"/>
    <s v="Commercial Amusement"/>
    <s v="Semiconductor Revenue M$"/>
    <x v="6"/>
    <n v="0"/>
  </r>
  <r>
    <s v="Discrete AI"/>
    <x v="6"/>
    <x v="5"/>
    <s v="Industrial Electronics"/>
    <s v="Automation"/>
    <s v="Semiconductor Revenue M$"/>
    <x v="0"/>
    <n v="0"/>
  </r>
  <r>
    <s v="Discrete AI"/>
    <x v="6"/>
    <x v="5"/>
    <s v="Industrial Electronics"/>
    <s v="Automation"/>
    <s v="Semiconductor Revenue M$"/>
    <x v="1"/>
    <n v="0"/>
  </r>
  <r>
    <s v="Discrete AI"/>
    <x v="6"/>
    <x v="5"/>
    <s v="Industrial Electronics"/>
    <s v="Automation"/>
    <s v="Semiconductor Revenue M$"/>
    <x v="2"/>
    <n v="0"/>
  </r>
  <r>
    <s v="Discrete AI"/>
    <x v="6"/>
    <x v="5"/>
    <s v="Industrial Electronics"/>
    <s v="Automation"/>
    <s v="Semiconductor Revenue M$"/>
    <x v="3"/>
    <n v="0"/>
  </r>
  <r>
    <s v="Discrete AI"/>
    <x v="6"/>
    <x v="5"/>
    <s v="Industrial Electronics"/>
    <s v="Automation"/>
    <s v="Semiconductor Revenue M$"/>
    <x v="4"/>
    <n v="0"/>
  </r>
  <r>
    <s v="Discrete AI"/>
    <x v="6"/>
    <x v="5"/>
    <s v="Industrial Electronics"/>
    <s v="Automation"/>
    <s v="Semiconductor Revenue M$"/>
    <x v="5"/>
    <n v="0"/>
  </r>
  <r>
    <s v="Discrete AI"/>
    <x v="6"/>
    <x v="5"/>
    <s v="Industrial Electronics"/>
    <s v="Automation"/>
    <s v="Semiconductor Revenue M$"/>
    <x v="6"/>
    <n v="0"/>
  </r>
  <r>
    <s v="Discrete AI"/>
    <x v="6"/>
    <x v="5"/>
    <s v="Industrial Electronics"/>
    <s v="Energy Management"/>
    <s v="Semiconductor Revenue M$"/>
    <x v="0"/>
    <n v="0"/>
  </r>
  <r>
    <s v="Discrete AI"/>
    <x v="6"/>
    <x v="5"/>
    <s v="Industrial Electronics"/>
    <s v="Energy Management"/>
    <s v="Semiconductor Revenue M$"/>
    <x v="1"/>
    <n v="0"/>
  </r>
  <r>
    <s v="Discrete AI"/>
    <x v="6"/>
    <x v="5"/>
    <s v="Industrial Electronics"/>
    <s v="Energy Management"/>
    <s v="Semiconductor Revenue M$"/>
    <x v="2"/>
    <n v="0"/>
  </r>
  <r>
    <s v="Discrete AI"/>
    <x v="6"/>
    <x v="5"/>
    <s v="Industrial Electronics"/>
    <s v="Energy Management"/>
    <s v="Semiconductor Revenue M$"/>
    <x v="3"/>
    <n v="0"/>
  </r>
  <r>
    <s v="Discrete AI"/>
    <x v="6"/>
    <x v="5"/>
    <s v="Industrial Electronics"/>
    <s v="Energy Management"/>
    <s v="Semiconductor Revenue M$"/>
    <x v="4"/>
    <n v="0"/>
  </r>
  <r>
    <s v="Discrete AI"/>
    <x v="6"/>
    <x v="5"/>
    <s v="Industrial Electronics"/>
    <s v="Energy Management"/>
    <s v="Semiconductor Revenue M$"/>
    <x v="5"/>
    <n v="0"/>
  </r>
  <r>
    <s v="Discrete AI"/>
    <x v="6"/>
    <x v="5"/>
    <s v="Industrial Electronics"/>
    <s v="Energy Management"/>
    <s v="Semiconductor Revenue M$"/>
    <x v="6"/>
    <n v="0"/>
  </r>
  <r>
    <s v="Discrete AI"/>
    <x v="6"/>
    <x v="5"/>
    <s v="Industrial Electronics"/>
    <s v="Solid-State Lighting"/>
    <s v="Semiconductor Revenue M$"/>
    <x v="0"/>
    <n v="0"/>
  </r>
  <r>
    <s v="Discrete AI"/>
    <x v="6"/>
    <x v="5"/>
    <s v="Industrial Electronics"/>
    <s v="Solid-State Lighting"/>
    <s v="Semiconductor Revenue M$"/>
    <x v="1"/>
    <n v="0"/>
  </r>
  <r>
    <s v="Discrete AI"/>
    <x v="6"/>
    <x v="5"/>
    <s v="Industrial Electronics"/>
    <s v="Solid-State Lighting"/>
    <s v="Semiconductor Revenue M$"/>
    <x v="2"/>
    <n v="0"/>
  </r>
  <r>
    <s v="Discrete AI"/>
    <x v="6"/>
    <x v="5"/>
    <s v="Industrial Electronics"/>
    <s v="Solid-State Lighting"/>
    <s v="Semiconductor Revenue M$"/>
    <x v="3"/>
    <n v="0"/>
  </r>
  <r>
    <s v="Discrete AI"/>
    <x v="6"/>
    <x v="5"/>
    <s v="Industrial Electronics"/>
    <s v="Solid-State Lighting"/>
    <s v="Semiconductor Revenue M$"/>
    <x v="4"/>
    <n v="0"/>
  </r>
  <r>
    <s v="Discrete AI"/>
    <x v="6"/>
    <x v="5"/>
    <s v="Industrial Electronics"/>
    <s v="Solid-State Lighting"/>
    <s v="Semiconductor Revenue M$"/>
    <x v="5"/>
    <n v="0"/>
  </r>
  <r>
    <s v="Discrete AI"/>
    <x v="6"/>
    <x v="5"/>
    <s v="Industrial Electronics"/>
    <s v="Solid-State Lighting"/>
    <s v="Semiconductor Revenue M$"/>
    <x v="6"/>
    <n v="0"/>
  </r>
  <r>
    <s v="Discrete AI"/>
    <x v="6"/>
    <x v="5"/>
    <s v="Industrial Electronics"/>
    <s v="Medical/Healthcare"/>
    <s v="Semiconductor Revenue M$"/>
    <x v="0"/>
    <n v="0"/>
  </r>
  <r>
    <s v="Discrete AI"/>
    <x v="6"/>
    <x v="5"/>
    <s v="Industrial Electronics"/>
    <s v="Medical/Healthcare"/>
    <s v="Semiconductor Revenue M$"/>
    <x v="1"/>
    <n v="0"/>
  </r>
  <r>
    <s v="Discrete AI"/>
    <x v="6"/>
    <x v="5"/>
    <s v="Industrial Electronics"/>
    <s v="Medical/Healthcare"/>
    <s v="Semiconductor Revenue M$"/>
    <x v="2"/>
    <n v="0"/>
  </r>
  <r>
    <s v="Discrete AI"/>
    <x v="6"/>
    <x v="5"/>
    <s v="Industrial Electronics"/>
    <s v="Medical/Healthcare"/>
    <s v="Semiconductor Revenue M$"/>
    <x v="3"/>
    <n v="0"/>
  </r>
  <r>
    <s v="Discrete AI"/>
    <x v="6"/>
    <x v="5"/>
    <s v="Industrial Electronics"/>
    <s v="Medical/Healthcare"/>
    <s v="Semiconductor Revenue M$"/>
    <x v="4"/>
    <n v="0"/>
  </r>
  <r>
    <s v="Discrete AI"/>
    <x v="6"/>
    <x v="5"/>
    <s v="Industrial Electronics"/>
    <s v="Medical/Healthcare"/>
    <s v="Semiconductor Revenue M$"/>
    <x v="5"/>
    <n v="0"/>
  </r>
  <r>
    <s v="Discrete AI"/>
    <x v="6"/>
    <x v="5"/>
    <s v="Industrial Electronics"/>
    <s v="Medical/Healthcare"/>
    <s v="Semiconductor Revenue M$"/>
    <x v="6"/>
    <n v="0"/>
  </r>
  <r>
    <s v="Discrete AI"/>
    <x v="6"/>
    <x v="5"/>
    <s v="Industrial Electronics"/>
    <s v="Test/Measurement"/>
    <s v="Semiconductor Revenue M$"/>
    <x v="0"/>
    <n v="0"/>
  </r>
  <r>
    <s v="Discrete AI"/>
    <x v="6"/>
    <x v="5"/>
    <s v="Industrial Electronics"/>
    <s v="Test/Measurement"/>
    <s v="Semiconductor Revenue M$"/>
    <x v="1"/>
    <n v="0"/>
  </r>
  <r>
    <s v="Discrete AI"/>
    <x v="6"/>
    <x v="5"/>
    <s v="Industrial Electronics"/>
    <s v="Test/Measurement"/>
    <s v="Semiconductor Revenue M$"/>
    <x v="2"/>
    <n v="0"/>
  </r>
  <r>
    <s v="Discrete AI"/>
    <x v="6"/>
    <x v="5"/>
    <s v="Industrial Electronics"/>
    <s v="Test/Measurement"/>
    <s v="Semiconductor Revenue M$"/>
    <x v="3"/>
    <n v="0"/>
  </r>
  <r>
    <s v="Discrete AI"/>
    <x v="6"/>
    <x v="5"/>
    <s v="Industrial Electronics"/>
    <s v="Test/Measurement"/>
    <s v="Semiconductor Revenue M$"/>
    <x v="4"/>
    <n v="0"/>
  </r>
  <r>
    <s v="Discrete AI"/>
    <x v="6"/>
    <x v="5"/>
    <s v="Industrial Electronics"/>
    <s v="Test/Measurement"/>
    <s v="Semiconductor Revenue M$"/>
    <x v="5"/>
    <n v="0"/>
  </r>
  <r>
    <s v="Discrete AI"/>
    <x v="6"/>
    <x v="5"/>
    <s v="Industrial Electronics"/>
    <s v="Test/Measurement"/>
    <s v="Semiconductor Revenue M$"/>
    <x v="6"/>
    <n v="0"/>
  </r>
  <r>
    <s v="Discrete AI"/>
    <x v="6"/>
    <x v="5"/>
    <s v="Industrial Electronics"/>
    <s v="Other Security"/>
    <s v="Semiconductor Revenue M$"/>
    <x v="0"/>
    <n v="0"/>
  </r>
  <r>
    <s v="Discrete AI"/>
    <x v="6"/>
    <x v="5"/>
    <s v="Industrial Electronics"/>
    <s v="Other Security"/>
    <s v="Semiconductor Revenue M$"/>
    <x v="1"/>
    <n v="0"/>
  </r>
  <r>
    <s v="Discrete AI"/>
    <x v="6"/>
    <x v="5"/>
    <s v="Industrial Electronics"/>
    <s v="Other Security"/>
    <s v="Semiconductor Revenue M$"/>
    <x v="2"/>
    <n v="0"/>
  </r>
  <r>
    <s v="Discrete AI"/>
    <x v="6"/>
    <x v="5"/>
    <s v="Industrial Electronics"/>
    <s v="Other Security"/>
    <s v="Semiconductor Revenue M$"/>
    <x v="3"/>
    <n v="0"/>
  </r>
  <r>
    <s v="Discrete AI"/>
    <x v="6"/>
    <x v="5"/>
    <s v="Industrial Electronics"/>
    <s v="Other Security"/>
    <s v="Semiconductor Revenue M$"/>
    <x v="4"/>
    <n v="0"/>
  </r>
  <r>
    <s v="Discrete AI"/>
    <x v="6"/>
    <x v="5"/>
    <s v="Industrial Electronics"/>
    <s v="Other Security"/>
    <s v="Semiconductor Revenue M$"/>
    <x v="5"/>
    <n v="0"/>
  </r>
  <r>
    <s v="Discrete AI"/>
    <x v="6"/>
    <x v="5"/>
    <s v="Industrial Electronics"/>
    <s v="Other Security"/>
    <s v="Semiconductor Revenue M$"/>
    <x v="6"/>
    <n v="0"/>
  </r>
  <r>
    <s v="Discrete AI"/>
    <x v="6"/>
    <x v="5"/>
    <s v="Industrial Electronics"/>
    <s v="Transportation"/>
    <s v="Semiconductor Revenue M$"/>
    <x v="0"/>
    <n v="0"/>
  </r>
  <r>
    <s v="Discrete AI"/>
    <x v="6"/>
    <x v="5"/>
    <s v="Industrial Electronics"/>
    <s v="Transportation"/>
    <s v="Semiconductor Revenue M$"/>
    <x v="1"/>
    <n v="0"/>
  </r>
  <r>
    <s v="Discrete AI"/>
    <x v="6"/>
    <x v="5"/>
    <s v="Industrial Electronics"/>
    <s v="Transportation"/>
    <s v="Semiconductor Revenue M$"/>
    <x v="2"/>
    <n v="0"/>
  </r>
  <r>
    <s v="Discrete AI"/>
    <x v="6"/>
    <x v="5"/>
    <s v="Industrial Electronics"/>
    <s v="Transportation"/>
    <s v="Semiconductor Revenue M$"/>
    <x v="3"/>
    <n v="0"/>
  </r>
  <r>
    <s v="Discrete AI"/>
    <x v="6"/>
    <x v="5"/>
    <s v="Industrial Electronics"/>
    <s v="Transportation"/>
    <s v="Semiconductor Revenue M$"/>
    <x v="4"/>
    <n v="0"/>
  </r>
  <r>
    <s v="Discrete AI"/>
    <x v="6"/>
    <x v="5"/>
    <s v="Industrial Electronics"/>
    <s v="Transportation"/>
    <s v="Semiconductor Revenue M$"/>
    <x v="5"/>
    <n v="0"/>
  </r>
  <r>
    <s v="Discrete AI"/>
    <x v="6"/>
    <x v="5"/>
    <s v="Industrial Electronics"/>
    <s v="Transportation"/>
    <s v="Semiconductor Revenue M$"/>
    <x v="6"/>
    <n v="0"/>
  </r>
  <r>
    <s v="Discrete AI"/>
    <x v="6"/>
    <x v="5"/>
    <s v="Industrial Electronics"/>
    <s v="Other Industrial Electronics"/>
    <s v="Semiconductor Revenue M$"/>
    <x v="0"/>
    <n v="0"/>
  </r>
  <r>
    <s v="Discrete AI"/>
    <x v="6"/>
    <x v="5"/>
    <s v="Industrial Electronics"/>
    <s v="Other Industrial Electronics"/>
    <s v="Semiconductor Revenue M$"/>
    <x v="1"/>
    <n v="0"/>
  </r>
  <r>
    <s v="Discrete AI"/>
    <x v="6"/>
    <x v="5"/>
    <s v="Industrial Electronics"/>
    <s v="Other Industrial Electronics"/>
    <s v="Semiconductor Revenue M$"/>
    <x v="2"/>
    <n v="0"/>
  </r>
  <r>
    <s v="Discrete AI"/>
    <x v="6"/>
    <x v="5"/>
    <s v="Industrial Electronics"/>
    <s v="Other Industrial Electronics"/>
    <s v="Semiconductor Revenue M$"/>
    <x v="3"/>
    <n v="0"/>
  </r>
  <r>
    <s v="Discrete AI"/>
    <x v="6"/>
    <x v="5"/>
    <s v="Industrial Electronics"/>
    <s v="Other Industrial Electronics"/>
    <s v="Semiconductor Revenue M$"/>
    <x v="4"/>
    <n v="0"/>
  </r>
  <r>
    <s v="Discrete AI"/>
    <x v="6"/>
    <x v="5"/>
    <s v="Industrial Electronics"/>
    <s v="Other Industrial Electronics"/>
    <s v="Semiconductor Revenue M$"/>
    <x v="5"/>
    <n v="0"/>
  </r>
  <r>
    <s v="Discrete AI"/>
    <x v="6"/>
    <x v="5"/>
    <s v="Industrial Electronics"/>
    <s v="Other Industrial Electronics"/>
    <s v="Semiconductor Revenue M$"/>
    <x v="6"/>
    <n v="0"/>
  </r>
  <r>
    <s v="Discrete AI"/>
    <x v="6"/>
    <x v="5"/>
    <s v="Industrial Electronics"/>
    <s v="Military/Civil Aerospace Electronics"/>
    <s v="Semiconductor Revenue M$"/>
    <x v="0"/>
    <n v="0"/>
  </r>
  <r>
    <s v="Discrete AI"/>
    <x v="6"/>
    <x v="5"/>
    <s v="Industrial Electronics"/>
    <s v="Military/Civil Aerospace Electronics"/>
    <s v="Semiconductor Revenue M$"/>
    <x v="1"/>
    <n v="0"/>
  </r>
  <r>
    <s v="Discrete AI"/>
    <x v="6"/>
    <x v="5"/>
    <s v="Industrial Electronics"/>
    <s v="Military/Civil Aerospace Electronics"/>
    <s v="Semiconductor Revenue M$"/>
    <x v="2"/>
    <n v="0"/>
  </r>
  <r>
    <s v="Discrete AI"/>
    <x v="6"/>
    <x v="5"/>
    <s v="Industrial Electronics"/>
    <s v="Military/Civil Aerospace Electronics"/>
    <s v="Semiconductor Revenue M$"/>
    <x v="3"/>
    <n v="0"/>
  </r>
  <r>
    <s v="Discrete AI"/>
    <x v="6"/>
    <x v="5"/>
    <s v="Industrial Electronics"/>
    <s v="Military/Civil Aerospace Electronics"/>
    <s v="Semiconductor Revenue M$"/>
    <x v="4"/>
    <n v="0"/>
  </r>
  <r>
    <s v="Discrete AI"/>
    <x v="6"/>
    <x v="5"/>
    <s v="Industrial Electronics"/>
    <s v="Military/Civil Aerospace Electronics"/>
    <s v="Semiconductor Revenue M$"/>
    <x v="5"/>
    <n v="0"/>
  </r>
  <r>
    <s v="Discrete AI"/>
    <x v="6"/>
    <x v="5"/>
    <s v="Industrial Electronics"/>
    <s v="Military/Civil Aerospace Electronics"/>
    <s v="Semiconductor Revenue M$"/>
    <x v="6"/>
    <n v="0"/>
  </r>
  <r>
    <s v="Discrete AI"/>
    <x v="7"/>
    <x v="0"/>
    <s v="Compute"/>
    <s v="External Monitor"/>
    <s v="Semiconductor Revenue M$"/>
    <x v="0"/>
    <n v="0"/>
  </r>
  <r>
    <s v="Discrete AI"/>
    <x v="7"/>
    <x v="0"/>
    <s v="Compute"/>
    <s v="External Monitor"/>
    <s v="Semiconductor Revenue M$"/>
    <x v="1"/>
    <n v="0"/>
  </r>
  <r>
    <s v="Discrete AI"/>
    <x v="7"/>
    <x v="0"/>
    <s v="Compute"/>
    <s v="External Monitor"/>
    <s v="Semiconductor Revenue M$"/>
    <x v="2"/>
    <n v="0"/>
  </r>
  <r>
    <s v="Discrete AI"/>
    <x v="7"/>
    <x v="0"/>
    <s v="Compute"/>
    <s v="External Monitor"/>
    <s v="Semiconductor Revenue M$"/>
    <x v="3"/>
    <n v="0"/>
  </r>
  <r>
    <s v="Discrete AI"/>
    <x v="7"/>
    <x v="0"/>
    <s v="Compute"/>
    <s v="External Monitor"/>
    <s v="Semiconductor Revenue M$"/>
    <x v="4"/>
    <n v="0"/>
  </r>
  <r>
    <s v="Discrete AI"/>
    <x v="7"/>
    <x v="0"/>
    <s v="Compute"/>
    <s v="External Monitor"/>
    <s v="Semiconductor Revenue M$"/>
    <x v="5"/>
    <n v="0"/>
  </r>
  <r>
    <s v="Discrete AI"/>
    <x v="7"/>
    <x v="0"/>
    <s v="Compute"/>
    <s v="External Monitor"/>
    <s v="Semiconductor Revenue M$"/>
    <x v="6"/>
    <n v="0"/>
  </r>
  <r>
    <s v="Discrete AI"/>
    <x v="7"/>
    <x v="0"/>
    <s v="PC"/>
    <s v="Graphics Cards"/>
    <s v="Semiconductor Revenue M$"/>
    <x v="0"/>
    <n v="0"/>
  </r>
  <r>
    <s v="Discrete AI"/>
    <x v="7"/>
    <x v="0"/>
    <s v="PC"/>
    <s v="Graphics Cards"/>
    <s v="Semiconductor Revenue M$"/>
    <x v="1"/>
    <n v="0"/>
  </r>
  <r>
    <s v="Discrete AI"/>
    <x v="7"/>
    <x v="0"/>
    <s v="PC"/>
    <s v="Graphics Cards"/>
    <s v="Semiconductor Revenue M$"/>
    <x v="2"/>
    <n v="0"/>
  </r>
  <r>
    <s v="Discrete AI"/>
    <x v="7"/>
    <x v="0"/>
    <s v="PC"/>
    <s v="Graphics Cards"/>
    <s v="Semiconductor Revenue M$"/>
    <x v="3"/>
    <n v="0"/>
  </r>
  <r>
    <s v="Discrete AI"/>
    <x v="7"/>
    <x v="0"/>
    <s v="PC"/>
    <s v="Graphics Cards"/>
    <s v="Semiconductor Revenue M$"/>
    <x v="4"/>
    <n v="0"/>
  </r>
  <r>
    <s v="Discrete AI"/>
    <x v="7"/>
    <x v="0"/>
    <s v="PC"/>
    <s v="Graphics Cards"/>
    <s v="Semiconductor Revenue M$"/>
    <x v="5"/>
    <n v="0"/>
  </r>
  <r>
    <s v="Discrete AI"/>
    <x v="7"/>
    <x v="0"/>
    <s v="PC"/>
    <s v="Graphics Cards"/>
    <s v="Semiconductor Revenue M$"/>
    <x v="6"/>
    <n v="0"/>
  </r>
  <r>
    <s v="Discrete AI"/>
    <x v="7"/>
    <x v="0"/>
    <s v="PC"/>
    <s v="Desk-Based PC"/>
    <s v="Semiconductor Revenue M$"/>
    <x v="0"/>
    <n v="0"/>
  </r>
  <r>
    <s v="Discrete AI"/>
    <x v="7"/>
    <x v="0"/>
    <s v="PC"/>
    <s v="Desk-Based PC"/>
    <s v="Semiconductor Revenue M$"/>
    <x v="1"/>
    <n v="0"/>
  </r>
  <r>
    <s v="Discrete AI"/>
    <x v="7"/>
    <x v="0"/>
    <s v="PC"/>
    <s v="Desk-Based PC"/>
    <s v="Semiconductor Revenue M$"/>
    <x v="2"/>
    <n v="0"/>
  </r>
  <r>
    <s v="Discrete AI"/>
    <x v="7"/>
    <x v="0"/>
    <s v="PC"/>
    <s v="Desk-Based PC"/>
    <s v="Semiconductor Revenue M$"/>
    <x v="3"/>
    <n v="0"/>
  </r>
  <r>
    <s v="Discrete AI"/>
    <x v="7"/>
    <x v="0"/>
    <s v="PC"/>
    <s v="Desk-Based PC"/>
    <s v="Semiconductor Revenue M$"/>
    <x v="4"/>
    <n v="0"/>
  </r>
  <r>
    <s v="Discrete AI"/>
    <x v="7"/>
    <x v="0"/>
    <s v="PC"/>
    <s v="Desk-Based PC"/>
    <s v="Semiconductor Revenue M$"/>
    <x v="5"/>
    <n v="0"/>
  </r>
  <r>
    <s v="Discrete AI"/>
    <x v="7"/>
    <x v="0"/>
    <s v="PC"/>
    <s v="Desk-Based PC"/>
    <s v="Semiconductor Revenue M$"/>
    <x v="6"/>
    <n v="0"/>
  </r>
  <r>
    <s v="Discrete AI"/>
    <x v="7"/>
    <x v="0"/>
    <s v="PC"/>
    <s v="Ultramobile Basic, Tablet"/>
    <s v="Semiconductor Revenue M$"/>
    <x v="0"/>
    <n v="0"/>
  </r>
  <r>
    <s v="Discrete AI"/>
    <x v="7"/>
    <x v="0"/>
    <s v="PC"/>
    <s v="Ultramobile Basic, Tablet"/>
    <s v="Semiconductor Revenue M$"/>
    <x v="1"/>
    <n v="0"/>
  </r>
  <r>
    <s v="Discrete AI"/>
    <x v="7"/>
    <x v="0"/>
    <s v="PC"/>
    <s v="Ultramobile Basic, Tablet"/>
    <s v="Semiconductor Revenue M$"/>
    <x v="2"/>
    <n v="0"/>
  </r>
  <r>
    <s v="Discrete AI"/>
    <x v="7"/>
    <x v="0"/>
    <s v="PC"/>
    <s v="Ultramobile Basic, Tablet"/>
    <s v="Semiconductor Revenue M$"/>
    <x v="3"/>
    <n v="0"/>
  </r>
  <r>
    <s v="Discrete AI"/>
    <x v="7"/>
    <x v="0"/>
    <s v="PC"/>
    <s v="Ultramobile Basic, Tablet"/>
    <s v="Semiconductor Revenue M$"/>
    <x v="4"/>
    <n v="0"/>
  </r>
  <r>
    <s v="Discrete AI"/>
    <x v="7"/>
    <x v="0"/>
    <s v="PC"/>
    <s v="Ultramobile Basic, Tablet"/>
    <s v="Semiconductor Revenue M$"/>
    <x v="5"/>
    <n v="0"/>
  </r>
  <r>
    <s v="Discrete AI"/>
    <x v="7"/>
    <x v="0"/>
    <s v="PC"/>
    <s v="Ultramobile Basic, Tablet"/>
    <s v="Semiconductor Revenue M$"/>
    <x v="6"/>
    <n v="0"/>
  </r>
  <r>
    <s v="Discrete AI"/>
    <x v="7"/>
    <x v="0"/>
    <s v="PC"/>
    <s v="Ultramobile Utility, Tablet"/>
    <s v="Semiconductor Revenue M$"/>
    <x v="0"/>
    <n v="0"/>
  </r>
  <r>
    <s v="Discrete AI"/>
    <x v="7"/>
    <x v="0"/>
    <s v="PC"/>
    <s v="Ultramobile Utility, Tablet"/>
    <s v="Semiconductor Revenue M$"/>
    <x v="1"/>
    <n v="0"/>
  </r>
  <r>
    <s v="Discrete AI"/>
    <x v="7"/>
    <x v="0"/>
    <s v="PC"/>
    <s v="Ultramobile Utility, Tablet"/>
    <s v="Semiconductor Revenue M$"/>
    <x v="2"/>
    <n v="0"/>
  </r>
  <r>
    <s v="Discrete AI"/>
    <x v="7"/>
    <x v="0"/>
    <s v="PC"/>
    <s v="Ultramobile Utility, Tablet"/>
    <s v="Semiconductor Revenue M$"/>
    <x v="3"/>
    <n v="0"/>
  </r>
  <r>
    <s v="Discrete AI"/>
    <x v="7"/>
    <x v="0"/>
    <s v="PC"/>
    <s v="Ultramobile Utility, Tablet"/>
    <s v="Semiconductor Revenue M$"/>
    <x v="4"/>
    <n v="0"/>
  </r>
  <r>
    <s v="Discrete AI"/>
    <x v="7"/>
    <x v="0"/>
    <s v="PC"/>
    <s v="Ultramobile Utility, Tablet"/>
    <s v="Semiconductor Revenue M$"/>
    <x v="5"/>
    <n v="0"/>
  </r>
  <r>
    <s v="Discrete AI"/>
    <x v="7"/>
    <x v="0"/>
    <s v="PC"/>
    <s v="Ultramobile Utility, Tablet"/>
    <s v="Semiconductor Revenue M$"/>
    <x v="6"/>
    <n v="0"/>
  </r>
  <r>
    <s v="Discrete AI"/>
    <x v="7"/>
    <x v="0"/>
    <s v="PC"/>
    <s v="Ultramobile Premium, Tablet"/>
    <s v="Semiconductor Revenue M$"/>
    <x v="0"/>
    <n v="0"/>
  </r>
  <r>
    <s v="Discrete AI"/>
    <x v="7"/>
    <x v="0"/>
    <s v="PC"/>
    <s v="Ultramobile Premium, Tablet"/>
    <s v="Semiconductor Revenue M$"/>
    <x v="1"/>
    <n v="0"/>
  </r>
  <r>
    <s v="Discrete AI"/>
    <x v="7"/>
    <x v="0"/>
    <s v="PC"/>
    <s v="Ultramobile Premium, Tablet"/>
    <s v="Semiconductor Revenue M$"/>
    <x v="2"/>
    <n v="0"/>
  </r>
  <r>
    <s v="Discrete AI"/>
    <x v="7"/>
    <x v="0"/>
    <s v="PC"/>
    <s v="Ultramobile Premium, Tablet"/>
    <s v="Semiconductor Revenue M$"/>
    <x v="3"/>
    <n v="0"/>
  </r>
  <r>
    <s v="Discrete AI"/>
    <x v="7"/>
    <x v="0"/>
    <s v="PC"/>
    <s v="Ultramobile Premium, Tablet"/>
    <s v="Semiconductor Revenue M$"/>
    <x v="4"/>
    <n v="0"/>
  </r>
  <r>
    <s v="Discrete AI"/>
    <x v="7"/>
    <x v="0"/>
    <s v="PC"/>
    <s v="Ultramobile Premium, Tablet"/>
    <s v="Semiconductor Revenue M$"/>
    <x v="5"/>
    <n v="0"/>
  </r>
  <r>
    <s v="Discrete AI"/>
    <x v="7"/>
    <x v="0"/>
    <s v="PC"/>
    <s v="Ultramobile Premium, Tablet"/>
    <s v="Semiconductor Revenue M$"/>
    <x v="6"/>
    <n v="0"/>
  </r>
  <r>
    <s v="Discrete AI"/>
    <x v="7"/>
    <x v="0"/>
    <s v="PC"/>
    <s v="Ultramobile Basic, Clamshell"/>
    <s v="Semiconductor Revenue M$"/>
    <x v="0"/>
    <n v="0"/>
  </r>
  <r>
    <s v="Discrete AI"/>
    <x v="7"/>
    <x v="0"/>
    <s v="PC"/>
    <s v="Ultramobile Basic, Clamshell"/>
    <s v="Semiconductor Revenue M$"/>
    <x v="1"/>
    <n v="0"/>
  </r>
  <r>
    <s v="Discrete AI"/>
    <x v="7"/>
    <x v="0"/>
    <s v="PC"/>
    <s v="Ultramobile Basic, Clamshell"/>
    <s v="Semiconductor Revenue M$"/>
    <x v="2"/>
    <n v="0"/>
  </r>
  <r>
    <s v="Discrete AI"/>
    <x v="7"/>
    <x v="0"/>
    <s v="PC"/>
    <s v="Ultramobile Basic, Clamshell"/>
    <s v="Semiconductor Revenue M$"/>
    <x v="3"/>
    <n v="0"/>
  </r>
  <r>
    <s v="Discrete AI"/>
    <x v="7"/>
    <x v="0"/>
    <s v="PC"/>
    <s v="Ultramobile Basic, Clamshell"/>
    <s v="Semiconductor Revenue M$"/>
    <x v="4"/>
    <n v="0"/>
  </r>
  <r>
    <s v="Discrete AI"/>
    <x v="7"/>
    <x v="0"/>
    <s v="PC"/>
    <s v="Ultramobile Basic, Clamshell"/>
    <s v="Semiconductor Revenue M$"/>
    <x v="5"/>
    <n v="0"/>
  </r>
  <r>
    <s v="Discrete AI"/>
    <x v="7"/>
    <x v="0"/>
    <s v="PC"/>
    <s v="Ultramobile Basic, Clamshell"/>
    <s v="Semiconductor Revenue M$"/>
    <x v="6"/>
    <n v="0"/>
  </r>
  <r>
    <s v="Discrete AI"/>
    <x v="7"/>
    <x v="0"/>
    <s v="PC"/>
    <s v="Ultramobile Premium, Clamshell"/>
    <s v="Semiconductor Revenue M$"/>
    <x v="0"/>
    <n v="0"/>
  </r>
  <r>
    <s v="Discrete AI"/>
    <x v="7"/>
    <x v="0"/>
    <s v="PC"/>
    <s v="Ultramobile Premium, Clamshell"/>
    <s v="Semiconductor Revenue M$"/>
    <x v="1"/>
    <n v="0"/>
  </r>
  <r>
    <s v="Discrete AI"/>
    <x v="7"/>
    <x v="0"/>
    <s v="PC"/>
    <s v="Ultramobile Premium, Clamshell"/>
    <s v="Semiconductor Revenue M$"/>
    <x v="2"/>
    <n v="0"/>
  </r>
  <r>
    <s v="Discrete AI"/>
    <x v="7"/>
    <x v="0"/>
    <s v="PC"/>
    <s v="Ultramobile Premium, Clamshell"/>
    <s v="Semiconductor Revenue M$"/>
    <x v="3"/>
    <n v="0"/>
  </r>
  <r>
    <s v="Discrete AI"/>
    <x v="7"/>
    <x v="0"/>
    <s v="PC"/>
    <s v="Ultramobile Premium, Clamshell"/>
    <s v="Semiconductor Revenue M$"/>
    <x v="4"/>
    <n v="0"/>
  </r>
  <r>
    <s v="Discrete AI"/>
    <x v="7"/>
    <x v="0"/>
    <s v="PC"/>
    <s v="Ultramobile Premium, Clamshell"/>
    <s v="Semiconductor Revenue M$"/>
    <x v="5"/>
    <n v="0"/>
  </r>
  <r>
    <s v="Discrete AI"/>
    <x v="7"/>
    <x v="0"/>
    <s v="PC"/>
    <s v="Ultramobile Premium, Clamshell"/>
    <s v="Semiconductor Revenue M$"/>
    <x v="6"/>
    <n v="0"/>
  </r>
  <r>
    <s v="Discrete AI"/>
    <x v="7"/>
    <x v="0"/>
    <s v="PC"/>
    <s v="Ultramobile Basic, Hybrid"/>
    <s v="Semiconductor Revenue M$"/>
    <x v="0"/>
    <n v="0"/>
  </r>
  <r>
    <s v="Discrete AI"/>
    <x v="7"/>
    <x v="0"/>
    <s v="PC"/>
    <s v="Ultramobile Basic, Hybrid"/>
    <s v="Semiconductor Revenue M$"/>
    <x v="1"/>
    <n v="0"/>
  </r>
  <r>
    <s v="Discrete AI"/>
    <x v="7"/>
    <x v="0"/>
    <s v="PC"/>
    <s v="Ultramobile Basic, Hybrid"/>
    <s v="Semiconductor Revenue M$"/>
    <x v="2"/>
    <n v="0"/>
  </r>
  <r>
    <s v="Discrete AI"/>
    <x v="7"/>
    <x v="0"/>
    <s v="PC"/>
    <s v="Ultramobile Basic, Hybrid"/>
    <s v="Semiconductor Revenue M$"/>
    <x v="3"/>
    <n v="0"/>
  </r>
  <r>
    <s v="Discrete AI"/>
    <x v="7"/>
    <x v="0"/>
    <s v="PC"/>
    <s v="Ultramobile Basic, Hybrid"/>
    <s v="Semiconductor Revenue M$"/>
    <x v="4"/>
    <n v="0"/>
  </r>
  <r>
    <s v="Discrete AI"/>
    <x v="7"/>
    <x v="0"/>
    <s v="PC"/>
    <s v="Ultramobile Basic, Hybrid"/>
    <s v="Semiconductor Revenue M$"/>
    <x v="5"/>
    <n v="0"/>
  </r>
  <r>
    <s v="Discrete AI"/>
    <x v="7"/>
    <x v="0"/>
    <s v="PC"/>
    <s v="Ultramobile Basic, Hybrid"/>
    <s v="Semiconductor Revenue M$"/>
    <x v="6"/>
    <n v="0"/>
  </r>
  <r>
    <s v="Discrete AI"/>
    <x v="7"/>
    <x v="0"/>
    <s v="PC"/>
    <s v="Ultramobile Premium, Hybrid"/>
    <s v="Semiconductor Revenue M$"/>
    <x v="0"/>
    <n v="0"/>
  </r>
  <r>
    <s v="Discrete AI"/>
    <x v="7"/>
    <x v="0"/>
    <s v="PC"/>
    <s v="Ultramobile Premium, Hybrid"/>
    <s v="Semiconductor Revenue M$"/>
    <x v="1"/>
    <n v="0"/>
  </r>
  <r>
    <s v="Discrete AI"/>
    <x v="7"/>
    <x v="0"/>
    <s v="PC"/>
    <s v="Ultramobile Premium, Hybrid"/>
    <s v="Semiconductor Revenue M$"/>
    <x v="2"/>
    <n v="0"/>
  </r>
  <r>
    <s v="Discrete AI"/>
    <x v="7"/>
    <x v="0"/>
    <s v="PC"/>
    <s v="Ultramobile Premium, Hybrid"/>
    <s v="Semiconductor Revenue M$"/>
    <x v="3"/>
    <n v="0"/>
  </r>
  <r>
    <s v="Discrete AI"/>
    <x v="7"/>
    <x v="0"/>
    <s v="PC"/>
    <s v="Ultramobile Premium, Hybrid"/>
    <s v="Semiconductor Revenue M$"/>
    <x v="4"/>
    <n v="0"/>
  </r>
  <r>
    <s v="Discrete AI"/>
    <x v="7"/>
    <x v="0"/>
    <s v="PC"/>
    <s v="Ultramobile Premium, Hybrid"/>
    <s v="Semiconductor Revenue M$"/>
    <x v="5"/>
    <n v="0"/>
  </r>
  <r>
    <s v="Discrete AI"/>
    <x v="7"/>
    <x v="0"/>
    <s v="PC"/>
    <s v="Ultramobile Premium, Hybrid"/>
    <s v="Semiconductor Revenue M$"/>
    <x v="6"/>
    <n v="0"/>
  </r>
  <r>
    <s v="Discrete AI"/>
    <x v="7"/>
    <x v="0"/>
    <s v="PC"/>
    <s v="Notebook"/>
    <s v="Semiconductor Revenue M$"/>
    <x v="0"/>
    <n v="0"/>
  </r>
  <r>
    <s v="Discrete AI"/>
    <x v="7"/>
    <x v="0"/>
    <s v="PC"/>
    <s v="Notebook"/>
    <s v="Semiconductor Revenue M$"/>
    <x v="1"/>
    <n v="0"/>
  </r>
  <r>
    <s v="Discrete AI"/>
    <x v="7"/>
    <x v="0"/>
    <s v="PC"/>
    <s v="Notebook"/>
    <s v="Semiconductor Revenue M$"/>
    <x v="2"/>
    <n v="0"/>
  </r>
  <r>
    <s v="Discrete AI"/>
    <x v="7"/>
    <x v="0"/>
    <s v="PC"/>
    <s v="Notebook"/>
    <s v="Semiconductor Revenue M$"/>
    <x v="3"/>
    <n v="0"/>
  </r>
  <r>
    <s v="Discrete AI"/>
    <x v="7"/>
    <x v="0"/>
    <s v="PC"/>
    <s v="Notebook"/>
    <s v="Semiconductor Revenue M$"/>
    <x v="4"/>
    <n v="0"/>
  </r>
  <r>
    <s v="Discrete AI"/>
    <x v="7"/>
    <x v="0"/>
    <s v="PC"/>
    <s v="Notebook"/>
    <s v="Semiconductor Revenue M$"/>
    <x v="5"/>
    <n v="0"/>
  </r>
  <r>
    <s v="Discrete AI"/>
    <x v="7"/>
    <x v="0"/>
    <s v="PC"/>
    <s v="Notebook"/>
    <s v="Semiconductor Revenue M$"/>
    <x v="6"/>
    <n v="0"/>
  </r>
  <r>
    <s v="Discrete AI"/>
    <x v="7"/>
    <x v="0"/>
    <s v="Compute"/>
    <s v="Printer/Copier"/>
    <s v="Semiconductor Revenue M$"/>
    <x v="0"/>
    <n v="0"/>
  </r>
  <r>
    <s v="Discrete AI"/>
    <x v="7"/>
    <x v="0"/>
    <s v="Compute"/>
    <s v="Printer/Copier"/>
    <s v="Semiconductor Revenue M$"/>
    <x v="1"/>
    <n v="0"/>
  </r>
  <r>
    <s v="Discrete AI"/>
    <x v="7"/>
    <x v="0"/>
    <s v="Compute"/>
    <s v="Printer/Copier"/>
    <s v="Semiconductor Revenue M$"/>
    <x v="2"/>
    <n v="0"/>
  </r>
  <r>
    <s v="Discrete AI"/>
    <x v="7"/>
    <x v="0"/>
    <s v="Compute"/>
    <s v="Printer/Copier"/>
    <s v="Semiconductor Revenue M$"/>
    <x v="3"/>
    <n v="0"/>
  </r>
  <r>
    <s v="Discrete AI"/>
    <x v="7"/>
    <x v="0"/>
    <s v="Compute"/>
    <s v="Printer/Copier"/>
    <s v="Semiconductor Revenue M$"/>
    <x v="4"/>
    <n v="0"/>
  </r>
  <r>
    <s v="Discrete AI"/>
    <x v="7"/>
    <x v="0"/>
    <s v="Compute"/>
    <s v="Printer/Copier"/>
    <s v="Semiconductor Revenue M$"/>
    <x v="5"/>
    <n v="0"/>
  </r>
  <r>
    <s v="Discrete AI"/>
    <x v="7"/>
    <x v="0"/>
    <s v="Compute"/>
    <s v="Printer/Copier"/>
    <s v="Semiconductor Revenue M$"/>
    <x v="6"/>
    <n v="0"/>
  </r>
  <r>
    <s v="Discrete AI"/>
    <x v="7"/>
    <x v="0"/>
    <s v="Compute"/>
    <s v="Flash Cards"/>
    <s v="Semiconductor Revenue M$"/>
    <x v="0"/>
    <n v="0"/>
  </r>
  <r>
    <s v="Discrete AI"/>
    <x v="7"/>
    <x v="0"/>
    <s v="Compute"/>
    <s v="Flash Cards"/>
    <s v="Semiconductor Revenue M$"/>
    <x v="1"/>
    <n v="0"/>
  </r>
  <r>
    <s v="Discrete AI"/>
    <x v="7"/>
    <x v="0"/>
    <s v="Compute"/>
    <s v="Flash Cards"/>
    <s v="Semiconductor Revenue M$"/>
    <x v="2"/>
    <n v="0"/>
  </r>
  <r>
    <s v="Discrete AI"/>
    <x v="7"/>
    <x v="0"/>
    <s v="Compute"/>
    <s v="Flash Cards"/>
    <s v="Semiconductor Revenue M$"/>
    <x v="3"/>
    <n v="0"/>
  </r>
  <r>
    <s v="Discrete AI"/>
    <x v="7"/>
    <x v="0"/>
    <s v="Compute"/>
    <s v="Flash Cards"/>
    <s v="Semiconductor Revenue M$"/>
    <x v="4"/>
    <n v="0"/>
  </r>
  <r>
    <s v="Discrete AI"/>
    <x v="7"/>
    <x v="0"/>
    <s v="Compute"/>
    <s v="Flash Cards"/>
    <s v="Semiconductor Revenue M$"/>
    <x v="5"/>
    <n v="0"/>
  </r>
  <r>
    <s v="Discrete AI"/>
    <x v="7"/>
    <x v="0"/>
    <s v="Compute"/>
    <s v="Flash Cards"/>
    <s v="Semiconductor Revenue M$"/>
    <x v="6"/>
    <n v="0"/>
  </r>
  <r>
    <s v="Discrete AI"/>
    <x v="7"/>
    <x v="0"/>
    <s v="Compute"/>
    <s v="USB Flash Drives"/>
    <s v="Semiconductor Revenue M$"/>
    <x v="0"/>
    <n v="0"/>
  </r>
  <r>
    <s v="Discrete AI"/>
    <x v="7"/>
    <x v="0"/>
    <s v="Compute"/>
    <s v="USB Flash Drives"/>
    <s v="Semiconductor Revenue M$"/>
    <x v="1"/>
    <n v="0"/>
  </r>
  <r>
    <s v="Discrete AI"/>
    <x v="7"/>
    <x v="0"/>
    <s v="Compute"/>
    <s v="USB Flash Drives"/>
    <s v="Semiconductor Revenue M$"/>
    <x v="2"/>
    <n v="0"/>
  </r>
  <r>
    <s v="Discrete AI"/>
    <x v="7"/>
    <x v="0"/>
    <s v="Compute"/>
    <s v="USB Flash Drives"/>
    <s v="Semiconductor Revenue M$"/>
    <x v="3"/>
    <n v="0"/>
  </r>
  <r>
    <s v="Discrete AI"/>
    <x v="7"/>
    <x v="0"/>
    <s v="Compute"/>
    <s v="USB Flash Drives"/>
    <s v="Semiconductor Revenue M$"/>
    <x v="4"/>
    <n v="0"/>
  </r>
  <r>
    <s v="Discrete AI"/>
    <x v="7"/>
    <x v="0"/>
    <s v="Compute"/>
    <s v="USB Flash Drives"/>
    <s v="Semiconductor Revenue M$"/>
    <x v="5"/>
    <n v="0"/>
  </r>
  <r>
    <s v="Discrete AI"/>
    <x v="7"/>
    <x v="0"/>
    <s v="Compute"/>
    <s v="USB Flash Drives"/>
    <s v="Semiconductor Revenue M$"/>
    <x v="6"/>
    <n v="0"/>
  </r>
  <r>
    <s v="Discrete AI"/>
    <x v="7"/>
    <x v="0"/>
    <s v="Servers"/>
    <s v="Server, 4 CPU sockets and over"/>
    <s v="Semiconductor Revenue M$"/>
    <x v="0"/>
    <n v="0"/>
  </r>
  <r>
    <s v="Discrete AI"/>
    <x v="7"/>
    <x v="0"/>
    <s v="Servers"/>
    <s v="Server, 4 CPU sockets and over"/>
    <s v="Semiconductor Revenue M$"/>
    <x v="1"/>
    <n v="0"/>
  </r>
  <r>
    <s v="Discrete AI"/>
    <x v="7"/>
    <x v="0"/>
    <s v="Servers"/>
    <s v="Server, 4 CPU sockets and over"/>
    <s v="Semiconductor Revenue M$"/>
    <x v="2"/>
    <n v="0"/>
  </r>
  <r>
    <s v="Discrete AI"/>
    <x v="7"/>
    <x v="0"/>
    <s v="Servers"/>
    <s v="Server, 4 CPU sockets and over"/>
    <s v="Semiconductor Revenue M$"/>
    <x v="3"/>
    <n v="0"/>
  </r>
  <r>
    <s v="Discrete AI"/>
    <x v="7"/>
    <x v="0"/>
    <s v="Servers"/>
    <s v="Server, 4 CPU sockets and over"/>
    <s v="Semiconductor Revenue M$"/>
    <x v="4"/>
    <n v="0"/>
  </r>
  <r>
    <s v="Discrete AI"/>
    <x v="7"/>
    <x v="0"/>
    <s v="Servers"/>
    <s v="Server, 4 CPU sockets and over"/>
    <s v="Semiconductor Revenue M$"/>
    <x v="5"/>
    <n v="0"/>
  </r>
  <r>
    <s v="Discrete AI"/>
    <x v="7"/>
    <x v="0"/>
    <s v="Servers"/>
    <s v="Server, 4 CPU sockets and over"/>
    <s v="Semiconductor Revenue M$"/>
    <x v="6"/>
    <n v="0"/>
  </r>
  <r>
    <s v="Discrete AI"/>
    <x v="7"/>
    <x v="0"/>
    <s v="Servers"/>
    <s v="Server, 2 CPU socket"/>
    <s v="Semiconductor Revenue M$"/>
    <x v="0"/>
    <n v="0"/>
  </r>
  <r>
    <s v="Discrete AI"/>
    <x v="7"/>
    <x v="0"/>
    <s v="Servers"/>
    <s v="Server, 2 CPU socket"/>
    <s v="Semiconductor Revenue M$"/>
    <x v="1"/>
    <n v="0"/>
  </r>
  <r>
    <s v="Discrete AI"/>
    <x v="7"/>
    <x v="0"/>
    <s v="Servers"/>
    <s v="Server, 2 CPU socket"/>
    <s v="Semiconductor Revenue M$"/>
    <x v="2"/>
    <n v="0"/>
  </r>
  <r>
    <s v="Discrete AI"/>
    <x v="7"/>
    <x v="0"/>
    <s v="Servers"/>
    <s v="Server, 2 CPU socket"/>
    <s v="Semiconductor Revenue M$"/>
    <x v="3"/>
    <n v="0"/>
  </r>
  <r>
    <s v="Discrete AI"/>
    <x v="7"/>
    <x v="0"/>
    <s v="Servers"/>
    <s v="Server, 2 CPU socket"/>
    <s v="Semiconductor Revenue M$"/>
    <x v="4"/>
    <n v="0"/>
  </r>
  <r>
    <s v="Discrete AI"/>
    <x v="7"/>
    <x v="0"/>
    <s v="Servers"/>
    <s v="Server, 2 CPU socket"/>
    <s v="Semiconductor Revenue M$"/>
    <x v="5"/>
    <n v="0"/>
  </r>
  <r>
    <s v="Discrete AI"/>
    <x v="7"/>
    <x v="0"/>
    <s v="Servers"/>
    <s v="Server, 2 CPU socket"/>
    <s v="Semiconductor Revenue M$"/>
    <x v="6"/>
    <n v="0"/>
  </r>
  <r>
    <s v="Discrete AI"/>
    <x v="7"/>
    <x v="0"/>
    <s v="Servers"/>
    <s v="Server, 1 CPU socket"/>
    <s v="Semiconductor Revenue M$"/>
    <x v="0"/>
    <n v="0"/>
  </r>
  <r>
    <s v="Discrete AI"/>
    <x v="7"/>
    <x v="0"/>
    <s v="Servers"/>
    <s v="Server, 1 CPU socket"/>
    <s v="Semiconductor Revenue M$"/>
    <x v="1"/>
    <n v="0"/>
  </r>
  <r>
    <s v="Discrete AI"/>
    <x v="7"/>
    <x v="0"/>
    <s v="Servers"/>
    <s v="Server, 1 CPU socket"/>
    <s v="Semiconductor Revenue M$"/>
    <x v="2"/>
    <n v="0"/>
  </r>
  <r>
    <s v="Discrete AI"/>
    <x v="7"/>
    <x v="0"/>
    <s v="Servers"/>
    <s v="Server, 1 CPU socket"/>
    <s v="Semiconductor Revenue M$"/>
    <x v="3"/>
    <n v="0"/>
  </r>
  <r>
    <s v="Discrete AI"/>
    <x v="7"/>
    <x v="0"/>
    <s v="Servers"/>
    <s v="Server, 1 CPU socket"/>
    <s v="Semiconductor Revenue M$"/>
    <x v="4"/>
    <n v="0"/>
  </r>
  <r>
    <s v="Discrete AI"/>
    <x v="7"/>
    <x v="0"/>
    <s v="Servers"/>
    <s v="Server, 1 CPU socket"/>
    <s v="Semiconductor Revenue M$"/>
    <x v="5"/>
    <n v="0"/>
  </r>
  <r>
    <s v="Discrete AI"/>
    <x v="7"/>
    <x v="0"/>
    <s v="Servers"/>
    <s v="Server, 1 CPU socket"/>
    <s v="Semiconductor Revenue M$"/>
    <x v="6"/>
    <n v="0"/>
  </r>
  <r>
    <s v="Discrete AI"/>
    <x v="7"/>
    <x v="0"/>
    <s v="Compute"/>
    <s v="Smart Cards"/>
    <s v="Semiconductor Revenue M$"/>
    <x v="0"/>
    <n v="0"/>
  </r>
  <r>
    <s v="Discrete AI"/>
    <x v="7"/>
    <x v="0"/>
    <s v="Compute"/>
    <s v="Smart Cards"/>
    <s v="Semiconductor Revenue M$"/>
    <x v="1"/>
    <n v="0"/>
  </r>
  <r>
    <s v="Discrete AI"/>
    <x v="7"/>
    <x v="0"/>
    <s v="Compute"/>
    <s v="Smart Cards"/>
    <s v="Semiconductor Revenue M$"/>
    <x v="2"/>
    <n v="0"/>
  </r>
  <r>
    <s v="Discrete AI"/>
    <x v="7"/>
    <x v="0"/>
    <s v="Compute"/>
    <s v="Smart Cards"/>
    <s v="Semiconductor Revenue M$"/>
    <x v="3"/>
    <n v="0"/>
  </r>
  <r>
    <s v="Discrete AI"/>
    <x v="7"/>
    <x v="0"/>
    <s v="Compute"/>
    <s v="Smart Cards"/>
    <s v="Semiconductor Revenue M$"/>
    <x v="4"/>
    <n v="0"/>
  </r>
  <r>
    <s v="Discrete AI"/>
    <x v="7"/>
    <x v="0"/>
    <s v="Compute"/>
    <s v="Smart Cards"/>
    <s v="Semiconductor Revenue M$"/>
    <x v="5"/>
    <n v="0"/>
  </r>
  <r>
    <s v="Discrete AI"/>
    <x v="7"/>
    <x v="0"/>
    <s v="Compute"/>
    <s v="Smart Cards"/>
    <s v="Semiconductor Revenue M$"/>
    <x v="6"/>
    <n v="0"/>
  </r>
  <r>
    <s v="Discrete AI"/>
    <x v="7"/>
    <x v="0"/>
    <s v="Servers"/>
    <s v="Accelerator Cards"/>
    <s v="Semiconductor Revenue M$"/>
    <x v="0"/>
    <n v="0"/>
  </r>
  <r>
    <s v="Discrete AI"/>
    <x v="7"/>
    <x v="0"/>
    <s v="Servers"/>
    <s v="Accelerator Cards"/>
    <s v="Semiconductor Revenue M$"/>
    <x v="1"/>
    <n v="0"/>
  </r>
  <r>
    <s v="Discrete AI"/>
    <x v="7"/>
    <x v="0"/>
    <s v="Servers"/>
    <s v="Accelerator Cards"/>
    <s v="Semiconductor Revenue M$"/>
    <x v="2"/>
    <n v="0"/>
  </r>
  <r>
    <s v="Discrete AI"/>
    <x v="7"/>
    <x v="0"/>
    <s v="Servers"/>
    <s v="Accelerator Cards"/>
    <s v="Semiconductor Revenue M$"/>
    <x v="3"/>
    <n v="0"/>
  </r>
  <r>
    <s v="Discrete AI"/>
    <x v="7"/>
    <x v="0"/>
    <s v="Servers"/>
    <s v="Accelerator Cards"/>
    <s v="Semiconductor Revenue M$"/>
    <x v="4"/>
    <n v="0"/>
  </r>
  <r>
    <s v="Discrete AI"/>
    <x v="7"/>
    <x v="0"/>
    <s v="Servers"/>
    <s v="Accelerator Cards"/>
    <s v="Semiconductor Revenue M$"/>
    <x v="5"/>
    <n v="0"/>
  </r>
  <r>
    <s v="Discrete AI"/>
    <x v="7"/>
    <x v="0"/>
    <s v="Servers"/>
    <s v="Accelerator Cards"/>
    <s v="Semiconductor Revenue M$"/>
    <x v="6"/>
    <n v="0"/>
  </r>
  <r>
    <s v="Discrete AI"/>
    <x v="7"/>
    <x v="1"/>
    <s v="Storage"/>
    <s v="Solid-State ECB"/>
    <s v="Semiconductor Revenue M$"/>
    <x v="0"/>
    <n v="0"/>
  </r>
  <r>
    <s v="Discrete AI"/>
    <x v="7"/>
    <x v="1"/>
    <s v="Storage"/>
    <s v="Solid-State ECB"/>
    <s v="Semiconductor Revenue M$"/>
    <x v="1"/>
    <n v="0"/>
  </r>
  <r>
    <s v="Discrete AI"/>
    <x v="7"/>
    <x v="1"/>
    <s v="Storage"/>
    <s v="Solid-State ECB"/>
    <s v="Semiconductor Revenue M$"/>
    <x v="2"/>
    <n v="0"/>
  </r>
  <r>
    <s v="Discrete AI"/>
    <x v="7"/>
    <x v="1"/>
    <s v="Storage"/>
    <s v="Solid-State ECB"/>
    <s v="Semiconductor Revenue M$"/>
    <x v="3"/>
    <n v="0"/>
  </r>
  <r>
    <s v="Discrete AI"/>
    <x v="7"/>
    <x v="1"/>
    <s v="Storage"/>
    <s v="Solid-State ECB"/>
    <s v="Semiconductor Revenue M$"/>
    <x v="4"/>
    <n v="0"/>
  </r>
  <r>
    <s v="Discrete AI"/>
    <x v="7"/>
    <x v="1"/>
    <s v="Storage"/>
    <s v="Solid-State ECB"/>
    <s v="Semiconductor Revenue M$"/>
    <x v="5"/>
    <n v="0"/>
  </r>
  <r>
    <s v="Discrete AI"/>
    <x v="7"/>
    <x v="1"/>
    <s v="Storage"/>
    <s v="Solid-State ECB"/>
    <s v="Semiconductor Revenue M$"/>
    <x v="6"/>
    <n v="0"/>
  </r>
  <r>
    <s v="Discrete AI"/>
    <x v="7"/>
    <x v="1"/>
    <s v="Storage"/>
    <s v="Other ECB (HDD/Hybrid)"/>
    <s v="Semiconductor Revenue M$"/>
    <x v="0"/>
    <n v="0"/>
  </r>
  <r>
    <s v="Discrete AI"/>
    <x v="7"/>
    <x v="1"/>
    <s v="Storage"/>
    <s v="Other ECB (HDD/Hybrid)"/>
    <s v="Semiconductor Revenue M$"/>
    <x v="1"/>
    <n v="0"/>
  </r>
  <r>
    <s v="Discrete AI"/>
    <x v="7"/>
    <x v="1"/>
    <s v="Storage"/>
    <s v="Other ECB (HDD/Hybrid)"/>
    <s v="Semiconductor Revenue M$"/>
    <x v="2"/>
    <n v="0"/>
  </r>
  <r>
    <s v="Discrete AI"/>
    <x v="7"/>
    <x v="1"/>
    <s v="Storage"/>
    <s v="Other ECB (HDD/Hybrid)"/>
    <s v="Semiconductor Revenue M$"/>
    <x v="3"/>
    <n v="0"/>
  </r>
  <r>
    <s v="Discrete AI"/>
    <x v="7"/>
    <x v="1"/>
    <s v="Storage"/>
    <s v="Other ECB (HDD/Hybrid)"/>
    <s v="Semiconductor Revenue M$"/>
    <x v="4"/>
    <n v="0"/>
  </r>
  <r>
    <s v="Discrete AI"/>
    <x v="7"/>
    <x v="1"/>
    <s v="Storage"/>
    <s v="Other ECB (HDD/Hybrid)"/>
    <s v="Semiconductor Revenue M$"/>
    <x v="5"/>
    <n v="0"/>
  </r>
  <r>
    <s v="Discrete AI"/>
    <x v="7"/>
    <x v="1"/>
    <s v="Storage"/>
    <s v="Other ECB (HDD/Hybrid)"/>
    <s v="Semiconductor Revenue M$"/>
    <x v="6"/>
    <n v="0"/>
  </r>
  <r>
    <s v="Discrete AI"/>
    <x v="7"/>
    <x v="1"/>
    <s v="Storage"/>
    <s v="Storage Network Infrastructure"/>
    <s v="Semiconductor Revenue M$"/>
    <x v="0"/>
    <n v="0"/>
  </r>
  <r>
    <s v="Discrete AI"/>
    <x v="7"/>
    <x v="1"/>
    <s v="Storage"/>
    <s v="Storage Network Infrastructure"/>
    <s v="Semiconductor Revenue M$"/>
    <x v="1"/>
    <n v="0"/>
  </r>
  <r>
    <s v="Discrete AI"/>
    <x v="7"/>
    <x v="1"/>
    <s v="Storage"/>
    <s v="Storage Network Infrastructure"/>
    <s v="Semiconductor Revenue M$"/>
    <x v="2"/>
    <n v="0"/>
  </r>
  <r>
    <s v="Discrete AI"/>
    <x v="7"/>
    <x v="1"/>
    <s v="Storage"/>
    <s v="Storage Network Infrastructure"/>
    <s v="Semiconductor Revenue M$"/>
    <x v="3"/>
    <n v="0"/>
  </r>
  <r>
    <s v="Discrete AI"/>
    <x v="7"/>
    <x v="1"/>
    <s v="Storage"/>
    <s v="Storage Network Infrastructure"/>
    <s v="Semiconductor Revenue M$"/>
    <x v="4"/>
    <n v="0"/>
  </r>
  <r>
    <s v="Discrete AI"/>
    <x v="7"/>
    <x v="1"/>
    <s v="Storage"/>
    <s v="Storage Network Infrastructure"/>
    <s v="Semiconductor Revenue M$"/>
    <x v="5"/>
    <n v="0"/>
  </r>
  <r>
    <s v="Discrete AI"/>
    <x v="7"/>
    <x v="1"/>
    <s v="Storage"/>
    <s v="Storage Network Infrastructure"/>
    <s v="Semiconductor Revenue M$"/>
    <x v="6"/>
    <n v="0"/>
  </r>
  <r>
    <s v="Discrete AI"/>
    <x v="7"/>
    <x v="1"/>
    <s v="Storage"/>
    <s v="Hard Disk Drive"/>
    <s v="Semiconductor Revenue M$"/>
    <x v="0"/>
    <n v="0"/>
  </r>
  <r>
    <s v="Discrete AI"/>
    <x v="7"/>
    <x v="1"/>
    <s v="Storage"/>
    <s v="Hard Disk Drive"/>
    <s v="Semiconductor Revenue M$"/>
    <x v="1"/>
    <n v="0"/>
  </r>
  <r>
    <s v="Discrete AI"/>
    <x v="7"/>
    <x v="1"/>
    <s v="Storage"/>
    <s v="Hard Disk Drive"/>
    <s v="Semiconductor Revenue M$"/>
    <x v="2"/>
    <n v="0"/>
  </r>
  <r>
    <s v="Discrete AI"/>
    <x v="7"/>
    <x v="1"/>
    <s v="Storage"/>
    <s v="Hard Disk Drive"/>
    <s v="Semiconductor Revenue M$"/>
    <x v="3"/>
    <n v="0"/>
  </r>
  <r>
    <s v="Discrete AI"/>
    <x v="7"/>
    <x v="1"/>
    <s v="Storage"/>
    <s v="Hard Disk Drive"/>
    <s v="Semiconductor Revenue M$"/>
    <x v="4"/>
    <n v="0"/>
  </r>
  <r>
    <s v="Discrete AI"/>
    <x v="7"/>
    <x v="1"/>
    <s v="Storage"/>
    <s v="Hard Disk Drive"/>
    <s v="Semiconductor Revenue M$"/>
    <x v="5"/>
    <n v="0"/>
  </r>
  <r>
    <s v="Discrete AI"/>
    <x v="7"/>
    <x v="1"/>
    <s v="Storage"/>
    <s v="Hard Disk Drive"/>
    <s v="Semiconductor Revenue M$"/>
    <x v="6"/>
    <n v="0"/>
  </r>
  <r>
    <s v="Discrete AI"/>
    <x v="7"/>
    <x v="1"/>
    <s v="Storage"/>
    <s v="Solid-State Drives"/>
    <s v="Semiconductor Revenue M$"/>
    <x v="0"/>
    <n v="0"/>
  </r>
  <r>
    <s v="Discrete AI"/>
    <x v="7"/>
    <x v="1"/>
    <s v="Storage"/>
    <s v="Solid-State Drives"/>
    <s v="Semiconductor Revenue M$"/>
    <x v="1"/>
    <n v="0"/>
  </r>
  <r>
    <s v="Discrete AI"/>
    <x v="7"/>
    <x v="1"/>
    <s v="Storage"/>
    <s v="Solid-State Drives"/>
    <s v="Semiconductor Revenue M$"/>
    <x v="2"/>
    <n v="0"/>
  </r>
  <r>
    <s v="Discrete AI"/>
    <x v="7"/>
    <x v="1"/>
    <s v="Storage"/>
    <s v="Solid-State Drives"/>
    <s v="Semiconductor Revenue M$"/>
    <x v="3"/>
    <n v="0"/>
  </r>
  <r>
    <s v="Discrete AI"/>
    <x v="7"/>
    <x v="1"/>
    <s v="Storage"/>
    <s v="Solid-State Drives"/>
    <s v="Semiconductor Revenue M$"/>
    <x v="4"/>
    <n v="0"/>
  </r>
  <r>
    <s v="Discrete AI"/>
    <x v="7"/>
    <x v="1"/>
    <s v="Storage"/>
    <s v="Solid-State Drives"/>
    <s v="Semiconductor Revenue M$"/>
    <x v="5"/>
    <n v="0"/>
  </r>
  <r>
    <s v="Discrete AI"/>
    <x v="7"/>
    <x v="1"/>
    <s v="Storage"/>
    <s v="Solid-State Drives"/>
    <s v="Semiconductor Revenue M$"/>
    <x v="6"/>
    <n v="0"/>
  </r>
  <r>
    <s v="Discrete AI"/>
    <x v="7"/>
    <x v="1"/>
    <s v="Storage"/>
    <s v="Other Storage Media"/>
    <s v="Semiconductor Revenue M$"/>
    <x v="0"/>
    <n v="0"/>
  </r>
  <r>
    <s v="Discrete AI"/>
    <x v="7"/>
    <x v="1"/>
    <s v="Storage"/>
    <s v="Other Storage Media"/>
    <s v="Semiconductor Revenue M$"/>
    <x v="1"/>
    <n v="0"/>
  </r>
  <r>
    <s v="Discrete AI"/>
    <x v="7"/>
    <x v="1"/>
    <s v="Storage"/>
    <s v="Other Storage Media"/>
    <s v="Semiconductor Revenue M$"/>
    <x v="2"/>
    <n v="0"/>
  </r>
  <r>
    <s v="Discrete AI"/>
    <x v="7"/>
    <x v="1"/>
    <s v="Storage"/>
    <s v="Other Storage Media"/>
    <s v="Semiconductor Revenue M$"/>
    <x v="3"/>
    <n v="0"/>
  </r>
  <r>
    <s v="Discrete AI"/>
    <x v="7"/>
    <x v="1"/>
    <s v="Storage"/>
    <s v="Other Storage Media"/>
    <s v="Semiconductor Revenue M$"/>
    <x v="4"/>
    <n v="0"/>
  </r>
  <r>
    <s v="Discrete AI"/>
    <x v="7"/>
    <x v="1"/>
    <s v="Storage"/>
    <s v="Other Storage Media"/>
    <s v="Semiconductor Revenue M$"/>
    <x v="5"/>
    <n v="0"/>
  </r>
  <r>
    <s v="Discrete AI"/>
    <x v="7"/>
    <x v="1"/>
    <s v="Storage"/>
    <s v="Other Storage Media"/>
    <s v="Semiconductor Revenue M$"/>
    <x v="6"/>
    <n v="0"/>
  </r>
  <r>
    <s v="Discrete AI"/>
    <x v="7"/>
    <x v="1"/>
    <s v="Storage"/>
    <s v="Other Storage Electronics"/>
    <s v="Semiconductor Revenue M$"/>
    <x v="0"/>
    <n v="0"/>
  </r>
  <r>
    <s v="Discrete AI"/>
    <x v="7"/>
    <x v="1"/>
    <s v="Storage"/>
    <s v="Other Storage Electronics"/>
    <s v="Semiconductor Revenue M$"/>
    <x v="1"/>
    <n v="0"/>
  </r>
  <r>
    <s v="Discrete AI"/>
    <x v="7"/>
    <x v="1"/>
    <s v="Storage"/>
    <s v="Other Storage Electronics"/>
    <s v="Semiconductor Revenue M$"/>
    <x v="2"/>
    <n v="0"/>
  </r>
  <r>
    <s v="Discrete AI"/>
    <x v="7"/>
    <x v="1"/>
    <s v="Storage"/>
    <s v="Other Storage Electronics"/>
    <s v="Semiconductor Revenue M$"/>
    <x v="3"/>
    <n v="0"/>
  </r>
  <r>
    <s v="Discrete AI"/>
    <x v="7"/>
    <x v="1"/>
    <s v="Storage"/>
    <s v="Other Storage Electronics"/>
    <s v="Semiconductor Revenue M$"/>
    <x v="4"/>
    <n v="0"/>
  </r>
  <r>
    <s v="Discrete AI"/>
    <x v="7"/>
    <x v="1"/>
    <s v="Storage"/>
    <s v="Other Storage Electronics"/>
    <s v="Semiconductor Revenue M$"/>
    <x v="5"/>
    <n v="0"/>
  </r>
  <r>
    <s v="Discrete AI"/>
    <x v="7"/>
    <x v="1"/>
    <s v="Storage"/>
    <s v="Other Storage Electronics"/>
    <s v="Semiconductor Revenue M$"/>
    <x v="6"/>
    <n v="0"/>
  </r>
  <r>
    <s v="Discrete AI"/>
    <x v="7"/>
    <x v="2"/>
    <s v="Wireless Communications Electronics"/>
    <s v="Utility Traditional Phone"/>
    <s v="Semiconductor Revenue M$"/>
    <x v="0"/>
    <n v="0"/>
  </r>
  <r>
    <s v="Discrete AI"/>
    <x v="7"/>
    <x v="2"/>
    <s v="Wireless Communications Electronics"/>
    <s v="Utility Traditional Phone"/>
    <s v="Semiconductor Revenue M$"/>
    <x v="1"/>
    <n v="0"/>
  </r>
  <r>
    <s v="Discrete AI"/>
    <x v="7"/>
    <x v="2"/>
    <s v="Wireless Communications Electronics"/>
    <s v="Utility Traditional Phone"/>
    <s v="Semiconductor Revenue M$"/>
    <x v="2"/>
    <n v="0"/>
  </r>
  <r>
    <s v="Discrete AI"/>
    <x v="7"/>
    <x v="2"/>
    <s v="Wireless Communications Electronics"/>
    <s v="Utility Traditional Phone"/>
    <s v="Semiconductor Revenue M$"/>
    <x v="3"/>
    <n v="0"/>
  </r>
  <r>
    <s v="Discrete AI"/>
    <x v="7"/>
    <x v="2"/>
    <s v="Wireless Communications Electronics"/>
    <s v="Utility Traditional Phone"/>
    <s v="Semiconductor Revenue M$"/>
    <x v="4"/>
    <n v="0"/>
  </r>
  <r>
    <s v="Discrete AI"/>
    <x v="7"/>
    <x v="2"/>
    <s v="Wireless Communications Electronics"/>
    <s v="Utility Traditional Phone"/>
    <s v="Semiconductor Revenue M$"/>
    <x v="5"/>
    <n v="0"/>
  </r>
  <r>
    <s v="Discrete AI"/>
    <x v="7"/>
    <x v="2"/>
    <s v="Wireless Communications Electronics"/>
    <s v="Utility Traditional Phone"/>
    <s v="Semiconductor Revenue M$"/>
    <x v="6"/>
    <n v="0"/>
  </r>
  <r>
    <s v="Discrete AI"/>
    <x v="7"/>
    <x v="2"/>
    <s v="Wireless Communications Electronics"/>
    <s v="Basic Smartphone"/>
    <s v="Semiconductor Revenue M$"/>
    <x v="0"/>
    <n v="0"/>
  </r>
  <r>
    <s v="Discrete AI"/>
    <x v="7"/>
    <x v="2"/>
    <s v="Wireless Communications Electronics"/>
    <s v="Basic Smartphone"/>
    <s v="Semiconductor Revenue M$"/>
    <x v="1"/>
    <n v="0"/>
  </r>
  <r>
    <s v="Discrete AI"/>
    <x v="7"/>
    <x v="2"/>
    <s v="Wireless Communications Electronics"/>
    <s v="Basic Smartphone"/>
    <s v="Semiconductor Revenue M$"/>
    <x v="2"/>
    <n v="0"/>
  </r>
  <r>
    <s v="Discrete AI"/>
    <x v="7"/>
    <x v="2"/>
    <s v="Wireless Communications Electronics"/>
    <s v="Basic Smartphone"/>
    <s v="Semiconductor Revenue M$"/>
    <x v="3"/>
    <n v="0"/>
  </r>
  <r>
    <s v="Discrete AI"/>
    <x v="7"/>
    <x v="2"/>
    <s v="Wireless Communications Electronics"/>
    <s v="Basic Smartphone"/>
    <s v="Semiconductor Revenue M$"/>
    <x v="4"/>
    <n v="0"/>
  </r>
  <r>
    <s v="Discrete AI"/>
    <x v="7"/>
    <x v="2"/>
    <s v="Wireless Communications Electronics"/>
    <s v="Basic Smartphone"/>
    <s v="Semiconductor Revenue M$"/>
    <x v="5"/>
    <n v="0"/>
  </r>
  <r>
    <s v="Discrete AI"/>
    <x v="7"/>
    <x v="2"/>
    <s v="Wireless Communications Electronics"/>
    <s v="Basic Smartphone"/>
    <s v="Semiconductor Revenue M$"/>
    <x v="6"/>
    <n v="0"/>
  </r>
  <r>
    <s v="Discrete AI"/>
    <x v="7"/>
    <x v="2"/>
    <s v="Wireless Communications Electronics"/>
    <s v="Utility Smartphone"/>
    <s v="Semiconductor Revenue M$"/>
    <x v="0"/>
    <n v="0"/>
  </r>
  <r>
    <s v="Discrete AI"/>
    <x v="7"/>
    <x v="2"/>
    <s v="Wireless Communications Electronics"/>
    <s v="Utility Smartphone"/>
    <s v="Semiconductor Revenue M$"/>
    <x v="1"/>
    <n v="0"/>
  </r>
  <r>
    <s v="Discrete AI"/>
    <x v="7"/>
    <x v="2"/>
    <s v="Wireless Communications Electronics"/>
    <s v="Utility Smartphone"/>
    <s v="Semiconductor Revenue M$"/>
    <x v="2"/>
    <n v="0"/>
  </r>
  <r>
    <s v="Discrete AI"/>
    <x v="7"/>
    <x v="2"/>
    <s v="Wireless Communications Electronics"/>
    <s v="Utility Smartphone"/>
    <s v="Semiconductor Revenue M$"/>
    <x v="3"/>
    <n v="0"/>
  </r>
  <r>
    <s v="Discrete AI"/>
    <x v="7"/>
    <x v="2"/>
    <s v="Wireless Communications Electronics"/>
    <s v="Utility Smartphone"/>
    <s v="Semiconductor Revenue M$"/>
    <x v="4"/>
    <n v="0"/>
  </r>
  <r>
    <s v="Discrete AI"/>
    <x v="7"/>
    <x v="2"/>
    <s v="Wireless Communications Electronics"/>
    <s v="Utility Smartphone"/>
    <s v="Semiconductor Revenue M$"/>
    <x v="5"/>
    <n v="0"/>
  </r>
  <r>
    <s v="Discrete AI"/>
    <x v="7"/>
    <x v="2"/>
    <s v="Wireless Communications Electronics"/>
    <s v="Utility Smartphone"/>
    <s v="Semiconductor Revenue M$"/>
    <x v="6"/>
    <n v="0"/>
  </r>
  <r>
    <s v="Discrete AI"/>
    <x v="7"/>
    <x v="2"/>
    <s v="Wireless Communications Electronics"/>
    <s v="Premium Smartphone"/>
    <s v="Semiconductor Revenue M$"/>
    <x v="0"/>
    <n v="0"/>
  </r>
  <r>
    <s v="Discrete AI"/>
    <x v="7"/>
    <x v="2"/>
    <s v="Wireless Communications Electronics"/>
    <s v="Premium Smartphone"/>
    <s v="Semiconductor Revenue M$"/>
    <x v="1"/>
    <n v="0"/>
  </r>
  <r>
    <s v="Discrete AI"/>
    <x v="7"/>
    <x v="2"/>
    <s v="Wireless Communications Electronics"/>
    <s v="Premium Smartphone"/>
    <s v="Semiconductor Revenue M$"/>
    <x v="2"/>
    <n v="0"/>
  </r>
  <r>
    <s v="Discrete AI"/>
    <x v="7"/>
    <x v="2"/>
    <s v="Wireless Communications Electronics"/>
    <s v="Premium Smartphone"/>
    <s v="Semiconductor Revenue M$"/>
    <x v="3"/>
    <n v="0"/>
  </r>
  <r>
    <s v="Discrete AI"/>
    <x v="7"/>
    <x v="2"/>
    <s v="Wireless Communications Electronics"/>
    <s v="Premium Smartphone"/>
    <s v="Semiconductor Revenue M$"/>
    <x v="4"/>
    <n v="0"/>
  </r>
  <r>
    <s v="Discrete AI"/>
    <x v="7"/>
    <x v="2"/>
    <s v="Wireless Communications Electronics"/>
    <s v="Premium Smartphone"/>
    <s v="Semiconductor Revenue M$"/>
    <x v="5"/>
    <n v="0"/>
  </r>
  <r>
    <s v="Discrete AI"/>
    <x v="7"/>
    <x v="2"/>
    <s v="Wireless Communications Electronics"/>
    <s v="Premium Smartphone"/>
    <s v="Semiconductor Revenue M$"/>
    <x v="6"/>
    <n v="0"/>
  </r>
  <r>
    <s v="Discrete AI"/>
    <x v="7"/>
    <x v="3"/>
    <s v="Automotive Electronics"/>
    <s v="ADAS-ECU (Level-2+/3/4)"/>
    <s v="Semiconductor Revenue M$"/>
    <x v="0"/>
    <n v="0"/>
  </r>
  <r>
    <s v="Discrete AI"/>
    <x v="7"/>
    <x v="3"/>
    <s v="Automotive Electronics"/>
    <s v="ADAS-ECU (Level-2+/3/4)"/>
    <s v="Semiconductor Revenue M$"/>
    <x v="1"/>
    <n v="0"/>
  </r>
  <r>
    <s v="Discrete AI"/>
    <x v="7"/>
    <x v="3"/>
    <s v="Automotive Electronics"/>
    <s v="ADAS-ECU (Level-2+/3/4)"/>
    <s v="Semiconductor Revenue M$"/>
    <x v="2"/>
    <n v="0"/>
  </r>
  <r>
    <s v="Discrete AI"/>
    <x v="7"/>
    <x v="3"/>
    <s v="Automotive Electronics"/>
    <s v="ADAS-ECU (Level-2+/3/4)"/>
    <s v="Semiconductor Revenue M$"/>
    <x v="3"/>
    <n v="0"/>
  </r>
  <r>
    <s v="Discrete AI"/>
    <x v="7"/>
    <x v="3"/>
    <s v="Automotive Electronics"/>
    <s v="ADAS-ECU (Level-2+/3/4)"/>
    <s v="Semiconductor Revenue M$"/>
    <x v="4"/>
    <n v="0"/>
  </r>
  <r>
    <s v="Discrete AI"/>
    <x v="7"/>
    <x v="3"/>
    <s v="Automotive Electronics"/>
    <s v="ADAS-ECU (Level-2+/3/4)"/>
    <s v="Semiconductor Revenue M$"/>
    <x v="5"/>
    <n v="0"/>
  </r>
  <r>
    <s v="Discrete AI"/>
    <x v="7"/>
    <x v="3"/>
    <s v="Automotive Electronics"/>
    <s v="ADAS-ECU (Level-2+/3/4)"/>
    <s v="Semiconductor Revenue M$"/>
    <x v="6"/>
    <n v="0"/>
  </r>
  <r>
    <s v="Discrete AI"/>
    <x v="7"/>
    <x v="2"/>
    <s v="Wireless Communications Electronics"/>
    <s v="Mobile Infrastructure - Base Station Equipment"/>
    <s v="Semiconductor Revenue M$"/>
    <x v="0"/>
    <n v="0"/>
  </r>
  <r>
    <s v="Discrete AI"/>
    <x v="7"/>
    <x v="2"/>
    <s v="Wireless Communications Electronics"/>
    <s v="Mobile Infrastructure - Base Station Equipment"/>
    <s v="Semiconductor Revenue M$"/>
    <x v="1"/>
    <n v="0"/>
  </r>
  <r>
    <s v="Discrete AI"/>
    <x v="7"/>
    <x v="2"/>
    <s v="Wireless Communications Electronics"/>
    <s v="Mobile Infrastructure - Base Station Equipment"/>
    <s v="Semiconductor Revenue M$"/>
    <x v="2"/>
    <n v="0"/>
  </r>
  <r>
    <s v="Discrete AI"/>
    <x v="7"/>
    <x v="2"/>
    <s v="Wireless Communications Electronics"/>
    <s v="Mobile Infrastructure - Base Station Equipment"/>
    <s v="Semiconductor Revenue M$"/>
    <x v="3"/>
    <n v="0"/>
  </r>
  <r>
    <s v="Discrete AI"/>
    <x v="7"/>
    <x v="2"/>
    <s v="Wireless Communications Electronics"/>
    <s v="Mobile Infrastructure - Base Station Equipment"/>
    <s v="Semiconductor Revenue M$"/>
    <x v="4"/>
    <n v="0"/>
  </r>
  <r>
    <s v="Discrete AI"/>
    <x v="7"/>
    <x v="2"/>
    <s v="Wireless Communications Electronics"/>
    <s v="Mobile Infrastructure - Base Station Equipment"/>
    <s v="Semiconductor Revenue M$"/>
    <x v="5"/>
    <n v="0"/>
  </r>
  <r>
    <s v="Discrete AI"/>
    <x v="7"/>
    <x v="2"/>
    <s v="Wireless Communications Electronics"/>
    <s v="Mobile Infrastructure - Base Station Equipment"/>
    <s v="Semiconductor Revenue M$"/>
    <x v="6"/>
    <n v="0"/>
  </r>
  <r>
    <s v="Discrete AI"/>
    <x v="7"/>
    <x v="2"/>
    <s v="Wireless Communications Electronics"/>
    <s v="Wireless LAN Infrastructure"/>
    <s v="Semiconductor Revenue M$"/>
    <x v="0"/>
    <n v="0"/>
  </r>
  <r>
    <s v="Discrete AI"/>
    <x v="7"/>
    <x v="2"/>
    <s v="Wireless Communications Electronics"/>
    <s v="Wireless LAN Infrastructure"/>
    <s v="Semiconductor Revenue M$"/>
    <x v="1"/>
    <n v="0"/>
  </r>
  <r>
    <s v="Discrete AI"/>
    <x v="7"/>
    <x v="2"/>
    <s v="Wireless Communications Electronics"/>
    <s v="Wireless LAN Infrastructure"/>
    <s v="Semiconductor Revenue M$"/>
    <x v="2"/>
    <n v="0"/>
  </r>
  <r>
    <s v="Discrete AI"/>
    <x v="7"/>
    <x v="2"/>
    <s v="Wireless Communications Electronics"/>
    <s v="Wireless LAN Infrastructure"/>
    <s v="Semiconductor Revenue M$"/>
    <x v="3"/>
    <n v="0"/>
  </r>
  <r>
    <s v="Discrete AI"/>
    <x v="7"/>
    <x v="2"/>
    <s v="Wireless Communications Electronics"/>
    <s v="Wireless LAN Infrastructure"/>
    <s v="Semiconductor Revenue M$"/>
    <x v="4"/>
    <n v="0"/>
  </r>
  <r>
    <s v="Discrete AI"/>
    <x v="7"/>
    <x v="2"/>
    <s v="Wireless Communications Electronics"/>
    <s v="Wireless LAN Infrastructure"/>
    <s v="Semiconductor Revenue M$"/>
    <x v="5"/>
    <n v="0"/>
  </r>
  <r>
    <s v="Discrete AI"/>
    <x v="7"/>
    <x v="2"/>
    <s v="Wireless Communications Electronics"/>
    <s v="Wireless LAN Infrastructure"/>
    <s v="Semiconductor Revenue M$"/>
    <x v="6"/>
    <n v="0"/>
  </r>
  <r>
    <s v="Discrete AI"/>
    <x v="7"/>
    <x v="2"/>
    <s v="Wireless Communications Electronics"/>
    <s v="Cellular Modems"/>
    <s v="Semiconductor Revenue M$"/>
    <x v="0"/>
    <n v="0"/>
  </r>
  <r>
    <s v="Discrete AI"/>
    <x v="7"/>
    <x v="2"/>
    <s v="Wireless Communications Electronics"/>
    <s v="Cellular Modems"/>
    <s v="Semiconductor Revenue M$"/>
    <x v="1"/>
    <n v="0"/>
  </r>
  <r>
    <s v="Discrete AI"/>
    <x v="7"/>
    <x v="2"/>
    <s v="Wireless Communications Electronics"/>
    <s v="Cellular Modems"/>
    <s v="Semiconductor Revenue M$"/>
    <x v="2"/>
    <n v="0"/>
  </r>
  <r>
    <s v="Discrete AI"/>
    <x v="7"/>
    <x v="2"/>
    <s v="Wireless Communications Electronics"/>
    <s v="Cellular Modems"/>
    <s v="Semiconductor Revenue M$"/>
    <x v="3"/>
    <n v="0"/>
  </r>
  <r>
    <s v="Discrete AI"/>
    <x v="7"/>
    <x v="2"/>
    <s v="Wireless Communications Electronics"/>
    <s v="Cellular Modems"/>
    <s v="Semiconductor Revenue M$"/>
    <x v="4"/>
    <n v="0"/>
  </r>
  <r>
    <s v="Discrete AI"/>
    <x v="7"/>
    <x v="2"/>
    <s v="Wireless Communications Electronics"/>
    <s v="Cellular Modems"/>
    <s v="Semiconductor Revenue M$"/>
    <x v="5"/>
    <n v="0"/>
  </r>
  <r>
    <s v="Discrete AI"/>
    <x v="7"/>
    <x v="2"/>
    <s v="Wireless Communications Electronics"/>
    <s v="Cellular Modems"/>
    <s v="Semiconductor Revenue M$"/>
    <x v="6"/>
    <n v="0"/>
  </r>
  <r>
    <s v="Discrete AI"/>
    <x v="7"/>
    <x v="2"/>
    <s v="Wireless Communications Electronics"/>
    <s v="Other Wireless Communications Electronics"/>
    <s v="Semiconductor Revenue M$"/>
    <x v="0"/>
    <n v="0"/>
  </r>
  <r>
    <s v="Discrete AI"/>
    <x v="7"/>
    <x v="2"/>
    <s v="Wireless Communications Electronics"/>
    <s v="Other Wireless Communications Electronics"/>
    <s v="Semiconductor Revenue M$"/>
    <x v="1"/>
    <n v="0"/>
  </r>
  <r>
    <s v="Discrete AI"/>
    <x v="7"/>
    <x v="2"/>
    <s v="Wireless Communications Electronics"/>
    <s v="Other Wireless Communications Electronics"/>
    <s v="Semiconductor Revenue M$"/>
    <x v="2"/>
    <n v="0"/>
  </r>
  <r>
    <s v="Discrete AI"/>
    <x v="7"/>
    <x v="2"/>
    <s v="Wireless Communications Electronics"/>
    <s v="Other Wireless Communications Electronics"/>
    <s v="Semiconductor Revenue M$"/>
    <x v="3"/>
    <n v="0"/>
  </r>
  <r>
    <s v="Discrete AI"/>
    <x v="7"/>
    <x v="2"/>
    <s v="Wireless Communications Electronics"/>
    <s v="Other Wireless Communications Electronics"/>
    <s v="Semiconductor Revenue M$"/>
    <x v="4"/>
    <n v="0"/>
  </r>
  <r>
    <s v="Discrete AI"/>
    <x v="7"/>
    <x v="2"/>
    <s v="Wireless Communications Electronics"/>
    <s v="Other Wireless Communications Electronics"/>
    <s v="Semiconductor Revenue M$"/>
    <x v="5"/>
    <n v="0"/>
  </r>
  <r>
    <s v="Discrete AI"/>
    <x v="7"/>
    <x v="2"/>
    <s v="Wireless Communications Electronics"/>
    <s v="Other Wireless Communications Electronics"/>
    <s v="Semiconductor Revenue M$"/>
    <x v="6"/>
    <n v="0"/>
  </r>
  <r>
    <s v="Discrete AI"/>
    <x v="7"/>
    <x v="2"/>
    <s v="Wired Communications Electronics"/>
    <s v="DSL Broadband Access"/>
    <s v="Semiconductor Revenue M$"/>
    <x v="0"/>
    <n v="0"/>
  </r>
  <r>
    <s v="Discrete AI"/>
    <x v="7"/>
    <x v="2"/>
    <s v="Wired Communications Electronics"/>
    <s v="DSL Broadband Access"/>
    <s v="Semiconductor Revenue M$"/>
    <x v="1"/>
    <n v="0"/>
  </r>
  <r>
    <s v="Discrete AI"/>
    <x v="7"/>
    <x v="2"/>
    <s v="Wired Communications Electronics"/>
    <s v="DSL Broadband Access"/>
    <s v="Semiconductor Revenue M$"/>
    <x v="2"/>
    <n v="0"/>
  </r>
  <r>
    <s v="Discrete AI"/>
    <x v="7"/>
    <x v="2"/>
    <s v="Wired Communications Electronics"/>
    <s v="DSL Broadband Access"/>
    <s v="Semiconductor Revenue M$"/>
    <x v="3"/>
    <n v="0"/>
  </r>
  <r>
    <s v="Discrete AI"/>
    <x v="7"/>
    <x v="2"/>
    <s v="Wired Communications Electronics"/>
    <s v="DSL Broadband Access"/>
    <s v="Semiconductor Revenue M$"/>
    <x v="4"/>
    <n v="0"/>
  </r>
  <r>
    <s v="Discrete AI"/>
    <x v="7"/>
    <x v="2"/>
    <s v="Wired Communications Electronics"/>
    <s v="DSL Broadband Access"/>
    <s v="Semiconductor Revenue M$"/>
    <x v="5"/>
    <n v="0"/>
  </r>
  <r>
    <s v="Discrete AI"/>
    <x v="7"/>
    <x v="2"/>
    <s v="Wired Communications Electronics"/>
    <s v="DSL Broadband Access"/>
    <s v="Semiconductor Revenue M$"/>
    <x v="6"/>
    <n v="0"/>
  </r>
  <r>
    <s v="Discrete AI"/>
    <x v="7"/>
    <x v="2"/>
    <s v="Wired Communications Electronics"/>
    <s v="Fiber Broadband Access"/>
    <s v="Semiconductor Revenue M$"/>
    <x v="0"/>
    <n v="0"/>
  </r>
  <r>
    <s v="Discrete AI"/>
    <x v="7"/>
    <x v="2"/>
    <s v="Wired Communications Electronics"/>
    <s v="Fiber Broadband Access"/>
    <s v="Semiconductor Revenue M$"/>
    <x v="1"/>
    <n v="0"/>
  </r>
  <r>
    <s v="Discrete AI"/>
    <x v="7"/>
    <x v="2"/>
    <s v="Wired Communications Electronics"/>
    <s v="Fiber Broadband Access"/>
    <s v="Semiconductor Revenue M$"/>
    <x v="2"/>
    <n v="0"/>
  </r>
  <r>
    <s v="Discrete AI"/>
    <x v="7"/>
    <x v="2"/>
    <s v="Wired Communications Electronics"/>
    <s v="Fiber Broadband Access"/>
    <s v="Semiconductor Revenue M$"/>
    <x v="3"/>
    <n v="0"/>
  </r>
  <r>
    <s v="Discrete AI"/>
    <x v="7"/>
    <x v="2"/>
    <s v="Wired Communications Electronics"/>
    <s v="Fiber Broadband Access"/>
    <s v="Semiconductor Revenue M$"/>
    <x v="4"/>
    <n v="0"/>
  </r>
  <r>
    <s v="Discrete AI"/>
    <x v="7"/>
    <x v="2"/>
    <s v="Wired Communications Electronics"/>
    <s v="Fiber Broadband Access"/>
    <s v="Semiconductor Revenue M$"/>
    <x v="5"/>
    <n v="0"/>
  </r>
  <r>
    <s v="Discrete AI"/>
    <x v="7"/>
    <x v="2"/>
    <s v="Wired Communications Electronics"/>
    <s v="Fiber Broadband Access"/>
    <s v="Semiconductor Revenue M$"/>
    <x v="6"/>
    <n v="0"/>
  </r>
  <r>
    <s v="Discrete AI"/>
    <x v="7"/>
    <x v="2"/>
    <s v="Wired Communications Electronics"/>
    <s v="Other Broadband Access"/>
    <s v="Semiconductor Revenue M$"/>
    <x v="0"/>
    <n v="0"/>
  </r>
  <r>
    <s v="Discrete AI"/>
    <x v="7"/>
    <x v="2"/>
    <s v="Wired Communications Electronics"/>
    <s v="Other Broadband Access"/>
    <s v="Semiconductor Revenue M$"/>
    <x v="1"/>
    <n v="0"/>
  </r>
  <r>
    <s v="Discrete AI"/>
    <x v="7"/>
    <x v="2"/>
    <s v="Wired Communications Electronics"/>
    <s v="Other Broadband Access"/>
    <s v="Semiconductor Revenue M$"/>
    <x v="2"/>
    <n v="0"/>
  </r>
  <r>
    <s v="Discrete AI"/>
    <x v="7"/>
    <x v="2"/>
    <s v="Wired Communications Electronics"/>
    <s v="Other Broadband Access"/>
    <s v="Semiconductor Revenue M$"/>
    <x v="3"/>
    <n v="0"/>
  </r>
  <r>
    <s v="Discrete AI"/>
    <x v="7"/>
    <x v="2"/>
    <s v="Wired Communications Electronics"/>
    <s v="Other Broadband Access"/>
    <s v="Semiconductor Revenue M$"/>
    <x v="4"/>
    <n v="0"/>
  </r>
  <r>
    <s v="Discrete AI"/>
    <x v="7"/>
    <x v="2"/>
    <s v="Wired Communications Electronics"/>
    <s v="Other Broadband Access"/>
    <s v="Semiconductor Revenue M$"/>
    <x v="5"/>
    <n v="0"/>
  </r>
  <r>
    <s v="Discrete AI"/>
    <x v="7"/>
    <x v="2"/>
    <s v="Wired Communications Electronics"/>
    <s v="Other Broadband Access"/>
    <s v="Semiconductor Revenue M$"/>
    <x v="6"/>
    <n v="0"/>
  </r>
  <r>
    <s v="Discrete AI"/>
    <x v="7"/>
    <x v="2"/>
    <s v="Wired Communications Electronics"/>
    <s v="Enterprise LAN"/>
    <s v="Semiconductor Revenue M$"/>
    <x v="0"/>
    <n v="0"/>
  </r>
  <r>
    <s v="Discrete AI"/>
    <x v="7"/>
    <x v="2"/>
    <s v="Wired Communications Electronics"/>
    <s v="Enterprise LAN"/>
    <s v="Semiconductor Revenue M$"/>
    <x v="1"/>
    <n v="0"/>
  </r>
  <r>
    <s v="Discrete AI"/>
    <x v="7"/>
    <x v="2"/>
    <s v="Wired Communications Electronics"/>
    <s v="Enterprise LAN"/>
    <s v="Semiconductor Revenue M$"/>
    <x v="2"/>
    <n v="0"/>
  </r>
  <r>
    <s v="Discrete AI"/>
    <x v="7"/>
    <x v="2"/>
    <s v="Wired Communications Electronics"/>
    <s v="Enterprise LAN"/>
    <s v="Semiconductor Revenue M$"/>
    <x v="3"/>
    <n v="0"/>
  </r>
  <r>
    <s v="Discrete AI"/>
    <x v="7"/>
    <x v="2"/>
    <s v="Wired Communications Electronics"/>
    <s v="Enterprise LAN"/>
    <s v="Semiconductor Revenue M$"/>
    <x v="4"/>
    <n v="0"/>
  </r>
  <r>
    <s v="Discrete AI"/>
    <x v="7"/>
    <x v="2"/>
    <s v="Wired Communications Electronics"/>
    <s v="Enterprise LAN"/>
    <s v="Semiconductor Revenue M$"/>
    <x v="5"/>
    <n v="0"/>
  </r>
  <r>
    <s v="Discrete AI"/>
    <x v="7"/>
    <x v="2"/>
    <s v="Wired Communications Electronics"/>
    <s v="Enterprise LAN"/>
    <s v="Semiconductor Revenue M$"/>
    <x v="6"/>
    <n v="0"/>
  </r>
  <r>
    <s v="Discrete AI"/>
    <x v="7"/>
    <x v="3"/>
    <s v="Automotive Electronics"/>
    <s v="ADAS-ECU (Level-0/1/2)"/>
    <s v="Semiconductor Revenue M$"/>
    <x v="0"/>
    <n v="0"/>
  </r>
  <r>
    <s v="Discrete AI"/>
    <x v="7"/>
    <x v="3"/>
    <s v="Automotive Electronics"/>
    <s v="ADAS-ECU (Level-0/1/2)"/>
    <s v="Semiconductor Revenue M$"/>
    <x v="1"/>
    <n v="0"/>
  </r>
  <r>
    <s v="Discrete AI"/>
    <x v="7"/>
    <x v="3"/>
    <s v="Automotive Electronics"/>
    <s v="ADAS-ECU (Level-0/1/2)"/>
    <s v="Semiconductor Revenue M$"/>
    <x v="2"/>
    <n v="0"/>
  </r>
  <r>
    <s v="Discrete AI"/>
    <x v="7"/>
    <x v="3"/>
    <s v="Automotive Electronics"/>
    <s v="ADAS-ECU (Level-0/1/2)"/>
    <s v="Semiconductor Revenue M$"/>
    <x v="3"/>
    <n v="0"/>
  </r>
  <r>
    <s v="Discrete AI"/>
    <x v="7"/>
    <x v="3"/>
    <s v="Automotive Electronics"/>
    <s v="ADAS-ECU (Level-0/1/2)"/>
    <s v="Semiconductor Revenue M$"/>
    <x v="4"/>
    <n v="0"/>
  </r>
  <r>
    <s v="Discrete AI"/>
    <x v="7"/>
    <x v="3"/>
    <s v="Automotive Electronics"/>
    <s v="ADAS-ECU (Level-0/1/2)"/>
    <s v="Semiconductor Revenue M$"/>
    <x v="5"/>
    <n v="0"/>
  </r>
  <r>
    <s v="Discrete AI"/>
    <x v="7"/>
    <x v="3"/>
    <s v="Automotive Electronics"/>
    <s v="ADAS-ECU (Level-0/1/2)"/>
    <s v="Semiconductor Revenue M$"/>
    <x v="6"/>
    <n v="0"/>
  </r>
  <r>
    <s v="Discrete AI"/>
    <x v="7"/>
    <x v="2"/>
    <s v="Wired Communications Electronics"/>
    <s v="Enterprise WAN"/>
    <s v="Semiconductor Revenue M$"/>
    <x v="0"/>
    <n v="0"/>
  </r>
  <r>
    <s v="Discrete AI"/>
    <x v="7"/>
    <x v="2"/>
    <s v="Wired Communications Electronics"/>
    <s v="Enterprise WAN"/>
    <s v="Semiconductor Revenue M$"/>
    <x v="1"/>
    <n v="0"/>
  </r>
  <r>
    <s v="Discrete AI"/>
    <x v="7"/>
    <x v="2"/>
    <s v="Wired Communications Electronics"/>
    <s v="Enterprise WAN"/>
    <s v="Semiconductor Revenue M$"/>
    <x v="2"/>
    <n v="0"/>
  </r>
  <r>
    <s v="Discrete AI"/>
    <x v="7"/>
    <x v="2"/>
    <s v="Wired Communications Electronics"/>
    <s v="Enterprise WAN"/>
    <s v="Semiconductor Revenue M$"/>
    <x v="3"/>
    <n v="0"/>
  </r>
  <r>
    <s v="Discrete AI"/>
    <x v="7"/>
    <x v="2"/>
    <s v="Wired Communications Electronics"/>
    <s v="Enterprise WAN"/>
    <s v="Semiconductor Revenue M$"/>
    <x v="4"/>
    <n v="0"/>
  </r>
  <r>
    <s v="Discrete AI"/>
    <x v="7"/>
    <x v="2"/>
    <s v="Wired Communications Electronics"/>
    <s v="Enterprise WAN"/>
    <s v="Semiconductor Revenue M$"/>
    <x v="5"/>
    <n v="0"/>
  </r>
  <r>
    <s v="Discrete AI"/>
    <x v="7"/>
    <x v="2"/>
    <s v="Wired Communications Electronics"/>
    <s v="Enterprise WAN"/>
    <s v="Semiconductor Revenue M$"/>
    <x v="6"/>
    <n v="0"/>
  </r>
  <r>
    <s v="Discrete AI"/>
    <x v="7"/>
    <x v="2"/>
    <s v="Wired Communications Electronics"/>
    <s v="Optical Transport"/>
    <s v="Semiconductor Revenue M$"/>
    <x v="0"/>
    <n v="0"/>
  </r>
  <r>
    <s v="Discrete AI"/>
    <x v="7"/>
    <x v="2"/>
    <s v="Wired Communications Electronics"/>
    <s v="Optical Transport"/>
    <s v="Semiconductor Revenue M$"/>
    <x v="1"/>
    <n v="0"/>
  </r>
  <r>
    <s v="Discrete AI"/>
    <x v="7"/>
    <x v="2"/>
    <s v="Wired Communications Electronics"/>
    <s v="Optical Transport"/>
    <s v="Semiconductor Revenue M$"/>
    <x v="2"/>
    <n v="0"/>
  </r>
  <r>
    <s v="Discrete AI"/>
    <x v="7"/>
    <x v="2"/>
    <s v="Wired Communications Electronics"/>
    <s v="Optical Transport"/>
    <s v="Semiconductor Revenue M$"/>
    <x v="3"/>
    <n v="0"/>
  </r>
  <r>
    <s v="Discrete AI"/>
    <x v="7"/>
    <x v="2"/>
    <s v="Wired Communications Electronics"/>
    <s v="Optical Transport"/>
    <s v="Semiconductor Revenue M$"/>
    <x v="4"/>
    <n v="0"/>
  </r>
  <r>
    <s v="Discrete AI"/>
    <x v="7"/>
    <x v="2"/>
    <s v="Wired Communications Electronics"/>
    <s v="Optical Transport"/>
    <s v="Semiconductor Revenue M$"/>
    <x v="5"/>
    <n v="0"/>
  </r>
  <r>
    <s v="Discrete AI"/>
    <x v="7"/>
    <x v="2"/>
    <s v="Wired Communications Electronics"/>
    <s v="Optical Transport"/>
    <s v="Semiconductor Revenue M$"/>
    <x v="6"/>
    <n v="0"/>
  </r>
  <r>
    <s v="Discrete AI"/>
    <x v="7"/>
    <x v="2"/>
    <s v="Wired Communications Electronics"/>
    <s v="Service Provider Routers and Switches"/>
    <s v="Semiconductor Revenue M$"/>
    <x v="0"/>
    <n v="0"/>
  </r>
  <r>
    <s v="Discrete AI"/>
    <x v="7"/>
    <x v="2"/>
    <s v="Wired Communications Electronics"/>
    <s v="Service Provider Routers and Switches"/>
    <s v="Semiconductor Revenue M$"/>
    <x v="1"/>
    <n v="0"/>
  </r>
  <r>
    <s v="Discrete AI"/>
    <x v="7"/>
    <x v="2"/>
    <s v="Wired Communications Electronics"/>
    <s v="Service Provider Routers and Switches"/>
    <s v="Semiconductor Revenue M$"/>
    <x v="2"/>
    <n v="0"/>
  </r>
  <r>
    <s v="Discrete AI"/>
    <x v="7"/>
    <x v="2"/>
    <s v="Wired Communications Electronics"/>
    <s v="Service Provider Routers and Switches"/>
    <s v="Semiconductor Revenue M$"/>
    <x v="3"/>
    <n v="0"/>
  </r>
  <r>
    <s v="Discrete AI"/>
    <x v="7"/>
    <x v="2"/>
    <s v="Wired Communications Electronics"/>
    <s v="Service Provider Routers and Switches"/>
    <s v="Semiconductor Revenue M$"/>
    <x v="4"/>
    <n v="0"/>
  </r>
  <r>
    <s v="Discrete AI"/>
    <x v="7"/>
    <x v="2"/>
    <s v="Wired Communications Electronics"/>
    <s v="Service Provider Routers and Switches"/>
    <s v="Semiconductor Revenue M$"/>
    <x v="5"/>
    <n v="0"/>
  </r>
  <r>
    <s v="Discrete AI"/>
    <x v="7"/>
    <x v="2"/>
    <s v="Wired Communications Electronics"/>
    <s v="Service Provider Routers and Switches"/>
    <s v="Semiconductor Revenue M$"/>
    <x v="6"/>
    <n v="0"/>
  </r>
  <r>
    <s v="Discrete AI"/>
    <x v="7"/>
    <x v="2"/>
    <s v="Wired Communications Electronics"/>
    <s v="Other Wired Communications Electronics"/>
    <s v="Semiconductor Revenue M$"/>
    <x v="0"/>
    <n v="0"/>
  </r>
  <r>
    <s v="Discrete AI"/>
    <x v="7"/>
    <x v="2"/>
    <s v="Wired Communications Electronics"/>
    <s v="Other Wired Communications Electronics"/>
    <s v="Semiconductor Revenue M$"/>
    <x v="1"/>
    <n v="0"/>
  </r>
  <r>
    <s v="Discrete AI"/>
    <x v="7"/>
    <x v="2"/>
    <s v="Wired Communications Electronics"/>
    <s v="Other Wired Communications Electronics"/>
    <s v="Semiconductor Revenue M$"/>
    <x v="2"/>
    <n v="0"/>
  </r>
  <r>
    <s v="Discrete AI"/>
    <x v="7"/>
    <x v="2"/>
    <s v="Wired Communications Electronics"/>
    <s v="Other Wired Communications Electronics"/>
    <s v="Semiconductor Revenue M$"/>
    <x v="3"/>
    <n v="0"/>
  </r>
  <r>
    <s v="Discrete AI"/>
    <x v="7"/>
    <x v="2"/>
    <s v="Wired Communications Electronics"/>
    <s v="Other Wired Communications Electronics"/>
    <s v="Semiconductor Revenue M$"/>
    <x v="4"/>
    <n v="0"/>
  </r>
  <r>
    <s v="Discrete AI"/>
    <x v="7"/>
    <x v="2"/>
    <s v="Wired Communications Electronics"/>
    <s v="Other Wired Communications Electronics"/>
    <s v="Semiconductor Revenue M$"/>
    <x v="5"/>
    <n v="0"/>
  </r>
  <r>
    <s v="Discrete AI"/>
    <x v="7"/>
    <x v="2"/>
    <s v="Wired Communications Electronics"/>
    <s v="Other Wired Communications Electronics"/>
    <s v="Semiconductor Revenue M$"/>
    <x v="6"/>
    <n v="0"/>
  </r>
  <r>
    <s v="Discrete AI"/>
    <x v="7"/>
    <x v="4"/>
    <s v="Consumer Electronics"/>
    <s v="Appliances"/>
    <s v="Semiconductor Revenue M$"/>
    <x v="0"/>
    <n v="0"/>
  </r>
  <r>
    <s v="Discrete AI"/>
    <x v="7"/>
    <x v="4"/>
    <s v="Consumer Electronics"/>
    <s v="Appliances"/>
    <s v="Semiconductor Revenue M$"/>
    <x v="1"/>
    <n v="0"/>
  </r>
  <r>
    <s v="Discrete AI"/>
    <x v="7"/>
    <x v="4"/>
    <s v="Consumer Electronics"/>
    <s v="Appliances"/>
    <s v="Semiconductor Revenue M$"/>
    <x v="2"/>
    <n v="0"/>
  </r>
  <r>
    <s v="Discrete AI"/>
    <x v="7"/>
    <x v="4"/>
    <s v="Consumer Electronics"/>
    <s v="Appliances"/>
    <s v="Semiconductor Revenue M$"/>
    <x v="3"/>
    <n v="0"/>
  </r>
  <r>
    <s v="Discrete AI"/>
    <x v="7"/>
    <x v="4"/>
    <s v="Consumer Electronics"/>
    <s v="Appliances"/>
    <s v="Semiconductor Revenue M$"/>
    <x v="4"/>
    <n v="0"/>
  </r>
  <r>
    <s v="Discrete AI"/>
    <x v="7"/>
    <x v="4"/>
    <s v="Consumer Electronics"/>
    <s v="Appliances"/>
    <s v="Semiconductor Revenue M$"/>
    <x v="5"/>
    <n v="0"/>
  </r>
  <r>
    <s v="Discrete AI"/>
    <x v="7"/>
    <x v="4"/>
    <s v="Consumer Electronics"/>
    <s v="Appliances"/>
    <s v="Semiconductor Revenue M$"/>
    <x v="6"/>
    <n v="0"/>
  </r>
  <r>
    <s v="Discrete AI"/>
    <x v="7"/>
    <x v="4"/>
    <s v="Consumer Electronics"/>
    <s v="Digital Camcorder"/>
    <s v="Semiconductor Revenue M$"/>
    <x v="0"/>
    <n v="0"/>
  </r>
  <r>
    <s v="Discrete AI"/>
    <x v="7"/>
    <x v="4"/>
    <s v="Consumer Electronics"/>
    <s v="Digital Camcorder"/>
    <s v="Semiconductor Revenue M$"/>
    <x v="1"/>
    <n v="0"/>
  </r>
  <r>
    <s v="Discrete AI"/>
    <x v="7"/>
    <x v="4"/>
    <s v="Consumer Electronics"/>
    <s v="Digital Camcorder"/>
    <s v="Semiconductor Revenue M$"/>
    <x v="2"/>
    <n v="0"/>
  </r>
  <r>
    <s v="Discrete AI"/>
    <x v="7"/>
    <x v="4"/>
    <s v="Consumer Electronics"/>
    <s v="Digital Camcorder"/>
    <s v="Semiconductor Revenue M$"/>
    <x v="3"/>
    <n v="0"/>
  </r>
  <r>
    <s v="Discrete AI"/>
    <x v="7"/>
    <x v="4"/>
    <s v="Consumer Electronics"/>
    <s v="Digital Camcorder"/>
    <s v="Semiconductor Revenue M$"/>
    <x v="4"/>
    <n v="0"/>
  </r>
  <r>
    <s v="Discrete AI"/>
    <x v="7"/>
    <x v="4"/>
    <s v="Consumer Electronics"/>
    <s v="Digital Camcorder"/>
    <s v="Semiconductor Revenue M$"/>
    <x v="5"/>
    <n v="0"/>
  </r>
  <r>
    <s v="Discrete AI"/>
    <x v="7"/>
    <x v="4"/>
    <s v="Consumer Electronics"/>
    <s v="Digital Camcorder"/>
    <s v="Semiconductor Revenue M$"/>
    <x v="6"/>
    <n v="0"/>
  </r>
  <r>
    <s v="Discrete AI"/>
    <x v="7"/>
    <x v="4"/>
    <s v="Consumer Electronics"/>
    <s v="Digital Set-Top Box, Cable"/>
    <s v="Semiconductor Revenue M$"/>
    <x v="0"/>
    <n v="0"/>
  </r>
  <r>
    <s v="Discrete AI"/>
    <x v="7"/>
    <x v="4"/>
    <s v="Consumer Electronics"/>
    <s v="Digital Set-Top Box, Cable"/>
    <s v="Semiconductor Revenue M$"/>
    <x v="1"/>
    <n v="0"/>
  </r>
  <r>
    <s v="Discrete AI"/>
    <x v="7"/>
    <x v="4"/>
    <s v="Consumer Electronics"/>
    <s v="Digital Set-Top Box, Cable"/>
    <s v="Semiconductor Revenue M$"/>
    <x v="2"/>
    <n v="0"/>
  </r>
  <r>
    <s v="Discrete AI"/>
    <x v="7"/>
    <x v="4"/>
    <s v="Consumer Electronics"/>
    <s v="Digital Set-Top Box, Cable"/>
    <s v="Semiconductor Revenue M$"/>
    <x v="3"/>
    <n v="0"/>
  </r>
  <r>
    <s v="Discrete AI"/>
    <x v="7"/>
    <x v="4"/>
    <s v="Consumer Electronics"/>
    <s v="Digital Set-Top Box, Cable"/>
    <s v="Semiconductor Revenue M$"/>
    <x v="4"/>
    <n v="0"/>
  </r>
  <r>
    <s v="Discrete AI"/>
    <x v="7"/>
    <x v="4"/>
    <s v="Consumer Electronics"/>
    <s v="Digital Set-Top Box, Cable"/>
    <s v="Semiconductor Revenue M$"/>
    <x v="5"/>
    <n v="0"/>
  </r>
  <r>
    <s v="Discrete AI"/>
    <x v="7"/>
    <x v="4"/>
    <s v="Consumer Electronics"/>
    <s v="Digital Set-Top Box, Cable"/>
    <s v="Semiconductor Revenue M$"/>
    <x v="6"/>
    <n v="0"/>
  </r>
  <r>
    <s v="Discrete AI"/>
    <x v="7"/>
    <x v="4"/>
    <s v="Consumer Electronics"/>
    <s v="Digital Set-Top Box, Satellite"/>
    <s v="Semiconductor Revenue M$"/>
    <x v="0"/>
    <n v="0"/>
  </r>
  <r>
    <s v="Discrete AI"/>
    <x v="7"/>
    <x v="4"/>
    <s v="Consumer Electronics"/>
    <s v="Digital Set-Top Box, Satellite"/>
    <s v="Semiconductor Revenue M$"/>
    <x v="1"/>
    <n v="0"/>
  </r>
  <r>
    <s v="Discrete AI"/>
    <x v="7"/>
    <x v="4"/>
    <s v="Consumer Electronics"/>
    <s v="Digital Set-Top Box, Satellite"/>
    <s v="Semiconductor Revenue M$"/>
    <x v="2"/>
    <n v="0"/>
  </r>
  <r>
    <s v="Discrete AI"/>
    <x v="7"/>
    <x v="4"/>
    <s v="Consumer Electronics"/>
    <s v="Digital Set-Top Box, Satellite"/>
    <s v="Semiconductor Revenue M$"/>
    <x v="3"/>
    <n v="0"/>
  </r>
  <r>
    <s v="Discrete AI"/>
    <x v="7"/>
    <x v="4"/>
    <s v="Consumer Electronics"/>
    <s v="Digital Set-Top Box, Satellite"/>
    <s v="Semiconductor Revenue M$"/>
    <x v="4"/>
    <n v="0"/>
  </r>
  <r>
    <s v="Discrete AI"/>
    <x v="7"/>
    <x v="4"/>
    <s v="Consumer Electronics"/>
    <s v="Digital Set-Top Box, Satellite"/>
    <s v="Semiconductor Revenue M$"/>
    <x v="5"/>
    <n v="0"/>
  </r>
  <r>
    <s v="Discrete AI"/>
    <x v="7"/>
    <x v="4"/>
    <s v="Consumer Electronics"/>
    <s v="Digital Set-Top Box, Satellite"/>
    <s v="Semiconductor Revenue M$"/>
    <x v="6"/>
    <n v="0"/>
  </r>
  <r>
    <s v="Discrete AI"/>
    <x v="7"/>
    <x v="4"/>
    <s v="Consumer Electronics"/>
    <s v="Digital Set-Top Box, Terrestrial"/>
    <s v="Semiconductor Revenue M$"/>
    <x v="0"/>
    <n v="0"/>
  </r>
  <r>
    <s v="Discrete AI"/>
    <x v="7"/>
    <x v="4"/>
    <s v="Consumer Electronics"/>
    <s v="Digital Set-Top Box, Terrestrial"/>
    <s v="Semiconductor Revenue M$"/>
    <x v="1"/>
    <n v="0"/>
  </r>
  <r>
    <s v="Discrete AI"/>
    <x v="7"/>
    <x v="4"/>
    <s v="Consumer Electronics"/>
    <s v="Digital Set-Top Box, Terrestrial"/>
    <s v="Semiconductor Revenue M$"/>
    <x v="2"/>
    <n v="0"/>
  </r>
  <r>
    <s v="Discrete AI"/>
    <x v="7"/>
    <x v="4"/>
    <s v="Consumer Electronics"/>
    <s v="Digital Set-Top Box, Terrestrial"/>
    <s v="Semiconductor Revenue M$"/>
    <x v="3"/>
    <n v="0"/>
  </r>
  <r>
    <s v="Discrete AI"/>
    <x v="7"/>
    <x v="4"/>
    <s v="Consumer Electronics"/>
    <s v="Digital Set-Top Box, Terrestrial"/>
    <s v="Semiconductor Revenue M$"/>
    <x v="4"/>
    <n v="0"/>
  </r>
  <r>
    <s v="Discrete AI"/>
    <x v="7"/>
    <x v="4"/>
    <s v="Consumer Electronics"/>
    <s v="Digital Set-Top Box, Terrestrial"/>
    <s v="Semiconductor Revenue M$"/>
    <x v="5"/>
    <n v="0"/>
  </r>
  <r>
    <s v="Discrete AI"/>
    <x v="7"/>
    <x v="4"/>
    <s v="Consumer Electronics"/>
    <s v="Digital Set-Top Box, Terrestrial"/>
    <s v="Semiconductor Revenue M$"/>
    <x v="6"/>
    <n v="0"/>
  </r>
  <r>
    <s v="Discrete AI"/>
    <x v="7"/>
    <x v="4"/>
    <s v="Consumer Electronics"/>
    <s v="Digital Set-Top Box, IP/Other"/>
    <s v="Semiconductor Revenue M$"/>
    <x v="0"/>
    <n v="0"/>
  </r>
  <r>
    <s v="Discrete AI"/>
    <x v="7"/>
    <x v="4"/>
    <s v="Consumer Electronics"/>
    <s v="Digital Set-Top Box, IP/Other"/>
    <s v="Semiconductor Revenue M$"/>
    <x v="1"/>
    <n v="0"/>
  </r>
  <r>
    <s v="Discrete AI"/>
    <x v="7"/>
    <x v="4"/>
    <s v="Consumer Electronics"/>
    <s v="Digital Set-Top Box, IP/Other"/>
    <s v="Semiconductor Revenue M$"/>
    <x v="2"/>
    <n v="0"/>
  </r>
  <r>
    <s v="Discrete AI"/>
    <x v="7"/>
    <x v="4"/>
    <s v="Consumer Electronics"/>
    <s v="Digital Set-Top Box, IP/Other"/>
    <s v="Semiconductor Revenue M$"/>
    <x v="3"/>
    <n v="0"/>
  </r>
  <r>
    <s v="Discrete AI"/>
    <x v="7"/>
    <x v="4"/>
    <s v="Consumer Electronics"/>
    <s v="Digital Set-Top Box, IP/Other"/>
    <s v="Semiconductor Revenue M$"/>
    <x v="4"/>
    <n v="0"/>
  </r>
  <r>
    <s v="Discrete AI"/>
    <x v="7"/>
    <x v="4"/>
    <s v="Consumer Electronics"/>
    <s v="Digital Set-Top Box, IP/Other"/>
    <s v="Semiconductor Revenue M$"/>
    <x v="5"/>
    <n v="0"/>
  </r>
  <r>
    <s v="Discrete AI"/>
    <x v="7"/>
    <x v="4"/>
    <s v="Consumer Electronics"/>
    <s v="Digital Set-Top Box, IP/Other"/>
    <s v="Semiconductor Revenue M$"/>
    <x v="6"/>
    <n v="0"/>
  </r>
  <r>
    <s v="Discrete AI"/>
    <x v="7"/>
    <x v="4"/>
    <s v="Consumer Electronics"/>
    <s v="Digital Still Camera"/>
    <s v="Semiconductor Revenue M$"/>
    <x v="0"/>
    <n v="0"/>
  </r>
  <r>
    <s v="Discrete AI"/>
    <x v="7"/>
    <x v="4"/>
    <s v="Consumer Electronics"/>
    <s v="Digital Still Camera"/>
    <s v="Semiconductor Revenue M$"/>
    <x v="1"/>
    <n v="0"/>
  </r>
  <r>
    <s v="Discrete AI"/>
    <x v="7"/>
    <x v="4"/>
    <s v="Consumer Electronics"/>
    <s v="Digital Still Camera"/>
    <s v="Semiconductor Revenue M$"/>
    <x v="2"/>
    <n v="0"/>
  </r>
  <r>
    <s v="Discrete AI"/>
    <x v="7"/>
    <x v="4"/>
    <s v="Consumer Electronics"/>
    <s v="Digital Still Camera"/>
    <s v="Semiconductor Revenue M$"/>
    <x v="3"/>
    <n v="0"/>
  </r>
  <r>
    <s v="Discrete AI"/>
    <x v="7"/>
    <x v="4"/>
    <s v="Consumer Electronics"/>
    <s v="Digital Still Camera"/>
    <s v="Semiconductor Revenue M$"/>
    <x v="4"/>
    <n v="0"/>
  </r>
  <r>
    <s v="Discrete AI"/>
    <x v="7"/>
    <x v="4"/>
    <s v="Consumer Electronics"/>
    <s v="Digital Still Camera"/>
    <s v="Semiconductor Revenue M$"/>
    <x v="5"/>
    <n v="0"/>
  </r>
  <r>
    <s v="Discrete AI"/>
    <x v="7"/>
    <x v="4"/>
    <s v="Consumer Electronics"/>
    <s v="Digital Still Camera"/>
    <s v="Semiconductor Revenue M$"/>
    <x v="6"/>
    <n v="0"/>
  </r>
  <r>
    <s v="Discrete AI"/>
    <x v="7"/>
    <x v="5"/>
    <s v="Industrial Electronics"/>
    <s v="Agriculture"/>
    <s v="Semiconductor Revenue M$"/>
    <x v="0"/>
    <n v="0"/>
  </r>
  <r>
    <s v="Discrete AI"/>
    <x v="7"/>
    <x v="5"/>
    <s v="Industrial Electronics"/>
    <s v="Agriculture"/>
    <s v="Semiconductor Revenue M$"/>
    <x v="1"/>
    <n v="0"/>
  </r>
  <r>
    <s v="Discrete AI"/>
    <x v="7"/>
    <x v="5"/>
    <s v="Industrial Electronics"/>
    <s v="Agriculture"/>
    <s v="Semiconductor Revenue M$"/>
    <x v="2"/>
    <n v="0"/>
  </r>
  <r>
    <s v="Discrete AI"/>
    <x v="7"/>
    <x v="5"/>
    <s v="Industrial Electronics"/>
    <s v="Agriculture"/>
    <s v="Semiconductor Revenue M$"/>
    <x v="3"/>
    <n v="0"/>
  </r>
  <r>
    <s v="Discrete AI"/>
    <x v="7"/>
    <x v="5"/>
    <s v="Industrial Electronics"/>
    <s v="Agriculture"/>
    <s v="Semiconductor Revenue M$"/>
    <x v="4"/>
    <n v="0"/>
  </r>
  <r>
    <s v="Discrete AI"/>
    <x v="7"/>
    <x v="5"/>
    <s v="Industrial Electronics"/>
    <s v="Agriculture"/>
    <s v="Semiconductor Revenue M$"/>
    <x v="5"/>
    <n v="0"/>
  </r>
  <r>
    <s v="Discrete AI"/>
    <x v="7"/>
    <x v="5"/>
    <s v="Industrial Electronics"/>
    <s v="Agriculture"/>
    <s v="Semiconductor Revenue M$"/>
    <x v="6"/>
    <n v="0"/>
  </r>
  <r>
    <s v="Discrete AI"/>
    <x v="7"/>
    <x v="3"/>
    <s v="Automotive Electronics"/>
    <s v="Automotive HPC"/>
    <s v="Semiconductor Revenue M$"/>
    <x v="0"/>
    <n v="0"/>
  </r>
  <r>
    <s v="Discrete AI"/>
    <x v="7"/>
    <x v="3"/>
    <s v="Automotive Electronics"/>
    <s v="Automotive HPC"/>
    <s v="Semiconductor Revenue M$"/>
    <x v="1"/>
    <n v="0"/>
  </r>
  <r>
    <s v="Discrete AI"/>
    <x v="7"/>
    <x v="3"/>
    <s v="Automotive Electronics"/>
    <s v="Automotive HPC"/>
    <s v="Semiconductor Revenue M$"/>
    <x v="2"/>
    <n v="0"/>
  </r>
  <r>
    <s v="Discrete AI"/>
    <x v="7"/>
    <x v="3"/>
    <s v="Automotive Electronics"/>
    <s v="Automotive HPC"/>
    <s v="Semiconductor Revenue M$"/>
    <x v="3"/>
    <n v="0"/>
  </r>
  <r>
    <s v="Discrete AI"/>
    <x v="7"/>
    <x v="3"/>
    <s v="Automotive Electronics"/>
    <s v="Automotive HPC"/>
    <s v="Semiconductor Revenue M$"/>
    <x v="4"/>
    <n v="0"/>
  </r>
  <r>
    <s v="Discrete AI"/>
    <x v="7"/>
    <x v="3"/>
    <s v="Automotive Electronics"/>
    <s v="Automotive HPC"/>
    <s v="Semiconductor Revenue M$"/>
    <x v="5"/>
    <n v="0"/>
  </r>
  <r>
    <s v="Discrete AI"/>
    <x v="7"/>
    <x v="3"/>
    <s v="Automotive Electronics"/>
    <s v="Automotive HPC"/>
    <s v="Semiconductor Revenue M$"/>
    <x v="6"/>
    <n v="0"/>
  </r>
  <r>
    <s v="Discrete AI"/>
    <x v="7"/>
    <x v="5"/>
    <s v="Industrial Electronics"/>
    <s v="Surveillance"/>
    <s v="Semiconductor Revenue M$"/>
    <x v="0"/>
    <n v="0"/>
  </r>
  <r>
    <s v="Discrete AI"/>
    <x v="7"/>
    <x v="5"/>
    <s v="Industrial Electronics"/>
    <s v="Surveillance"/>
    <s v="Semiconductor Revenue M$"/>
    <x v="1"/>
    <n v="0"/>
  </r>
  <r>
    <s v="Discrete AI"/>
    <x v="7"/>
    <x v="5"/>
    <s v="Industrial Electronics"/>
    <s v="Surveillance"/>
    <s v="Semiconductor Revenue M$"/>
    <x v="2"/>
    <n v="0"/>
  </r>
  <r>
    <s v="Discrete AI"/>
    <x v="7"/>
    <x v="5"/>
    <s v="Industrial Electronics"/>
    <s v="Surveillance"/>
    <s v="Semiconductor Revenue M$"/>
    <x v="3"/>
    <n v="0"/>
  </r>
  <r>
    <s v="Discrete AI"/>
    <x v="7"/>
    <x v="5"/>
    <s v="Industrial Electronics"/>
    <s v="Surveillance"/>
    <s v="Semiconductor Revenue M$"/>
    <x v="4"/>
    <n v="0"/>
  </r>
  <r>
    <s v="Discrete AI"/>
    <x v="7"/>
    <x v="5"/>
    <s v="Industrial Electronics"/>
    <s v="Surveillance"/>
    <s v="Semiconductor Revenue M$"/>
    <x v="5"/>
    <n v="0"/>
  </r>
  <r>
    <s v="Discrete AI"/>
    <x v="7"/>
    <x v="5"/>
    <s v="Industrial Electronics"/>
    <s v="Surveillance"/>
    <s v="Semiconductor Revenue M$"/>
    <x v="6"/>
    <n v="0"/>
  </r>
  <r>
    <s v="Discrete AI"/>
    <x v="7"/>
    <x v="4"/>
    <s v="Consumer Electronics"/>
    <s v="Portable Media Players"/>
    <s v="Semiconductor Revenue M$"/>
    <x v="0"/>
    <n v="0"/>
  </r>
  <r>
    <s v="Discrete AI"/>
    <x v="7"/>
    <x v="4"/>
    <s v="Consumer Electronics"/>
    <s v="Portable Media Players"/>
    <s v="Semiconductor Revenue M$"/>
    <x v="1"/>
    <n v="0"/>
  </r>
  <r>
    <s v="Discrete AI"/>
    <x v="7"/>
    <x v="4"/>
    <s v="Consumer Electronics"/>
    <s v="Portable Media Players"/>
    <s v="Semiconductor Revenue M$"/>
    <x v="2"/>
    <n v="0"/>
  </r>
  <r>
    <s v="Discrete AI"/>
    <x v="7"/>
    <x v="4"/>
    <s v="Consumer Electronics"/>
    <s v="Portable Media Players"/>
    <s v="Semiconductor Revenue M$"/>
    <x v="3"/>
    <n v="0"/>
  </r>
  <r>
    <s v="Discrete AI"/>
    <x v="7"/>
    <x v="4"/>
    <s v="Consumer Electronics"/>
    <s v="Portable Media Players"/>
    <s v="Semiconductor Revenue M$"/>
    <x v="4"/>
    <n v="0"/>
  </r>
  <r>
    <s v="Discrete AI"/>
    <x v="7"/>
    <x v="4"/>
    <s v="Consumer Electronics"/>
    <s v="Portable Media Players"/>
    <s v="Semiconductor Revenue M$"/>
    <x v="5"/>
    <n v="0"/>
  </r>
  <r>
    <s v="Discrete AI"/>
    <x v="7"/>
    <x v="4"/>
    <s v="Consumer Electronics"/>
    <s v="Portable Media Players"/>
    <s v="Semiconductor Revenue M$"/>
    <x v="6"/>
    <n v="0"/>
  </r>
  <r>
    <s v="Discrete AI"/>
    <x v="7"/>
    <x v="4"/>
    <s v="Consumer Electronics"/>
    <s v="Smart Speakers"/>
    <s v="Semiconductor Revenue M$"/>
    <x v="0"/>
    <n v="0"/>
  </r>
  <r>
    <s v="Discrete AI"/>
    <x v="7"/>
    <x v="4"/>
    <s v="Consumer Electronics"/>
    <s v="Smart Speakers"/>
    <s v="Semiconductor Revenue M$"/>
    <x v="1"/>
    <n v="0"/>
  </r>
  <r>
    <s v="Discrete AI"/>
    <x v="7"/>
    <x v="4"/>
    <s v="Consumer Electronics"/>
    <s v="Smart Speakers"/>
    <s v="Semiconductor Revenue M$"/>
    <x v="2"/>
    <n v="0"/>
  </r>
  <r>
    <s v="Discrete AI"/>
    <x v="7"/>
    <x v="4"/>
    <s v="Consumer Electronics"/>
    <s v="Smart Speakers"/>
    <s v="Semiconductor Revenue M$"/>
    <x v="3"/>
    <n v="0"/>
  </r>
  <r>
    <s v="Discrete AI"/>
    <x v="7"/>
    <x v="4"/>
    <s v="Consumer Electronics"/>
    <s v="Smart Speakers"/>
    <s v="Semiconductor Revenue M$"/>
    <x v="4"/>
    <n v="0"/>
  </r>
  <r>
    <s v="Discrete AI"/>
    <x v="7"/>
    <x v="4"/>
    <s v="Consumer Electronics"/>
    <s v="Smart Speakers"/>
    <s v="Semiconductor Revenue M$"/>
    <x v="5"/>
    <n v="0"/>
  </r>
  <r>
    <s v="Discrete AI"/>
    <x v="7"/>
    <x v="4"/>
    <s v="Consumer Electronics"/>
    <s v="Smart Speakers"/>
    <s v="Semiconductor Revenue M$"/>
    <x v="6"/>
    <n v="0"/>
  </r>
  <r>
    <s v="Discrete AI"/>
    <x v="7"/>
    <x v="4"/>
    <s v="Consumer Electronics"/>
    <s v="TV, Standard"/>
    <s v="Semiconductor Revenue M$"/>
    <x v="0"/>
    <n v="0"/>
  </r>
  <r>
    <s v="Discrete AI"/>
    <x v="7"/>
    <x v="4"/>
    <s v="Consumer Electronics"/>
    <s v="TV, Standard"/>
    <s v="Semiconductor Revenue M$"/>
    <x v="1"/>
    <n v="0"/>
  </r>
  <r>
    <s v="Discrete AI"/>
    <x v="7"/>
    <x v="4"/>
    <s v="Consumer Electronics"/>
    <s v="TV, Standard"/>
    <s v="Semiconductor Revenue M$"/>
    <x v="2"/>
    <n v="0"/>
  </r>
  <r>
    <s v="Discrete AI"/>
    <x v="7"/>
    <x v="4"/>
    <s v="Consumer Electronics"/>
    <s v="TV, Standard"/>
    <s v="Semiconductor Revenue M$"/>
    <x v="3"/>
    <n v="0"/>
  </r>
  <r>
    <s v="Discrete AI"/>
    <x v="7"/>
    <x v="4"/>
    <s v="Consumer Electronics"/>
    <s v="TV, Standard"/>
    <s v="Semiconductor Revenue M$"/>
    <x v="4"/>
    <n v="0"/>
  </r>
  <r>
    <s v="Discrete AI"/>
    <x v="7"/>
    <x v="4"/>
    <s v="Consumer Electronics"/>
    <s v="TV, Standard"/>
    <s v="Semiconductor Revenue M$"/>
    <x v="5"/>
    <n v="0"/>
  </r>
  <r>
    <s v="Discrete AI"/>
    <x v="7"/>
    <x v="4"/>
    <s v="Consumer Electronics"/>
    <s v="TV, Standard"/>
    <s v="Semiconductor Revenue M$"/>
    <x v="6"/>
    <n v="0"/>
  </r>
  <r>
    <s v="Discrete AI"/>
    <x v="7"/>
    <x v="4"/>
    <s v="Consumer Electronics"/>
    <s v="TV, Smart"/>
    <s v="Semiconductor Revenue M$"/>
    <x v="0"/>
    <n v="0"/>
  </r>
  <r>
    <s v="Discrete AI"/>
    <x v="7"/>
    <x v="4"/>
    <s v="Consumer Electronics"/>
    <s v="TV, Smart"/>
    <s v="Semiconductor Revenue M$"/>
    <x v="1"/>
    <n v="0"/>
  </r>
  <r>
    <s v="Discrete AI"/>
    <x v="7"/>
    <x v="4"/>
    <s v="Consumer Electronics"/>
    <s v="TV, Smart"/>
    <s v="Semiconductor Revenue M$"/>
    <x v="2"/>
    <n v="0"/>
  </r>
  <r>
    <s v="Discrete AI"/>
    <x v="7"/>
    <x v="4"/>
    <s v="Consumer Electronics"/>
    <s v="TV, Smart"/>
    <s v="Semiconductor Revenue M$"/>
    <x v="3"/>
    <n v="0"/>
  </r>
  <r>
    <s v="Discrete AI"/>
    <x v="7"/>
    <x v="4"/>
    <s v="Consumer Electronics"/>
    <s v="TV, Smart"/>
    <s v="Semiconductor Revenue M$"/>
    <x v="4"/>
    <n v="0"/>
  </r>
  <r>
    <s v="Discrete AI"/>
    <x v="7"/>
    <x v="4"/>
    <s v="Consumer Electronics"/>
    <s v="TV, Smart"/>
    <s v="Semiconductor Revenue M$"/>
    <x v="5"/>
    <n v="0"/>
  </r>
  <r>
    <s v="Discrete AI"/>
    <x v="7"/>
    <x v="4"/>
    <s v="Consumer Electronics"/>
    <s v="TV, Smart"/>
    <s v="Semiconductor Revenue M$"/>
    <x v="6"/>
    <n v="0"/>
  </r>
  <r>
    <s v="Discrete AI"/>
    <x v="7"/>
    <x v="4"/>
    <s v="Consumer Electronics"/>
    <s v="Video Game Consoles"/>
    <s v="Semiconductor Revenue M$"/>
    <x v="0"/>
    <n v="0"/>
  </r>
  <r>
    <s v="Discrete AI"/>
    <x v="7"/>
    <x v="4"/>
    <s v="Consumer Electronics"/>
    <s v="Video Game Consoles"/>
    <s v="Semiconductor Revenue M$"/>
    <x v="1"/>
    <n v="0"/>
  </r>
  <r>
    <s v="Discrete AI"/>
    <x v="7"/>
    <x v="4"/>
    <s v="Consumer Electronics"/>
    <s v="Video Game Consoles"/>
    <s v="Semiconductor Revenue M$"/>
    <x v="2"/>
    <n v="0"/>
  </r>
  <r>
    <s v="Discrete AI"/>
    <x v="7"/>
    <x v="4"/>
    <s v="Consumer Electronics"/>
    <s v="Video Game Consoles"/>
    <s v="Semiconductor Revenue M$"/>
    <x v="3"/>
    <n v="0"/>
  </r>
  <r>
    <s v="Discrete AI"/>
    <x v="7"/>
    <x v="4"/>
    <s v="Consumer Electronics"/>
    <s v="Video Game Consoles"/>
    <s v="Semiconductor Revenue M$"/>
    <x v="4"/>
    <n v="0"/>
  </r>
  <r>
    <s v="Discrete AI"/>
    <x v="7"/>
    <x v="4"/>
    <s v="Consumer Electronics"/>
    <s v="Video Game Consoles"/>
    <s v="Semiconductor Revenue M$"/>
    <x v="5"/>
    <n v="0"/>
  </r>
  <r>
    <s v="Discrete AI"/>
    <x v="7"/>
    <x v="4"/>
    <s v="Consumer Electronics"/>
    <s v="Video Game Consoles"/>
    <s v="Semiconductor Revenue M$"/>
    <x v="6"/>
    <n v="0"/>
  </r>
  <r>
    <s v="Discrete AI"/>
    <x v="7"/>
    <x v="4"/>
    <s v="Consumer Electronics"/>
    <s v="Video Game Handhelds"/>
    <s v="Semiconductor Revenue M$"/>
    <x v="0"/>
    <n v="0"/>
  </r>
  <r>
    <s v="Discrete AI"/>
    <x v="7"/>
    <x v="4"/>
    <s v="Consumer Electronics"/>
    <s v="Video Game Handhelds"/>
    <s v="Semiconductor Revenue M$"/>
    <x v="1"/>
    <n v="0"/>
  </r>
  <r>
    <s v="Discrete AI"/>
    <x v="7"/>
    <x v="4"/>
    <s v="Consumer Electronics"/>
    <s v="Video Game Handhelds"/>
    <s v="Semiconductor Revenue M$"/>
    <x v="2"/>
    <n v="0"/>
  </r>
  <r>
    <s v="Discrete AI"/>
    <x v="7"/>
    <x v="4"/>
    <s v="Consumer Electronics"/>
    <s v="Video Game Handhelds"/>
    <s v="Semiconductor Revenue M$"/>
    <x v="3"/>
    <n v="0"/>
  </r>
  <r>
    <s v="Discrete AI"/>
    <x v="7"/>
    <x v="4"/>
    <s v="Consumer Electronics"/>
    <s v="Video Game Handhelds"/>
    <s v="Semiconductor Revenue M$"/>
    <x v="4"/>
    <n v="0"/>
  </r>
  <r>
    <s v="Discrete AI"/>
    <x v="7"/>
    <x v="4"/>
    <s v="Consumer Electronics"/>
    <s v="Video Game Handhelds"/>
    <s v="Semiconductor Revenue M$"/>
    <x v="5"/>
    <n v="0"/>
  </r>
  <r>
    <s v="Discrete AI"/>
    <x v="7"/>
    <x v="4"/>
    <s v="Consumer Electronics"/>
    <s v="Video Game Handhelds"/>
    <s v="Semiconductor Revenue M$"/>
    <x v="6"/>
    <n v="0"/>
  </r>
  <r>
    <s v="Discrete AI"/>
    <x v="7"/>
    <x v="4"/>
    <s v="Consumer Electronics"/>
    <s v="Wristbands"/>
    <s v="Semiconductor Revenue M$"/>
    <x v="0"/>
    <n v="0"/>
  </r>
  <r>
    <s v="Discrete AI"/>
    <x v="7"/>
    <x v="4"/>
    <s v="Consumer Electronics"/>
    <s v="Wristbands"/>
    <s v="Semiconductor Revenue M$"/>
    <x v="1"/>
    <n v="0"/>
  </r>
  <r>
    <s v="Discrete AI"/>
    <x v="7"/>
    <x v="4"/>
    <s v="Consumer Electronics"/>
    <s v="Wristbands"/>
    <s v="Semiconductor Revenue M$"/>
    <x v="2"/>
    <n v="0"/>
  </r>
  <r>
    <s v="Discrete AI"/>
    <x v="7"/>
    <x v="4"/>
    <s v="Consumer Electronics"/>
    <s v="Wristbands"/>
    <s v="Semiconductor Revenue M$"/>
    <x v="3"/>
    <n v="0"/>
  </r>
  <r>
    <s v="Discrete AI"/>
    <x v="7"/>
    <x v="4"/>
    <s v="Consumer Electronics"/>
    <s v="Wristbands"/>
    <s v="Semiconductor Revenue M$"/>
    <x v="4"/>
    <n v="0"/>
  </r>
  <r>
    <s v="Discrete AI"/>
    <x v="7"/>
    <x v="4"/>
    <s v="Consumer Electronics"/>
    <s v="Wristbands"/>
    <s v="Semiconductor Revenue M$"/>
    <x v="5"/>
    <n v="0"/>
  </r>
  <r>
    <s v="Discrete AI"/>
    <x v="7"/>
    <x v="4"/>
    <s v="Consumer Electronics"/>
    <s v="Wristbands"/>
    <s v="Semiconductor Revenue M$"/>
    <x v="6"/>
    <n v="0"/>
  </r>
  <r>
    <s v="Discrete AI"/>
    <x v="7"/>
    <x v="4"/>
    <s v="Consumer Electronics"/>
    <s v="Head Mounted Display"/>
    <s v="Semiconductor Revenue M$"/>
    <x v="0"/>
    <n v="0"/>
  </r>
  <r>
    <s v="Discrete AI"/>
    <x v="7"/>
    <x v="4"/>
    <s v="Consumer Electronics"/>
    <s v="Head Mounted Display"/>
    <s v="Semiconductor Revenue M$"/>
    <x v="1"/>
    <n v="0"/>
  </r>
  <r>
    <s v="Discrete AI"/>
    <x v="7"/>
    <x v="4"/>
    <s v="Consumer Electronics"/>
    <s v="Head Mounted Display"/>
    <s v="Semiconductor Revenue M$"/>
    <x v="2"/>
    <n v="0"/>
  </r>
  <r>
    <s v="Discrete AI"/>
    <x v="7"/>
    <x v="4"/>
    <s v="Consumer Electronics"/>
    <s v="Head Mounted Display"/>
    <s v="Semiconductor Revenue M$"/>
    <x v="3"/>
    <n v="0"/>
  </r>
  <r>
    <s v="Discrete AI"/>
    <x v="7"/>
    <x v="4"/>
    <s v="Consumer Electronics"/>
    <s v="Head Mounted Display"/>
    <s v="Semiconductor Revenue M$"/>
    <x v="4"/>
    <n v="0"/>
  </r>
  <r>
    <s v="Discrete AI"/>
    <x v="7"/>
    <x v="4"/>
    <s v="Consumer Electronics"/>
    <s v="Head Mounted Display"/>
    <s v="Semiconductor Revenue M$"/>
    <x v="5"/>
    <n v="0"/>
  </r>
  <r>
    <s v="Discrete AI"/>
    <x v="7"/>
    <x v="4"/>
    <s v="Consumer Electronics"/>
    <s v="Head Mounted Display"/>
    <s v="Semiconductor Revenue M$"/>
    <x v="6"/>
    <n v="0"/>
  </r>
  <r>
    <s v="Discrete AI"/>
    <x v="7"/>
    <x v="4"/>
    <s v="Consumer Electronics"/>
    <s v="Smart Watches"/>
    <s v="Semiconductor Revenue M$"/>
    <x v="0"/>
    <n v="0"/>
  </r>
  <r>
    <s v="Discrete AI"/>
    <x v="7"/>
    <x v="4"/>
    <s v="Consumer Electronics"/>
    <s v="Smart Watches"/>
    <s v="Semiconductor Revenue M$"/>
    <x v="1"/>
    <n v="0"/>
  </r>
  <r>
    <s v="Discrete AI"/>
    <x v="7"/>
    <x v="4"/>
    <s v="Consumer Electronics"/>
    <s v="Smart Watches"/>
    <s v="Semiconductor Revenue M$"/>
    <x v="2"/>
    <n v="0"/>
  </r>
  <r>
    <s v="Discrete AI"/>
    <x v="7"/>
    <x v="4"/>
    <s v="Consumer Electronics"/>
    <s v="Smart Watches"/>
    <s v="Semiconductor Revenue M$"/>
    <x v="3"/>
    <n v="0"/>
  </r>
  <r>
    <s v="Discrete AI"/>
    <x v="7"/>
    <x v="4"/>
    <s v="Consumer Electronics"/>
    <s v="Smart Watches"/>
    <s v="Semiconductor Revenue M$"/>
    <x v="4"/>
    <n v="0"/>
  </r>
  <r>
    <s v="Discrete AI"/>
    <x v="7"/>
    <x v="4"/>
    <s v="Consumer Electronics"/>
    <s v="Smart Watches"/>
    <s v="Semiconductor Revenue M$"/>
    <x v="5"/>
    <n v="0"/>
  </r>
  <r>
    <s v="Discrete AI"/>
    <x v="7"/>
    <x v="4"/>
    <s v="Consumer Electronics"/>
    <s v="Smart Watches"/>
    <s v="Semiconductor Revenue M$"/>
    <x v="6"/>
    <n v="0"/>
  </r>
  <r>
    <s v="Discrete AI"/>
    <x v="7"/>
    <x v="4"/>
    <s v="Consumer Electronics"/>
    <s v="Sports Watches"/>
    <s v="Semiconductor Revenue M$"/>
    <x v="0"/>
    <n v="0"/>
  </r>
  <r>
    <s v="Discrete AI"/>
    <x v="7"/>
    <x v="4"/>
    <s v="Consumer Electronics"/>
    <s v="Sports Watches"/>
    <s v="Semiconductor Revenue M$"/>
    <x v="1"/>
    <n v="0"/>
  </r>
  <r>
    <s v="Discrete AI"/>
    <x v="7"/>
    <x v="4"/>
    <s v="Consumer Electronics"/>
    <s v="Sports Watches"/>
    <s v="Semiconductor Revenue M$"/>
    <x v="2"/>
    <n v="0"/>
  </r>
  <r>
    <s v="Discrete AI"/>
    <x v="7"/>
    <x v="4"/>
    <s v="Consumer Electronics"/>
    <s v="Sports Watches"/>
    <s v="Semiconductor Revenue M$"/>
    <x v="3"/>
    <n v="0"/>
  </r>
  <r>
    <s v="Discrete AI"/>
    <x v="7"/>
    <x v="4"/>
    <s v="Consumer Electronics"/>
    <s v="Sports Watches"/>
    <s v="Semiconductor Revenue M$"/>
    <x v="4"/>
    <n v="0"/>
  </r>
  <r>
    <s v="Discrete AI"/>
    <x v="7"/>
    <x v="4"/>
    <s v="Consumer Electronics"/>
    <s v="Sports Watches"/>
    <s v="Semiconductor Revenue M$"/>
    <x v="5"/>
    <n v="0"/>
  </r>
  <r>
    <s v="Discrete AI"/>
    <x v="7"/>
    <x v="4"/>
    <s v="Consumer Electronics"/>
    <s v="Sports Watches"/>
    <s v="Semiconductor Revenue M$"/>
    <x v="6"/>
    <n v="0"/>
  </r>
  <r>
    <s v="Discrete AI"/>
    <x v="7"/>
    <x v="4"/>
    <s v="Consumer Electronics"/>
    <s v="Other Consumer Electronics"/>
    <s v="Semiconductor Revenue M$"/>
    <x v="0"/>
    <n v="0"/>
  </r>
  <r>
    <s v="Discrete AI"/>
    <x v="7"/>
    <x v="4"/>
    <s v="Consumer Electronics"/>
    <s v="Other Consumer Electronics"/>
    <s v="Semiconductor Revenue M$"/>
    <x v="1"/>
    <n v="0"/>
  </r>
  <r>
    <s v="Discrete AI"/>
    <x v="7"/>
    <x v="4"/>
    <s v="Consumer Electronics"/>
    <s v="Other Consumer Electronics"/>
    <s v="Semiconductor Revenue M$"/>
    <x v="2"/>
    <n v="0"/>
  </r>
  <r>
    <s v="Discrete AI"/>
    <x v="7"/>
    <x v="4"/>
    <s v="Consumer Electronics"/>
    <s v="Other Consumer Electronics"/>
    <s v="Semiconductor Revenue M$"/>
    <x v="3"/>
    <n v="0"/>
  </r>
  <r>
    <s v="Discrete AI"/>
    <x v="7"/>
    <x v="4"/>
    <s v="Consumer Electronics"/>
    <s v="Other Consumer Electronics"/>
    <s v="Semiconductor Revenue M$"/>
    <x v="4"/>
    <n v="0"/>
  </r>
  <r>
    <s v="Discrete AI"/>
    <x v="7"/>
    <x v="4"/>
    <s v="Consumer Electronics"/>
    <s v="Other Consumer Electronics"/>
    <s v="Semiconductor Revenue M$"/>
    <x v="5"/>
    <n v="0"/>
  </r>
  <r>
    <s v="Discrete AI"/>
    <x v="7"/>
    <x v="4"/>
    <s v="Consumer Electronics"/>
    <s v="Other Consumer Electronics"/>
    <s v="Semiconductor Revenue M$"/>
    <x v="6"/>
    <n v="0"/>
  </r>
  <r>
    <s v="Discrete AI"/>
    <x v="7"/>
    <x v="3"/>
    <s v="Automotive Electronics"/>
    <s v="ADAS-Sensors and Connectivity"/>
    <s v="Semiconductor Revenue M$"/>
    <x v="0"/>
    <n v="0"/>
  </r>
  <r>
    <s v="Discrete AI"/>
    <x v="7"/>
    <x v="3"/>
    <s v="Automotive Electronics"/>
    <s v="ADAS-Sensors and Connectivity"/>
    <s v="Semiconductor Revenue M$"/>
    <x v="1"/>
    <n v="0"/>
  </r>
  <r>
    <s v="Discrete AI"/>
    <x v="7"/>
    <x v="3"/>
    <s v="Automotive Electronics"/>
    <s v="ADAS-Sensors and Connectivity"/>
    <s v="Semiconductor Revenue M$"/>
    <x v="2"/>
    <n v="0"/>
  </r>
  <r>
    <s v="Discrete AI"/>
    <x v="7"/>
    <x v="3"/>
    <s v="Automotive Electronics"/>
    <s v="ADAS-Sensors and Connectivity"/>
    <s v="Semiconductor Revenue M$"/>
    <x v="3"/>
    <n v="0"/>
  </r>
  <r>
    <s v="Discrete AI"/>
    <x v="7"/>
    <x v="3"/>
    <s v="Automotive Electronics"/>
    <s v="ADAS-Sensors and Connectivity"/>
    <s v="Semiconductor Revenue M$"/>
    <x v="4"/>
    <n v="0"/>
  </r>
  <r>
    <s v="Discrete AI"/>
    <x v="7"/>
    <x v="3"/>
    <s v="Automotive Electronics"/>
    <s v="ADAS-Sensors and Connectivity"/>
    <s v="Semiconductor Revenue M$"/>
    <x v="5"/>
    <n v="0"/>
  </r>
  <r>
    <s v="Discrete AI"/>
    <x v="7"/>
    <x v="3"/>
    <s v="Automotive Electronics"/>
    <s v="ADAS-Sensors and Connectivity"/>
    <s v="Semiconductor Revenue M$"/>
    <x v="6"/>
    <n v="0"/>
  </r>
  <r>
    <s v="Discrete AI"/>
    <x v="7"/>
    <x v="3"/>
    <s v="Automotive Electronics"/>
    <s v="Body"/>
    <s v="Semiconductor Revenue M$"/>
    <x v="0"/>
    <n v="0"/>
  </r>
  <r>
    <s v="Discrete AI"/>
    <x v="7"/>
    <x v="3"/>
    <s v="Automotive Electronics"/>
    <s v="Body"/>
    <s v="Semiconductor Revenue M$"/>
    <x v="1"/>
    <n v="0"/>
  </r>
  <r>
    <s v="Discrete AI"/>
    <x v="7"/>
    <x v="3"/>
    <s v="Automotive Electronics"/>
    <s v="Body"/>
    <s v="Semiconductor Revenue M$"/>
    <x v="2"/>
    <n v="0"/>
  </r>
  <r>
    <s v="Discrete AI"/>
    <x v="7"/>
    <x v="3"/>
    <s v="Automotive Electronics"/>
    <s v="Body"/>
    <s v="Semiconductor Revenue M$"/>
    <x v="3"/>
    <n v="0"/>
  </r>
  <r>
    <s v="Discrete AI"/>
    <x v="7"/>
    <x v="3"/>
    <s v="Automotive Electronics"/>
    <s v="Body"/>
    <s v="Semiconductor Revenue M$"/>
    <x v="4"/>
    <n v="0"/>
  </r>
  <r>
    <s v="Discrete AI"/>
    <x v="7"/>
    <x v="3"/>
    <s v="Automotive Electronics"/>
    <s v="Body"/>
    <s v="Semiconductor Revenue M$"/>
    <x v="5"/>
    <n v="0"/>
  </r>
  <r>
    <s v="Discrete AI"/>
    <x v="7"/>
    <x v="3"/>
    <s v="Automotive Electronics"/>
    <s v="Body"/>
    <s v="Semiconductor Revenue M$"/>
    <x v="6"/>
    <n v="0"/>
  </r>
  <r>
    <s v="Discrete AI"/>
    <x v="7"/>
    <x v="3"/>
    <s v="Automotive Electronics"/>
    <s v="Chassis"/>
    <s v="Semiconductor Revenue M$"/>
    <x v="0"/>
    <n v="0"/>
  </r>
  <r>
    <s v="Discrete AI"/>
    <x v="7"/>
    <x v="3"/>
    <s v="Automotive Electronics"/>
    <s v="Chassis"/>
    <s v="Semiconductor Revenue M$"/>
    <x v="1"/>
    <n v="0"/>
  </r>
  <r>
    <s v="Discrete AI"/>
    <x v="7"/>
    <x v="3"/>
    <s v="Automotive Electronics"/>
    <s v="Chassis"/>
    <s v="Semiconductor Revenue M$"/>
    <x v="2"/>
    <n v="0"/>
  </r>
  <r>
    <s v="Discrete AI"/>
    <x v="7"/>
    <x v="3"/>
    <s v="Automotive Electronics"/>
    <s v="Chassis"/>
    <s v="Semiconductor Revenue M$"/>
    <x v="3"/>
    <n v="0"/>
  </r>
  <r>
    <s v="Discrete AI"/>
    <x v="7"/>
    <x v="3"/>
    <s v="Automotive Electronics"/>
    <s v="Chassis"/>
    <s v="Semiconductor Revenue M$"/>
    <x v="4"/>
    <n v="0"/>
  </r>
  <r>
    <s v="Discrete AI"/>
    <x v="7"/>
    <x v="3"/>
    <s v="Automotive Electronics"/>
    <s v="Chassis"/>
    <s v="Semiconductor Revenue M$"/>
    <x v="5"/>
    <n v="0"/>
  </r>
  <r>
    <s v="Discrete AI"/>
    <x v="7"/>
    <x v="3"/>
    <s v="Automotive Electronics"/>
    <s v="Chassis"/>
    <s v="Semiconductor Revenue M$"/>
    <x v="6"/>
    <n v="0"/>
  </r>
  <r>
    <s v="Discrete AI"/>
    <x v="7"/>
    <x v="3"/>
    <s v="Automotive Electronics"/>
    <s v="EV/HEV"/>
    <s v="Semiconductor Revenue M$"/>
    <x v="0"/>
    <n v="0"/>
  </r>
  <r>
    <s v="Discrete AI"/>
    <x v="7"/>
    <x v="3"/>
    <s v="Automotive Electronics"/>
    <s v="EV/HEV"/>
    <s v="Semiconductor Revenue M$"/>
    <x v="1"/>
    <n v="0"/>
  </r>
  <r>
    <s v="Discrete AI"/>
    <x v="7"/>
    <x v="3"/>
    <s v="Automotive Electronics"/>
    <s v="EV/HEV"/>
    <s v="Semiconductor Revenue M$"/>
    <x v="2"/>
    <n v="0"/>
  </r>
  <r>
    <s v="Discrete AI"/>
    <x v="7"/>
    <x v="3"/>
    <s v="Automotive Electronics"/>
    <s v="EV/HEV"/>
    <s v="Semiconductor Revenue M$"/>
    <x v="3"/>
    <n v="0"/>
  </r>
  <r>
    <s v="Discrete AI"/>
    <x v="7"/>
    <x v="3"/>
    <s v="Automotive Electronics"/>
    <s v="EV/HEV"/>
    <s v="Semiconductor Revenue M$"/>
    <x v="4"/>
    <n v="0"/>
  </r>
  <r>
    <s v="Discrete AI"/>
    <x v="7"/>
    <x v="3"/>
    <s v="Automotive Electronics"/>
    <s v="EV/HEV"/>
    <s v="Semiconductor Revenue M$"/>
    <x v="5"/>
    <n v="0"/>
  </r>
  <r>
    <s v="Discrete AI"/>
    <x v="7"/>
    <x v="3"/>
    <s v="Automotive Electronics"/>
    <s v="EV/HEV"/>
    <s v="Semiconductor Revenue M$"/>
    <x v="6"/>
    <n v="0"/>
  </r>
  <r>
    <s v="Discrete AI"/>
    <x v="7"/>
    <x v="3"/>
    <s v="Automotive Electronics"/>
    <s v="Infotainment"/>
    <s v="Semiconductor Revenue M$"/>
    <x v="0"/>
    <n v="0"/>
  </r>
  <r>
    <s v="Discrete AI"/>
    <x v="7"/>
    <x v="3"/>
    <s v="Automotive Electronics"/>
    <s v="Infotainment"/>
    <s v="Semiconductor Revenue M$"/>
    <x v="1"/>
    <n v="0"/>
  </r>
  <r>
    <s v="Discrete AI"/>
    <x v="7"/>
    <x v="3"/>
    <s v="Automotive Electronics"/>
    <s v="Infotainment"/>
    <s v="Semiconductor Revenue M$"/>
    <x v="2"/>
    <n v="0"/>
  </r>
  <r>
    <s v="Discrete AI"/>
    <x v="7"/>
    <x v="3"/>
    <s v="Automotive Electronics"/>
    <s v="Infotainment"/>
    <s v="Semiconductor Revenue M$"/>
    <x v="3"/>
    <n v="0"/>
  </r>
  <r>
    <s v="Discrete AI"/>
    <x v="7"/>
    <x v="3"/>
    <s v="Automotive Electronics"/>
    <s v="Infotainment"/>
    <s v="Semiconductor Revenue M$"/>
    <x v="4"/>
    <n v="0"/>
  </r>
  <r>
    <s v="Discrete AI"/>
    <x v="7"/>
    <x v="3"/>
    <s v="Automotive Electronics"/>
    <s v="Infotainment"/>
    <s v="Semiconductor Revenue M$"/>
    <x v="5"/>
    <n v="0"/>
  </r>
  <r>
    <s v="Discrete AI"/>
    <x v="7"/>
    <x v="3"/>
    <s v="Automotive Electronics"/>
    <s v="Infotainment"/>
    <s v="Semiconductor Revenue M$"/>
    <x v="6"/>
    <n v="0"/>
  </r>
  <r>
    <s v="Discrete AI"/>
    <x v="7"/>
    <x v="3"/>
    <s v="Automotive Electronics"/>
    <s v="Instrument Cluster"/>
    <s v="Semiconductor Revenue M$"/>
    <x v="0"/>
    <n v="0"/>
  </r>
  <r>
    <s v="Discrete AI"/>
    <x v="7"/>
    <x v="3"/>
    <s v="Automotive Electronics"/>
    <s v="Instrument Cluster"/>
    <s v="Semiconductor Revenue M$"/>
    <x v="1"/>
    <n v="0"/>
  </r>
  <r>
    <s v="Discrete AI"/>
    <x v="7"/>
    <x v="3"/>
    <s v="Automotive Electronics"/>
    <s v="Instrument Cluster"/>
    <s v="Semiconductor Revenue M$"/>
    <x v="2"/>
    <n v="0"/>
  </r>
  <r>
    <s v="Discrete AI"/>
    <x v="7"/>
    <x v="3"/>
    <s v="Automotive Electronics"/>
    <s v="Instrument Cluster"/>
    <s v="Semiconductor Revenue M$"/>
    <x v="3"/>
    <n v="0"/>
  </r>
  <r>
    <s v="Discrete AI"/>
    <x v="7"/>
    <x v="3"/>
    <s v="Automotive Electronics"/>
    <s v="Instrument Cluster"/>
    <s v="Semiconductor Revenue M$"/>
    <x v="4"/>
    <n v="0"/>
  </r>
  <r>
    <s v="Discrete AI"/>
    <x v="7"/>
    <x v="3"/>
    <s v="Automotive Electronics"/>
    <s v="Instrument Cluster"/>
    <s v="Semiconductor Revenue M$"/>
    <x v="5"/>
    <n v="0"/>
  </r>
  <r>
    <s v="Discrete AI"/>
    <x v="7"/>
    <x v="3"/>
    <s v="Automotive Electronics"/>
    <s v="Instrument Cluster"/>
    <s v="Semiconductor Revenue M$"/>
    <x v="6"/>
    <n v="0"/>
  </r>
  <r>
    <s v="Discrete AI"/>
    <x v="7"/>
    <x v="3"/>
    <s v="Automotive Electronics"/>
    <s v="Powertrain"/>
    <s v="Semiconductor Revenue M$"/>
    <x v="0"/>
    <n v="0"/>
  </r>
  <r>
    <s v="Discrete AI"/>
    <x v="7"/>
    <x v="3"/>
    <s v="Automotive Electronics"/>
    <s v="Powertrain"/>
    <s v="Semiconductor Revenue M$"/>
    <x v="1"/>
    <n v="0"/>
  </r>
  <r>
    <s v="Discrete AI"/>
    <x v="7"/>
    <x v="3"/>
    <s v="Automotive Electronics"/>
    <s v="Powertrain"/>
    <s v="Semiconductor Revenue M$"/>
    <x v="2"/>
    <n v="0"/>
  </r>
  <r>
    <s v="Discrete AI"/>
    <x v="7"/>
    <x v="3"/>
    <s v="Automotive Electronics"/>
    <s v="Powertrain"/>
    <s v="Semiconductor Revenue M$"/>
    <x v="3"/>
    <n v="0"/>
  </r>
  <r>
    <s v="Discrete AI"/>
    <x v="7"/>
    <x v="3"/>
    <s v="Automotive Electronics"/>
    <s v="Powertrain"/>
    <s v="Semiconductor Revenue M$"/>
    <x v="4"/>
    <n v="0"/>
  </r>
  <r>
    <s v="Discrete AI"/>
    <x v="7"/>
    <x v="3"/>
    <s v="Automotive Electronics"/>
    <s v="Powertrain"/>
    <s v="Semiconductor Revenue M$"/>
    <x v="5"/>
    <n v="0"/>
  </r>
  <r>
    <s v="Discrete AI"/>
    <x v="7"/>
    <x v="3"/>
    <s v="Automotive Electronics"/>
    <s v="Powertrain"/>
    <s v="Semiconductor Revenue M$"/>
    <x v="6"/>
    <n v="0"/>
  </r>
  <r>
    <s v="Discrete AI"/>
    <x v="7"/>
    <x v="3"/>
    <s v="Automotive Electronics"/>
    <s v="Safety"/>
    <s v="Semiconductor Revenue M$"/>
    <x v="0"/>
    <n v="0"/>
  </r>
  <r>
    <s v="Discrete AI"/>
    <x v="7"/>
    <x v="3"/>
    <s v="Automotive Electronics"/>
    <s v="Safety"/>
    <s v="Semiconductor Revenue M$"/>
    <x v="1"/>
    <n v="0"/>
  </r>
  <r>
    <s v="Discrete AI"/>
    <x v="7"/>
    <x v="3"/>
    <s v="Automotive Electronics"/>
    <s v="Safety"/>
    <s v="Semiconductor Revenue M$"/>
    <x v="2"/>
    <n v="0"/>
  </r>
  <r>
    <s v="Discrete AI"/>
    <x v="7"/>
    <x v="3"/>
    <s v="Automotive Electronics"/>
    <s v="Safety"/>
    <s v="Semiconductor Revenue M$"/>
    <x v="3"/>
    <n v="0"/>
  </r>
  <r>
    <s v="Discrete AI"/>
    <x v="7"/>
    <x v="3"/>
    <s v="Automotive Electronics"/>
    <s v="Safety"/>
    <s v="Semiconductor Revenue M$"/>
    <x v="4"/>
    <n v="0"/>
  </r>
  <r>
    <s v="Discrete AI"/>
    <x v="7"/>
    <x v="3"/>
    <s v="Automotive Electronics"/>
    <s v="Safety"/>
    <s v="Semiconductor Revenue M$"/>
    <x v="5"/>
    <n v="0"/>
  </r>
  <r>
    <s v="Discrete AI"/>
    <x v="7"/>
    <x v="3"/>
    <s v="Automotive Electronics"/>
    <s v="Safety"/>
    <s v="Semiconductor Revenue M$"/>
    <x v="6"/>
    <n v="0"/>
  </r>
  <r>
    <s v="Discrete AI"/>
    <x v="7"/>
    <x v="3"/>
    <s v="Automotive Electronics"/>
    <s v="Aftermarket"/>
    <s v="Semiconductor Revenue M$"/>
    <x v="0"/>
    <n v="0"/>
  </r>
  <r>
    <s v="Discrete AI"/>
    <x v="7"/>
    <x v="3"/>
    <s v="Automotive Electronics"/>
    <s v="Aftermarket"/>
    <s v="Semiconductor Revenue M$"/>
    <x v="1"/>
    <n v="0"/>
  </r>
  <r>
    <s v="Discrete AI"/>
    <x v="7"/>
    <x v="3"/>
    <s v="Automotive Electronics"/>
    <s v="Aftermarket"/>
    <s v="Semiconductor Revenue M$"/>
    <x v="2"/>
    <n v="0"/>
  </r>
  <r>
    <s v="Discrete AI"/>
    <x v="7"/>
    <x v="3"/>
    <s v="Automotive Electronics"/>
    <s v="Aftermarket"/>
    <s v="Semiconductor Revenue M$"/>
    <x v="3"/>
    <n v="0"/>
  </r>
  <r>
    <s v="Discrete AI"/>
    <x v="7"/>
    <x v="3"/>
    <s v="Automotive Electronics"/>
    <s v="Aftermarket"/>
    <s v="Semiconductor Revenue M$"/>
    <x v="4"/>
    <n v="0"/>
  </r>
  <r>
    <s v="Discrete AI"/>
    <x v="7"/>
    <x v="3"/>
    <s v="Automotive Electronics"/>
    <s v="Aftermarket"/>
    <s v="Semiconductor Revenue M$"/>
    <x v="5"/>
    <n v="0"/>
  </r>
  <r>
    <s v="Discrete AI"/>
    <x v="7"/>
    <x v="3"/>
    <s v="Automotive Electronics"/>
    <s v="Aftermarket"/>
    <s v="Semiconductor Revenue M$"/>
    <x v="6"/>
    <n v="0"/>
  </r>
  <r>
    <s v="Discrete AI"/>
    <x v="7"/>
    <x v="5"/>
    <s v="Industrial Electronics"/>
    <s v="Commercial Amusement"/>
    <s v="Semiconductor Revenue M$"/>
    <x v="0"/>
    <n v="0"/>
  </r>
  <r>
    <s v="Discrete AI"/>
    <x v="7"/>
    <x v="5"/>
    <s v="Industrial Electronics"/>
    <s v="Commercial Amusement"/>
    <s v="Semiconductor Revenue M$"/>
    <x v="1"/>
    <n v="0"/>
  </r>
  <r>
    <s v="Discrete AI"/>
    <x v="7"/>
    <x v="5"/>
    <s v="Industrial Electronics"/>
    <s v="Commercial Amusement"/>
    <s v="Semiconductor Revenue M$"/>
    <x v="2"/>
    <n v="0"/>
  </r>
  <r>
    <s v="Discrete AI"/>
    <x v="7"/>
    <x v="5"/>
    <s v="Industrial Electronics"/>
    <s v="Commercial Amusement"/>
    <s v="Semiconductor Revenue M$"/>
    <x v="3"/>
    <n v="0"/>
  </r>
  <r>
    <s v="Discrete AI"/>
    <x v="7"/>
    <x v="5"/>
    <s v="Industrial Electronics"/>
    <s v="Commercial Amusement"/>
    <s v="Semiconductor Revenue M$"/>
    <x v="4"/>
    <n v="0"/>
  </r>
  <r>
    <s v="Discrete AI"/>
    <x v="7"/>
    <x v="5"/>
    <s v="Industrial Electronics"/>
    <s v="Commercial Amusement"/>
    <s v="Semiconductor Revenue M$"/>
    <x v="5"/>
    <n v="0"/>
  </r>
  <r>
    <s v="Discrete AI"/>
    <x v="7"/>
    <x v="5"/>
    <s v="Industrial Electronics"/>
    <s v="Commercial Amusement"/>
    <s v="Semiconductor Revenue M$"/>
    <x v="6"/>
    <n v="0"/>
  </r>
  <r>
    <s v="Discrete AI"/>
    <x v="7"/>
    <x v="5"/>
    <s v="Industrial Electronics"/>
    <s v="Automation"/>
    <s v="Semiconductor Revenue M$"/>
    <x v="0"/>
    <n v="0"/>
  </r>
  <r>
    <s v="Discrete AI"/>
    <x v="7"/>
    <x v="5"/>
    <s v="Industrial Electronics"/>
    <s v="Automation"/>
    <s v="Semiconductor Revenue M$"/>
    <x v="1"/>
    <n v="0"/>
  </r>
  <r>
    <s v="Discrete AI"/>
    <x v="7"/>
    <x v="5"/>
    <s v="Industrial Electronics"/>
    <s v="Automation"/>
    <s v="Semiconductor Revenue M$"/>
    <x v="2"/>
    <n v="0"/>
  </r>
  <r>
    <s v="Discrete AI"/>
    <x v="7"/>
    <x v="5"/>
    <s v="Industrial Electronics"/>
    <s v="Automation"/>
    <s v="Semiconductor Revenue M$"/>
    <x v="3"/>
    <n v="0"/>
  </r>
  <r>
    <s v="Discrete AI"/>
    <x v="7"/>
    <x v="5"/>
    <s v="Industrial Electronics"/>
    <s v="Automation"/>
    <s v="Semiconductor Revenue M$"/>
    <x v="4"/>
    <n v="0"/>
  </r>
  <r>
    <s v="Discrete AI"/>
    <x v="7"/>
    <x v="5"/>
    <s v="Industrial Electronics"/>
    <s v="Automation"/>
    <s v="Semiconductor Revenue M$"/>
    <x v="5"/>
    <n v="0"/>
  </r>
  <r>
    <s v="Discrete AI"/>
    <x v="7"/>
    <x v="5"/>
    <s v="Industrial Electronics"/>
    <s v="Automation"/>
    <s v="Semiconductor Revenue M$"/>
    <x v="6"/>
    <n v="0"/>
  </r>
  <r>
    <s v="Discrete AI"/>
    <x v="7"/>
    <x v="5"/>
    <s v="Industrial Electronics"/>
    <s v="Energy Management"/>
    <s v="Semiconductor Revenue M$"/>
    <x v="0"/>
    <n v="0"/>
  </r>
  <r>
    <s v="Discrete AI"/>
    <x v="7"/>
    <x v="5"/>
    <s v="Industrial Electronics"/>
    <s v="Energy Management"/>
    <s v="Semiconductor Revenue M$"/>
    <x v="1"/>
    <n v="0"/>
  </r>
  <r>
    <s v="Discrete AI"/>
    <x v="7"/>
    <x v="5"/>
    <s v="Industrial Electronics"/>
    <s v="Energy Management"/>
    <s v="Semiconductor Revenue M$"/>
    <x v="2"/>
    <n v="0"/>
  </r>
  <r>
    <s v="Discrete AI"/>
    <x v="7"/>
    <x v="5"/>
    <s v="Industrial Electronics"/>
    <s v="Energy Management"/>
    <s v="Semiconductor Revenue M$"/>
    <x v="3"/>
    <n v="0"/>
  </r>
  <r>
    <s v="Discrete AI"/>
    <x v="7"/>
    <x v="5"/>
    <s v="Industrial Electronics"/>
    <s v="Energy Management"/>
    <s v="Semiconductor Revenue M$"/>
    <x v="4"/>
    <n v="0"/>
  </r>
  <r>
    <s v="Discrete AI"/>
    <x v="7"/>
    <x v="5"/>
    <s v="Industrial Electronics"/>
    <s v="Energy Management"/>
    <s v="Semiconductor Revenue M$"/>
    <x v="5"/>
    <n v="0"/>
  </r>
  <r>
    <s v="Discrete AI"/>
    <x v="7"/>
    <x v="5"/>
    <s v="Industrial Electronics"/>
    <s v="Energy Management"/>
    <s v="Semiconductor Revenue M$"/>
    <x v="6"/>
    <n v="0"/>
  </r>
  <r>
    <s v="Discrete AI"/>
    <x v="7"/>
    <x v="5"/>
    <s v="Industrial Electronics"/>
    <s v="Solid-State Lighting"/>
    <s v="Semiconductor Revenue M$"/>
    <x v="0"/>
    <n v="0"/>
  </r>
  <r>
    <s v="Discrete AI"/>
    <x v="7"/>
    <x v="5"/>
    <s v="Industrial Electronics"/>
    <s v="Solid-State Lighting"/>
    <s v="Semiconductor Revenue M$"/>
    <x v="1"/>
    <n v="0"/>
  </r>
  <r>
    <s v="Discrete AI"/>
    <x v="7"/>
    <x v="5"/>
    <s v="Industrial Electronics"/>
    <s v="Solid-State Lighting"/>
    <s v="Semiconductor Revenue M$"/>
    <x v="2"/>
    <n v="0"/>
  </r>
  <r>
    <s v="Discrete AI"/>
    <x v="7"/>
    <x v="5"/>
    <s v="Industrial Electronics"/>
    <s v="Solid-State Lighting"/>
    <s v="Semiconductor Revenue M$"/>
    <x v="3"/>
    <n v="0"/>
  </r>
  <r>
    <s v="Discrete AI"/>
    <x v="7"/>
    <x v="5"/>
    <s v="Industrial Electronics"/>
    <s v="Solid-State Lighting"/>
    <s v="Semiconductor Revenue M$"/>
    <x v="4"/>
    <n v="0"/>
  </r>
  <r>
    <s v="Discrete AI"/>
    <x v="7"/>
    <x v="5"/>
    <s v="Industrial Electronics"/>
    <s v="Solid-State Lighting"/>
    <s v="Semiconductor Revenue M$"/>
    <x v="5"/>
    <n v="0"/>
  </r>
  <r>
    <s v="Discrete AI"/>
    <x v="7"/>
    <x v="5"/>
    <s v="Industrial Electronics"/>
    <s v="Solid-State Lighting"/>
    <s v="Semiconductor Revenue M$"/>
    <x v="6"/>
    <n v="0"/>
  </r>
  <r>
    <s v="Discrete AI"/>
    <x v="7"/>
    <x v="5"/>
    <s v="Industrial Electronics"/>
    <s v="Medical/Healthcare"/>
    <s v="Semiconductor Revenue M$"/>
    <x v="0"/>
    <n v="0"/>
  </r>
  <r>
    <s v="Discrete AI"/>
    <x v="7"/>
    <x v="5"/>
    <s v="Industrial Electronics"/>
    <s v="Medical/Healthcare"/>
    <s v="Semiconductor Revenue M$"/>
    <x v="1"/>
    <n v="0"/>
  </r>
  <r>
    <s v="Discrete AI"/>
    <x v="7"/>
    <x v="5"/>
    <s v="Industrial Electronics"/>
    <s v="Medical/Healthcare"/>
    <s v="Semiconductor Revenue M$"/>
    <x v="2"/>
    <n v="0"/>
  </r>
  <r>
    <s v="Discrete AI"/>
    <x v="7"/>
    <x v="5"/>
    <s v="Industrial Electronics"/>
    <s v="Medical/Healthcare"/>
    <s v="Semiconductor Revenue M$"/>
    <x v="3"/>
    <n v="0"/>
  </r>
  <r>
    <s v="Discrete AI"/>
    <x v="7"/>
    <x v="5"/>
    <s v="Industrial Electronics"/>
    <s v="Medical/Healthcare"/>
    <s v="Semiconductor Revenue M$"/>
    <x v="4"/>
    <n v="0"/>
  </r>
  <r>
    <s v="Discrete AI"/>
    <x v="7"/>
    <x v="5"/>
    <s v="Industrial Electronics"/>
    <s v="Medical/Healthcare"/>
    <s v="Semiconductor Revenue M$"/>
    <x v="5"/>
    <n v="0"/>
  </r>
  <r>
    <s v="Discrete AI"/>
    <x v="7"/>
    <x v="5"/>
    <s v="Industrial Electronics"/>
    <s v="Medical/Healthcare"/>
    <s v="Semiconductor Revenue M$"/>
    <x v="6"/>
    <n v="0"/>
  </r>
  <r>
    <s v="Discrete AI"/>
    <x v="7"/>
    <x v="5"/>
    <s v="Industrial Electronics"/>
    <s v="Test/Measurement"/>
    <s v="Semiconductor Revenue M$"/>
    <x v="0"/>
    <n v="0"/>
  </r>
  <r>
    <s v="Discrete AI"/>
    <x v="7"/>
    <x v="5"/>
    <s v="Industrial Electronics"/>
    <s v="Test/Measurement"/>
    <s v="Semiconductor Revenue M$"/>
    <x v="1"/>
    <n v="0"/>
  </r>
  <r>
    <s v="Discrete AI"/>
    <x v="7"/>
    <x v="5"/>
    <s v="Industrial Electronics"/>
    <s v="Test/Measurement"/>
    <s v="Semiconductor Revenue M$"/>
    <x v="2"/>
    <n v="0"/>
  </r>
  <r>
    <s v="Discrete AI"/>
    <x v="7"/>
    <x v="5"/>
    <s v="Industrial Electronics"/>
    <s v="Test/Measurement"/>
    <s v="Semiconductor Revenue M$"/>
    <x v="3"/>
    <n v="0"/>
  </r>
  <r>
    <s v="Discrete AI"/>
    <x v="7"/>
    <x v="5"/>
    <s v="Industrial Electronics"/>
    <s v="Test/Measurement"/>
    <s v="Semiconductor Revenue M$"/>
    <x v="4"/>
    <n v="0"/>
  </r>
  <r>
    <s v="Discrete AI"/>
    <x v="7"/>
    <x v="5"/>
    <s v="Industrial Electronics"/>
    <s v="Test/Measurement"/>
    <s v="Semiconductor Revenue M$"/>
    <x v="5"/>
    <n v="0"/>
  </r>
  <r>
    <s v="Discrete AI"/>
    <x v="7"/>
    <x v="5"/>
    <s v="Industrial Electronics"/>
    <s v="Test/Measurement"/>
    <s v="Semiconductor Revenue M$"/>
    <x v="6"/>
    <n v="0"/>
  </r>
  <r>
    <s v="Discrete AI"/>
    <x v="7"/>
    <x v="5"/>
    <s v="Industrial Electronics"/>
    <s v="Other Security"/>
    <s v="Semiconductor Revenue M$"/>
    <x v="0"/>
    <n v="0"/>
  </r>
  <r>
    <s v="Discrete AI"/>
    <x v="7"/>
    <x v="5"/>
    <s v="Industrial Electronics"/>
    <s v="Other Security"/>
    <s v="Semiconductor Revenue M$"/>
    <x v="1"/>
    <n v="0"/>
  </r>
  <r>
    <s v="Discrete AI"/>
    <x v="7"/>
    <x v="5"/>
    <s v="Industrial Electronics"/>
    <s v="Other Security"/>
    <s v="Semiconductor Revenue M$"/>
    <x v="2"/>
    <n v="0"/>
  </r>
  <r>
    <s v="Discrete AI"/>
    <x v="7"/>
    <x v="5"/>
    <s v="Industrial Electronics"/>
    <s v="Other Security"/>
    <s v="Semiconductor Revenue M$"/>
    <x v="3"/>
    <n v="0"/>
  </r>
  <r>
    <s v="Discrete AI"/>
    <x v="7"/>
    <x v="5"/>
    <s v="Industrial Electronics"/>
    <s v="Other Security"/>
    <s v="Semiconductor Revenue M$"/>
    <x v="4"/>
    <n v="0"/>
  </r>
  <r>
    <s v="Discrete AI"/>
    <x v="7"/>
    <x v="5"/>
    <s v="Industrial Electronics"/>
    <s v="Other Security"/>
    <s v="Semiconductor Revenue M$"/>
    <x v="5"/>
    <n v="0"/>
  </r>
  <r>
    <s v="Discrete AI"/>
    <x v="7"/>
    <x v="5"/>
    <s v="Industrial Electronics"/>
    <s v="Other Security"/>
    <s v="Semiconductor Revenue M$"/>
    <x v="6"/>
    <n v="0"/>
  </r>
  <r>
    <s v="Discrete AI"/>
    <x v="7"/>
    <x v="5"/>
    <s v="Industrial Electronics"/>
    <s v="Transportation"/>
    <s v="Semiconductor Revenue M$"/>
    <x v="0"/>
    <n v="0"/>
  </r>
  <r>
    <s v="Discrete AI"/>
    <x v="7"/>
    <x v="5"/>
    <s v="Industrial Electronics"/>
    <s v="Transportation"/>
    <s v="Semiconductor Revenue M$"/>
    <x v="1"/>
    <n v="0"/>
  </r>
  <r>
    <s v="Discrete AI"/>
    <x v="7"/>
    <x v="5"/>
    <s v="Industrial Electronics"/>
    <s v="Transportation"/>
    <s v="Semiconductor Revenue M$"/>
    <x v="2"/>
    <n v="0"/>
  </r>
  <r>
    <s v="Discrete AI"/>
    <x v="7"/>
    <x v="5"/>
    <s v="Industrial Electronics"/>
    <s v="Transportation"/>
    <s v="Semiconductor Revenue M$"/>
    <x v="3"/>
    <n v="0"/>
  </r>
  <r>
    <s v="Discrete AI"/>
    <x v="7"/>
    <x v="5"/>
    <s v="Industrial Electronics"/>
    <s v="Transportation"/>
    <s v="Semiconductor Revenue M$"/>
    <x v="4"/>
    <n v="0"/>
  </r>
  <r>
    <s v="Discrete AI"/>
    <x v="7"/>
    <x v="5"/>
    <s v="Industrial Electronics"/>
    <s v="Transportation"/>
    <s v="Semiconductor Revenue M$"/>
    <x v="5"/>
    <n v="0"/>
  </r>
  <r>
    <s v="Discrete AI"/>
    <x v="7"/>
    <x v="5"/>
    <s v="Industrial Electronics"/>
    <s v="Transportation"/>
    <s v="Semiconductor Revenue M$"/>
    <x v="6"/>
    <n v="0"/>
  </r>
  <r>
    <s v="Discrete AI"/>
    <x v="7"/>
    <x v="5"/>
    <s v="Industrial Electronics"/>
    <s v="Other Industrial Electronics"/>
    <s v="Semiconductor Revenue M$"/>
    <x v="0"/>
    <n v="0"/>
  </r>
  <r>
    <s v="Discrete AI"/>
    <x v="7"/>
    <x v="5"/>
    <s v="Industrial Electronics"/>
    <s v="Other Industrial Electronics"/>
    <s v="Semiconductor Revenue M$"/>
    <x v="1"/>
    <n v="0"/>
  </r>
  <r>
    <s v="Discrete AI"/>
    <x v="7"/>
    <x v="5"/>
    <s v="Industrial Electronics"/>
    <s v="Other Industrial Electronics"/>
    <s v="Semiconductor Revenue M$"/>
    <x v="2"/>
    <n v="0"/>
  </r>
  <r>
    <s v="Discrete AI"/>
    <x v="7"/>
    <x v="5"/>
    <s v="Industrial Electronics"/>
    <s v="Other Industrial Electronics"/>
    <s v="Semiconductor Revenue M$"/>
    <x v="3"/>
    <n v="0"/>
  </r>
  <r>
    <s v="Discrete AI"/>
    <x v="7"/>
    <x v="5"/>
    <s v="Industrial Electronics"/>
    <s v="Other Industrial Electronics"/>
    <s v="Semiconductor Revenue M$"/>
    <x v="4"/>
    <n v="0"/>
  </r>
  <r>
    <s v="Discrete AI"/>
    <x v="7"/>
    <x v="5"/>
    <s v="Industrial Electronics"/>
    <s v="Other Industrial Electronics"/>
    <s v="Semiconductor Revenue M$"/>
    <x v="5"/>
    <n v="0"/>
  </r>
  <r>
    <s v="Discrete AI"/>
    <x v="7"/>
    <x v="5"/>
    <s v="Industrial Electronics"/>
    <s v="Other Industrial Electronics"/>
    <s v="Semiconductor Revenue M$"/>
    <x v="6"/>
    <n v="0"/>
  </r>
  <r>
    <s v="Discrete AI"/>
    <x v="7"/>
    <x v="5"/>
    <s v="Industrial Electronics"/>
    <s v="Military/Civil Aerospace Electronics"/>
    <s v="Semiconductor Revenue M$"/>
    <x v="0"/>
    <n v="0"/>
  </r>
  <r>
    <s v="Discrete AI"/>
    <x v="7"/>
    <x v="5"/>
    <s v="Industrial Electronics"/>
    <s v="Military/Civil Aerospace Electronics"/>
    <s v="Semiconductor Revenue M$"/>
    <x v="1"/>
    <n v="0"/>
  </r>
  <r>
    <s v="Discrete AI"/>
    <x v="7"/>
    <x v="5"/>
    <s v="Industrial Electronics"/>
    <s v="Military/Civil Aerospace Electronics"/>
    <s v="Semiconductor Revenue M$"/>
    <x v="2"/>
    <n v="0"/>
  </r>
  <r>
    <s v="Discrete AI"/>
    <x v="7"/>
    <x v="5"/>
    <s v="Industrial Electronics"/>
    <s v="Military/Civil Aerospace Electronics"/>
    <s v="Semiconductor Revenue M$"/>
    <x v="3"/>
    <n v="0"/>
  </r>
  <r>
    <s v="Discrete AI"/>
    <x v="7"/>
    <x v="5"/>
    <s v="Industrial Electronics"/>
    <s v="Military/Civil Aerospace Electronics"/>
    <s v="Semiconductor Revenue M$"/>
    <x v="4"/>
    <n v="0"/>
  </r>
  <r>
    <s v="Discrete AI"/>
    <x v="7"/>
    <x v="5"/>
    <s v="Industrial Electronics"/>
    <s v="Military/Civil Aerospace Electronics"/>
    <s v="Semiconductor Revenue M$"/>
    <x v="5"/>
    <n v="0"/>
  </r>
  <r>
    <s v="Discrete AI"/>
    <x v="7"/>
    <x v="5"/>
    <s v="Industrial Electronics"/>
    <s v="Military/Civil Aerospace Electronics"/>
    <s v="Semiconductor Revenue M$"/>
    <x v="6"/>
    <n v="0"/>
  </r>
  <r>
    <s v="Discrete AI"/>
    <x v="8"/>
    <x v="0"/>
    <s v="Compute"/>
    <s v="External Monitor"/>
    <s v="Semiconductor Revenue M$"/>
    <x v="0"/>
    <n v="0"/>
  </r>
  <r>
    <s v="Discrete AI"/>
    <x v="8"/>
    <x v="0"/>
    <s v="Compute"/>
    <s v="External Monitor"/>
    <s v="Semiconductor Revenue M$"/>
    <x v="1"/>
    <n v="0"/>
  </r>
  <r>
    <s v="Discrete AI"/>
    <x v="8"/>
    <x v="0"/>
    <s v="Compute"/>
    <s v="External Monitor"/>
    <s v="Semiconductor Revenue M$"/>
    <x v="2"/>
    <n v="0"/>
  </r>
  <r>
    <s v="Discrete AI"/>
    <x v="8"/>
    <x v="0"/>
    <s v="Compute"/>
    <s v="External Monitor"/>
    <s v="Semiconductor Revenue M$"/>
    <x v="3"/>
    <n v="0"/>
  </r>
  <r>
    <s v="Discrete AI"/>
    <x v="8"/>
    <x v="0"/>
    <s v="Compute"/>
    <s v="External Monitor"/>
    <s v="Semiconductor Revenue M$"/>
    <x v="4"/>
    <n v="0"/>
  </r>
  <r>
    <s v="Discrete AI"/>
    <x v="8"/>
    <x v="0"/>
    <s v="Compute"/>
    <s v="External Monitor"/>
    <s v="Semiconductor Revenue M$"/>
    <x v="5"/>
    <n v="0"/>
  </r>
  <r>
    <s v="Discrete AI"/>
    <x v="8"/>
    <x v="0"/>
    <s v="Compute"/>
    <s v="External Monitor"/>
    <s v="Semiconductor Revenue M$"/>
    <x v="6"/>
    <n v="0"/>
  </r>
  <r>
    <s v="Discrete AI"/>
    <x v="8"/>
    <x v="0"/>
    <s v="PC"/>
    <s v="Graphics Cards"/>
    <s v="Semiconductor Revenue M$"/>
    <x v="0"/>
    <n v="0"/>
  </r>
  <r>
    <s v="Discrete AI"/>
    <x v="8"/>
    <x v="0"/>
    <s v="PC"/>
    <s v="Graphics Cards"/>
    <s v="Semiconductor Revenue M$"/>
    <x v="1"/>
    <n v="0"/>
  </r>
  <r>
    <s v="Discrete AI"/>
    <x v="8"/>
    <x v="0"/>
    <s v="PC"/>
    <s v="Graphics Cards"/>
    <s v="Semiconductor Revenue M$"/>
    <x v="2"/>
    <n v="0"/>
  </r>
  <r>
    <s v="Discrete AI"/>
    <x v="8"/>
    <x v="0"/>
    <s v="PC"/>
    <s v="Graphics Cards"/>
    <s v="Semiconductor Revenue M$"/>
    <x v="3"/>
    <n v="0"/>
  </r>
  <r>
    <s v="Discrete AI"/>
    <x v="8"/>
    <x v="0"/>
    <s v="PC"/>
    <s v="Graphics Cards"/>
    <s v="Semiconductor Revenue M$"/>
    <x v="4"/>
    <n v="0"/>
  </r>
  <r>
    <s v="Discrete AI"/>
    <x v="8"/>
    <x v="0"/>
    <s v="PC"/>
    <s v="Graphics Cards"/>
    <s v="Semiconductor Revenue M$"/>
    <x v="5"/>
    <n v="0"/>
  </r>
  <r>
    <s v="Discrete AI"/>
    <x v="8"/>
    <x v="0"/>
    <s v="PC"/>
    <s v="Graphics Cards"/>
    <s v="Semiconductor Revenue M$"/>
    <x v="6"/>
    <n v="0"/>
  </r>
  <r>
    <s v="Discrete AI"/>
    <x v="8"/>
    <x v="0"/>
    <s v="PC"/>
    <s v="Desk-Based PC"/>
    <s v="Semiconductor Revenue M$"/>
    <x v="0"/>
    <n v="4.0548500312251301"/>
  </r>
  <r>
    <s v="Discrete AI"/>
    <x v="8"/>
    <x v="0"/>
    <s v="PC"/>
    <s v="Desk-Based PC"/>
    <s v="Semiconductor Revenue M$"/>
    <x v="1"/>
    <n v="7.2858712781540111"/>
  </r>
  <r>
    <s v="Discrete AI"/>
    <x v="8"/>
    <x v="0"/>
    <s v="PC"/>
    <s v="Desk-Based PC"/>
    <s v="Semiconductor Revenue M$"/>
    <x v="2"/>
    <n v="9.9566809555237672"/>
  </r>
  <r>
    <s v="Discrete AI"/>
    <x v="8"/>
    <x v="0"/>
    <s v="PC"/>
    <s v="Desk-Based PC"/>
    <s v="Semiconductor Revenue M$"/>
    <x v="3"/>
    <n v="12.862026917930107"/>
  </r>
  <r>
    <s v="Discrete AI"/>
    <x v="8"/>
    <x v="0"/>
    <s v="PC"/>
    <s v="Desk-Based PC"/>
    <s v="Semiconductor Revenue M$"/>
    <x v="4"/>
    <n v="10.986220636503027"/>
  </r>
  <r>
    <s v="Discrete AI"/>
    <x v="8"/>
    <x v="0"/>
    <s v="PC"/>
    <s v="Desk-Based PC"/>
    <s v="Semiconductor Revenue M$"/>
    <x v="5"/>
    <n v="16.413163361461795"/>
  </r>
  <r>
    <s v="Discrete AI"/>
    <x v="8"/>
    <x v="0"/>
    <s v="PC"/>
    <s v="Desk-Based PC"/>
    <s v="Semiconductor Revenue M$"/>
    <x v="6"/>
    <n v="12.650051284890541"/>
  </r>
  <r>
    <s v="Discrete AI"/>
    <x v="8"/>
    <x v="0"/>
    <s v="PC"/>
    <s v="Ultramobile Basic, Tablet"/>
    <s v="Semiconductor Revenue M$"/>
    <x v="0"/>
    <n v="0.41470124416542481"/>
  </r>
  <r>
    <s v="Discrete AI"/>
    <x v="8"/>
    <x v="0"/>
    <s v="PC"/>
    <s v="Ultramobile Basic, Tablet"/>
    <s v="Semiconductor Revenue M$"/>
    <x v="1"/>
    <n v="1.3298482204457789"/>
  </r>
  <r>
    <s v="Discrete AI"/>
    <x v="8"/>
    <x v="0"/>
    <s v="PC"/>
    <s v="Ultramobile Basic, Tablet"/>
    <s v="Semiconductor Revenue M$"/>
    <x v="2"/>
    <n v="3.7719208890719846"/>
  </r>
  <r>
    <s v="Discrete AI"/>
    <x v="8"/>
    <x v="0"/>
    <s v="PC"/>
    <s v="Ultramobile Basic, Tablet"/>
    <s v="Semiconductor Revenue M$"/>
    <x v="3"/>
    <n v="5.7869972723009537"/>
  </r>
  <r>
    <s v="Discrete AI"/>
    <x v="8"/>
    <x v="0"/>
    <s v="PC"/>
    <s v="Ultramobile Basic, Tablet"/>
    <s v="Semiconductor Revenue M$"/>
    <x v="4"/>
    <n v="7.270865995636199"/>
  </r>
  <r>
    <s v="Discrete AI"/>
    <x v="8"/>
    <x v="0"/>
    <s v="PC"/>
    <s v="Ultramobile Basic, Tablet"/>
    <s v="Semiconductor Revenue M$"/>
    <x v="5"/>
    <n v="12.091972448215161"/>
  </r>
  <r>
    <s v="Discrete AI"/>
    <x v="8"/>
    <x v="0"/>
    <s v="PC"/>
    <s v="Ultramobile Basic, Tablet"/>
    <s v="Semiconductor Revenue M$"/>
    <x v="6"/>
    <n v="9.3127263272538485"/>
  </r>
  <r>
    <s v="Discrete AI"/>
    <x v="8"/>
    <x v="0"/>
    <s v="PC"/>
    <s v="Ultramobile Utility, Tablet"/>
    <s v="Semiconductor Revenue M$"/>
    <x v="0"/>
    <n v="5.4465259631279378E-2"/>
  </r>
  <r>
    <s v="Discrete AI"/>
    <x v="8"/>
    <x v="0"/>
    <s v="PC"/>
    <s v="Ultramobile Utility, Tablet"/>
    <s v="Semiconductor Revenue M$"/>
    <x v="1"/>
    <n v="0.10529464118236417"/>
  </r>
  <r>
    <s v="Discrete AI"/>
    <x v="8"/>
    <x v="0"/>
    <s v="PC"/>
    <s v="Ultramobile Utility, Tablet"/>
    <s v="Semiconductor Revenue M$"/>
    <x v="2"/>
    <n v="0.17379006029695268"/>
  </r>
  <r>
    <s v="Discrete AI"/>
    <x v="8"/>
    <x v="0"/>
    <s v="PC"/>
    <s v="Ultramobile Utility, Tablet"/>
    <s v="Semiconductor Revenue M$"/>
    <x v="3"/>
    <n v="0.2027428967071061"/>
  </r>
  <r>
    <s v="Discrete AI"/>
    <x v="8"/>
    <x v="0"/>
    <s v="PC"/>
    <s v="Ultramobile Utility, Tablet"/>
    <s v="Semiconductor Revenue M$"/>
    <x v="4"/>
    <n v="0.23146257468210402"/>
  </r>
  <r>
    <s v="Discrete AI"/>
    <x v="8"/>
    <x v="0"/>
    <s v="PC"/>
    <s v="Ultramobile Utility, Tablet"/>
    <s v="Semiconductor Revenue M$"/>
    <x v="5"/>
    <n v="0.36327544109846555"/>
  </r>
  <r>
    <s v="Discrete AI"/>
    <x v="8"/>
    <x v="0"/>
    <s v="PC"/>
    <s v="Ultramobile Utility, Tablet"/>
    <s v="Semiconductor Revenue M$"/>
    <x v="6"/>
    <n v="0.25668010955789222"/>
  </r>
  <r>
    <s v="Discrete AI"/>
    <x v="8"/>
    <x v="0"/>
    <s v="PC"/>
    <s v="Ultramobile Premium, Tablet"/>
    <s v="Semiconductor Revenue M$"/>
    <x v="0"/>
    <n v="2.0391150621919589"/>
  </r>
  <r>
    <s v="Discrete AI"/>
    <x v="8"/>
    <x v="0"/>
    <s v="PC"/>
    <s v="Ultramobile Premium, Tablet"/>
    <s v="Semiconductor Revenue M$"/>
    <x v="1"/>
    <n v="6.0805993616817444"/>
  </r>
  <r>
    <s v="Discrete AI"/>
    <x v="8"/>
    <x v="0"/>
    <s v="PC"/>
    <s v="Ultramobile Premium, Tablet"/>
    <s v="Semiconductor Revenue M$"/>
    <x v="2"/>
    <n v="12.89615239898837"/>
  </r>
  <r>
    <s v="Discrete AI"/>
    <x v="8"/>
    <x v="0"/>
    <s v="PC"/>
    <s v="Ultramobile Premium, Tablet"/>
    <s v="Semiconductor Revenue M$"/>
    <x v="3"/>
    <n v="21.690324181555603"/>
  </r>
  <r>
    <s v="Discrete AI"/>
    <x v="8"/>
    <x v="0"/>
    <s v="PC"/>
    <s v="Ultramobile Premium, Tablet"/>
    <s v="Semiconductor Revenue M$"/>
    <x v="4"/>
    <n v="34.614464276977849"/>
  </r>
  <r>
    <s v="Discrete AI"/>
    <x v="8"/>
    <x v="0"/>
    <s v="PC"/>
    <s v="Ultramobile Premium, Tablet"/>
    <s v="Semiconductor Revenue M$"/>
    <x v="5"/>
    <n v="41.934359131502355"/>
  </r>
  <r>
    <s v="Discrete AI"/>
    <x v="8"/>
    <x v="0"/>
    <s v="PC"/>
    <s v="Ultramobile Premium, Tablet"/>
    <s v="Semiconductor Revenue M$"/>
    <x v="6"/>
    <n v="30.608382741056612"/>
  </r>
  <r>
    <s v="Discrete AI"/>
    <x v="8"/>
    <x v="0"/>
    <s v="PC"/>
    <s v="Ultramobile Basic, Clamshell"/>
    <s v="Semiconductor Revenue M$"/>
    <x v="0"/>
    <n v="2.5338787223628563"/>
  </r>
  <r>
    <s v="Discrete AI"/>
    <x v="8"/>
    <x v="0"/>
    <s v="PC"/>
    <s v="Ultramobile Basic, Clamshell"/>
    <s v="Semiconductor Revenue M$"/>
    <x v="1"/>
    <n v="4.0089252338751669"/>
  </r>
  <r>
    <s v="Discrete AI"/>
    <x v="8"/>
    <x v="0"/>
    <s v="PC"/>
    <s v="Ultramobile Basic, Clamshell"/>
    <s v="Semiconductor Revenue M$"/>
    <x v="2"/>
    <n v="5.1205548497267639"/>
  </r>
  <r>
    <s v="Discrete AI"/>
    <x v="8"/>
    <x v="0"/>
    <s v="PC"/>
    <s v="Ultramobile Basic, Clamshell"/>
    <s v="Semiconductor Revenue M$"/>
    <x v="3"/>
    <n v="7.0278871950413624"/>
  </r>
  <r>
    <s v="Discrete AI"/>
    <x v="8"/>
    <x v="0"/>
    <s v="PC"/>
    <s v="Ultramobile Basic, Clamshell"/>
    <s v="Semiconductor Revenue M$"/>
    <x v="4"/>
    <n v="9.3341437242602492"/>
  </r>
  <r>
    <s v="Discrete AI"/>
    <x v="8"/>
    <x v="0"/>
    <s v="PC"/>
    <s v="Ultramobile Basic, Clamshell"/>
    <s v="Semiconductor Revenue M$"/>
    <x v="5"/>
    <n v="16.478090937892937"/>
  </r>
  <r>
    <s v="Discrete AI"/>
    <x v="8"/>
    <x v="0"/>
    <s v="PC"/>
    <s v="Ultramobile Basic, Clamshell"/>
    <s v="Semiconductor Revenue M$"/>
    <x v="6"/>
    <n v="12.826680311666074"/>
  </r>
  <r>
    <s v="Discrete AI"/>
    <x v="8"/>
    <x v="0"/>
    <s v="PC"/>
    <s v="Ultramobile Premium, Clamshell"/>
    <s v="Semiconductor Revenue M$"/>
    <x v="0"/>
    <n v="3.8689528916841285"/>
  </r>
  <r>
    <s v="Discrete AI"/>
    <x v="8"/>
    <x v="0"/>
    <s v="PC"/>
    <s v="Ultramobile Premium, Clamshell"/>
    <s v="Semiconductor Revenue M$"/>
    <x v="1"/>
    <n v="8.9498358588269102"/>
  </r>
  <r>
    <s v="Discrete AI"/>
    <x v="8"/>
    <x v="0"/>
    <s v="PC"/>
    <s v="Ultramobile Premium, Clamshell"/>
    <s v="Semiconductor Revenue M$"/>
    <x v="2"/>
    <n v="17.202780337667079"/>
  </r>
  <r>
    <s v="Discrete AI"/>
    <x v="8"/>
    <x v="0"/>
    <s v="PC"/>
    <s v="Ultramobile Premium, Clamshell"/>
    <s v="Semiconductor Revenue M$"/>
    <x v="3"/>
    <n v="26.140310780476455"/>
  </r>
  <r>
    <s v="Discrete AI"/>
    <x v="8"/>
    <x v="0"/>
    <s v="PC"/>
    <s v="Ultramobile Premium, Clamshell"/>
    <s v="Semiconductor Revenue M$"/>
    <x v="4"/>
    <n v="31.815882823709803"/>
  </r>
  <r>
    <s v="Discrete AI"/>
    <x v="8"/>
    <x v="0"/>
    <s v="PC"/>
    <s v="Ultramobile Premium, Clamshell"/>
    <s v="Semiconductor Revenue M$"/>
    <x v="5"/>
    <n v="50.48016715223951"/>
  </r>
  <r>
    <s v="Discrete AI"/>
    <x v="8"/>
    <x v="0"/>
    <s v="PC"/>
    <s v="Ultramobile Premium, Clamshell"/>
    <s v="Semiconductor Revenue M$"/>
    <x v="6"/>
    <n v="36.334505267248126"/>
  </r>
  <r>
    <s v="Discrete AI"/>
    <x v="8"/>
    <x v="0"/>
    <s v="PC"/>
    <s v="Ultramobile Basic, Hybrid"/>
    <s v="Semiconductor Revenue M$"/>
    <x v="0"/>
    <n v="2.4162761576651069E-3"/>
  </r>
  <r>
    <s v="Discrete AI"/>
    <x v="8"/>
    <x v="0"/>
    <s v="PC"/>
    <s v="Ultramobile Basic, Hybrid"/>
    <s v="Semiconductor Revenue M$"/>
    <x v="1"/>
    <n v="9.8958672266422389E-3"/>
  </r>
  <r>
    <s v="Discrete AI"/>
    <x v="8"/>
    <x v="0"/>
    <s v="PC"/>
    <s v="Ultramobile Basic, Hybrid"/>
    <s v="Semiconductor Revenue M$"/>
    <x v="2"/>
    <n v="1.5289499732023613E-2"/>
  </r>
  <r>
    <s v="Discrete AI"/>
    <x v="8"/>
    <x v="0"/>
    <s v="PC"/>
    <s v="Ultramobile Basic, Hybrid"/>
    <s v="Semiconductor Revenue M$"/>
    <x v="3"/>
    <n v="2.0998187637732191E-2"/>
  </r>
  <r>
    <s v="Discrete AI"/>
    <x v="8"/>
    <x v="0"/>
    <s v="PC"/>
    <s v="Ultramobile Basic, Hybrid"/>
    <s v="Semiconductor Revenue M$"/>
    <x v="4"/>
    <n v="2.6952297997094411E-2"/>
  </r>
  <r>
    <s v="Discrete AI"/>
    <x v="8"/>
    <x v="0"/>
    <s v="PC"/>
    <s v="Ultramobile Basic, Hybrid"/>
    <s v="Semiconductor Revenue M$"/>
    <x v="5"/>
    <n v="4.7301409151658737E-2"/>
  </r>
  <r>
    <s v="Discrete AI"/>
    <x v="8"/>
    <x v="0"/>
    <s v="PC"/>
    <s v="Ultramobile Basic, Hybrid"/>
    <s v="Semiconductor Revenue M$"/>
    <x v="6"/>
    <n v="3.3088546400489985E-2"/>
  </r>
  <r>
    <s v="Discrete AI"/>
    <x v="8"/>
    <x v="0"/>
    <s v="PC"/>
    <s v="Ultramobile Premium, Hybrid"/>
    <s v="Semiconductor Revenue M$"/>
    <x v="0"/>
    <n v="3.5263981199992873"/>
  </r>
  <r>
    <s v="Discrete AI"/>
    <x v="8"/>
    <x v="0"/>
    <s v="PC"/>
    <s v="Ultramobile Premium, Hybrid"/>
    <s v="Semiconductor Revenue M$"/>
    <x v="1"/>
    <n v="6.2994463028351113"/>
  </r>
  <r>
    <s v="Discrete AI"/>
    <x v="8"/>
    <x v="0"/>
    <s v="PC"/>
    <s v="Ultramobile Premium, Hybrid"/>
    <s v="Semiconductor Revenue M$"/>
    <x v="2"/>
    <n v="10.84046078948154"/>
  </r>
  <r>
    <s v="Discrete AI"/>
    <x v="8"/>
    <x v="0"/>
    <s v="PC"/>
    <s v="Ultramobile Premium, Hybrid"/>
    <s v="Semiconductor Revenue M$"/>
    <x v="3"/>
    <n v="15.881506191260414"/>
  </r>
  <r>
    <s v="Discrete AI"/>
    <x v="8"/>
    <x v="0"/>
    <s v="PC"/>
    <s v="Ultramobile Premium, Hybrid"/>
    <s v="Semiconductor Revenue M$"/>
    <x v="4"/>
    <n v="15.060300829723557"/>
  </r>
  <r>
    <s v="Discrete AI"/>
    <x v="8"/>
    <x v="0"/>
    <s v="PC"/>
    <s v="Ultramobile Premium, Hybrid"/>
    <s v="Semiconductor Revenue M$"/>
    <x v="5"/>
    <n v="19.867938637190537"/>
  </r>
  <r>
    <s v="Discrete AI"/>
    <x v="8"/>
    <x v="0"/>
    <s v="PC"/>
    <s v="Ultramobile Premium, Hybrid"/>
    <s v="Semiconductor Revenue M$"/>
    <x v="6"/>
    <n v="15.239221251389806"/>
  </r>
  <r>
    <s v="Discrete AI"/>
    <x v="8"/>
    <x v="0"/>
    <s v="PC"/>
    <s v="Notebook"/>
    <s v="Semiconductor Revenue M$"/>
    <x v="0"/>
    <n v="6.0024670426473721"/>
  </r>
  <r>
    <s v="Discrete AI"/>
    <x v="8"/>
    <x v="0"/>
    <s v="PC"/>
    <s v="Notebook"/>
    <s v="Semiconductor Revenue M$"/>
    <x v="1"/>
    <n v="11.243974912739981"/>
  </r>
  <r>
    <s v="Discrete AI"/>
    <x v="8"/>
    <x v="0"/>
    <s v="PC"/>
    <s v="Notebook"/>
    <s v="Semiconductor Revenue M$"/>
    <x v="2"/>
    <n v="16.743187498548533"/>
  </r>
  <r>
    <s v="Discrete AI"/>
    <x v="8"/>
    <x v="0"/>
    <s v="PC"/>
    <s v="Notebook"/>
    <s v="Semiconductor Revenue M$"/>
    <x v="3"/>
    <n v="21.808239715509799"/>
  </r>
  <r>
    <s v="Discrete AI"/>
    <x v="8"/>
    <x v="0"/>
    <s v="PC"/>
    <s v="Notebook"/>
    <s v="Semiconductor Revenue M$"/>
    <x v="4"/>
    <n v="22.412230998694668"/>
  </r>
  <r>
    <s v="Discrete AI"/>
    <x v="8"/>
    <x v="0"/>
    <s v="PC"/>
    <s v="Notebook"/>
    <s v="Semiconductor Revenue M$"/>
    <x v="5"/>
    <n v="35.480653144624917"/>
  </r>
  <r>
    <s v="Discrete AI"/>
    <x v="8"/>
    <x v="0"/>
    <s v="PC"/>
    <s v="Notebook"/>
    <s v="Semiconductor Revenue M$"/>
    <x v="6"/>
    <n v="29.743048216228456"/>
  </r>
  <r>
    <s v="Discrete AI"/>
    <x v="8"/>
    <x v="0"/>
    <s v="Compute"/>
    <s v="Printer/Copier"/>
    <s v="Semiconductor Revenue M$"/>
    <x v="0"/>
    <n v="2.5117233012892204E-2"/>
  </r>
  <r>
    <s v="Discrete AI"/>
    <x v="8"/>
    <x v="0"/>
    <s v="Compute"/>
    <s v="Printer/Copier"/>
    <s v="Semiconductor Revenue M$"/>
    <x v="1"/>
    <n v="0.12150148871022373"/>
  </r>
  <r>
    <s v="Discrete AI"/>
    <x v="8"/>
    <x v="0"/>
    <s v="Compute"/>
    <s v="Printer/Copier"/>
    <s v="Semiconductor Revenue M$"/>
    <x v="2"/>
    <n v="0.43930592252406325"/>
  </r>
  <r>
    <s v="Discrete AI"/>
    <x v="8"/>
    <x v="0"/>
    <s v="Compute"/>
    <s v="Printer/Copier"/>
    <s v="Semiconductor Revenue M$"/>
    <x v="3"/>
    <n v="1.5579062697801207"/>
  </r>
  <r>
    <s v="Discrete AI"/>
    <x v="8"/>
    <x v="0"/>
    <s v="Compute"/>
    <s v="Printer/Copier"/>
    <s v="Semiconductor Revenue M$"/>
    <x v="4"/>
    <n v="4.0391763740099975"/>
  </r>
  <r>
    <s v="Discrete AI"/>
    <x v="8"/>
    <x v="0"/>
    <s v="Compute"/>
    <s v="Printer/Copier"/>
    <s v="Semiconductor Revenue M$"/>
    <x v="5"/>
    <n v="4.2072579706610362"/>
  </r>
  <r>
    <s v="Discrete AI"/>
    <x v="8"/>
    <x v="0"/>
    <s v="Compute"/>
    <s v="Printer/Copier"/>
    <s v="Semiconductor Revenue M$"/>
    <x v="6"/>
    <n v="5.9668492373130384"/>
  </r>
  <r>
    <s v="Discrete AI"/>
    <x v="8"/>
    <x v="0"/>
    <s v="Compute"/>
    <s v="Flash Cards"/>
    <s v="Semiconductor Revenue M$"/>
    <x v="0"/>
    <n v="0"/>
  </r>
  <r>
    <s v="Discrete AI"/>
    <x v="8"/>
    <x v="0"/>
    <s v="Compute"/>
    <s v="Flash Cards"/>
    <s v="Semiconductor Revenue M$"/>
    <x v="1"/>
    <n v="0"/>
  </r>
  <r>
    <s v="Discrete AI"/>
    <x v="8"/>
    <x v="0"/>
    <s v="Compute"/>
    <s v="Flash Cards"/>
    <s v="Semiconductor Revenue M$"/>
    <x v="2"/>
    <n v="0"/>
  </r>
  <r>
    <s v="Discrete AI"/>
    <x v="8"/>
    <x v="0"/>
    <s v="Compute"/>
    <s v="Flash Cards"/>
    <s v="Semiconductor Revenue M$"/>
    <x v="3"/>
    <n v="0"/>
  </r>
  <r>
    <s v="Discrete AI"/>
    <x v="8"/>
    <x v="0"/>
    <s v="Compute"/>
    <s v="Flash Cards"/>
    <s v="Semiconductor Revenue M$"/>
    <x v="4"/>
    <n v="0"/>
  </r>
  <r>
    <s v="Discrete AI"/>
    <x v="8"/>
    <x v="0"/>
    <s v="Compute"/>
    <s v="Flash Cards"/>
    <s v="Semiconductor Revenue M$"/>
    <x v="5"/>
    <n v="0"/>
  </r>
  <r>
    <s v="Discrete AI"/>
    <x v="8"/>
    <x v="0"/>
    <s v="Compute"/>
    <s v="Flash Cards"/>
    <s v="Semiconductor Revenue M$"/>
    <x v="6"/>
    <n v="0"/>
  </r>
  <r>
    <s v="Discrete AI"/>
    <x v="8"/>
    <x v="0"/>
    <s v="Compute"/>
    <s v="USB Flash Drives"/>
    <s v="Semiconductor Revenue M$"/>
    <x v="0"/>
    <n v="0"/>
  </r>
  <r>
    <s v="Discrete AI"/>
    <x v="8"/>
    <x v="0"/>
    <s v="Compute"/>
    <s v="USB Flash Drives"/>
    <s v="Semiconductor Revenue M$"/>
    <x v="1"/>
    <n v="0"/>
  </r>
  <r>
    <s v="Discrete AI"/>
    <x v="8"/>
    <x v="0"/>
    <s v="Compute"/>
    <s v="USB Flash Drives"/>
    <s v="Semiconductor Revenue M$"/>
    <x v="2"/>
    <n v="0"/>
  </r>
  <r>
    <s v="Discrete AI"/>
    <x v="8"/>
    <x v="0"/>
    <s v="Compute"/>
    <s v="USB Flash Drives"/>
    <s v="Semiconductor Revenue M$"/>
    <x v="3"/>
    <n v="0"/>
  </r>
  <r>
    <s v="Discrete AI"/>
    <x v="8"/>
    <x v="0"/>
    <s v="Compute"/>
    <s v="USB Flash Drives"/>
    <s v="Semiconductor Revenue M$"/>
    <x v="4"/>
    <n v="0"/>
  </r>
  <r>
    <s v="Discrete AI"/>
    <x v="8"/>
    <x v="0"/>
    <s v="Compute"/>
    <s v="USB Flash Drives"/>
    <s v="Semiconductor Revenue M$"/>
    <x v="5"/>
    <n v="0"/>
  </r>
  <r>
    <s v="Discrete AI"/>
    <x v="8"/>
    <x v="0"/>
    <s v="Compute"/>
    <s v="USB Flash Drives"/>
    <s v="Semiconductor Revenue M$"/>
    <x v="6"/>
    <n v="0"/>
  </r>
  <r>
    <s v="Discrete AI"/>
    <x v="8"/>
    <x v="0"/>
    <s v="Servers"/>
    <s v="Server, 4 CPU sockets and over"/>
    <s v="Semiconductor Revenue M$"/>
    <x v="0"/>
    <n v="4.5524451646133161E-2"/>
  </r>
  <r>
    <s v="Discrete AI"/>
    <x v="8"/>
    <x v="0"/>
    <s v="Servers"/>
    <s v="Server, 4 CPU sockets and over"/>
    <s v="Semiconductor Revenue M$"/>
    <x v="1"/>
    <n v="0.17907421862707268"/>
  </r>
  <r>
    <s v="Discrete AI"/>
    <x v="8"/>
    <x v="0"/>
    <s v="Servers"/>
    <s v="Server, 4 CPU sockets and over"/>
    <s v="Semiconductor Revenue M$"/>
    <x v="2"/>
    <n v="0.69894166744299313"/>
  </r>
  <r>
    <s v="Discrete AI"/>
    <x v="8"/>
    <x v="0"/>
    <s v="Servers"/>
    <s v="Server, 4 CPU sockets and over"/>
    <s v="Semiconductor Revenue M$"/>
    <x v="3"/>
    <n v="2.8045690249804625"/>
  </r>
  <r>
    <s v="Discrete AI"/>
    <x v="8"/>
    <x v="0"/>
    <s v="Servers"/>
    <s v="Server, 4 CPU sockets and over"/>
    <s v="Semiconductor Revenue M$"/>
    <x v="4"/>
    <n v="7.7503640648105216"/>
  </r>
  <r>
    <s v="Discrete AI"/>
    <x v="8"/>
    <x v="0"/>
    <s v="Servers"/>
    <s v="Server, 4 CPU sockets and over"/>
    <s v="Semiconductor Revenue M$"/>
    <x v="5"/>
    <n v="9.0230758770865958"/>
  </r>
  <r>
    <s v="Discrete AI"/>
    <x v="8"/>
    <x v="0"/>
    <s v="Servers"/>
    <s v="Server, 4 CPU sockets and over"/>
    <s v="Semiconductor Revenue M$"/>
    <x v="6"/>
    <n v="13.512462199614536"/>
  </r>
  <r>
    <s v="Discrete AI"/>
    <x v="8"/>
    <x v="0"/>
    <s v="Servers"/>
    <s v="Server, 2 CPU socket"/>
    <s v="Semiconductor Revenue M$"/>
    <x v="0"/>
    <n v="47.26580229583675"/>
  </r>
  <r>
    <s v="Discrete AI"/>
    <x v="8"/>
    <x v="0"/>
    <s v="Servers"/>
    <s v="Server, 2 CPU socket"/>
    <s v="Semiconductor Revenue M$"/>
    <x v="1"/>
    <n v="103.6177617074574"/>
  </r>
  <r>
    <s v="Discrete AI"/>
    <x v="8"/>
    <x v="0"/>
    <s v="Servers"/>
    <s v="Server, 2 CPU socket"/>
    <s v="Semiconductor Revenue M$"/>
    <x v="2"/>
    <n v="223.76823766492694"/>
  </r>
  <r>
    <s v="Discrete AI"/>
    <x v="8"/>
    <x v="0"/>
    <s v="Servers"/>
    <s v="Server, 2 CPU socket"/>
    <s v="Semiconductor Revenue M$"/>
    <x v="3"/>
    <n v="438.69353579739658"/>
  </r>
  <r>
    <s v="Discrete AI"/>
    <x v="8"/>
    <x v="0"/>
    <s v="Servers"/>
    <s v="Server, 2 CPU socket"/>
    <s v="Semiconductor Revenue M$"/>
    <x v="4"/>
    <n v="822.74848419849104"/>
  </r>
  <r>
    <s v="Discrete AI"/>
    <x v="8"/>
    <x v="0"/>
    <s v="Servers"/>
    <s v="Server, 2 CPU socket"/>
    <s v="Semiconductor Revenue M$"/>
    <x v="5"/>
    <n v="1251.7351672510422"/>
  </r>
  <r>
    <s v="Discrete AI"/>
    <x v="8"/>
    <x v="0"/>
    <s v="Servers"/>
    <s v="Server, 2 CPU socket"/>
    <s v="Semiconductor Revenue M$"/>
    <x v="6"/>
    <n v="1729.3555621917963"/>
  </r>
  <r>
    <s v="Discrete AI"/>
    <x v="8"/>
    <x v="0"/>
    <s v="Servers"/>
    <s v="Server, 1 CPU socket"/>
    <s v="Semiconductor Revenue M$"/>
    <x v="0"/>
    <n v="1.3029318157468663"/>
  </r>
  <r>
    <s v="Discrete AI"/>
    <x v="8"/>
    <x v="0"/>
    <s v="Servers"/>
    <s v="Server, 1 CPU socket"/>
    <s v="Semiconductor Revenue M$"/>
    <x v="1"/>
    <n v="16.456306312492462"/>
  </r>
  <r>
    <s v="Discrete AI"/>
    <x v="8"/>
    <x v="0"/>
    <s v="Servers"/>
    <s v="Server, 1 CPU socket"/>
    <s v="Semiconductor Revenue M$"/>
    <x v="2"/>
    <n v="44.904444827491474"/>
  </r>
  <r>
    <s v="Discrete AI"/>
    <x v="8"/>
    <x v="0"/>
    <s v="Servers"/>
    <s v="Server, 1 CPU socket"/>
    <s v="Semiconductor Revenue M$"/>
    <x v="3"/>
    <n v="72.374444486148761"/>
  </r>
  <r>
    <s v="Discrete AI"/>
    <x v="8"/>
    <x v="0"/>
    <s v="Servers"/>
    <s v="Server, 1 CPU socket"/>
    <s v="Semiconductor Revenue M$"/>
    <x v="4"/>
    <n v="102.08677919930288"/>
  </r>
  <r>
    <s v="Discrete AI"/>
    <x v="8"/>
    <x v="0"/>
    <s v="Servers"/>
    <s v="Server, 1 CPU socket"/>
    <s v="Semiconductor Revenue M$"/>
    <x v="5"/>
    <n v="202.87812410078743"/>
  </r>
  <r>
    <s v="Discrete AI"/>
    <x v="8"/>
    <x v="0"/>
    <s v="Servers"/>
    <s v="Server, 1 CPU socket"/>
    <s v="Semiconductor Revenue M$"/>
    <x v="6"/>
    <n v="289.62428182308753"/>
  </r>
  <r>
    <s v="Discrete AI"/>
    <x v="8"/>
    <x v="0"/>
    <s v="Compute"/>
    <s v="Smart Cards"/>
    <s v="Semiconductor Revenue M$"/>
    <x v="0"/>
    <n v="0"/>
  </r>
  <r>
    <s v="Discrete AI"/>
    <x v="8"/>
    <x v="0"/>
    <s v="Compute"/>
    <s v="Smart Cards"/>
    <s v="Semiconductor Revenue M$"/>
    <x v="1"/>
    <n v="0"/>
  </r>
  <r>
    <s v="Discrete AI"/>
    <x v="8"/>
    <x v="0"/>
    <s v="Compute"/>
    <s v="Smart Cards"/>
    <s v="Semiconductor Revenue M$"/>
    <x v="2"/>
    <n v="0"/>
  </r>
  <r>
    <s v="Discrete AI"/>
    <x v="8"/>
    <x v="0"/>
    <s v="Compute"/>
    <s v="Smart Cards"/>
    <s v="Semiconductor Revenue M$"/>
    <x v="3"/>
    <n v="0"/>
  </r>
  <r>
    <s v="Discrete AI"/>
    <x v="8"/>
    <x v="0"/>
    <s v="Compute"/>
    <s v="Smart Cards"/>
    <s v="Semiconductor Revenue M$"/>
    <x v="4"/>
    <n v="0"/>
  </r>
  <r>
    <s v="Discrete AI"/>
    <x v="8"/>
    <x v="0"/>
    <s v="Compute"/>
    <s v="Smart Cards"/>
    <s v="Semiconductor Revenue M$"/>
    <x v="5"/>
    <n v="0"/>
  </r>
  <r>
    <s v="Discrete AI"/>
    <x v="8"/>
    <x v="0"/>
    <s v="Compute"/>
    <s v="Smart Cards"/>
    <s v="Semiconductor Revenue M$"/>
    <x v="6"/>
    <n v="0"/>
  </r>
  <r>
    <s v="Discrete AI"/>
    <x v="8"/>
    <x v="0"/>
    <s v="Servers"/>
    <s v="Accelerator Cards"/>
    <s v="Semiconductor Revenue M$"/>
    <x v="0"/>
    <n v="176.29193652966597"/>
  </r>
  <r>
    <s v="Discrete AI"/>
    <x v="8"/>
    <x v="0"/>
    <s v="Servers"/>
    <s v="Accelerator Cards"/>
    <s v="Semiconductor Revenue M$"/>
    <x v="1"/>
    <n v="274.80615288660658"/>
  </r>
  <r>
    <s v="Discrete AI"/>
    <x v="8"/>
    <x v="0"/>
    <s v="Servers"/>
    <s v="Accelerator Cards"/>
    <s v="Semiconductor Revenue M$"/>
    <x v="2"/>
    <n v="331.41667068824324"/>
  </r>
  <r>
    <s v="Discrete AI"/>
    <x v="8"/>
    <x v="0"/>
    <s v="Servers"/>
    <s v="Accelerator Cards"/>
    <s v="Semiconductor Revenue M$"/>
    <x v="3"/>
    <n v="464.53673986004418"/>
  </r>
  <r>
    <s v="Discrete AI"/>
    <x v="8"/>
    <x v="0"/>
    <s v="Servers"/>
    <s v="Accelerator Cards"/>
    <s v="Semiconductor Revenue M$"/>
    <x v="4"/>
    <n v="833.85638022790317"/>
  </r>
  <r>
    <s v="Discrete AI"/>
    <x v="8"/>
    <x v="0"/>
    <s v="Servers"/>
    <s v="Accelerator Cards"/>
    <s v="Semiconductor Revenue M$"/>
    <x v="5"/>
    <n v="1145.4924345182308"/>
  </r>
  <r>
    <s v="Discrete AI"/>
    <x v="8"/>
    <x v="0"/>
    <s v="Servers"/>
    <s v="Accelerator Cards"/>
    <s v="Semiconductor Revenue M$"/>
    <x v="6"/>
    <n v="1406.1686739542672"/>
  </r>
  <r>
    <s v="Discrete AI"/>
    <x v="8"/>
    <x v="1"/>
    <s v="Storage"/>
    <s v="Solid-State ECB"/>
    <s v="Semiconductor Revenue M$"/>
    <x v="0"/>
    <n v="1.6247272323599356E-2"/>
  </r>
  <r>
    <s v="Discrete AI"/>
    <x v="8"/>
    <x v="1"/>
    <s v="Storage"/>
    <s v="Solid-State ECB"/>
    <s v="Semiconductor Revenue M$"/>
    <x v="1"/>
    <n v="4.0702002005816675E-2"/>
  </r>
  <r>
    <s v="Discrete AI"/>
    <x v="8"/>
    <x v="1"/>
    <s v="Storage"/>
    <s v="Solid-State ECB"/>
    <s v="Semiconductor Revenue M$"/>
    <x v="2"/>
    <n v="0.10439054214815023"/>
  </r>
  <r>
    <s v="Discrete AI"/>
    <x v="8"/>
    <x v="1"/>
    <s v="Storage"/>
    <s v="Solid-State ECB"/>
    <s v="Semiconductor Revenue M$"/>
    <x v="3"/>
    <n v="0.24588246492395932"/>
  </r>
  <r>
    <s v="Discrete AI"/>
    <x v="8"/>
    <x v="1"/>
    <s v="Storage"/>
    <s v="Solid-State ECB"/>
    <s v="Semiconductor Revenue M$"/>
    <x v="4"/>
    <n v="0.34636839108528567"/>
  </r>
  <r>
    <s v="Discrete AI"/>
    <x v="8"/>
    <x v="1"/>
    <s v="Storage"/>
    <s v="Solid-State ECB"/>
    <s v="Semiconductor Revenue M$"/>
    <x v="5"/>
    <n v="0.45299794770556534"/>
  </r>
  <r>
    <s v="Discrete AI"/>
    <x v="8"/>
    <x v="1"/>
    <s v="Storage"/>
    <s v="Solid-State ECB"/>
    <s v="Semiconductor Revenue M$"/>
    <x v="6"/>
    <n v="0.61866136924999182"/>
  </r>
  <r>
    <s v="Discrete AI"/>
    <x v="8"/>
    <x v="1"/>
    <s v="Storage"/>
    <s v="Other ECB (HDD/Hybrid)"/>
    <s v="Semiconductor Revenue M$"/>
    <x v="0"/>
    <n v="2.6561057814340136E-3"/>
  </r>
  <r>
    <s v="Discrete AI"/>
    <x v="8"/>
    <x v="1"/>
    <s v="Storage"/>
    <s v="Other ECB (HDD/Hybrid)"/>
    <s v="Semiconductor Revenue M$"/>
    <x v="1"/>
    <n v="2.7159579740825088E-3"/>
  </r>
  <r>
    <s v="Discrete AI"/>
    <x v="8"/>
    <x v="1"/>
    <s v="Storage"/>
    <s v="Other ECB (HDD/Hybrid)"/>
    <s v="Semiconductor Revenue M$"/>
    <x v="2"/>
    <n v="1.3761515376755453E-2"/>
  </r>
  <r>
    <s v="Discrete AI"/>
    <x v="8"/>
    <x v="1"/>
    <s v="Storage"/>
    <s v="Other ECB (HDD/Hybrid)"/>
    <s v="Semiconductor Revenue M$"/>
    <x v="3"/>
    <n v="3.3870431604725096E-2"/>
  </r>
  <r>
    <s v="Discrete AI"/>
    <x v="8"/>
    <x v="1"/>
    <s v="Storage"/>
    <s v="Other ECB (HDD/Hybrid)"/>
    <s v="Semiconductor Revenue M$"/>
    <x v="4"/>
    <n v="4.434499069439702E-2"/>
  </r>
  <r>
    <s v="Discrete AI"/>
    <x v="8"/>
    <x v="1"/>
    <s v="Storage"/>
    <s v="Other ECB (HDD/Hybrid)"/>
    <s v="Semiconductor Revenue M$"/>
    <x v="5"/>
    <n v="5.7709952161599812E-2"/>
  </r>
  <r>
    <s v="Discrete AI"/>
    <x v="8"/>
    <x v="1"/>
    <s v="Storage"/>
    <s v="Other ECB (HDD/Hybrid)"/>
    <s v="Semiconductor Revenue M$"/>
    <x v="6"/>
    <n v="6.6348442337243241E-2"/>
  </r>
  <r>
    <s v="Discrete AI"/>
    <x v="8"/>
    <x v="1"/>
    <s v="Storage"/>
    <s v="Storage Network Infrastructure"/>
    <s v="Semiconductor Revenue M$"/>
    <x v="0"/>
    <n v="0.17950164083202527"/>
  </r>
  <r>
    <s v="Discrete AI"/>
    <x v="8"/>
    <x v="1"/>
    <s v="Storage"/>
    <s v="Storage Network Infrastructure"/>
    <s v="Semiconductor Revenue M$"/>
    <x v="1"/>
    <n v="0.41285530944194815"/>
  </r>
  <r>
    <s v="Discrete AI"/>
    <x v="8"/>
    <x v="1"/>
    <s v="Storage"/>
    <s v="Storage Network Infrastructure"/>
    <s v="Semiconductor Revenue M$"/>
    <x v="2"/>
    <n v="0.91244297838783439"/>
  </r>
  <r>
    <s v="Discrete AI"/>
    <x v="8"/>
    <x v="1"/>
    <s v="Storage"/>
    <s v="Storage Network Infrastructure"/>
    <s v="Semiconductor Revenue M$"/>
    <x v="3"/>
    <n v="1.8964380503357052"/>
  </r>
  <r>
    <s v="Discrete AI"/>
    <x v="8"/>
    <x v="1"/>
    <s v="Storage"/>
    <s v="Storage Network Infrastructure"/>
    <s v="Semiconductor Revenue M$"/>
    <x v="4"/>
    <n v="2.464176615810163"/>
  </r>
  <r>
    <s v="Discrete AI"/>
    <x v="8"/>
    <x v="1"/>
    <s v="Storage"/>
    <s v="Storage Network Infrastructure"/>
    <s v="Semiconductor Revenue M$"/>
    <x v="5"/>
    <n v="3.2567369888887328"/>
  </r>
  <r>
    <s v="Discrete AI"/>
    <x v="8"/>
    <x v="1"/>
    <s v="Storage"/>
    <s v="Storage Network Infrastructure"/>
    <s v="Semiconductor Revenue M$"/>
    <x v="6"/>
    <n v="4.1534927480891195"/>
  </r>
  <r>
    <s v="Discrete AI"/>
    <x v="8"/>
    <x v="1"/>
    <s v="Storage"/>
    <s v="Hard Disk Drive"/>
    <s v="Semiconductor Revenue M$"/>
    <x v="0"/>
    <n v="0"/>
  </r>
  <r>
    <s v="Discrete AI"/>
    <x v="8"/>
    <x v="1"/>
    <s v="Storage"/>
    <s v="Hard Disk Drive"/>
    <s v="Semiconductor Revenue M$"/>
    <x v="1"/>
    <n v="0"/>
  </r>
  <r>
    <s v="Discrete AI"/>
    <x v="8"/>
    <x v="1"/>
    <s v="Storage"/>
    <s v="Hard Disk Drive"/>
    <s v="Semiconductor Revenue M$"/>
    <x v="2"/>
    <n v="0"/>
  </r>
  <r>
    <s v="Discrete AI"/>
    <x v="8"/>
    <x v="1"/>
    <s v="Storage"/>
    <s v="Hard Disk Drive"/>
    <s v="Semiconductor Revenue M$"/>
    <x v="3"/>
    <n v="0"/>
  </r>
  <r>
    <s v="Discrete AI"/>
    <x v="8"/>
    <x v="1"/>
    <s v="Storage"/>
    <s v="Hard Disk Drive"/>
    <s v="Semiconductor Revenue M$"/>
    <x v="4"/>
    <n v="0"/>
  </r>
  <r>
    <s v="Discrete AI"/>
    <x v="8"/>
    <x v="1"/>
    <s v="Storage"/>
    <s v="Hard Disk Drive"/>
    <s v="Semiconductor Revenue M$"/>
    <x v="5"/>
    <n v="0"/>
  </r>
  <r>
    <s v="Discrete AI"/>
    <x v="8"/>
    <x v="1"/>
    <s v="Storage"/>
    <s v="Hard Disk Drive"/>
    <s v="Semiconductor Revenue M$"/>
    <x v="6"/>
    <n v="0"/>
  </r>
  <r>
    <s v="Discrete AI"/>
    <x v="8"/>
    <x v="1"/>
    <s v="Storage"/>
    <s v="Solid-State Drives"/>
    <s v="Semiconductor Revenue M$"/>
    <x v="0"/>
    <n v="0"/>
  </r>
  <r>
    <s v="Discrete AI"/>
    <x v="8"/>
    <x v="1"/>
    <s v="Storage"/>
    <s v="Solid-State Drives"/>
    <s v="Semiconductor Revenue M$"/>
    <x v="1"/>
    <n v="0"/>
  </r>
  <r>
    <s v="Discrete AI"/>
    <x v="8"/>
    <x v="1"/>
    <s v="Storage"/>
    <s v="Solid-State Drives"/>
    <s v="Semiconductor Revenue M$"/>
    <x v="2"/>
    <n v="0"/>
  </r>
  <r>
    <s v="Discrete AI"/>
    <x v="8"/>
    <x v="1"/>
    <s v="Storage"/>
    <s v="Solid-State Drives"/>
    <s v="Semiconductor Revenue M$"/>
    <x v="3"/>
    <n v="0"/>
  </r>
  <r>
    <s v="Discrete AI"/>
    <x v="8"/>
    <x v="1"/>
    <s v="Storage"/>
    <s v="Solid-State Drives"/>
    <s v="Semiconductor Revenue M$"/>
    <x v="4"/>
    <n v="0"/>
  </r>
  <r>
    <s v="Discrete AI"/>
    <x v="8"/>
    <x v="1"/>
    <s v="Storage"/>
    <s v="Solid-State Drives"/>
    <s v="Semiconductor Revenue M$"/>
    <x v="5"/>
    <n v="0"/>
  </r>
  <r>
    <s v="Discrete AI"/>
    <x v="8"/>
    <x v="1"/>
    <s v="Storage"/>
    <s v="Solid-State Drives"/>
    <s v="Semiconductor Revenue M$"/>
    <x v="6"/>
    <n v="0"/>
  </r>
  <r>
    <s v="Discrete AI"/>
    <x v="8"/>
    <x v="1"/>
    <s v="Storage"/>
    <s v="Other Storage Media"/>
    <s v="Semiconductor Revenue M$"/>
    <x v="0"/>
    <n v="0"/>
  </r>
  <r>
    <s v="Discrete AI"/>
    <x v="8"/>
    <x v="1"/>
    <s v="Storage"/>
    <s v="Other Storage Media"/>
    <s v="Semiconductor Revenue M$"/>
    <x v="1"/>
    <n v="0"/>
  </r>
  <r>
    <s v="Discrete AI"/>
    <x v="8"/>
    <x v="1"/>
    <s v="Storage"/>
    <s v="Other Storage Media"/>
    <s v="Semiconductor Revenue M$"/>
    <x v="2"/>
    <n v="0"/>
  </r>
  <r>
    <s v="Discrete AI"/>
    <x v="8"/>
    <x v="1"/>
    <s v="Storage"/>
    <s v="Other Storage Media"/>
    <s v="Semiconductor Revenue M$"/>
    <x v="3"/>
    <n v="0"/>
  </r>
  <r>
    <s v="Discrete AI"/>
    <x v="8"/>
    <x v="1"/>
    <s v="Storage"/>
    <s v="Other Storage Media"/>
    <s v="Semiconductor Revenue M$"/>
    <x v="4"/>
    <n v="0"/>
  </r>
  <r>
    <s v="Discrete AI"/>
    <x v="8"/>
    <x v="1"/>
    <s v="Storage"/>
    <s v="Other Storage Media"/>
    <s v="Semiconductor Revenue M$"/>
    <x v="5"/>
    <n v="0"/>
  </r>
  <r>
    <s v="Discrete AI"/>
    <x v="8"/>
    <x v="1"/>
    <s v="Storage"/>
    <s v="Other Storage Media"/>
    <s v="Semiconductor Revenue M$"/>
    <x v="6"/>
    <n v="0"/>
  </r>
  <r>
    <s v="Discrete AI"/>
    <x v="8"/>
    <x v="1"/>
    <s v="Storage"/>
    <s v="Other Storage Electronics"/>
    <s v="Semiconductor Revenue M$"/>
    <x v="0"/>
    <n v="0.55196984044527875"/>
  </r>
  <r>
    <s v="Discrete AI"/>
    <x v="8"/>
    <x v="1"/>
    <s v="Storage"/>
    <s v="Other Storage Electronics"/>
    <s v="Semiconductor Revenue M$"/>
    <x v="1"/>
    <n v="1.6655112076156828"/>
  </r>
  <r>
    <s v="Discrete AI"/>
    <x v="8"/>
    <x v="1"/>
    <s v="Storage"/>
    <s v="Other Storage Electronics"/>
    <s v="Semiconductor Revenue M$"/>
    <x v="2"/>
    <n v="4.8348795754323106"/>
  </r>
  <r>
    <s v="Discrete AI"/>
    <x v="8"/>
    <x v="1"/>
    <s v="Storage"/>
    <s v="Other Storage Electronics"/>
    <s v="Semiconductor Revenue M$"/>
    <x v="3"/>
    <n v="13.10373106765147"/>
  </r>
  <r>
    <s v="Discrete AI"/>
    <x v="8"/>
    <x v="1"/>
    <s v="Storage"/>
    <s v="Other Storage Electronics"/>
    <s v="Semiconductor Revenue M$"/>
    <x v="4"/>
    <n v="24.291712077281186"/>
  </r>
  <r>
    <s v="Discrete AI"/>
    <x v="8"/>
    <x v="1"/>
    <s v="Storage"/>
    <s v="Other Storage Electronics"/>
    <s v="Semiconductor Revenue M$"/>
    <x v="5"/>
    <n v="35.586772092989108"/>
  </r>
  <r>
    <s v="Discrete AI"/>
    <x v="8"/>
    <x v="1"/>
    <s v="Storage"/>
    <s v="Other Storage Electronics"/>
    <s v="Semiconductor Revenue M$"/>
    <x v="6"/>
    <n v="45.331083884054053"/>
  </r>
  <r>
    <s v="Discrete AI"/>
    <x v="8"/>
    <x v="2"/>
    <s v="Wireless Communications Electronics"/>
    <s v="Utility Traditional Phone"/>
    <s v="Semiconductor Revenue M$"/>
    <x v="0"/>
    <n v="7.9868905558023139E-3"/>
  </r>
  <r>
    <s v="Discrete AI"/>
    <x v="8"/>
    <x v="2"/>
    <s v="Wireless Communications Electronics"/>
    <s v="Utility Traditional Phone"/>
    <s v="Semiconductor Revenue M$"/>
    <x v="1"/>
    <n v="1.2534644809651401E-2"/>
  </r>
  <r>
    <s v="Discrete AI"/>
    <x v="8"/>
    <x v="2"/>
    <s v="Wireless Communications Electronics"/>
    <s v="Utility Traditional Phone"/>
    <s v="Semiconductor Revenue M$"/>
    <x v="2"/>
    <n v="1.9651156029886388E-2"/>
  </r>
  <r>
    <s v="Discrete AI"/>
    <x v="8"/>
    <x v="2"/>
    <s v="Wireless Communications Electronics"/>
    <s v="Utility Traditional Phone"/>
    <s v="Semiconductor Revenue M$"/>
    <x v="3"/>
    <n v="4.8709578646403892E-2"/>
  </r>
  <r>
    <s v="Discrete AI"/>
    <x v="8"/>
    <x v="2"/>
    <s v="Wireless Communications Electronics"/>
    <s v="Utility Traditional Phone"/>
    <s v="Semiconductor Revenue M$"/>
    <x v="4"/>
    <n v="6.2999777292831641E-2"/>
  </r>
  <r>
    <s v="Discrete AI"/>
    <x v="8"/>
    <x v="2"/>
    <s v="Wireless Communications Electronics"/>
    <s v="Utility Traditional Phone"/>
    <s v="Semiconductor Revenue M$"/>
    <x v="5"/>
    <n v="8.5356611845525093E-2"/>
  </r>
  <r>
    <s v="Discrete AI"/>
    <x v="8"/>
    <x v="2"/>
    <s v="Wireless Communications Electronics"/>
    <s v="Utility Traditional Phone"/>
    <s v="Semiconductor Revenue M$"/>
    <x v="6"/>
    <n v="0.1008779347021698"/>
  </r>
  <r>
    <s v="Discrete AI"/>
    <x v="8"/>
    <x v="2"/>
    <s v="Wireless Communications Electronics"/>
    <s v="Basic Smartphone"/>
    <s v="Semiconductor Revenue M$"/>
    <x v="0"/>
    <n v="8.1968800278656342E-2"/>
  </r>
  <r>
    <s v="Discrete AI"/>
    <x v="8"/>
    <x v="2"/>
    <s v="Wireless Communications Electronics"/>
    <s v="Basic Smartphone"/>
    <s v="Semiconductor Revenue M$"/>
    <x v="1"/>
    <n v="0.29020114995738033"/>
  </r>
  <r>
    <s v="Discrete AI"/>
    <x v="8"/>
    <x v="2"/>
    <s v="Wireless Communications Electronics"/>
    <s v="Basic Smartphone"/>
    <s v="Semiconductor Revenue M$"/>
    <x v="2"/>
    <n v="0.91335964285082982"/>
  </r>
  <r>
    <s v="Discrete AI"/>
    <x v="8"/>
    <x v="2"/>
    <s v="Wireless Communications Electronics"/>
    <s v="Basic Smartphone"/>
    <s v="Semiconductor Revenue M$"/>
    <x v="3"/>
    <n v="3.1173904294415564"/>
  </r>
  <r>
    <s v="Discrete AI"/>
    <x v="8"/>
    <x v="2"/>
    <s v="Wireless Communications Electronics"/>
    <s v="Basic Smartphone"/>
    <s v="Semiconductor Revenue M$"/>
    <x v="4"/>
    <n v="9.5332600398953442"/>
  </r>
  <r>
    <s v="Discrete AI"/>
    <x v="8"/>
    <x v="2"/>
    <s v="Wireless Communications Electronics"/>
    <s v="Basic Smartphone"/>
    <s v="Semiconductor Revenue M$"/>
    <x v="5"/>
    <n v="13.730243885874533"/>
  </r>
  <r>
    <s v="Discrete AI"/>
    <x v="8"/>
    <x v="2"/>
    <s v="Wireless Communications Electronics"/>
    <s v="Basic Smartphone"/>
    <s v="Semiconductor Revenue M$"/>
    <x v="6"/>
    <n v="20.214574522467512"/>
  </r>
  <r>
    <s v="Discrete AI"/>
    <x v="8"/>
    <x v="2"/>
    <s v="Wireless Communications Electronics"/>
    <s v="Utility Smartphone"/>
    <s v="Semiconductor Revenue M$"/>
    <x v="0"/>
    <n v="5.0858881611359222E-2"/>
  </r>
  <r>
    <s v="Discrete AI"/>
    <x v="8"/>
    <x v="2"/>
    <s v="Wireless Communications Electronics"/>
    <s v="Utility Smartphone"/>
    <s v="Semiconductor Revenue M$"/>
    <x v="1"/>
    <n v="0.1201315102400918"/>
  </r>
  <r>
    <s v="Discrete AI"/>
    <x v="8"/>
    <x v="2"/>
    <s v="Wireless Communications Electronics"/>
    <s v="Utility Smartphone"/>
    <s v="Semiconductor Revenue M$"/>
    <x v="2"/>
    <n v="0.18024973567427216"/>
  </r>
  <r>
    <s v="Discrete AI"/>
    <x v="8"/>
    <x v="2"/>
    <s v="Wireless Communications Electronics"/>
    <s v="Utility Smartphone"/>
    <s v="Semiconductor Revenue M$"/>
    <x v="3"/>
    <n v="0.45308867656939272"/>
  </r>
  <r>
    <s v="Discrete AI"/>
    <x v="8"/>
    <x v="2"/>
    <s v="Wireless Communications Electronics"/>
    <s v="Utility Smartphone"/>
    <s v="Semiconductor Revenue M$"/>
    <x v="4"/>
    <n v="0.96081795860316488"/>
  </r>
  <r>
    <s v="Discrete AI"/>
    <x v="8"/>
    <x v="2"/>
    <s v="Wireless Communications Electronics"/>
    <s v="Utility Smartphone"/>
    <s v="Semiconductor Revenue M$"/>
    <x v="5"/>
    <n v="1.4617663174869775"/>
  </r>
  <r>
    <s v="Discrete AI"/>
    <x v="8"/>
    <x v="2"/>
    <s v="Wireless Communications Electronics"/>
    <s v="Utility Smartphone"/>
    <s v="Semiconductor Revenue M$"/>
    <x v="6"/>
    <n v="1.9117745551994334"/>
  </r>
  <r>
    <s v="Discrete AI"/>
    <x v="8"/>
    <x v="2"/>
    <s v="Wireless Communications Electronics"/>
    <s v="Premium Smartphone"/>
    <s v="Semiconductor Revenue M$"/>
    <x v="0"/>
    <n v="0.9849895606787582"/>
  </r>
  <r>
    <s v="Discrete AI"/>
    <x v="8"/>
    <x v="2"/>
    <s v="Wireless Communications Electronics"/>
    <s v="Premium Smartphone"/>
    <s v="Semiconductor Revenue M$"/>
    <x v="1"/>
    <n v="1.8045236527098669"/>
  </r>
  <r>
    <s v="Discrete AI"/>
    <x v="8"/>
    <x v="2"/>
    <s v="Wireless Communications Electronics"/>
    <s v="Premium Smartphone"/>
    <s v="Semiconductor Revenue M$"/>
    <x v="2"/>
    <n v="2.4951905852230389"/>
  </r>
  <r>
    <s v="Discrete AI"/>
    <x v="8"/>
    <x v="2"/>
    <s v="Wireless Communications Electronics"/>
    <s v="Premium Smartphone"/>
    <s v="Semiconductor Revenue M$"/>
    <x v="3"/>
    <n v="7.0806386291178383"/>
  </r>
  <r>
    <s v="Discrete AI"/>
    <x v="8"/>
    <x v="2"/>
    <s v="Wireless Communications Electronics"/>
    <s v="Premium Smartphone"/>
    <s v="Semiconductor Revenue M$"/>
    <x v="4"/>
    <n v="11.698509226564225"/>
  </r>
  <r>
    <s v="Discrete AI"/>
    <x v="8"/>
    <x v="2"/>
    <s v="Wireless Communications Electronics"/>
    <s v="Premium Smartphone"/>
    <s v="Semiconductor Revenue M$"/>
    <x v="5"/>
    <n v="16.123819787031021"/>
  </r>
  <r>
    <s v="Discrete AI"/>
    <x v="8"/>
    <x v="2"/>
    <s v="Wireless Communications Electronics"/>
    <s v="Premium Smartphone"/>
    <s v="Semiconductor Revenue M$"/>
    <x v="6"/>
    <n v="24.934376137623833"/>
  </r>
  <r>
    <s v="Discrete AI"/>
    <x v="8"/>
    <x v="3"/>
    <s v="Automotive Electronics"/>
    <s v="ADAS-ECU (Level-2+/3/4)"/>
    <s v="Semiconductor Revenue M$"/>
    <x v="0"/>
    <n v="8.7901212259451716E-2"/>
  </r>
  <r>
    <s v="Discrete AI"/>
    <x v="8"/>
    <x v="3"/>
    <s v="Automotive Electronics"/>
    <s v="ADAS-ECU (Level-2+/3/4)"/>
    <s v="Semiconductor Revenue M$"/>
    <x v="1"/>
    <n v="0.30743871414646579"/>
  </r>
  <r>
    <s v="Discrete AI"/>
    <x v="8"/>
    <x v="3"/>
    <s v="Automotive Electronics"/>
    <s v="ADAS-ECU (Level-2+/3/4)"/>
    <s v="Semiconductor Revenue M$"/>
    <x v="2"/>
    <n v="1.9949946997120607"/>
  </r>
  <r>
    <s v="Discrete AI"/>
    <x v="8"/>
    <x v="3"/>
    <s v="Automotive Electronics"/>
    <s v="ADAS-ECU (Level-2+/3/4)"/>
    <s v="Semiconductor Revenue M$"/>
    <x v="3"/>
    <n v="10.047286258221291"/>
  </r>
  <r>
    <s v="Discrete AI"/>
    <x v="8"/>
    <x v="3"/>
    <s v="Automotive Electronics"/>
    <s v="ADAS-ECU (Level-2+/3/4)"/>
    <s v="Semiconductor Revenue M$"/>
    <x v="4"/>
    <n v="16.462032566339925"/>
  </r>
  <r>
    <s v="Discrete AI"/>
    <x v="8"/>
    <x v="3"/>
    <s v="Automotive Electronics"/>
    <s v="ADAS-ECU (Level-2+/3/4)"/>
    <s v="Semiconductor Revenue M$"/>
    <x v="5"/>
    <n v="24.67546953854184"/>
  </r>
  <r>
    <s v="Discrete AI"/>
    <x v="8"/>
    <x v="3"/>
    <s v="Automotive Electronics"/>
    <s v="ADAS-ECU (Level-2+/3/4)"/>
    <s v="Semiconductor Revenue M$"/>
    <x v="6"/>
    <n v="20.999817735166236"/>
  </r>
  <r>
    <s v="Discrete AI"/>
    <x v="8"/>
    <x v="2"/>
    <s v="Wireless Communications Electronics"/>
    <s v="Mobile Infrastructure - Base Station Equipment"/>
    <s v="Semiconductor Revenue M$"/>
    <x v="0"/>
    <n v="1.4013110466728522"/>
  </r>
  <r>
    <s v="Discrete AI"/>
    <x v="8"/>
    <x v="2"/>
    <s v="Wireless Communications Electronics"/>
    <s v="Mobile Infrastructure - Base Station Equipment"/>
    <s v="Semiconductor Revenue M$"/>
    <x v="1"/>
    <n v="5.4496367133098946"/>
  </r>
  <r>
    <s v="Discrete AI"/>
    <x v="8"/>
    <x v="2"/>
    <s v="Wireless Communications Electronics"/>
    <s v="Mobile Infrastructure - Base Station Equipment"/>
    <s v="Semiconductor Revenue M$"/>
    <x v="2"/>
    <n v="19.160284057144299"/>
  </r>
  <r>
    <s v="Discrete AI"/>
    <x v="8"/>
    <x v="2"/>
    <s v="Wireless Communications Electronics"/>
    <s v="Mobile Infrastructure - Base Station Equipment"/>
    <s v="Semiconductor Revenue M$"/>
    <x v="3"/>
    <n v="67.969626802033375"/>
  </r>
  <r>
    <s v="Discrete AI"/>
    <x v="8"/>
    <x v="2"/>
    <s v="Wireless Communications Electronics"/>
    <s v="Mobile Infrastructure - Base Station Equipment"/>
    <s v="Semiconductor Revenue M$"/>
    <x v="4"/>
    <n v="204.30778822903025"/>
  </r>
  <r>
    <s v="Discrete AI"/>
    <x v="8"/>
    <x v="2"/>
    <s v="Wireless Communications Electronics"/>
    <s v="Mobile Infrastructure - Base Station Equipment"/>
    <s v="Semiconductor Revenue M$"/>
    <x v="5"/>
    <n v="301.21956739830603"/>
  </r>
  <r>
    <s v="Discrete AI"/>
    <x v="8"/>
    <x v="2"/>
    <s v="Wireless Communications Electronics"/>
    <s v="Mobile Infrastructure - Base Station Equipment"/>
    <s v="Semiconductor Revenue M$"/>
    <x v="6"/>
    <n v="382.64998206839226"/>
  </r>
  <r>
    <s v="Discrete AI"/>
    <x v="8"/>
    <x v="2"/>
    <s v="Wireless Communications Electronics"/>
    <s v="Wireless LAN Infrastructure"/>
    <s v="Semiconductor Revenue M$"/>
    <x v="0"/>
    <n v="0.33430569579285774"/>
  </r>
  <r>
    <s v="Discrete AI"/>
    <x v="8"/>
    <x v="2"/>
    <s v="Wireless Communications Electronics"/>
    <s v="Wireless LAN Infrastructure"/>
    <s v="Semiconductor Revenue M$"/>
    <x v="1"/>
    <n v="0.98774912201057918"/>
  </r>
  <r>
    <s v="Discrete AI"/>
    <x v="8"/>
    <x v="2"/>
    <s v="Wireless Communications Electronics"/>
    <s v="Wireless LAN Infrastructure"/>
    <s v="Semiconductor Revenue M$"/>
    <x v="2"/>
    <n v="2.6823100152767152"/>
  </r>
  <r>
    <s v="Discrete AI"/>
    <x v="8"/>
    <x v="2"/>
    <s v="Wireless Communications Electronics"/>
    <s v="Wireless LAN Infrastructure"/>
    <s v="Semiconductor Revenue M$"/>
    <x v="3"/>
    <n v="7.1185736924112337"/>
  </r>
  <r>
    <s v="Discrete AI"/>
    <x v="8"/>
    <x v="2"/>
    <s v="Wireless Communications Electronics"/>
    <s v="Wireless LAN Infrastructure"/>
    <s v="Semiconductor Revenue M$"/>
    <x v="4"/>
    <n v="4.2494799194091506"/>
  </r>
  <r>
    <s v="Discrete AI"/>
    <x v="8"/>
    <x v="2"/>
    <s v="Wireless Communications Electronics"/>
    <s v="Wireless LAN Infrastructure"/>
    <s v="Semiconductor Revenue M$"/>
    <x v="5"/>
    <n v="5.2214646863693428"/>
  </r>
  <r>
    <s v="Discrete AI"/>
    <x v="8"/>
    <x v="2"/>
    <s v="Wireless Communications Electronics"/>
    <s v="Wireless LAN Infrastructure"/>
    <s v="Semiconductor Revenue M$"/>
    <x v="6"/>
    <n v="14.621887004812333"/>
  </r>
  <r>
    <s v="Discrete AI"/>
    <x v="8"/>
    <x v="2"/>
    <s v="Wireless Communications Electronics"/>
    <s v="Cellular Modems"/>
    <s v="Semiconductor Revenue M$"/>
    <x v="0"/>
    <n v="6.1571417254671738E-3"/>
  </r>
  <r>
    <s v="Discrete AI"/>
    <x v="8"/>
    <x v="2"/>
    <s v="Wireless Communications Electronics"/>
    <s v="Cellular Modems"/>
    <s v="Semiconductor Revenue M$"/>
    <x v="1"/>
    <n v="1.7029004868065033E-2"/>
  </r>
  <r>
    <s v="Discrete AI"/>
    <x v="8"/>
    <x v="2"/>
    <s v="Wireless Communications Electronics"/>
    <s v="Cellular Modems"/>
    <s v="Semiconductor Revenue M$"/>
    <x v="2"/>
    <n v="6.4732492709684022E-2"/>
  </r>
  <r>
    <s v="Discrete AI"/>
    <x v="8"/>
    <x v="2"/>
    <s v="Wireless Communications Electronics"/>
    <s v="Cellular Modems"/>
    <s v="Semiconductor Revenue M$"/>
    <x v="3"/>
    <n v="0.1440987484580557"/>
  </r>
  <r>
    <s v="Discrete AI"/>
    <x v="8"/>
    <x v="2"/>
    <s v="Wireless Communications Electronics"/>
    <s v="Cellular Modems"/>
    <s v="Semiconductor Revenue M$"/>
    <x v="4"/>
    <n v="0.45990098846191685"/>
  </r>
  <r>
    <s v="Discrete AI"/>
    <x v="8"/>
    <x v="2"/>
    <s v="Wireless Communications Electronics"/>
    <s v="Cellular Modems"/>
    <s v="Semiconductor Revenue M$"/>
    <x v="5"/>
    <n v="0.71658794769140788"/>
  </r>
  <r>
    <s v="Discrete AI"/>
    <x v="8"/>
    <x v="2"/>
    <s v="Wireless Communications Electronics"/>
    <s v="Cellular Modems"/>
    <s v="Semiconductor Revenue M$"/>
    <x v="6"/>
    <n v="1.2436207849078942"/>
  </r>
  <r>
    <s v="Discrete AI"/>
    <x v="8"/>
    <x v="2"/>
    <s v="Wireless Communications Electronics"/>
    <s v="Other Wireless Communications Electronics"/>
    <s v="Semiconductor Revenue M$"/>
    <x v="0"/>
    <n v="3.8785614429627233E-2"/>
  </r>
  <r>
    <s v="Discrete AI"/>
    <x v="8"/>
    <x v="2"/>
    <s v="Wireless Communications Electronics"/>
    <s v="Other Wireless Communications Electronics"/>
    <s v="Semiconductor Revenue M$"/>
    <x v="1"/>
    <n v="0.10032796412555059"/>
  </r>
  <r>
    <s v="Discrete AI"/>
    <x v="8"/>
    <x v="2"/>
    <s v="Wireless Communications Electronics"/>
    <s v="Other Wireless Communications Electronics"/>
    <s v="Semiconductor Revenue M$"/>
    <x v="2"/>
    <n v="0.24656291590933838"/>
  </r>
  <r>
    <s v="Discrete AI"/>
    <x v="8"/>
    <x v="2"/>
    <s v="Wireless Communications Electronics"/>
    <s v="Other Wireless Communications Electronics"/>
    <s v="Semiconductor Revenue M$"/>
    <x v="3"/>
    <n v="0.71277961233085074"/>
  </r>
  <r>
    <s v="Discrete AI"/>
    <x v="8"/>
    <x v="2"/>
    <s v="Wireless Communications Electronics"/>
    <s v="Other Wireless Communications Electronics"/>
    <s v="Semiconductor Revenue M$"/>
    <x v="4"/>
    <n v="0.84672705596221653"/>
  </r>
  <r>
    <s v="Discrete AI"/>
    <x v="8"/>
    <x v="2"/>
    <s v="Wireless Communications Electronics"/>
    <s v="Other Wireless Communications Electronics"/>
    <s v="Semiconductor Revenue M$"/>
    <x v="5"/>
    <n v="1.2803518027251704"/>
  </r>
  <r>
    <s v="Discrete AI"/>
    <x v="8"/>
    <x v="2"/>
    <s v="Wireless Communications Electronics"/>
    <s v="Other Wireless Communications Electronics"/>
    <s v="Semiconductor Revenue M$"/>
    <x v="6"/>
    <n v="1.6257910248695404"/>
  </r>
  <r>
    <s v="Discrete AI"/>
    <x v="8"/>
    <x v="2"/>
    <s v="Wired Communications Electronics"/>
    <s v="DSL Broadband Access"/>
    <s v="Semiconductor Revenue M$"/>
    <x v="0"/>
    <n v="1.3819338912027745E-2"/>
  </r>
  <r>
    <s v="Discrete AI"/>
    <x v="8"/>
    <x v="2"/>
    <s v="Wired Communications Electronics"/>
    <s v="DSL Broadband Access"/>
    <s v="Semiconductor Revenue M$"/>
    <x v="1"/>
    <n v="1.1528264702883654E-2"/>
  </r>
  <r>
    <s v="Discrete AI"/>
    <x v="8"/>
    <x v="2"/>
    <s v="Wired Communications Electronics"/>
    <s v="DSL Broadband Access"/>
    <s v="Semiconductor Revenue M$"/>
    <x v="2"/>
    <n v="1.1143049442839451E-2"/>
  </r>
  <r>
    <s v="Discrete AI"/>
    <x v="8"/>
    <x v="2"/>
    <s v="Wired Communications Electronics"/>
    <s v="DSL Broadband Access"/>
    <s v="Semiconductor Revenue M$"/>
    <x v="3"/>
    <n v="8.7373000913969975E-3"/>
  </r>
  <r>
    <s v="Discrete AI"/>
    <x v="8"/>
    <x v="2"/>
    <s v="Wired Communications Electronics"/>
    <s v="DSL Broadband Access"/>
    <s v="Semiconductor Revenue M$"/>
    <x v="4"/>
    <n v="4.7860168172291816E-3"/>
  </r>
  <r>
    <s v="Discrete AI"/>
    <x v="8"/>
    <x v="2"/>
    <s v="Wired Communications Electronics"/>
    <s v="DSL Broadband Access"/>
    <s v="Semiconductor Revenue M$"/>
    <x v="5"/>
    <n v="7.5196991999972925E-3"/>
  </r>
  <r>
    <s v="Discrete AI"/>
    <x v="8"/>
    <x v="2"/>
    <s v="Wired Communications Electronics"/>
    <s v="DSL Broadband Access"/>
    <s v="Semiconductor Revenue M$"/>
    <x v="6"/>
    <n v="-1.7289260255049677E-2"/>
  </r>
  <r>
    <s v="Discrete AI"/>
    <x v="8"/>
    <x v="2"/>
    <s v="Wired Communications Electronics"/>
    <s v="Fiber Broadband Access"/>
    <s v="Semiconductor Revenue M$"/>
    <x v="0"/>
    <n v="1.3715329560064599E-2"/>
  </r>
  <r>
    <s v="Discrete AI"/>
    <x v="8"/>
    <x v="2"/>
    <s v="Wired Communications Electronics"/>
    <s v="Fiber Broadband Access"/>
    <s v="Semiconductor Revenue M$"/>
    <x v="1"/>
    <n v="1.2537256700479756E-2"/>
  </r>
  <r>
    <s v="Discrete AI"/>
    <x v="8"/>
    <x v="2"/>
    <s v="Wired Communications Electronics"/>
    <s v="Fiber Broadband Access"/>
    <s v="Semiconductor Revenue M$"/>
    <x v="2"/>
    <n v="1.0609882307779811E-2"/>
  </r>
  <r>
    <s v="Discrete AI"/>
    <x v="8"/>
    <x v="2"/>
    <s v="Wired Communications Electronics"/>
    <s v="Fiber Broadband Access"/>
    <s v="Semiconductor Revenue M$"/>
    <x v="3"/>
    <n v="9.0406368755601048E-3"/>
  </r>
  <r>
    <s v="Discrete AI"/>
    <x v="8"/>
    <x v="2"/>
    <s v="Wired Communications Electronics"/>
    <s v="Fiber Broadband Access"/>
    <s v="Semiconductor Revenue M$"/>
    <x v="4"/>
    <n v="5.0318245964504262E-3"/>
  </r>
  <r>
    <s v="Discrete AI"/>
    <x v="8"/>
    <x v="2"/>
    <s v="Wired Communications Electronics"/>
    <s v="Fiber Broadband Access"/>
    <s v="Semiconductor Revenue M$"/>
    <x v="5"/>
    <n v="8.1326525897474963E-3"/>
  </r>
  <r>
    <s v="Discrete AI"/>
    <x v="8"/>
    <x v="2"/>
    <s v="Wired Communications Electronics"/>
    <s v="Fiber Broadband Access"/>
    <s v="Semiconductor Revenue M$"/>
    <x v="6"/>
    <n v="-2.1134632633767525E-2"/>
  </r>
  <r>
    <s v="Discrete AI"/>
    <x v="8"/>
    <x v="2"/>
    <s v="Wired Communications Electronics"/>
    <s v="Other Broadband Access"/>
    <s v="Semiconductor Revenue M$"/>
    <x v="0"/>
    <n v="1.99159135668384E-2"/>
  </r>
  <r>
    <s v="Discrete AI"/>
    <x v="8"/>
    <x v="2"/>
    <s v="Wired Communications Electronics"/>
    <s v="Other Broadband Access"/>
    <s v="Semiconductor Revenue M$"/>
    <x v="1"/>
    <n v="1.9587767502014838E-2"/>
  </r>
  <r>
    <s v="Discrete AI"/>
    <x v="8"/>
    <x v="2"/>
    <s v="Wired Communications Electronics"/>
    <s v="Other Broadband Access"/>
    <s v="Semiconductor Revenue M$"/>
    <x v="2"/>
    <n v="2.0941449068997187E-2"/>
  </r>
  <r>
    <s v="Discrete AI"/>
    <x v="8"/>
    <x v="2"/>
    <s v="Wired Communications Electronics"/>
    <s v="Other Broadband Access"/>
    <s v="Semiconductor Revenue M$"/>
    <x v="3"/>
    <n v="1.7833273875965387E-2"/>
  </r>
  <r>
    <s v="Discrete AI"/>
    <x v="8"/>
    <x v="2"/>
    <s v="Wired Communications Electronics"/>
    <s v="Other Broadband Access"/>
    <s v="Semiconductor Revenue M$"/>
    <x v="4"/>
    <n v="9.3049841966571945E-3"/>
  </r>
  <r>
    <s v="Discrete AI"/>
    <x v="8"/>
    <x v="2"/>
    <s v="Wired Communications Electronics"/>
    <s v="Other Broadband Access"/>
    <s v="Semiconductor Revenue M$"/>
    <x v="5"/>
    <n v="1.5472426180264006E-2"/>
  </r>
  <r>
    <s v="Discrete AI"/>
    <x v="8"/>
    <x v="2"/>
    <s v="Wired Communications Electronics"/>
    <s v="Other Broadband Access"/>
    <s v="Semiconductor Revenue M$"/>
    <x v="6"/>
    <n v="-4.0373367292246443E-2"/>
  </r>
  <r>
    <s v="Discrete AI"/>
    <x v="8"/>
    <x v="2"/>
    <s v="Wired Communications Electronics"/>
    <s v="Enterprise LAN"/>
    <s v="Semiconductor Revenue M$"/>
    <x v="0"/>
    <n v="7.48867839190642E-3"/>
  </r>
  <r>
    <s v="Discrete AI"/>
    <x v="8"/>
    <x v="2"/>
    <s v="Wired Communications Electronics"/>
    <s v="Enterprise LAN"/>
    <s v="Semiconductor Revenue M$"/>
    <x v="1"/>
    <n v="7.9476492381800028E-3"/>
  </r>
  <r>
    <s v="Discrete AI"/>
    <x v="8"/>
    <x v="2"/>
    <s v="Wired Communications Electronics"/>
    <s v="Enterprise LAN"/>
    <s v="Semiconductor Revenue M$"/>
    <x v="2"/>
    <n v="7.1331065021251481E-3"/>
  </r>
  <r>
    <s v="Discrete AI"/>
    <x v="8"/>
    <x v="2"/>
    <s v="Wired Communications Electronics"/>
    <s v="Enterprise LAN"/>
    <s v="Semiconductor Revenue M$"/>
    <x v="3"/>
    <n v="6.4129761951116117E-3"/>
  </r>
  <r>
    <s v="Discrete AI"/>
    <x v="8"/>
    <x v="2"/>
    <s v="Wired Communications Electronics"/>
    <s v="Enterprise LAN"/>
    <s v="Semiconductor Revenue M$"/>
    <x v="4"/>
    <n v="3.4685329020045235E-3"/>
  </r>
  <r>
    <s v="Discrete AI"/>
    <x v="8"/>
    <x v="2"/>
    <s v="Wired Communications Electronics"/>
    <s v="Enterprise LAN"/>
    <s v="Semiconductor Revenue M$"/>
    <x v="5"/>
    <n v="5.5174477999937084E-3"/>
  </r>
  <r>
    <s v="Discrete AI"/>
    <x v="8"/>
    <x v="2"/>
    <s v="Wired Communications Electronics"/>
    <s v="Enterprise LAN"/>
    <s v="Semiconductor Revenue M$"/>
    <x v="6"/>
    <n v="-1.3473444154678578E-2"/>
  </r>
  <r>
    <s v="Discrete AI"/>
    <x v="8"/>
    <x v="3"/>
    <s v="Automotive Electronics"/>
    <s v="ADAS-ECU (Level-0/1/2)"/>
    <s v="Semiconductor Revenue M$"/>
    <x v="0"/>
    <n v="0.41405220484778127"/>
  </r>
  <r>
    <s v="Discrete AI"/>
    <x v="8"/>
    <x v="3"/>
    <s v="Automotive Electronics"/>
    <s v="ADAS-ECU (Level-0/1/2)"/>
    <s v="Semiconductor Revenue M$"/>
    <x v="1"/>
    <n v="0.87858209845172452"/>
  </r>
  <r>
    <s v="Discrete AI"/>
    <x v="8"/>
    <x v="3"/>
    <s v="Automotive Electronics"/>
    <s v="ADAS-ECU (Level-0/1/2)"/>
    <s v="Semiconductor Revenue M$"/>
    <x v="2"/>
    <n v="3.3448507897193474"/>
  </r>
  <r>
    <s v="Discrete AI"/>
    <x v="8"/>
    <x v="3"/>
    <s v="Automotive Electronics"/>
    <s v="ADAS-ECU (Level-0/1/2)"/>
    <s v="Semiconductor Revenue M$"/>
    <x v="3"/>
    <n v="10.0660565356592"/>
  </r>
  <r>
    <s v="Discrete AI"/>
    <x v="8"/>
    <x v="3"/>
    <s v="Automotive Electronics"/>
    <s v="ADAS-ECU (Level-0/1/2)"/>
    <s v="Semiconductor Revenue M$"/>
    <x v="4"/>
    <n v="14.155379958090695"/>
  </r>
  <r>
    <s v="Discrete AI"/>
    <x v="8"/>
    <x v="3"/>
    <s v="Automotive Electronics"/>
    <s v="ADAS-ECU (Level-0/1/2)"/>
    <s v="Semiconductor Revenue M$"/>
    <x v="5"/>
    <n v="19.223999882088869"/>
  </r>
  <r>
    <s v="Discrete AI"/>
    <x v="8"/>
    <x v="3"/>
    <s v="Automotive Electronics"/>
    <s v="ADAS-ECU (Level-0/1/2)"/>
    <s v="Semiconductor Revenue M$"/>
    <x v="6"/>
    <n v="15.679362730675688"/>
  </r>
  <r>
    <s v="Discrete AI"/>
    <x v="8"/>
    <x v="2"/>
    <s v="Wired Communications Electronics"/>
    <s v="Enterprise WAN"/>
    <s v="Semiconductor Revenue M$"/>
    <x v="0"/>
    <n v="3.5739406764292291E-2"/>
  </r>
  <r>
    <s v="Discrete AI"/>
    <x v="8"/>
    <x v="2"/>
    <s v="Wired Communications Electronics"/>
    <s v="Enterprise WAN"/>
    <s v="Semiconductor Revenue M$"/>
    <x v="1"/>
    <n v="3.4651334996002252E-2"/>
  </r>
  <r>
    <s v="Discrete AI"/>
    <x v="8"/>
    <x v="2"/>
    <s v="Wired Communications Electronics"/>
    <s v="Enterprise WAN"/>
    <s v="Semiconductor Revenue M$"/>
    <x v="2"/>
    <n v="3.1088972578280822E-2"/>
  </r>
  <r>
    <s v="Discrete AI"/>
    <x v="8"/>
    <x v="2"/>
    <s v="Wired Communications Electronics"/>
    <s v="Enterprise WAN"/>
    <s v="Semiconductor Revenue M$"/>
    <x v="3"/>
    <n v="2.6807534557367601E-2"/>
  </r>
  <r>
    <s v="Discrete AI"/>
    <x v="8"/>
    <x v="2"/>
    <s v="Wired Communications Electronics"/>
    <s v="Enterprise WAN"/>
    <s v="Semiconductor Revenue M$"/>
    <x v="4"/>
    <n v="1.4642116959262199E-2"/>
  </r>
  <r>
    <s v="Discrete AI"/>
    <x v="8"/>
    <x v="2"/>
    <s v="Wired Communications Electronics"/>
    <s v="Enterprise WAN"/>
    <s v="Semiconductor Revenue M$"/>
    <x v="5"/>
    <n v="2.4693229705485216E-2"/>
  </r>
  <r>
    <s v="Discrete AI"/>
    <x v="8"/>
    <x v="2"/>
    <s v="Wired Communications Electronics"/>
    <s v="Enterprise WAN"/>
    <s v="Semiconductor Revenue M$"/>
    <x v="6"/>
    <n v="-6.0437410464394631E-2"/>
  </r>
  <r>
    <s v="Discrete AI"/>
    <x v="8"/>
    <x v="2"/>
    <s v="Wired Communications Electronics"/>
    <s v="Optical Transport"/>
    <s v="Semiconductor Revenue M$"/>
    <x v="0"/>
    <n v="5.5238990066832423E-2"/>
  </r>
  <r>
    <s v="Discrete AI"/>
    <x v="8"/>
    <x v="2"/>
    <s v="Wired Communications Electronics"/>
    <s v="Optical Transport"/>
    <s v="Semiconductor Revenue M$"/>
    <x v="1"/>
    <n v="5.1360194962082988E-2"/>
  </r>
  <r>
    <s v="Discrete AI"/>
    <x v="8"/>
    <x v="2"/>
    <s v="Wired Communications Electronics"/>
    <s v="Optical Transport"/>
    <s v="Semiconductor Revenue M$"/>
    <x v="2"/>
    <n v="4.5954563565235647E-2"/>
  </r>
  <r>
    <s v="Discrete AI"/>
    <x v="8"/>
    <x v="2"/>
    <s v="Wired Communications Electronics"/>
    <s v="Optical Transport"/>
    <s v="Semiconductor Revenue M$"/>
    <x v="3"/>
    <n v="4.0570422423788589E-2"/>
  </r>
  <r>
    <s v="Discrete AI"/>
    <x v="8"/>
    <x v="2"/>
    <s v="Wired Communications Electronics"/>
    <s v="Optical Transport"/>
    <s v="Semiconductor Revenue M$"/>
    <x v="4"/>
    <n v="2.2422267449500457E-2"/>
  </r>
  <r>
    <s v="Discrete AI"/>
    <x v="8"/>
    <x v="2"/>
    <s v="Wired Communications Electronics"/>
    <s v="Optical Transport"/>
    <s v="Semiconductor Revenue M$"/>
    <x v="5"/>
    <n v="3.7515643944557725E-2"/>
  </r>
  <r>
    <s v="Discrete AI"/>
    <x v="8"/>
    <x v="2"/>
    <s v="Wired Communications Electronics"/>
    <s v="Optical Transport"/>
    <s v="Semiconductor Revenue M$"/>
    <x v="6"/>
    <n v="-9.0970597928805699E-2"/>
  </r>
  <r>
    <s v="Discrete AI"/>
    <x v="8"/>
    <x v="2"/>
    <s v="Wired Communications Electronics"/>
    <s v="Service Provider Routers and Switches"/>
    <s v="Semiconductor Revenue M$"/>
    <x v="0"/>
    <n v="4.6128884186443168E-2"/>
  </r>
  <r>
    <s v="Discrete AI"/>
    <x v="8"/>
    <x v="2"/>
    <s v="Wired Communications Electronics"/>
    <s v="Service Provider Routers and Switches"/>
    <s v="Semiconductor Revenue M$"/>
    <x v="1"/>
    <n v="4.0987939460390706E-2"/>
  </r>
  <r>
    <s v="Discrete AI"/>
    <x v="8"/>
    <x v="2"/>
    <s v="Wired Communications Electronics"/>
    <s v="Service Provider Routers and Switches"/>
    <s v="Semiconductor Revenue M$"/>
    <x v="2"/>
    <n v="3.5562100464442262E-2"/>
  </r>
  <r>
    <s v="Discrete AI"/>
    <x v="8"/>
    <x v="2"/>
    <s v="Wired Communications Electronics"/>
    <s v="Service Provider Routers and Switches"/>
    <s v="Semiconductor Revenue M$"/>
    <x v="3"/>
    <n v="2.9494048450922954E-2"/>
  </r>
  <r>
    <s v="Discrete AI"/>
    <x v="8"/>
    <x v="2"/>
    <s v="Wired Communications Electronics"/>
    <s v="Service Provider Routers and Switches"/>
    <s v="Semiconductor Revenue M$"/>
    <x v="4"/>
    <n v="1.6242448292143736E-2"/>
  </r>
  <r>
    <s v="Discrete AI"/>
    <x v="8"/>
    <x v="2"/>
    <s v="Wired Communications Electronics"/>
    <s v="Service Provider Routers and Switches"/>
    <s v="Semiconductor Revenue M$"/>
    <x v="5"/>
    <n v="2.7540230003802606E-2"/>
  </r>
  <r>
    <s v="Discrete AI"/>
    <x v="8"/>
    <x v="2"/>
    <s v="Wired Communications Electronics"/>
    <s v="Service Provider Routers and Switches"/>
    <s v="Semiconductor Revenue M$"/>
    <x v="6"/>
    <n v="-7.4267595696655253E-2"/>
  </r>
  <r>
    <s v="Discrete AI"/>
    <x v="8"/>
    <x v="2"/>
    <s v="Wired Communications Electronics"/>
    <s v="Other Wired Communications Electronics"/>
    <s v="Semiconductor Revenue M$"/>
    <x v="0"/>
    <n v="8.313482198297821E-2"/>
  </r>
  <r>
    <s v="Discrete AI"/>
    <x v="8"/>
    <x v="2"/>
    <s v="Wired Communications Electronics"/>
    <s v="Other Wired Communications Electronics"/>
    <s v="Semiconductor Revenue M$"/>
    <x v="1"/>
    <n v="7.9286684639900018E-2"/>
  </r>
  <r>
    <s v="Discrete AI"/>
    <x v="8"/>
    <x v="2"/>
    <s v="Wired Communications Electronics"/>
    <s v="Other Wired Communications Electronics"/>
    <s v="Semiconductor Revenue M$"/>
    <x v="2"/>
    <n v="6.1304053943065165E-2"/>
  </r>
  <r>
    <s v="Discrete AI"/>
    <x v="8"/>
    <x v="2"/>
    <s v="Wired Communications Electronics"/>
    <s v="Other Wired Communications Electronics"/>
    <s v="Semiconductor Revenue M$"/>
    <x v="3"/>
    <n v="4.7467346277815362E-2"/>
  </r>
  <r>
    <s v="Discrete AI"/>
    <x v="8"/>
    <x v="2"/>
    <s v="Wired Communications Electronics"/>
    <s v="Other Wired Communications Electronics"/>
    <s v="Semiconductor Revenue M$"/>
    <x v="4"/>
    <n v="2.3977335678471656E-2"/>
  </r>
  <r>
    <s v="Discrete AI"/>
    <x v="8"/>
    <x v="2"/>
    <s v="Wired Communications Electronics"/>
    <s v="Other Wired Communications Electronics"/>
    <s v="Semiconductor Revenue M$"/>
    <x v="5"/>
    <n v="3.7039212746562619E-2"/>
  </r>
  <r>
    <s v="Discrete AI"/>
    <x v="8"/>
    <x v="2"/>
    <s v="Wired Communications Electronics"/>
    <s v="Other Wired Communications Electronics"/>
    <s v="Semiconductor Revenue M$"/>
    <x v="6"/>
    <n v="-9.17921087005477E-2"/>
  </r>
  <r>
    <s v="Discrete AI"/>
    <x v="8"/>
    <x v="4"/>
    <s v="Consumer Electronics"/>
    <s v="Appliances"/>
    <s v="Semiconductor Revenue M$"/>
    <x v="0"/>
    <n v="2.5260999410511233E-3"/>
  </r>
  <r>
    <s v="Discrete AI"/>
    <x v="8"/>
    <x v="4"/>
    <s v="Consumer Electronics"/>
    <s v="Appliances"/>
    <s v="Semiconductor Revenue M$"/>
    <x v="1"/>
    <n v="4.7175480216682802E-3"/>
  </r>
  <r>
    <s v="Discrete AI"/>
    <x v="8"/>
    <x v="4"/>
    <s v="Consumer Electronics"/>
    <s v="Appliances"/>
    <s v="Semiconductor Revenue M$"/>
    <x v="2"/>
    <n v="8.1145922574878751E-3"/>
  </r>
  <r>
    <s v="Discrete AI"/>
    <x v="8"/>
    <x v="4"/>
    <s v="Consumer Electronics"/>
    <s v="Appliances"/>
    <s v="Semiconductor Revenue M$"/>
    <x v="3"/>
    <n v="1.2404233619045741E-2"/>
  </r>
  <r>
    <s v="Discrete AI"/>
    <x v="8"/>
    <x v="4"/>
    <s v="Consumer Electronics"/>
    <s v="Appliances"/>
    <s v="Semiconductor Revenue M$"/>
    <x v="4"/>
    <n v="8.2607227219995728E-3"/>
  </r>
  <r>
    <s v="Discrete AI"/>
    <x v="8"/>
    <x v="4"/>
    <s v="Consumer Electronics"/>
    <s v="Appliances"/>
    <s v="Semiconductor Revenue M$"/>
    <x v="5"/>
    <n v="1.2409677824998607E-2"/>
  </r>
  <r>
    <s v="Discrete AI"/>
    <x v="8"/>
    <x v="4"/>
    <s v="Consumer Electronics"/>
    <s v="Appliances"/>
    <s v="Semiconductor Revenue M$"/>
    <x v="6"/>
    <n v="-1.9393296650785256E-2"/>
  </r>
  <r>
    <s v="Discrete AI"/>
    <x v="8"/>
    <x v="4"/>
    <s v="Consumer Electronics"/>
    <s v="Digital Camcorder"/>
    <s v="Semiconductor Revenue M$"/>
    <x v="0"/>
    <n v="0"/>
  </r>
  <r>
    <s v="Discrete AI"/>
    <x v="8"/>
    <x v="4"/>
    <s v="Consumer Electronics"/>
    <s v="Digital Camcorder"/>
    <s v="Semiconductor Revenue M$"/>
    <x v="1"/>
    <n v="0"/>
  </r>
  <r>
    <s v="Discrete AI"/>
    <x v="8"/>
    <x v="4"/>
    <s v="Consumer Electronics"/>
    <s v="Digital Camcorder"/>
    <s v="Semiconductor Revenue M$"/>
    <x v="2"/>
    <n v="0"/>
  </r>
  <r>
    <s v="Discrete AI"/>
    <x v="8"/>
    <x v="4"/>
    <s v="Consumer Electronics"/>
    <s v="Digital Camcorder"/>
    <s v="Semiconductor Revenue M$"/>
    <x v="3"/>
    <n v="0"/>
  </r>
  <r>
    <s v="Discrete AI"/>
    <x v="8"/>
    <x v="4"/>
    <s v="Consumer Electronics"/>
    <s v="Digital Camcorder"/>
    <s v="Semiconductor Revenue M$"/>
    <x v="4"/>
    <n v="0"/>
  </r>
  <r>
    <s v="Discrete AI"/>
    <x v="8"/>
    <x v="4"/>
    <s v="Consumer Electronics"/>
    <s v="Digital Camcorder"/>
    <s v="Semiconductor Revenue M$"/>
    <x v="5"/>
    <n v="0"/>
  </r>
  <r>
    <s v="Discrete AI"/>
    <x v="8"/>
    <x v="4"/>
    <s v="Consumer Electronics"/>
    <s v="Digital Camcorder"/>
    <s v="Semiconductor Revenue M$"/>
    <x v="6"/>
    <n v="0"/>
  </r>
  <r>
    <s v="Discrete AI"/>
    <x v="8"/>
    <x v="4"/>
    <s v="Consumer Electronics"/>
    <s v="Digital Set-Top Box, Cable"/>
    <s v="Semiconductor Revenue M$"/>
    <x v="0"/>
    <n v="0"/>
  </r>
  <r>
    <s v="Discrete AI"/>
    <x v="8"/>
    <x v="4"/>
    <s v="Consumer Electronics"/>
    <s v="Digital Set-Top Box, Cable"/>
    <s v="Semiconductor Revenue M$"/>
    <x v="1"/>
    <n v="0"/>
  </r>
  <r>
    <s v="Discrete AI"/>
    <x v="8"/>
    <x v="4"/>
    <s v="Consumer Electronics"/>
    <s v="Digital Set-Top Box, Cable"/>
    <s v="Semiconductor Revenue M$"/>
    <x v="2"/>
    <n v="0"/>
  </r>
  <r>
    <s v="Discrete AI"/>
    <x v="8"/>
    <x v="4"/>
    <s v="Consumer Electronics"/>
    <s v="Digital Set-Top Box, Cable"/>
    <s v="Semiconductor Revenue M$"/>
    <x v="3"/>
    <n v="0"/>
  </r>
  <r>
    <s v="Discrete AI"/>
    <x v="8"/>
    <x v="4"/>
    <s v="Consumer Electronics"/>
    <s v="Digital Set-Top Box, Cable"/>
    <s v="Semiconductor Revenue M$"/>
    <x v="4"/>
    <n v="0"/>
  </r>
  <r>
    <s v="Discrete AI"/>
    <x v="8"/>
    <x v="4"/>
    <s v="Consumer Electronics"/>
    <s v="Digital Set-Top Box, Cable"/>
    <s v="Semiconductor Revenue M$"/>
    <x v="5"/>
    <n v="0"/>
  </r>
  <r>
    <s v="Discrete AI"/>
    <x v="8"/>
    <x v="4"/>
    <s v="Consumer Electronics"/>
    <s v="Digital Set-Top Box, Cable"/>
    <s v="Semiconductor Revenue M$"/>
    <x v="6"/>
    <n v="0"/>
  </r>
  <r>
    <s v="Discrete AI"/>
    <x v="8"/>
    <x v="4"/>
    <s v="Consumer Electronics"/>
    <s v="Digital Set-Top Box, Satellite"/>
    <s v="Semiconductor Revenue M$"/>
    <x v="0"/>
    <n v="0"/>
  </r>
  <r>
    <s v="Discrete AI"/>
    <x v="8"/>
    <x v="4"/>
    <s v="Consumer Electronics"/>
    <s v="Digital Set-Top Box, Satellite"/>
    <s v="Semiconductor Revenue M$"/>
    <x v="1"/>
    <n v="0"/>
  </r>
  <r>
    <s v="Discrete AI"/>
    <x v="8"/>
    <x v="4"/>
    <s v="Consumer Electronics"/>
    <s v="Digital Set-Top Box, Satellite"/>
    <s v="Semiconductor Revenue M$"/>
    <x v="2"/>
    <n v="0"/>
  </r>
  <r>
    <s v="Discrete AI"/>
    <x v="8"/>
    <x v="4"/>
    <s v="Consumer Electronics"/>
    <s v="Digital Set-Top Box, Satellite"/>
    <s v="Semiconductor Revenue M$"/>
    <x v="3"/>
    <n v="0"/>
  </r>
  <r>
    <s v="Discrete AI"/>
    <x v="8"/>
    <x v="4"/>
    <s v="Consumer Electronics"/>
    <s v="Digital Set-Top Box, Satellite"/>
    <s v="Semiconductor Revenue M$"/>
    <x v="4"/>
    <n v="0"/>
  </r>
  <r>
    <s v="Discrete AI"/>
    <x v="8"/>
    <x v="4"/>
    <s v="Consumer Electronics"/>
    <s v="Digital Set-Top Box, Satellite"/>
    <s v="Semiconductor Revenue M$"/>
    <x v="5"/>
    <n v="0"/>
  </r>
  <r>
    <s v="Discrete AI"/>
    <x v="8"/>
    <x v="4"/>
    <s v="Consumer Electronics"/>
    <s v="Digital Set-Top Box, Satellite"/>
    <s v="Semiconductor Revenue M$"/>
    <x v="6"/>
    <n v="0"/>
  </r>
  <r>
    <s v="Discrete AI"/>
    <x v="8"/>
    <x v="4"/>
    <s v="Consumer Electronics"/>
    <s v="Digital Set-Top Box, Terrestrial"/>
    <s v="Semiconductor Revenue M$"/>
    <x v="0"/>
    <n v="0"/>
  </r>
  <r>
    <s v="Discrete AI"/>
    <x v="8"/>
    <x v="4"/>
    <s v="Consumer Electronics"/>
    <s v="Digital Set-Top Box, Terrestrial"/>
    <s v="Semiconductor Revenue M$"/>
    <x v="1"/>
    <n v="0"/>
  </r>
  <r>
    <s v="Discrete AI"/>
    <x v="8"/>
    <x v="4"/>
    <s v="Consumer Electronics"/>
    <s v="Digital Set-Top Box, Terrestrial"/>
    <s v="Semiconductor Revenue M$"/>
    <x v="2"/>
    <n v="0"/>
  </r>
  <r>
    <s v="Discrete AI"/>
    <x v="8"/>
    <x v="4"/>
    <s v="Consumer Electronics"/>
    <s v="Digital Set-Top Box, Terrestrial"/>
    <s v="Semiconductor Revenue M$"/>
    <x v="3"/>
    <n v="0"/>
  </r>
  <r>
    <s v="Discrete AI"/>
    <x v="8"/>
    <x v="4"/>
    <s v="Consumer Electronics"/>
    <s v="Digital Set-Top Box, Terrestrial"/>
    <s v="Semiconductor Revenue M$"/>
    <x v="4"/>
    <n v="0"/>
  </r>
  <r>
    <s v="Discrete AI"/>
    <x v="8"/>
    <x v="4"/>
    <s v="Consumer Electronics"/>
    <s v="Digital Set-Top Box, Terrestrial"/>
    <s v="Semiconductor Revenue M$"/>
    <x v="5"/>
    <n v="0"/>
  </r>
  <r>
    <s v="Discrete AI"/>
    <x v="8"/>
    <x v="4"/>
    <s v="Consumer Electronics"/>
    <s v="Digital Set-Top Box, Terrestrial"/>
    <s v="Semiconductor Revenue M$"/>
    <x v="6"/>
    <n v="0"/>
  </r>
  <r>
    <s v="Discrete AI"/>
    <x v="8"/>
    <x v="4"/>
    <s v="Consumer Electronics"/>
    <s v="Digital Set-Top Box, IP/Other"/>
    <s v="Semiconductor Revenue M$"/>
    <x v="0"/>
    <n v="0"/>
  </r>
  <r>
    <s v="Discrete AI"/>
    <x v="8"/>
    <x v="4"/>
    <s v="Consumer Electronics"/>
    <s v="Digital Set-Top Box, IP/Other"/>
    <s v="Semiconductor Revenue M$"/>
    <x v="1"/>
    <n v="0"/>
  </r>
  <r>
    <s v="Discrete AI"/>
    <x v="8"/>
    <x v="4"/>
    <s v="Consumer Electronics"/>
    <s v="Digital Set-Top Box, IP/Other"/>
    <s v="Semiconductor Revenue M$"/>
    <x v="2"/>
    <n v="0"/>
  </r>
  <r>
    <s v="Discrete AI"/>
    <x v="8"/>
    <x v="4"/>
    <s v="Consumer Electronics"/>
    <s v="Digital Set-Top Box, IP/Other"/>
    <s v="Semiconductor Revenue M$"/>
    <x v="3"/>
    <n v="0"/>
  </r>
  <r>
    <s v="Discrete AI"/>
    <x v="8"/>
    <x v="4"/>
    <s v="Consumer Electronics"/>
    <s v="Digital Set-Top Box, IP/Other"/>
    <s v="Semiconductor Revenue M$"/>
    <x v="4"/>
    <n v="0"/>
  </r>
  <r>
    <s v="Discrete AI"/>
    <x v="8"/>
    <x v="4"/>
    <s v="Consumer Electronics"/>
    <s v="Digital Set-Top Box, IP/Other"/>
    <s v="Semiconductor Revenue M$"/>
    <x v="5"/>
    <n v="0"/>
  </r>
  <r>
    <s v="Discrete AI"/>
    <x v="8"/>
    <x v="4"/>
    <s v="Consumer Electronics"/>
    <s v="Digital Set-Top Box, IP/Other"/>
    <s v="Semiconductor Revenue M$"/>
    <x v="6"/>
    <n v="0"/>
  </r>
  <r>
    <s v="Discrete AI"/>
    <x v="8"/>
    <x v="4"/>
    <s v="Consumer Electronics"/>
    <s v="Digital Still Camera"/>
    <s v="Semiconductor Revenue M$"/>
    <x v="0"/>
    <n v="0"/>
  </r>
  <r>
    <s v="Discrete AI"/>
    <x v="8"/>
    <x v="4"/>
    <s v="Consumer Electronics"/>
    <s v="Digital Still Camera"/>
    <s v="Semiconductor Revenue M$"/>
    <x v="1"/>
    <n v="0"/>
  </r>
  <r>
    <s v="Discrete AI"/>
    <x v="8"/>
    <x v="4"/>
    <s v="Consumer Electronics"/>
    <s v="Digital Still Camera"/>
    <s v="Semiconductor Revenue M$"/>
    <x v="2"/>
    <n v="0"/>
  </r>
  <r>
    <s v="Discrete AI"/>
    <x v="8"/>
    <x v="4"/>
    <s v="Consumer Electronics"/>
    <s v="Digital Still Camera"/>
    <s v="Semiconductor Revenue M$"/>
    <x v="3"/>
    <n v="0"/>
  </r>
  <r>
    <s v="Discrete AI"/>
    <x v="8"/>
    <x v="4"/>
    <s v="Consumer Electronics"/>
    <s v="Digital Still Camera"/>
    <s v="Semiconductor Revenue M$"/>
    <x v="4"/>
    <n v="0"/>
  </r>
  <r>
    <s v="Discrete AI"/>
    <x v="8"/>
    <x v="4"/>
    <s v="Consumer Electronics"/>
    <s v="Digital Still Camera"/>
    <s v="Semiconductor Revenue M$"/>
    <x v="5"/>
    <n v="0"/>
  </r>
  <r>
    <s v="Discrete AI"/>
    <x v="8"/>
    <x v="4"/>
    <s v="Consumer Electronics"/>
    <s v="Digital Still Camera"/>
    <s v="Semiconductor Revenue M$"/>
    <x v="6"/>
    <n v="0"/>
  </r>
  <r>
    <s v="Discrete AI"/>
    <x v="8"/>
    <x v="5"/>
    <s v="Industrial Electronics"/>
    <s v="Agriculture"/>
    <s v="Semiconductor Revenue M$"/>
    <x v="0"/>
    <n v="0"/>
  </r>
  <r>
    <s v="Discrete AI"/>
    <x v="8"/>
    <x v="5"/>
    <s v="Industrial Electronics"/>
    <s v="Agriculture"/>
    <s v="Semiconductor Revenue M$"/>
    <x v="1"/>
    <n v="0"/>
  </r>
  <r>
    <s v="Discrete AI"/>
    <x v="8"/>
    <x v="5"/>
    <s v="Industrial Electronics"/>
    <s v="Agriculture"/>
    <s v="Semiconductor Revenue M$"/>
    <x v="2"/>
    <n v="0"/>
  </r>
  <r>
    <s v="Discrete AI"/>
    <x v="8"/>
    <x v="5"/>
    <s v="Industrial Electronics"/>
    <s v="Agriculture"/>
    <s v="Semiconductor Revenue M$"/>
    <x v="3"/>
    <n v="8.2355523224577325E-3"/>
  </r>
  <r>
    <s v="Discrete AI"/>
    <x v="8"/>
    <x v="5"/>
    <s v="Industrial Electronics"/>
    <s v="Agriculture"/>
    <s v="Semiconductor Revenue M$"/>
    <x v="4"/>
    <n v="6.0659866001386446E-2"/>
  </r>
  <r>
    <s v="Discrete AI"/>
    <x v="8"/>
    <x v="5"/>
    <s v="Industrial Electronics"/>
    <s v="Agriculture"/>
    <s v="Semiconductor Revenue M$"/>
    <x v="5"/>
    <n v="7.9718531180681312E-2"/>
  </r>
  <r>
    <s v="Discrete AI"/>
    <x v="8"/>
    <x v="5"/>
    <s v="Industrial Electronics"/>
    <s v="Agriculture"/>
    <s v="Semiconductor Revenue M$"/>
    <x v="6"/>
    <n v="9.4791130936060369E-2"/>
  </r>
  <r>
    <s v="Discrete AI"/>
    <x v="8"/>
    <x v="3"/>
    <s v="Automotive Electronics"/>
    <s v="Automotive HPC"/>
    <s v="Semiconductor Revenue M$"/>
    <x v="0"/>
    <n v="9.4430537489533989E-7"/>
  </r>
  <r>
    <s v="Discrete AI"/>
    <x v="8"/>
    <x v="3"/>
    <s v="Automotive Electronics"/>
    <s v="Automotive HPC"/>
    <s v="Semiconductor Revenue M$"/>
    <x v="1"/>
    <n v="6.0864840602149645E-6"/>
  </r>
  <r>
    <s v="Discrete AI"/>
    <x v="8"/>
    <x v="3"/>
    <s v="Automotive Electronics"/>
    <s v="Automotive HPC"/>
    <s v="Semiconductor Revenue M$"/>
    <x v="2"/>
    <n v="3.6295421590944613E-5"/>
  </r>
  <r>
    <s v="Discrete AI"/>
    <x v="8"/>
    <x v="3"/>
    <s v="Automotive Electronics"/>
    <s v="Automotive HPC"/>
    <s v="Semiconductor Revenue M$"/>
    <x v="3"/>
    <n v="1.877609471308263E-4"/>
  </r>
  <r>
    <s v="Discrete AI"/>
    <x v="8"/>
    <x v="3"/>
    <s v="Automotive Electronics"/>
    <s v="Automotive HPC"/>
    <s v="Semiconductor Revenue M$"/>
    <x v="4"/>
    <n v="6.4941213287462291E-4"/>
  </r>
  <r>
    <s v="Discrete AI"/>
    <x v="8"/>
    <x v="3"/>
    <s v="Automotive Electronics"/>
    <s v="Automotive HPC"/>
    <s v="Semiconductor Revenue M$"/>
    <x v="5"/>
    <n v="1.1386657872863467E-3"/>
  </r>
  <r>
    <s v="Discrete AI"/>
    <x v="8"/>
    <x v="3"/>
    <s v="Automotive Electronics"/>
    <s v="Automotive HPC"/>
    <s v="Semiconductor Revenue M$"/>
    <x v="6"/>
    <n v="-1.8073191432651102E-3"/>
  </r>
  <r>
    <s v="Discrete AI"/>
    <x v="8"/>
    <x v="5"/>
    <s v="Industrial Electronics"/>
    <s v="Surveillance"/>
    <s v="Semiconductor Revenue M$"/>
    <x v="0"/>
    <n v="0.6454811435675043"/>
  </r>
  <r>
    <s v="Discrete AI"/>
    <x v="8"/>
    <x v="5"/>
    <s v="Industrial Electronics"/>
    <s v="Surveillance"/>
    <s v="Semiconductor Revenue M$"/>
    <x v="1"/>
    <n v="4.3821733300442434"/>
  </r>
  <r>
    <s v="Discrete AI"/>
    <x v="8"/>
    <x v="5"/>
    <s v="Industrial Electronics"/>
    <s v="Surveillance"/>
    <s v="Semiconductor Revenue M$"/>
    <x v="2"/>
    <n v="8.4777227204671846"/>
  </r>
  <r>
    <s v="Discrete AI"/>
    <x v="8"/>
    <x v="5"/>
    <s v="Industrial Electronics"/>
    <s v="Surveillance"/>
    <s v="Semiconductor Revenue M$"/>
    <x v="3"/>
    <n v="12.630228228383425"/>
  </r>
  <r>
    <s v="Discrete AI"/>
    <x v="8"/>
    <x v="5"/>
    <s v="Industrial Electronics"/>
    <s v="Surveillance"/>
    <s v="Semiconductor Revenue M$"/>
    <x v="4"/>
    <n v="19.088291215584242"/>
  </r>
  <r>
    <s v="Discrete AI"/>
    <x v="8"/>
    <x v="5"/>
    <s v="Industrial Electronics"/>
    <s v="Surveillance"/>
    <s v="Semiconductor Revenue M$"/>
    <x v="5"/>
    <n v="22.411434239562407"/>
  </r>
  <r>
    <s v="Discrete AI"/>
    <x v="8"/>
    <x v="5"/>
    <s v="Industrial Electronics"/>
    <s v="Surveillance"/>
    <s v="Semiconductor Revenue M$"/>
    <x v="6"/>
    <n v="26.435467151351002"/>
  </r>
  <r>
    <s v="Discrete AI"/>
    <x v="8"/>
    <x v="4"/>
    <s v="Consumer Electronics"/>
    <s v="Portable Media Players"/>
    <s v="Semiconductor Revenue M$"/>
    <x v="0"/>
    <n v="0"/>
  </r>
  <r>
    <s v="Discrete AI"/>
    <x v="8"/>
    <x v="4"/>
    <s v="Consumer Electronics"/>
    <s v="Portable Media Players"/>
    <s v="Semiconductor Revenue M$"/>
    <x v="1"/>
    <n v="0"/>
  </r>
  <r>
    <s v="Discrete AI"/>
    <x v="8"/>
    <x v="4"/>
    <s v="Consumer Electronics"/>
    <s v="Portable Media Players"/>
    <s v="Semiconductor Revenue M$"/>
    <x v="2"/>
    <n v="0"/>
  </r>
  <r>
    <s v="Discrete AI"/>
    <x v="8"/>
    <x v="4"/>
    <s v="Consumer Electronics"/>
    <s v="Portable Media Players"/>
    <s v="Semiconductor Revenue M$"/>
    <x v="3"/>
    <n v="0"/>
  </r>
  <r>
    <s v="Discrete AI"/>
    <x v="8"/>
    <x v="4"/>
    <s v="Consumer Electronics"/>
    <s v="Portable Media Players"/>
    <s v="Semiconductor Revenue M$"/>
    <x v="4"/>
    <n v="0"/>
  </r>
  <r>
    <s v="Discrete AI"/>
    <x v="8"/>
    <x v="4"/>
    <s v="Consumer Electronics"/>
    <s v="Portable Media Players"/>
    <s v="Semiconductor Revenue M$"/>
    <x v="5"/>
    <n v="0"/>
  </r>
  <r>
    <s v="Discrete AI"/>
    <x v="8"/>
    <x v="4"/>
    <s v="Consumer Electronics"/>
    <s v="Portable Media Players"/>
    <s v="Semiconductor Revenue M$"/>
    <x v="6"/>
    <n v="0"/>
  </r>
  <r>
    <s v="Discrete AI"/>
    <x v="8"/>
    <x v="4"/>
    <s v="Consumer Electronics"/>
    <s v="Smart Speakers"/>
    <s v="Semiconductor Revenue M$"/>
    <x v="0"/>
    <n v="0"/>
  </r>
  <r>
    <s v="Discrete AI"/>
    <x v="8"/>
    <x v="4"/>
    <s v="Consumer Electronics"/>
    <s v="Smart Speakers"/>
    <s v="Semiconductor Revenue M$"/>
    <x v="1"/>
    <n v="0"/>
  </r>
  <r>
    <s v="Discrete AI"/>
    <x v="8"/>
    <x v="4"/>
    <s v="Consumer Electronics"/>
    <s v="Smart Speakers"/>
    <s v="Semiconductor Revenue M$"/>
    <x v="2"/>
    <n v="0"/>
  </r>
  <r>
    <s v="Discrete AI"/>
    <x v="8"/>
    <x v="4"/>
    <s v="Consumer Electronics"/>
    <s v="Smart Speakers"/>
    <s v="Semiconductor Revenue M$"/>
    <x v="3"/>
    <n v="0"/>
  </r>
  <r>
    <s v="Discrete AI"/>
    <x v="8"/>
    <x v="4"/>
    <s v="Consumer Electronics"/>
    <s v="Smart Speakers"/>
    <s v="Semiconductor Revenue M$"/>
    <x v="4"/>
    <n v="0"/>
  </r>
  <r>
    <s v="Discrete AI"/>
    <x v="8"/>
    <x v="4"/>
    <s v="Consumer Electronics"/>
    <s v="Smart Speakers"/>
    <s v="Semiconductor Revenue M$"/>
    <x v="5"/>
    <n v="0"/>
  </r>
  <r>
    <s v="Discrete AI"/>
    <x v="8"/>
    <x v="4"/>
    <s v="Consumer Electronics"/>
    <s v="Smart Speakers"/>
    <s v="Semiconductor Revenue M$"/>
    <x v="6"/>
    <n v="0"/>
  </r>
  <r>
    <s v="Discrete AI"/>
    <x v="8"/>
    <x v="4"/>
    <s v="Consumer Electronics"/>
    <s v="TV, Standard"/>
    <s v="Semiconductor Revenue M$"/>
    <x v="0"/>
    <n v="0"/>
  </r>
  <r>
    <s v="Discrete AI"/>
    <x v="8"/>
    <x v="4"/>
    <s v="Consumer Electronics"/>
    <s v="TV, Standard"/>
    <s v="Semiconductor Revenue M$"/>
    <x v="1"/>
    <n v="0"/>
  </r>
  <r>
    <s v="Discrete AI"/>
    <x v="8"/>
    <x v="4"/>
    <s v="Consumer Electronics"/>
    <s v="TV, Standard"/>
    <s v="Semiconductor Revenue M$"/>
    <x v="2"/>
    <n v="0"/>
  </r>
  <r>
    <s v="Discrete AI"/>
    <x v="8"/>
    <x v="4"/>
    <s v="Consumer Electronics"/>
    <s v="TV, Standard"/>
    <s v="Semiconductor Revenue M$"/>
    <x v="3"/>
    <n v="0"/>
  </r>
  <r>
    <s v="Discrete AI"/>
    <x v="8"/>
    <x v="4"/>
    <s v="Consumer Electronics"/>
    <s v="TV, Standard"/>
    <s v="Semiconductor Revenue M$"/>
    <x v="4"/>
    <n v="0"/>
  </r>
  <r>
    <s v="Discrete AI"/>
    <x v="8"/>
    <x v="4"/>
    <s v="Consumer Electronics"/>
    <s v="TV, Standard"/>
    <s v="Semiconductor Revenue M$"/>
    <x v="5"/>
    <n v="0"/>
  </r>
  <r>
    <s v="Discrete AI"/>
    <x v="8"/>
    <x v="4"/>
    <s v="Consumer Electronics"/>
    <s v="TV, Standard"/>
    <s v="Semiconductor Revenue M$"/>
    <x v="6"/>
    <n v="0"/>
  </r>
  <r>
    <s v="Discrete AI"/>
    <x v="8"/>
    <x v="4"/>
    <s v="Consumer Electronics"/>
    <s v="TV, Smart"/>
    <s v="Semiconductor Revenue M$"/>
    <x v="0"/>
    <n v="1.1241083464198958"/>
  </r>
  <r>
    <s v="Discrete AI"/>
    <x v="8"/>
    <x v="4"/>
    <s v="Consumer Electronics"/>
    <s v="TV, Smart"/>
    <s v="Semiconductor Revenue M$"/>
    <x v="1"/>
    <n v="2.0281109895043037"/>
  </r>
  <r>
    <s v="Discrete AI"/>
    <x v="8"/>
    <x v="4"/>
    <s v="Consumer Electronics"/>
    <s v="TV, Smart"/>
    <s v="Semiconductor Revenue M$"/>
    <x v="2"/>
    <n v="3.5003494714181382"/>
  </r>
  <r>
    <s v="Discrete AI"/>
    <x v="8"/>
    <x v="4"/>
    <s v="Consumer Electronics"/>
    <s v="TV, Smart"/>
    <s v="Semiconductor Revenue M$"/>
    <x v="3"/>
    <n v="8.5106113357531612"/>
  </r>
  <r>
    <s v="Discrete AI"/>
    <x v="8"/>
    <x v="4"/>
    <s v="Consumer Electronics"/>
    <s v="TV, Smart"/>
    <s v="Semiconductor Revenue M$"/>
    <x v="4"/>
    <n v="12.088836800332233"/>
  </r>
  <r>
    <s v="Discrete AI"/>
    <x v="8"/>
    <x v="4"/>
    <s v="Consumer Electronics"/>
    <s v="TV, Smart"/>
    <s v="Semiconductor Revenue M$"/>
    <x v="5"/>
    <n v="12.914299565297192"/>
  </r>
  <r>
    <s v="Discrete AI"/>
    <x v="8"/>
    <x v="4"/>
    <s v="Consumer Electronics"/>
    <s v="TV, Smart"/>
    <s v="Semiconductor Revenue M$"/>
    <x v="6"/>
    <n v="17.13279053392311"/>
  </r>
  <r>
    <s v="Discrete AI"/>
    <x v="8"/>
    <x v="4"/>
    <s v="Consumer Electronics"/>
    <s v="Video Game Consoles"/>
    <s v="Semiconductor Revenue M$"/>
    <x v="0"/>
    <n v="5.9082062243114528"/>
  </r>
  <r>
    <s v="Discrete AI"/>
    <x v="8"/>
    <x v="4"/>
    <s v="Consumer Electronics"/>
    <s v="Video Game Consoles"/>
    <s v="Semiconductor Revenue M$"/>
    <x v="1"/>
    <n v="10.467352851374303"/>
  </r>
  <r>
    <s v="Discrete AI"/>
    <x v="8"/>
    <x v="4"/>
    <s v="Consumer Electronics"/>
    <s v="Video Game Consoles"/>
    <s v="Semiconductor Revenue M$"/>
    <x v="2"/>
    <n v="19.782515112261876"/>
  </r>
  <r>
    <s v="Discrete AI"/>
    <x v="8"/>
    <x v="4"/>
    <s v="Consumer Electronics"/>
    <s v="Video Game Consoles"/>
    <s v="Semiconductor Revenue M$"/>
    <x v="3"/>
    <n v="25.938105375766572"/>
  </r>
  <r>
    <s v="Discrete AI"/>
    <x v="8"/>
    <x v="4"/>
    <s v="Consumer Electronics"/>
    <s v="Video Game Consoles"/>
    <s v="Semiconductor Revenue M$"/>
    <x v="4"/>
    <n v="23.428780520112063"/>
  </r>
  <r>
    <s v="Discrete AI"/>
    <x v="8"/>
    <x v="4"/>
    <s v="Consumer Electronics"/>
    <s v="Video Game Consoles"/>
    <s v="Semiconductor Revenue M$"/>
    <x v="5"/>
    <n v="24.822194226824248"/>
  </r>
  <r>
    <s v="Discrete AI"/>
    <x v="8"/>
    <x v="4"/>
    <s v="Consumer Electronics"/>
    <s v="Video Game Consoles"/>
    <s v="Semiconductor Revenue M$"/>
    <x v="6"/>
    <n v="27.833946618135801"/>
  </r>
  <r>
    <s v="Discrete AI"/>
    <x v="8"/>
    <x v="4"/>
    <s v="Consumer Electronics"/>
    <s v="Video Game Handhelds"/>
    <s v="Semiconductor Revenue M$"/>
    <x v="0"/>
    <n v="0.42483912845989513"/>
  </r>
  <r>
    <s v="Discrete AI"/>
    <x v="8"/>
    <x v="4"/>
    <s v="Consumer Electronics"/>
    <s v="Video Game Handhelds"/>
    <s v="Semiconductor Revenue M$"/>
    <x v="1"/>
    <n v="0.44599063748006229"/>
  </r>
  <r>
    <s v="Discrete AI"/>
    <x v="8"/>
    <x v="4"/>
    <s v="Consumer Electronics"/>
    <s v="Video Game Handhelds"/>
    <s v="Semiconductor Revenue M$"/>
    <x v="2"/>
    <n v="0.58858729998524217"/>
  </r>
  <r>
    <s v="Discrete AI"/>
    <x v="8"/>
    <x v="4"/>
    <s v="Consumer Electronics"/>
    <s v="Video Game Handhelds"/>
    <s v="Semiconductor Revenue M$"/>
    <x v="3"/>
    <n v="0.94535898834899446"/>
  </r>
  <r>
    <s v="Discrete AI"/>
    <x v="8"/>
    <x v="4"/>
    <s v="Consumer Electronics"/>
    <s v="Video Game Handhelds"/>
    <s v="Semiconductor Revenue M$"/>
    <x v="4"/>
    <n v="1.2498608415515349"/>
  </r>
  <r>
    <s v="Discrete AI"/>
    <x v="8"/>
    <x v="4"/>
    <s v="Consumer Electronics"/>
    <s v="Video Game Handhelds"/>
    <s v="Semiconductor Revenue M$"/>
    <x v="5"/>
    <n v="2.5830141448053401"/>
  </r>
  <r>
    <s v="Discrete AI"/>
    <x v="8"/>
    <x v="4"/>
    <s v="Consumer Electronics"/>
    <s v="Video Game Handhelds"/>
    <s v="Semiconductor Revenue M$"/>
    <x v="6"/>
    <n v="4.6032694566193335"/>
  </r>
  <r>
    <s v="Discrete AI"/>
    <x v="8"/>
    <x v="4"/>
    <s v="Consumer Electronics"/>
    <s v="Wristbands"/>
    <s v="Semiconductor Revenue M$"/>
    <x v="0"/>
    <n v="0"/>
  </r>
  <r>
    <s v="Discrete AI"/>
    <x v="8"/>
    <x v="4"/>
    <s v="Consumer Electronics"/>
    <s v="Wristbands"/>
    <s v="Semiconductor Revenue M$"/>
    <x v="1"/>
    <n v="0"/>
  </r>
  <r>
    <s v="Discrete AI"/>
    <x v="8"/>
    <x v="4"/>
    <s v="Consumer Electronics"/>
    <s v="Wristbands"/>
    <s v="Semiconductor Revenue M$"/>
    <x v="2"/>
    <n v="0"/>
  </r>
  <r>
    <s v="Discrete AI"/>
    <x v="8"/>
    <x v="4"/>
    <s v="Consumer Electronics"/>
    <s v="Wristbands"/>
    <s v="Semiconductor Revenue M$"/>
    <x v="3"/>
    <n v="0"/>
  </r>
  <r>
    <s v="Discrete AI"/>
    <x v="8"/>
    <x v="4"/>
    <s v="Consumer Electronics"/>
    <s v="Wristbands"/>
    <s v="Semiconductor Revenue M$"/>
    <x v="4"/>
    <n v="0"/>
  </r>
  <r>
    <s v="Discrete AI"/>
    <x v="8"/>
    <x v="4"/>
    <s v="Consumer Electronics"/>
    <s v="Wristbands"/>
    <s v="Semiconductor Revenue M$"/>
    <x v="5"/>
    <n v="0"/>
  </r>
  <r>
    <s v="Discrete AI"/>
    <x v="8"/>
    <x v="4"/>
    <s v="Consumer Electronics"/>
    <s v="Wristbands"/>
    <s v="Semiconductor Revenue M$"/>
    <x v="6"/>
    <n v="0"/>
  </r>
  <r>
    <s v="Discrete AI"/>
    <x v="8"/>
    <x v="4"/>
    <s v="Consumer Electronics"/>
    <s v="Head Mounted Display"/>
    <s v="Semiconductor Revenue M$"/>
    <x v="0"/>
    <n v="8.0304100997858566E-3"/>
  </r>
  <r>
    <s v="Discrete AI"/>
    <x v="8"/>
    <x v="4"/>
    <s v="Consumer Electronics"/>
    <s v="Head Mounted Display"/>
    <s v="Semiconductor Revenue M$"/>
    <x v="1"/>
    <n v="2.0753688362228264E-2"/>
  </r>
  <r>
    <s v="Discrete AI"/>
    <x v="8"/>
    <x v="4"/>
    <s v="Consumer Electronics"/>
    <s v="Head Mounted Display"/>
    <s v="Semiconductor Revenue M$"/>
    <x v="2"/>
    <n v="4.8228092693478268E-2"/>
  </r>
  <r>
    <s v="Discrete AI"/>
    <x v="8"/>
    <x v="4"/>
    <s v="Consumer Electronics"/>
    <s v="Head Mounted Display"/>
    <s v="Semiconductor Revenue M$"/>
    <x v="3"/>
    <n v="9.9940993148397564E-2"/>
  </r>
  <r>
    <s v="Discrete AI"/>
    <x v="8"/>
    <x v="4"/>
    <s v="Consumer Electronics"/>
    <s v="Head Mounted Display"/>
    <s v="Semiconductor Revenue M$"/>
    <x v="4"/>
    <n v="0"/>
  </r>
  <r>
    <s v="Discrete AI"/>
    <x v="8"/>
    <x v="4"/>
    <s v="Consumer Electronics"/>
    <s v="Head Mounted Display"/>
    <s v="Semiconductor Revenue M$"/>
    <x v="5"/>
    <n v="0"/>
  </r>
  <r>
    <s v="Discrete AI"/>
    <x v="8"/>
    <x v="4"/>
    <s v="Consumer Electronics"/>
    <s v="Head Mounted Display"/>
    <s v="Semiconductor Revenue M$"/>
    <x v="6"/>
    <n v="0.56015096670489362"/>
  </r>
  <r>
    <s v="Discrete AI"/>
    <x v="8"/>
    <x v="4"/>
    <s v="Consumer Electronics"/>
    <s v="Smart Watches"/>
    <s v="Semiconductor Revenue M$"/>
    <x v="0"/>
    <n v="8.2518113607821383E-4"/>
  </r>
  <r>
    <s v="Discrete AI"/>
    <x v="8"/>
    <x v="4"/>
    <s v="Consumer Electronics"/>
    <s v="Smart Watches"/>
    <s v="Semiconductor Revenue M$"/>
    <x v="1"/>
    <n v="9.4811596616144612E-4"/>
  </r>
  <r>
    <s v="Discrete AI"/>
    <x v="8"/>
    <x v="4"/>
    <s v="Consumer Electronics"/>
    <s v="Smart Watches"/>
    <s v="Semiconductor Revenue M$"/>
    <x v="2"/>
    <n v="1.0271569089470869E-3"/>
  </r>
  <r>
    <s v="Discrete AI"/>
    <x v="8"/>
    <x v="4"/>
    <s v="Consumer Electronics"/>
    <s v="Smart Watches"/>
    <s v="Semiconductor Revenue M$"/>
    <x v="3"/>
    <n v="1.0504431535348815E-3"/>
  </r>
  <r>
    <s v="Discrete AI"/>
    <x v="8"/>
    <x v="4"/>
    <s v="Consumer Electronics"/>
    <s v="Smart Watches"/>
    <s v="Semiconductor Revenue M$"/>
    <x v="4"/>
    <n v="1.0511854461227E-3"/>
  </r>
  <r>
    <s v="Discrete AI"/>
    <x v="8"/>
    <x v="4"/>
    <s v="Consumer Electronics"/>
    <s v="Smart Watches"/>
    <s v="Semiconductor Revenue M$"/>
    <x v="5"/>
    <n v="2.0142802830024841E-3"/>
  </r>
  <r>
    <s v="Discrete AI"/>
    <x v="8"/>
    <x v="4"/>
    <s v="Consumer Electronics"/>
    <s v="Smart Watches"/>
    <s v="Semiconductor Revenue M$"/>
    <x v="6"/>
    <n v="-2.8662482893012397E-3"/>
  </r>
  <r>
    <s v="Discrete AI"/>
    <x v="8"/>
    <x v="4"/>
    <s v="Consumer Electronics"/>
    <s v="Sports Watches"/>
    <s v="Semiconductor Revenue M$"/>
    <x v="0"/>
    <n v="0"/>
  </r>
  <r>
    <s v="Discrete AI"/>
    <x v="8"/>
    <x v="4"/>
    <s v="Consumer Electronics"/>
    <s v="Sports Watches"/>
    <s v="Semiconductor Revenue M$"/>
    <x v="1"/>
    <n v="0"/>
  </r>
  <r>
    <s v="Discrete AI"/>
    <x v="8"/>
    <x v="4"/>
    <s v="Consumer Electronics"/>
    <s v="Sports Watches"/>
    <s v="Semiconductor Revenue M$"/>
    <x v="2"/>
    <n v="0"/>
  </r>
  <r>
    <s v="Discrete AI"/>
    <x v="8"/>
    <x v="4"/>
    <s v="Consumer Electronics"/>
    <s v="Sports Watches"/>
    <s v="Semiconductor Revenue M$"/>
    <x v="3"/>
    <n v="0"/>
  </r>
  <r>
    <s v="Discrete AI"/>
    <x v="8"/>
    <x v="4"/>
    <s v="Consumer Electronics"/>
    <s v="Sports Watches"/>
    <s v="Semiconductor Revenue M$"/>
    <x v="4"/>
    <n v="0"/>
  </r>
  <r>
    <s v="Discrete AI"/>
    <x v="8"/>
    <x v="4"/>
    <s v="Consumer Electronics"/>
    <s v="Sports Watches"/>
    <s v="Semiconductor Revenue M$"/>
    <x v="5"/>
    <n v="0"/>
  </r>
  <r>
    <s v="Discrete AI"/>
    <x v="8"/>
    <x v="4"/>
    <s v="Consumer Electronics"/>
    <s v="Sports Watches"/>
    <s v="Semiconductor Revenue M$"/>
    <x v="6"/>
    <n v="0"/>
  </r>
  <r>
    <s v="Discrete AI"/>
    <x v="8"/>
    <x v="4"/>
    <s v="Consumer Electronics"/>
    <s v="Other Consumer Electronics"/>
    <s v="Semiconductor Revenue M$"/>
    <x v="0"/>
    <n v="1.1419779461645478E-2"/>
  </r>
  <r>
    <s v="Discrete AI"/>
    <x v="8"/>
    <x v="4"/>
    <s v="Consumer Electronics"/>
    <s v="Other Consumer Electronics"/>
    <s v="Semiconductor Revenue M$"/>
    <x v="1"/>
    <n v="1.5528545632914515E-2"/>
  </r>
  <r>
    <s v="Discrete AI"/>
    <x v="8"/>
    <x v="4"/>
    <s v="Consumer Electronics"/>
    <s v="Other Consumer Electronics"/>
    <s v="Semiconductor Revenue M$"/>
    <x v="2"/>
    <n v="2.4063375055789874E-2"/>
  </r>
  <r>
    <s v="Discrete AI"/>
    <x v="8"/>
    <x v="4"/>
    <s v="Consumer Electronics"/>
    <s v="Other Consumer Electronics"/>
    <s v="Semiconductor Revenue M$"/>
    <x v="3"/>
    <n v="1.3502273391183811E-2"/>
  </r>
  <r>
    <s v="Discrete AI"/>
    <x v="8"/>
    <x v="4"/>
    <s v="Consumer Electronics"/>
    <s v="Other Consumer Electronics"/>
    <s v="Semiconductor Revenue M$"/>
    <x v="4"/>
    <n v="8.9322118022012887E-3"/>
  </r>
  <r>
    <s v="Discrete AI"/>
    <x v="8"/>
    <x v="4"/>
    <s v="Consumer Electronics"/>
    <s v="Other Consumer Electronics"/>
    <s v="Semiconductor Revenue M$"/>
    <x v="5"/>
    <n v="1.3666768001144787E-2"/>
  </r>
  <r>
    <s v="Discrete AI"/>
    <x v="8"/>
    <x v="4"/>
    <s v="Consumer Electronics"/>
    <s v="Other Consumer Electronics"/>
    <s v="Semiconductor Revenue M$"/>
    <x v="6"/>
    <n v="-1.9235639140433934E-2"/>
  </r>
  <r>
    <s v="Discrete AI"/>
    <x v="8"/>
    <x v="3"/>
    <s v="Automotive Electronics"/>
    <s v="ADAS-Sensors and Connectivity"/>
    <s v="Semiconductor Revenue M$"/>
    <x v="0"/>
    <n v="2.508795030228269E-3"/>
  </r>
  <r>
    <s v="Discrete AI"/>
    <x v="8"/>
    <x v="3"/>
    <s v="Automotive Electronics"/>
    <s v="ADAS-Sensors and Connectivity"/>
    <s v="Semiconductor Revenue M$"/>
    <x v="1"/>
    <n v="3.7083353018912109E-3"/>
  </r>
  <r>
    <s v="Discrete AI"/>
    <x v="8"/>
    <x v="3"/>
    <s v="Automotive Electronics"/>
    <s v="ADAS-Sensors and Connectivity"/>
    <s v="Semiconductor Revenue M$"/>
    <x v="2"/>
    <n v="2.9919985490025813E-3"/>
  </r>
  <r>
    <s v="Discrete AI"/>
    <x v="8"/>
    <x v="3"/>
    <s v="Automotive Electronics"/>
    <s v="ADAS-Sensors and Connectivity"/>
    <s v="Semiconductor Revenue M$"/>
    <x v="3"/>
    <n v="2.5586892291424449E-3"/>
  </r>
  <r>
    <s v="Discrete AI"/>
    <x v="8"/>
    <x v="3"/>
    <s v="Automotive Electronics"/>
    <s v="ADAS-Sensors and Connectivity"/>
    <s v="Semiconductor Revenue M$"/>
    <x v="4"/>
    <n v="1.3380629720540014E-3"/>
  </r>
  <r>
    <s v="Discrete AI"/>
    <x v="8"/>
    <x v="3"/>
    <s v="Automotive Electronics"/>
    <s v="ADAS-Sensors and Connectivity"/>
    <s v="Semiconductor Revenue M$"/>
    <x v="5"/>
    <n v="3.0703275276380061E-3"/>
  </r>
  <r>
    <s v="Discrete AI"/>
    <x v="8"/>
    <x v="3"/>
    <s v="Automotive Electronics"/>
    <s v="ADAS-Sensors and Connectivity"/>
    <s v="Semiconductor Revenue M$"/>
    <x v="6"/>
    <n v="-3.7966909102417419E-3"/>
  </r>
  <r>
    <s v="Discrete AI"/>
    <x v="8"/>
    <x v="3"/>
    <s v="Automotive Electronics"/>
    <s v="Body"/>
    <s v="Semiconductor Revenue M$"/>
    <x v="0"/>
    <n v="0"/>
  </r>
  <r>
    <s v="Discrete AI"/>
    <x v="8"/>
    <x v="3"/>
    <s v="Automotive Electronics"/>
    <s v="Body"/>
    <s v="Semiconductor Revenue M$"/>
    <x v="1"/>
    <n v="0"/>
  </r>
  <r>
    <s v="Discrete AI"/>
    <x v="8"/>
    <x v="3"/>
    <s v="Automotive Electronics"/>
    <s v="Body"/>
    <s v="Semiconductor Revenue M$"/>
    <x v="2"/>
    <n v="0"/>
  </r>
  <r>
    <s v="Discrete AI"/>
    <x v="8"/>
    <x v="3"/>
    <s v="Automotive Electronics"/>
    <s v="Body"/>
    <s v="Semiconductor Revenue M$"/>
    <x v="3"/>
    <n v="0"/>
  </r>
  <r>
    <s v="Discrete AI"/>
    <x v="8"/>
    <x v="3"/>
    <s v="Automotive Electronics"/>
    <s v="Body"/>
    <s v="Semiconductor Revenue M$"/>
    <x v="4"/>
    <n v="0"/>
  </r>
  <r>
    <s v="Discrete AI"/>
    <x v="8"/>
    <x v="3"/>
    <s v="Automotive Electronics"/>
    <s v="Body"/>
    <s v="Semiconductor Revenue M$"/>
    <x v="5"/>
    <n v="0"/>
  </r>
  <r>
    <s v="Discrete AI"/>
    <x v="8"/>
    <x v="3"/>
    <s v="Automotive Electronics"/>
    <s v="Body"/>
    <s v="Semiconductor Revenue M$"/>
    <x v="6"/>
    <n v="0"/>
  </r>
  <r>
    <s v="Discrete AI"/>
    <x v="8"/>
    <x v="3"/>
    <s v="Automotive Electronics"/>
    <s v="Chassis"/>
    <s v="Semiconductor Revenue M$"/>
    <x v="0"/>
    <n v="0"/>
  </r>
  <r>
    <s v="Discrete AI"/>
    <x v="8"/>
    <x v="3"/>
    <s v="Automotive Electronics"/>
    <s v="Chassis"/>
    <s v="Semiconductor Revenue M$"/>
    <x v="1"/>
    <n v="0"/>
  </r>
  <r>
    <s v="Discrete AI"/>
    <x v="8"/>
    <x v="3"/>
    <s v="Automotive Electronics"/>
    <s v="Chassis"/>
    <s v="Semiconductor Revenue M$"/>
    <x v="2"/>
    <n v="0"/>
  </r>
  <r>
    <s v="Discrete AI"/>
    <x v="8"/>
    <x v="3"/>
    <s v="Automotive Electronics"/>
    <s v="Chassis"/>
    <s v="Semiconductor Revenue M$"/>
    <x v="3"/>
    <n v="0"/>
  </r>
  <r>
    <s v="Discrete AI"/>
    <x v="8"/>
    <x v="3"/>
    <s v="Automotive Electronics"/>
    <s v="Chassis"/>
    <s v="Semiconductor Revenue M$"/>
    <x v="4"/>
    <n v="0"/>
  </r>
  <r>
    <s v="Discrete AI"/>
    <x v="8"/>
    <x v="3"/>
    <s v="Automotive Electronics"/>
    <s v="Chassis"/>
    <s v="Semiconductor Revenue M$"/>
    <x v="5"/>
    <n v="0"/>
  </r>
  <r>
    <s v="Discrete AI"/>
    <x v="8"/>
    <x v="3"/>
    <s v="Automotive Electronics"/>
    <s v="Chassis"/>
    <s v="Semiconductor Revenue M$"/>
    <x v="6"/>
    <n v="0"/>
  </r>
  <r>
    <s v="Discrete AI"/>
    <x v="8"/>
    <x v="3"/>
    <s v="Automotive Electronics"/>
    <s v="EV/HEV"/>
    <s v="Semiconductor Revenue M$"/>
    <x v="0"/>
    <n v="1.2787311171359359E-3"/>
  </r>
  <r>
    <s v="Discrete AI"/>
    <x v="8"/>
    <x v="3"/>
    <s v="Automotive Electronics"/>
    <s v="EV/HEV"/>
    <s v="Semiconductor Revenue M$"/>
    <x v="1"/>
    <n v="2.9852935420811521E-3"/>
  </r>
  <r>
    <s v="Discrete AI"/>
    <x v="8"/>
    <x v="3"/>
    <s v="Automotive Electronics"/>
    <s v="EV/HEV"/>
    <s v="Semiconductor Revenue M$"/>
    <x v="2"/>
    <n v="5.1714984953135472E-3"/>
  </r>
  <r>
    <s v="Discrete AI"/>
    <x v="8"/>
    <x v="3"/>
    <s v="Automotive Electronics"/>
    <s v="EV/HEV"/>
    <s v="Semiconductor Revenue M$"/>
    <x v="3"/>
    <n v="8.1978035383818443E-3"/>
  </r>
  <r>
    <s v="Discrete AI"/>
    <x v="8"/>
    <x v="3"/>
    <s v="Automotive Electronics"/>
    <s v="EV/HEV"/>
    <s v="Semiconductor Revenue M$"/>
    <x v="4"/>
    <n v="1.2444999687234868E-2"/>
  </r>
  <r>
    <s v="Discrete AI"/>
    <x v="8"/>
    <x v="3"/>
    <s v="Automotive Electronics"/>
    <s v="EV/HEV"/>
    <s v="Semiconductor Revenue M$"/>
    <x v="5"/>
    <n v="1.6887452332745988E-2"/>
  </r>
  <r>
    <s v="Discrete AI"/>
    <x v="8"/>
    <x v="3"/>
    <s v="Automotive Electronics"/>
    <s v="EV/HEV"/>
    <s v="Semiconductor Revenue M$"/>
    <x v="6"/>
    <n v="-2.2102217235304915E-2"/>
  </r>
  <r>
    <s v="Discrete AI"/>
    <x v="8"/>
    <x v="3"/>
    <s v="Automotive Electronics"/>
    <s v="Infotainment"/>
    <s v="Semiconductor Revenue M$"/>
    <x v="0"/>
    <n v="7.236455656110456E-4"/>
  </r>
  <r>
    <s v="Discrete AI"/>
    <x v="8"/>
    <x v="3"/>
    <s v="Automotive Electronics"/>
    <s v="Infotainment"/>
    <s v="Semiconductor Revenue M$"/>
    <x v="1"/>
    <n v="1.0170445474637028E-3"/>
  </r>
  <r>
    <s v="Discrete AI"/>
    <x v="8"/>
    <x v="3"/>
    <s v="Automotive Electronics"/>
    <s v="Infotainment"/>
    <s v="Semiconductor Revenue M$"/>
    <x v="2"/>
    <n v="1.3440318618448074E-3"/>
  </r>
  <r>
    <s v="Discrete AI"/>
    <x v="8"/>
    <x v="3"/>
    <s v="Automotive Electronics"/>
    <s v="Infotainment"/>
    <s v="Semiconductor Revenue M$"/>
    <x v="3"/>
    <n v="7.5262761522367095E-3"/>
  </r>
  <r>
    <s v="Discrete AI"/>
    <x v="8"/>
    <x v="3"/>
    <s v="Automotive Electronics"/>
    <s v="Infotainment"/>
    <s v="Semiconductor Revenue M$"/>
    <x v="4"/>
    <n v="5.7262767681383313E-3"/>
  </r>
  <r>
    <s v="Discrete AI"/>
    <x v="8"/>
    <x v="3"/>
    <s v="Automotive Electronics"/>
    <s v="Infotainment"/>
    <s v="Semiconductor Revenue M$"/>
    <x v="5"/>
    <n v="9.6362167302435145E-3"/>
  </r>
  <r>
    <s v="Discrete AI"/>
    <x v="8"/>
    <x v="3"/>
    <s v="Automotive Electronics"/>
    <s v="Infotainment"/>
    <s v="Semiconductor Revenue M$"/>
    <x v="6"/>
    <n v="-1.1416002457899147E-2"/>
  </r>
  <r>
    <s v="Discrete AI"/>
    <x v="8"/>
    <x v="3"/>
    <s v="Automotive Electronics"/>
    <s v="Instrument Cluster"/>
    <s v="Semiconductor Revenue M$"/>
    <x v="0"/>
    <n v="8.817434452906153E-4"/>
  </r>
  <r>
    <s v="Discrete AI"/>
    <x v="8"/>
    <x v="3"/>
    <s v="Automotive Electronics"/>
    <s v="Instrument Cluster"/>
    <s v="Semiconductor Revenue M$"/>
    <x v="1"/>
    <n v="8.8526771520876398E-4"/>
  </r>
  <r>
    <s v="Discrete AI"/>
    <x v="8"/>
    <x v="3"/>
    <s v="Automotive Electronics"/>
    <s v="Instrument Cluster"/>
    <s v="Semiconductor Revenue M$"/>
    <x v="2"/>
    <n v="1.3296577876304424E-3"/>
  </r>
  <r>
    <s v="Discrete AI"/>
    <x v="8"/>
    <x v="3"/>
    <s v="Automotive Electronics"/>
    <s v="Instrument Cluster"/>
    <s v="Semiconductor Revenue M$"/>
    <x v="3"/>
    <n v="1.7206254800532744E-3"/>
  </r>
  <r>
    <s v="Discrete AI"/>
    <x v="8"/>
    <x v="3"/>
    <s v="Automotive Electronics"/>
    <s v="Instrument Cluster"/>
    <s v="Semiconductor Revenue M$"/>
    <x v="4"/>
    <n v="2.4579311353960178E-3"/>
  </r>
  <r>
    <s v="Discrete AI"/>
    <x v="8"/>
    <x v="3"/>
    <s v="Automotive Electronics"/>
    <s v="Instrument Cluster"/>
    <s v="Semiconductor Revenue M$"/>
    <x v="5"/>
    <n v="3.5723602209286683E-3"/>
  </r>
  <r>
    <s v="Discrete AI"/>
    <x v="8"/>
    <x v="3"/>
    <s v="Automotive Electronics"/>
    <s v="Instrument Cluster"/>
    <s v="Semiconductor Revenue M$"/>
    <x v="6"/>
    <n v="-4.3024190514526052E-3"/>
  </r>
  <r>
    <s v="Discrete AI"/>
    <x v="8"/>
    <x v="3"/>
    <s v="Automotive Electronics"/>
    <s v="Powertrain"/>
    <s v="Semiconductor Revenue M$"/>
    <x v="0"/>
    <n v="4.623854546710333E-4"/>
  </r>
  <r>
    <s v="Discrete AI"/>
    <x v="8"/>
    <x v="3"/>
    <s v="Automotive Electronics"/>
    <s v="Powertrain"/>
    <s v="Semiconductor Revenue M$"/>
    <x v="1"/>
    <n v="6.1282635995660425E-4"/>
  </r>
  <r>
    <s v="Discrete AI"/>
    <x v="8"/>
    <x v="3"/>
    <s v="Automotive Electronics"/>
    <s v="Powertrain"/>
    <s v="Semiconductor Revenue M$"/>
    <x v="2"/>
    <n v="5.63658992035556E-4"/>
  </r>
  <r>
    <s v="Discrete AI"/>
    <x v="8"/>
    <x v="3"/>
    <s v="Automotive Electronics"/>
    <s v="Powertrain"/>
    <s v="Semiconductor Revenue M$"/>
    <x v="3"/>
    <n v="6.1410348407371672E-4"/>
  </r>
  <r>
    <s v="Discrete AI"/>
    <x v="8"/>
    <x v="3"/>
    <s v="Automotive Electronics"/>
    <s v="Powertrain"/>
    <s v="Semiconductor Revenue M$"/>
    <x v="4"/>
    <n v="7.1525033216681376E-4"/>
  </r>
  <r>
    <s v="Discrete AI"/>
    <x v="8"/>
    <x v="3"/>
    <s v="Automotive Electronics"/>
    <s v="Powertrain"/>
    <s v="Semiconductor Revenue M$"/>
    <x v="5"/>
    <n v="1.4497974186008632E-3"/>
  </r>
  <r>
    <s v="Discrete AI"/>
    <x v="8"/>
    <x v="3"/>
    <s v="Automotive Electronics"/>
    <s v="Powertrain"/>
    <s v="Semiconductor Revenue M$"/>
    <x v="6"/>
    <n v="-2.1637511889534195E-3"/>
  </r>
  <r>
    <s v="Discrete AI"/>
    <x v="8"/>
    <x v="3"/>
    <s v="Automotive Electronics"/>
    <s v="Safety"/>
    <s v="Semiconductor Revenue M$"/>
    <x v="0"/>
    <n v="0"/>
  </r>
  <r>
    <s v="Discrete AI"/>
    <x v="8"/>
    <x v="3"/>
    <s v="Automotive Electronics"/>
    <s v="Safety"/>
    <s v="Semiconductor Revenue M$"/>
    <x v="1"/>
    <n v="0"/>
  </r>
  <r>
    <s v="Discrete AI"/>
    <x v="8"/>
    <x v="3"/>
    <s v="Automotive Electronics"/>
    <s v="Safety"/>
    <s v="Semiconductor Revenue M$"/>
    <x v="2"/>
    <n v="0"/>
  </r>
  <r>
    <s v="Discrete AI"/>
    <x v="8"/>
    <x v="3"/>
    <s v="Automotive Electronics"/>
    <s v="Safety"/>
    <s v="Semiconductor Revenue M$"/>
    <x v="3"/>
    <n v="0"/>
  </r>
  <r>
    <s v="Discrete AI"/>
    <x v="8"/>
    <x v="3"/>
    <s v="Automotive Electronics"/>
    <s v="Safety"/>
    <s v="Semiconductor Revenue M$"/>
    <x v="4"/>
    <n v="0"/>
  </r>
  <r>
    <s v="Discrete AI"/>
    <x v="8"/>
    <x v="3"/>
    <s v="Automotive Electronics"/>
    <s v="Safety"/>
    <s v="Semiconductor Revenue M$"/>
    <x v="5"/>
    <n v="0"/>
  </r>
  <r>
    <s v="Discrete AI"/>
    <x v="8"/>
    <x v="3"/>
    <s v="Automotive Electronics"/>
    <s v="Safety"/>
    <s v="Semiconductor Revenue M$"/>
    <x v="6"/>
    <n v="0"/>
  </r>
  <r>
    <s v="Discrete AI"/>
    <x v="8"/>
    <x v="3"/>
    <s v="Automotive Electronics"/>
    <s v="Aftermarket"/>
    <s v="Semiconductor Revenue M$"/>
    <x v="0"/>
    <n v="6.6963039852974913E-5"/>
  </r>
  <r>
    <s v="Discrete AI"/>
    <x v="8"/>
    <x v="3"/>
    <s v="Automotive Electronics"/>
    <s v="Aftermarket"/>
    <s v="Semiconductor Revenue M$"/>
    <x v="1"/>
    <n v="8.3678238630822304E-5"/>
  </r>
  <r>
    <s v="Discrete AI"/>
    <x v="8"/>
    <x v="3"/>
    <s v="Automotive Electronics"/>
    <s v="Aftermarket"/>
    <s v="Semiconductor Revenue M$"/>
    <x v="2"/>
    <n v="6.7219499130229121E-4"/>
  </r>
  <r>
    <s v="Discrete AI"/>
    <x v="8"/>
    <x v="3"/>
    <s v="Automotive Electronics"/>
    <s v="Aftermarket"/>
    <s v="Semiconductor Revenue M$"/>
    <x v="3"/>
    <n v="5.4310983190383798E-4"/>
  </r>
  <r>
    <s v="Discrete AI"/>
    <x v="8"/>
    <x v="3"/>
    <s v="Automotive Electronics"/>
    <s v="Aftermarket"/>
    <s v="Semiconductor Revenue M$"/>
    <x v="4"/>
    <n v="3.5450896354180436E-4"/>
  </r>
  <r>
    <s v="Discrete AI"/>
    <x v="8"/>
    <x v="3"/>
    <s v="Automotive Electronics"/>
    <s v="Aftermarket"/>
    <s v="Semiconductor Revenue M$"/>
    <x v="5"/>
    <n v="5.2712648092895036E-4"/>
  </r>
  <r>
    <s v="Discrete AI"/>
    <x v="8"/>
    <x v="3"/>
    <s v="Automotive Electronics"/>
    <s v="Aftermarket"/>
    <s v="Semiconductor Revenue M$"/>
    <x v="6"/>
    <n v="-7.4702061106731365E-4"/>
  </r>
  <r>
    <s v="Discrete AI"/>
    <x v="8"/>
    <x v="5"/>
    <s v="Industrial Electronics"/>
    <s v="Commercial Amusement"/>
    <s v="Semiconductor Revenue M$"/>
    <x v="0"/>
    <n v="0.21705504526484573"/>
  </r>
  <r>
    <s v="Discrete AI"/>
    <x v="8"/>
    <x v="5"/>
    <s v="Industrial Electronics"/>
    <s v="Commercial Amusement"/>
    <s v="Semiconductor Revenue M$"/>
    <x v="1"/>
    <n v="0.51980535312638376"/>
  </r>
  <r>
    <s v="Discrete AI"/>
    <x v="8"/>
    <x v="5"/>
    <s v="Industrial Electronics"/>
    <s v="Commercial Amusement"/>
    <s v="Semiconductor Revenue M$"/>
    <x v="2"/>
    <n v="1.1906169137701528"/>
  </r>
  <r>
    <s v="Discrete AI"/>
    <x v="8"/>
    <x v="5"/>
    <s v="Industrial Electronics"/>
    <s v="Commercial Amusement"/>
    <s v="Semiconductor Revenue M$"/>
    <x v="3"/>
    <n v="2.5156756771462483"/>
  </r>
  <r>
    <s v="Discrete AI"/>
    <x v="8"/>
    <x v="5"/>
    <s v="Industrial Electronics"/>
    <s v="Commercial Amusement"/>
    <s v="Semiconductor Revenue M$"/>
    <x v="4"/>
    <n v="5.1487103113556696"/>
  </r>
  <r>
    <s v="Discrete AI"/>
    <x v="8"/>
    <x v="5"/>
    <s v="Industrial Electronics"/>
    <s v="Commercial Amusement"/>
    <s v="Semiconductor Revenue M$"/>
    <x v="5"/>
    <n v="6.7985696489447065"/>
  </r>
  <r>
    <s v="Discrete AI"/>
    <x v="8"/>
    <x v="5"/>
    <s v="Industrial Electronics"/>
    <s v="Commercial Amusement"/>
    <s v="Semiconductor Revenue M$"/>
    <x v="6"/>
    <n v="8.6380293546384781"/>
  </r>
  <r>
    <s v="Discrete AI"/>
    <x v="8"/>
    <x v="5"/>
    <s v="Industrial Electronics"/>
    <s v="Automation"/>
    <s v="Semiconductor Revenue M$"/>
    <x v="0"/>
    <n v="1.5900546726612805"/>
  </r>
  <r>
    <s v="Discrete AI"/>
    <x v="8"/>
    <x v="5"/>
    <s v="Industrial Electronics"/>
    <s v="Automation"/>
    <s v="Semiconductor Revenue M$"/>
    <x v="1"/>
    <n v="4.3353297908783475"/>
  </r>
  <r>
    <s v="Discrete AI"/>
    <x v="8"/>
    <x v="5"/>
    <s v="Industrial Electronics"/>
    <s v="Automation"/>
    <s v="Semiconductor Revenue M$"/>
    <x v="2"/>
    <n v="11.022541353395884"/>
  </r>
  <r>
    <s v="Discrete AI"/>
    <x v="8"/>
    <x v="5"/>
    <s v="Industrial Electronics"/>
    <s v="Automation"/>
    <s v="Semiconductor Revenue M$"/>
    <x v="3"/>
    <n v="27.95682624991435"/>
  </r>
  <r>
    <s v="Discrete AI"/>
    <x v="8"/>
    <x v="5"/>
    <s v="Industrial Electronics"/>
    <s v="Automation"/>
    <s v="Semiconductor Revenue M$"/>
    <x v="4"/>
    <n v="45.392569537239936"/>
  </r>
  <r>
    <s v="Discrete AI"/>
    <x v="8"/>
    <x v="5"/>
    <s v="Industrial Electronics"/>
    <s v="Automation"/>
    <s v="Semiconductor Revenue M$"/>
    <x v="5"/>
    <n v="66.146853093412815"/>
  </r>
  <r>
    <s v="Discrete AI"/>
    <x v="8"/>
    <x v="5"/>
    <s v="Industrial Electronics"/>
    <s v="Automation"/>
    <s v="Semiconductor Revenue M$"/>
    <x v="6"/>
    <n v="109.3200659471397"/>
  </r>
  <r>
    <s v="Discrete AI"/>
    <x v="8"/>
    <x v="5"/>
    <s v="Industrial Electronics"/>
    <s v="Energy Management"/>
    <s v="Semiconductor Revenue M$"/>
    <x v="0"/>
    <n v="0.61367898632303586"/>
  </r>
  <r>
    <s v="Discrete AI"/>
    <x v="8"/>
    <x v="5"/>
    <s v="Industrial Electronics"/>
    <s v="Energy Management"/>
    <s v="Semiconductor Revenue M$"/>
    <x v="1"/>
    <n v="1.6078029799423985"/>
  </r>
  <r>
    <s v="Discrete AI"/>
    <x v="8"/>
    <x v="5"/>
    <s v="Industrial Electronics"/>
    <s v="Energy Management"/>
    <s v="Semiconductor Revenue M$"/>
    <x v="2"/>
    <n v="3.8354385233762902"/>
  </r>
  <r>
    <s v="Discrete AI"/>
    <x v="8"/>
    <x v="5"/>
    <s v="Industrial Electronics"/>
    <s v="Energy Management"/>
    <s v="Semiconductor Revenue M$"/>
    <x v="3"/>
    <n v="9.2790902079821898"/>
  </r>
  <r>
    <s v="Discrete AI"/>
    <x v="8"/>
    <x v="5"/>
    <s v="Industrial Electronics"/>
    <s v="Energy Management"/>
    <s v="Semiconductor Revenue M$"/>
    <x v="4"/>
    <n v="14.709726476034856"/>
  </r>
  <r>
    <s v="Discrete AI"/>
    <x v="8"/>
    <x v="5"/>
    <s v="Industrial Electronics"/>
    <s v="Energy Management"/>
    <s v="Semiconductor Revenue M$"/>
    <x v="5"/>
    <n v="20.677318886169385"/>
  </r>
  <r>
    <s v="Discrete AI"/>
    <x v="8"/>
    <x v="5"/>
    <s v="Industrial Electronics"/>
    <s v="Energy Management"/>
    <s v="Semiconductor Revenue M$"/>
    <x v="6"/>
    <n v="30.044004690209611"/>
  </r>
  <r>
    <s v="Discrete AI"/>
    <x v="8"/>
    <x v="5"/>
    <s v="Industrial Electronics"/>
    <s v="Solid-State Lighting"/>
    <s v="Semiconductor Revenue M$"/>
    <x v="0"/>
    <n v="1.4945509411490605E-3"/>
  </r>
  <r>
    <s v="Discrete AI"/>
    <x v="8"/>
    <x v="5"/>
    <s v="Industrial Electronics"/>
    <s v="Solid-State Lighting"/>
    <s v="Semiconductor Revenue M$"/>
    <x v="1"/>
    <n v="8.0663046397050396E-4"/>
  </r>
  <r>
    <s v="Discrete AI"/>
    <x v="8"/>
    <x v="5"/>
    <s v="Industrial Electronics"/>
    <s v="Solid-State Lighting"/>
    <s v="Semiconductor Revenue M$"/>
    <x v="2"/>
    <n v="3.5943808127859227E-3"/>
  </r>
  <r>
    <s v="Discrete AI"/>
    <x v="8"/>
    <x v="5"/>
    <s v="Industrial Electronics"/>
    <s v="Solid-State Lighting"/>
    <s v="Semiconductor Revenue M$"/>
    <x v="3"/>
    <n v="1.597520944663311E-2"/>
  </r>
  <r>
    <s v="Discrete AI"/>
    <x v="8"/>
    <x v="5"/>
    <s v="Industrial Electronics"/>
    <s v="Solid-State Lighting"/>
    <s v="Semiconductor Revenue M$"/>
    <x v="4"/>
    <n v="3.2584029047391126E-2"/>
  </r>
  <r>
    <s v="Discrete AI"/>
    <x v="8"/>
    <x v="5"/>
    <s v="Industrial Electronics"/>
    <s v="Solid-State Lighting"/>
    <s v="Semiconductor Revenue M$"/>
    <x v="5"/>
    <n v="6.0412151149458519E-2"/>
  </r>
  <r>
    <s v="Discrete AI"/>
    <x v="8"/>
    <x v="5"/>
    <s v="Industrial Electronics"/>
    <s v="Solid-State Lighting"/>
    <s v="Semiconductor Revenue M$"/>
    <x v="6"/>
    <n v="9.0980525100941581E-2"/>
  </r>
  <r>
    <s v="Discrete AI"/>
    <x v="8"/>
    <x v="5"/>
    <s v="Industrial Electronics"/>
    <s v="Medical/Healthcare"/>
    <s v="Semiconductor Revenue M$"/>
    <x v="0"/>
    <n v="1.446531019293253"/>
  </r>
  <r>
    <s v="Discrete AI"/>
    <x v="8"/>
    <x v="5"/>
    <s v="Industrial Electronics"/>
    <s v="Medical/Healthcare"/>
    <s v="Semiconductor Revenue M$"/>
    <x v="1"/>
    <n v="3.9648516342530113"/>
  </r>
  <r>
    <s v="Discrete AI"/>
    <x v="8"/>
    <x v="5"/>
    <s v="Industrial Electronics"/>
    <s v="Medical/Healthcare"/>
    <s v="Semiconductor Revenue M$"/>
    <x v="2"/>
    <n v="8.551721847539584"/>
  </r>
  <r>
    <s v="Discrete AI"/>
    <x v="8"/>
    <x v="5"/>
    <s v="Industrial Electronics"/>
    <s v="Medical/Healthcare"/>
    <s v="Semiconductor Revenue M$"/>
    <x v="3"/>
    <n v="18.386045106678186"/>
  </r>
  <r>
    <s v="Discrete AI"/>
    <x v="8"/>
    <x v="5"/>
    <s v="Industrial Electronics"/>
    <s v="Medical/Healthcare"/>
    <s v="Semiconductor Revenue M$"/>
    <x v="4"/>
    <n v="25.500020207391316"/>
  </r>
  <r>
    <s v="Discrete AI"/>
    <x v="8"/>
    <x v="5"/>
    <s v="Industrial Electronics"/>
    <s v="Medical/Healthcare"/>
    <s v="Semiconductor Revenue M$"/>
    <x v="5"/>
    <n v="32.696828004901057"/>
  </r>
  <r>
    <s v="Discrete AI"/>
    <x v="8"/>
    <x v="5"/>
    <s v="Industrial Electronics"/>
    <s v="Medical/Healthcare"/>
    <s v="Semiconductor Revenue M$"/>
    <x v="6"/>
    <n v="43.624102170593474"/>
  </r>
  <r>
    <s v="Discrete AI"/>
    <x v="8"/>
    <x v="5"/>
    <s v="Industrial Electronics"/>
    <s v="Test/Measurement"/>
    <s v="Semiconductor Revenue M$"/>
    <x v="0"/>
    <n v="1.1285397293964696"/>
  </r>
  <r>
    <s v="Discrete AI"/>
    <x v="8"/>
    <x v="5"/>
    <s v="Industrial Electronics"/>
    <s v="Test/Measurement"/>
    <s v="Semiconductor Revenue M$"/>
    <x v="1"/>
    <n v="3.1710610040674259"/>
  </r>
  <r>
    <s v="Discrete AI"/>
    <x v="8"/>
    <x v="5"/>
    <s v="Industrial Electronics"/>
    <s v="Test/Measurement"/>
    <s v="Semiconductor Revenue M$"/>
    <x v="2"/>
    <n v="7.0818877815600825"/>
  </r>
  <r>
    <s v="Discrete AI"/>
    <x v="8"/>
    <x v="5"/>
    <s v="Industrial Electronics"/>
    <s v="Test/Measurement"/>
    <s v="Semiconductor Revenue M$"/>
    <x v="3"/>
    <n v="14.554137981742956"/>
  </r>
  <r>
    <s v="Discrete AI"/>
    <x v="8"/>
    <x v="5"/>
    <s v="Industrial Electronics"/>
    <s v="Test/Measurement"/>
    <s v="Semiconductor Revenue M$"/>
    <x v="4"/>
    <n v="26.048656353971886"/>
  </r>
  <r>
    <s v="Discrete AI"/>
    <x v="8"/>
    <x v="5"/>
    <s v="Industrial Electronics"/>
    <s v="Test/Measurement"/>
    <s v="Semiconductor Revenue M$"/>
    <x v="5"/>
    <n v="40.763763151197537"/>
  </r>
  <r>
    <s v="Discrete AI"/>
    <x v="8"/>
    <x v="5"/>
    <s v="Industrial Electronics"/>
    <s v="Test/Measurement"/>
    <s v="Semiconductor Revenue M$"/>
    <x v="6"/>
    <n v="55.236686732342463"/>
  </r>
  <r>
    <s v="Discrete AI"/>
    <x v="8"/>
    <x v="5"/>
    <s v="Industrial Electronics"/>
    <s v="Other Security"/>
    <s v="Semiconductor Revenue M$"/>
    <x v="0"/>
    <n v="3.0363661077542053E-2"/>
  </r>
  <r>
    <s v="Discrete AI"/>
    <x v="8"/>
    <x v="5"/>
    <s v="Industrial Electronics"/>
    <s v="Other Security"/>
    <s v="Semiconductor Revenue M$"/>
    <x v="1"/>
    <n v="7.2758042011969462E-2"/>
  </r>
  <r>
    <s v="Discrete AI"/>
    <x v="8"/>
    <x v="5"/>
    <s v="Industrial Electronics"/>
    <s v="Other Security"/>
    <s v="Semiconductor Revenue M$"/>
    <x v="2"/>
    <n v="0.1506093140188747"/>
  </r>
  <r>
    <s v="Discrete AI"/>
    <x v="8"/>
    <x v="5"/>
    <s v="Industrial Electronics"/>
    <s v="Other Security"/>
    <s v="Semiconductor Revenue M$"/>
    <x v="3"/>
    <n v="0.30453684248897817"/>
  </r>
  <r>
    <s v="Discrete AI"/>
    <x v="8"/>
    <x v="5"/>
    <s v="Industrial Electronics"/>
    <s v="Other Security"/>
    <s v="Semiconductor Revenue M$"/>
    <x v="4"/>
    <n v="0.40427084604988472"/>
  </r>
  <r>
    <s v="Discrete AI"/>
    <x v="8"/>
    <x v="5"/>
    <s v="Industrial Electronics"/>
    <s v="Other Security"/>
    <s v="Semiconductor Revenue M$"/>
    <x v="5"/>
    <n v="0.42429812810672357"/>
  </r>
  <r>
    <s v="Discrete AI"/>
    <x v="8"/>
    <x v="5"/>
    <s v="Industrial Electronics"/>
    <s v="Other Security"/>
    <s v="Semiconductor Revenue M$"/>
    <x v="6"/>
    <n v="0.46288941256621241"/>
  </r>
  <r>
    <s v="Discrete AI"/>
    <x v="8"/>
    <x v="5"/>
    <s v="Industrial Electronics"/>
    <s v="Transportation"/>
    <s v="Semiconductor Revenue M$"/>
    <x v="0"/>
    <n v="1.1741756033367459"/>
  </r>
  <r>
    <s v="Discrete AI"/>
    <x v="8"/>
    <x v="5"/>
    <s v="Industrial Electronics"/>
    <s v="Transportation"/>
    <s v="Semiconductor Revenue M$"/>
    <x v="1"/>
    <n v="3.2200554534717778"/>
  </r>
  <r>
    <s v="Discrete AI"/>
    <x v="8"/>
    <x v="5"/>
    <s v="Industrial Electronics"/>
    <s v="Transportation"/>
    <s v="Semiconductor Revenue M$"/>
    <x v="2"/>
    <n v="7.3352059454166216"/>
  </r>
  <r>
    <s v="Discrete AI"/>
    <x v="8"/>
    <x v="5"/>
    <s v="Industrial Electronics"/>
    <s v="Transportation"/>
    <s v="Semiconductor Revenue M$"/>
    <x v="3"/>
    <n v="16.326914744815539"/>
  </r>
  <r>
    <s v="Discrete AI"/>
    <x v="8"/>
    <x v="5"/>
    <s v="Industrial Electronics"/>
    <s v="Transportation"/>
    <s v="Semiconductor Revenue M$"/>
    <x v="4"/>
    <n v="24.460073862378316"/>
  </r>
  <r>
    <s v="Discrete AI"/>
    <x v="8"/>
    <x v="5"/>
    <s v="Industrial Electronics"/>
    <s v="Transportation"/>
    <s v="Semiconductor Revenue M$"/>
    <x v="5"/>
    <n v="33.345978409481994"/>
  </r>
  <r>
    <s v="Discrete AI"/>
    <x v="8"/>
    <x v="5"/>
    <s v="Industrial Electronics"/>
    <s v="Transportation"/>
    <s v="Semiconductor Revenue M$"/>
    <x v="6"/>
    <n v="47.320026335050898"/>
  </r>
  <r>
    <s v="Discrete AI"/>
    <x v="8"/>
    <x v="5"/>
    <s v="Industrial Electronics"/>
    <s v="Other Industrial Electronics"/>
    <s v="Semiconductor Revenue M$"/>
    <x v="0"/>
    <n v="1.7627642176374809"/>
  </r>
  <r>
    <s v="Discrete AI"/>
    <x v="8"/>
    <x v="5"/>
    <s v="Industrial Electronics"/>
    <s v="Other Industrial Electronics"/>
    <s v="Semiconductor Revenue M$"/>
    <x v="1"/>
    <n v="4.6592848537829354"/>
  </r>
  <r>
    <s v="Discrete AI"/>
    <x v="8"/>
    <x v="5"/>
    <s v="Industrial Electronics"/>
    <s v="Other Industrial Electronics"/>
    <s v="Semiconductor Revenue M$"/>
    <x v="2"/>
    <n v="10.902912305159401"/>
  </r>
  <r>
    <s v="Discrete AI"/>
    <x v="8"/>
    <x v="5"/>
    <s v="Industrial Electronics"/>
    <s v="Other Industrial Electronics"/>
    <s v="Semiconductor Revenue M$"/>
    <x v="3"/>
    <n v="23.907609723571955"/>
  </r>
  <r>
    <s v="Discrete AI"/>
    <x v="8"/>
    <x v="5"/>
    <s v="Industrial Electronics"/>
    <s v="Other Industrial Electronics"/>
    <s v="Semiconductor Revenue M$"/>
    <x v="4"/>
    <n v="34.943099502365079"/>
  </r>
  <r>
    <s v="Discrete AI"/>
    <x v="8"/>
    <x v="5"/>
    <s v="Industrial Electronics"/>
    <s v="Other Industrial Electronics"/>
    <s v="Semiconductor Revenue M$"/>
    <x v="5"/>
    <n v="45.722577180238993"/>
  </r>
  <r>
    <s v="Discrete AI"/>
    <x v="8"/>
    <x v="5"/>
    <s v="Industrial Electronics"/>
    <s v="Other Industrial Electronics"/>
    <s v="Semiconductor Revenue M$"/>
    <x v="6"/>
    <n v="63.121941384076933"/>
  </r>
  <r>
    <s v="Discrete AI"/>
    <x v="8"/>
    <x v="5"/>
    <s v="Industrial Electronics"/>
    <s v="Military/Civil Aerospace Electronics"/>
    <s v="Semiconductor Revenue M$"/>
    <x v="0"/>
    <n v="2.3853785269871208"/>
  </r>
  <r>
    <s v="Discrete AI"/>
    <x v="8"/>
    <x v="5"/>
    <s v="Industrial Electronics"/>
    <s v="Military/Civil Aerospace Electronics"/>
    <s v="Semiconductor Revenue M$"/>
    <x v="1"/>
    <n v="5.9753176494195284"/>
  </r>
  <r>
    <s v="Discrete AI"/>
    <x v="8"/>
    <x v="5"/>
    <s v="Industrial Electronics"/>
    <s v="Military/Civil Aerospace Electronics"/>
    <s v="Semiconductor Revenue M$"/>
    <x v="2"/>
    <n v="14.116540966634563"/>
  </r>
  <r>
    <s v="Discrete AI"/>
    <x v="8"/>
    <x v="5"/>
    <s v="Industrial Electronics"/>
    <s v="Military/Civil Aerospace Electronics"/>
    <s v="Semiconductor Revenue M$"/>
    <x v="3"/>
    <n v="30.944702145722072"/>
  </r>
  <r>
    <s v="Discrete AI"/>
    <x v="8"/>
    <x v="5"/>
    <s v="Industrial Electronics"/>
    <s v="Military/Civil Aerospace Electronics"/>
    <s v="Semiconductor Revenue M$"/>
    <x v="4"/>
    <n v="43.546675687289813"/>
  </r>
  <r>
    <s v="Discrete AI"/>
    <x v="8"/>
    <x v="5"/>
    <s v="Industrial Electronics"/>
    <s v="Military/Civil Aerospace Electronics"/>
    <s v="Semiconductor Revenue M$"/>
    <x v="5"/>
    <n v="56.795031144786407"/>
  </r>
  <r>
    <s v="Discrete AI"/>
    <x v="8"/>
    <x v="5"/>
    <s v="Industrial Electronics"/>
    <s v="Military/Civil Aerospace Electronics"/>
    <s v="Semiconductor Revenue M$"/>
    <x v="6"/>
    <n v="76.186434480550531"/>
  </r>
  <r>
    <s v="Integrated AI"/>
    <x v="0"/>
    <x v="0"/>
    <s v="Compute"/>
    <s v="Other Compute Electronics"/>
    <s v="Semiconductor Revenue M$"/>
    <x v="0"/>
    <n v="39.409118936592321"/>
  </r>
  <r>
    <s v="Integrated AI"/>
    <x v="0"/>
    <x v="0"/>
    <s v="Compute"/>
    <s v="Other Compute Electronics"/>
    <s v="Semiconductor Revenue M$"/>
    <x v="1"/>
    <n v="94.197030721910082"/>
  </r>
  <r>
    <s v="Integrated AI"/>
    <x v="0"/>
    <x v="0"/>
    <s v="Compute"/>
    <s v="Other Compute Electronics"/>
    <s v="Semiconductor Revenue M$"/>
    <x v="2"/>
    <n v="139.84131880626575"/>
  </r>
  <r>
    <s v="Integrated AI"/>
    <x v="0"/>
    <x v="0"/>
    <s v="Compute"/>
    <s v="Other Compute Electronics"/>
    <s v="Semiconductor Revenue M$"/>
    <x v="3"/>
    <n v="230.42634271081312"/>
  </r>
  <r>
    <s v="Integrated AI"/>
    <x v="0"/>
    <x v="0"/>
    <s v="Compute"/>
    <s v="Other Compute Electronics"/>
    <s v="Semiconductor Revenue M$"/>
    <x v="4"/>
    <n v="292.3452941046873"/>
  </r>
  <r>
    <s v="Integrated AI"/>
    <x v="0"/>
    <x v="0"/>
    <s v="Compute"/>
    <s v="Other Compute Electronics"/>
    <s v="Semiconductor Revenue M$"/>
    <x v="5"/>
    <n v="407.45590910105557"/>
  </r>
  <r>
    <s v="Integrated AI"/>
    <x v="0"/>
    <x v="0"/>
    <s v="Compute"/>
    <s v="Other Compute Electronics"/>
    <s v="Semiconductor Revenue M$"/>
    <x v="6"/>
    <n v="507.26685759611843"/>
  </r>
  <r>
    <s v="Integrated AI"/>
    <x v="1"/>
    <x v="0"/>
    <s v="Compute"/>
    <s v="Other Compute Electronics"/>
    <s v="Semiconductor Revenue M$"/>
    <x v="0"/>
    <n v="0.15401853979807523"/>
  </r>
  <r>
    <s v="Integrated AI"/>
    <x v="1"/>
    <x v="0"/>
    <s v="Compute"/>
    <s v="Other Compute Electronics"/>
    <s v="Semiconductor Revenue M$"/>
    <x v="1"/>
    <n v="0.41384365818061342"/>
  </r>
  <r>
    <s v="Integrated AI"/>
    <x v="1"/>
    <x v="0"/>
    <s v="Compute"/>
    <s v="Other Compute Electronics"/>
    <s v="Semiconductor Revenue M$"/>
    <x v="2"/>
    <n v="0.97926446339271223"/>
  </r>
  <r>
    <s v="Integrated AI"/>
    <x v="1"/>
    <x v="0"/>
    <s v="Compute"/>
    <s v="Other Compute Electronics"/>
    <s v="Semiconductor Revenue M$"/>
    <x v="3"/>
    <n v="2.3096244289570325"/>
  </r>
  <r>
    <s v="Integrated AI"/>
    <x v="1"/>
    <x v="0"/>
    <s v="Compute"/>
    <s v="Other Compute Electronics"/>
    <s v="Semiconductor Revenue M$"/>
    <x v="4"/>
    <n v="5.4799983180223322"/>
  </r>
  <r>
    <s v="Integrated AI"/>
    <x v="1"/>
    <x v="0"/>
    <s v="Compute"/>
    <s v="Other Compute Electronics"/>
    <s v="Semiconductor Revenue M$"/>
    <x v="5"/>
    <n v="12.56683961585783"/>
  </r>
  <r>
    <s v="Integrated AI"/>
    <x v="1"/>
    <x v="0"/>
    <s v="Compute"/>
    <s v="Other Compute Electronics"/>
    <s v="Semiconductor Revenue M$"/>
    <x v="6"/>
    <n v="15.879875203992256"/>
  </r>
  <r>
    <s v="Integrated AI"/>
    <x v="2"/>
    <x v="0"/>
    <s v="Compute"/>
    <s v="Other Compute Electronics"/>
    <s v="Semiconductor Revenue M$"/>
    <x v="0"/>
    <n v="0"/>
  </r>
  <r>
    <s v="Integrated AI"/>
    <x v="2"/>
    <x v="0"/>
    <s v="Compute"/>
    <s v="Other Compute Electronics"/>
    <s v="Semiconductor Revenue M$"/>
    <x v="1"/>
    <n v="0"/>
  </r>
  <r>
    <s v="Integrated AI"/>
    <x v="2"/>
    <x v="0"/>
    <s v="Compute"/>
    <s v="Other Compute Electronics"/>
    <s v="Semiconductor Revenue M$"/>
    <x v="2"/>
    <n v="0"/>
  </r>
  <r>
    <s v="Integrated AI"/>
    <x v="2"/>
    <x v="0"/>
    <s v="Compute"/>
    <s v="Other Compute Electronics"/>
    <s v="Semiconductor Revenue M$"/>
    <x v="3"/>
    <n v="0"/>
  </r>
  <r>
    <s v="Integrated AI"/>
    <x v="2"/>
    <x v="0"/>
    <s v="Compute"/>
    <s v="Other Compute Electronics"/>
    <s v="Semiconductor Revenue M$"/>
    <x v="4"/>
    <n v="0"/>
  </r>
  <r>
    <s v="Integrated AI"/>
    <x v="2"/>
    <x v="0"/>
    <s v="Compute"/>
    <s v="Other Compute Electronics"/>
    <s v="Semiconductor Revenue M$"/>
    <x v="5"/>
    <n v="0"/>
  </r>
  <r>
    <s v="Integrated AI"/>
    <x v="2"/>
    <x v="0"/>
    <s v="Compute"/>
    <s v="Other Compute Electronics"/>
    <s v="Semiconductor Revenue M$"/>
    <x v="6"/>
    <n v="0"/>
  </r>
  <r>
    <s v="Integrated AI"/>
    <x v="3"/>
    <x v="0"/>
    <s v="Compute"/>
    <s v="Other Compute Electronics"/>
    <s v="Semiconductor Revenue M$"/>
    <x v="0"/>
    <n v="0.61303623522728612"/>
  </r>
  <r>
    <s v="Integrated AI"/>
    <x v="3"/>
    <x v="0"/>
    <s v="Compute"/>
    <s v="Other Compute Electronics"/>
    <s v="Semiconductor Revenue M$"/>
    <x v="1"/>
    <n v="1.0866504863470536"/>
  </r>
  <r>
    <s v="Integrated AI"/>
    <x v="3"/>
    <x v="0"/>
    <s v="Compute"/>
    <s v="Other Compute Electronics"/>
    <s v="Semiconductor Revenue M$"/>
    <x v="2"/>
    <n v="1.7027102539035419"/>
  </r>
  <r>
    <s v="Integrated AI"/>
    <x v="3"/>
    <x v="0"/>
    <s v="Compute"/>
    <s v="Other Compute Electronics"/>
    <s v="Semiconductor Revenue M$"/>
    <x v="3"/>
    <n v="1.9119851169349593"/>
  </r>
  <r>
    <s v="Integrated AI"/>
    <x v="3"/>
    <x v="0"/>
    <s v="Compute"/>
    <s v="Other Compute Electronics"/>
    <s v="Semiconductor Revenue M$"/>
    <x v="4"/>
    <n v="2.0849513807098465"/>
  </r>
  <r>
    <s v="Integrated AI"/>
    <x v="3"/>
    <x v="0"/>
    <s v="Compute"/>
    <s v="Other Compute Electronics"/>
    <s v="Semiconductor Revenue M$"/>
    <x v="5"/>
    <n v="2.6712838934962537"/>
  </r>
  <r>
    <s v="Integrated AI"/>
    <x v="3"/>
    <x v="0"/>
    <s v="Compute"/>
    <s v="Other Compute Electronics"/>
    <s v="Semiconductor Revenue M$"/>
    <x v="6"/>
    <n v="2.7912602007980536"/>
  </r>
  <r>
    <s v="Integrated AI"/>
    <x v="4"/>
    <x v="0"/>
    <s v="Compute"/>
    <s v="Other Compute Electronics"/>
    <s v="Semiconductor Revenue M$"/>
    <x v="0"/>
    <n v="0"/>
  </r>
  <r>
    <s v="Integrated AI"/>
    <x v="4"/>
    <x v="0"/>
    <s v="Compute"/>
    <s v="Other Compute Electronics"/>
    <s v="Semiconductor Revenue M$"/>
    <x v="1"/>
    <n v="0"/>
  </r>
  <r>
    <s v="Integrated AI"/>
    <x v="4"/>
    <x v="0"/>
    <s v="Compute"/>
    <s v="Other Compute Electronics"/>
    <s v="Semiconductor Revenue M$"/>
    <x v="2"/>
    <n v="0"/>
  </r>
  <r>
    <s v="Integrated AI"/>
    <x v="4"/>
    <x v="0"/>
    <s v="Compute"/>
    <s v="Other Compute Electronics"/>
    <s v="Semiconductor Revenue M$"/>
    <x v="3"/>
    <n v="0"/>
  </r>
  <r>
    <s v="Integrated AI"/>
    <x v="4"/>
    <x v="0"/>
    <s v="Compute"/>
    <s v="Other Compute Electronics"/>
    <s v="Semiconductor Revenue M$"/>
    <x v="4"/>
    <n v="0"/>
  </r>
  <r>
    <s v="Integrated AI"/>
    <x v="4"/>
    <x v="0"/>
    <s v="Compute"/>
    <s v="Other Compute Electronics"/>
    <s v="Semiconductor Revenue M$"/>
    <x v="5"/>
    <n v="0"/>
  </r>
  <r>
    <s v="Integrated AI"/>
    <x v="4"/>
    <x v="0"/>
    <s v="Compute"/>
    <s v="Other Compute Electronics"/>
    <s v="Semiconductor Revenue M$"/>
    <x v="6"/>
    <n v="0"/>
  </r>
  <r>
    <s v="Integrated AI"/>
    <x v="5"/>
    <x v="0"/>
    <s v="Compute"/>
    <s v="Other Compute Electronics"/>
    <s v="Semiconductor Revenue M$"/>
    <x v="0"/>
    <n v="3.3095181754577735E-2"/>
  </r>
  <r>
    <s v="Integrated AI"/>
    <x v="5"/>
    <x v="0"/>
    <s v="Compute"/>
    <s v="Other Compute Electronics"/>
    <s v="Semiconductor Revenue M$"/>
    <x v="1"/>
    <n v="0.12681260551838389"/>
  </r>
  <r>
    <s v="Integrated AI"/>
    <x v="5"/>
    <x v="0"/>
    <s v="Compute"/>
    <s v="Other Compute Electronics"/>
    <s v="Semiconductor Revenue M$"/>
    <x v="2"/>
    <n v="0.23342286113566726"/>
  </r>
  <r>
    <s v="Integrated AI"/>
    <x v="5"/>
    <x v="0"/>
    <s v="Compute"/>
    <s v="Other Compute Electronics"/>
    <s v="Semiconductor Revenue M$"/>
    <x v="3"/>
    <n v="0.42715100179343307"/>
  </r>
  <r>
    <s v="Integrated AI"/>
    <x v="5"/>
    <x v="0"/>
    <s v="Compute"/>
    <s v="Other Compute Electronics"/>
    <s v="Semiconductor Revenue M$"/>
    <x v="4"/>
    <n v="0.83350234589677985"/>
  </r>
  <r>
    <s v="Integrated AI"/>
    <x v="5"/>
    <x v="0"/>
    <s v="Compute"/>
    <s v="Other Compute Electronics"/>
    <s v="Semiconductor Revenue M$"/>
    <x v="5"/>
    <n v="1.4279206471924715"/>
  </r>
  <r>
    <s v="Integrated AI"/>
    <x v="5"/>
    <x v="0"/>
    <s v="Compute"/>
    <s v="Other Compute Electronics"/>
    <s v="Semiconductor Revenue M$"/>
    <x v="6"/>
    <n v="2.8055728495784882"/>
  </r>
  <r>
    <s v="Integrated AI"/>
    <x v="6"/>
    <x v="0"/>
    <s v="Compute"/>
    <s v="Other Compute Electronics"/>
    <s v="Semiconductor Revenue M$"/>
    <x v="0"/>
    <n v="0"/>
  </r>
  <r>
    <s v="Integrated AI"/>
    <x v="6"/>
    <x v="0"/>
    <s v="Compute"/>
    <s v="Other Compute Electronics"/>
    <s v="Semiconductor Revenue M$"/>
    <x v="1"/>
    <n v="0"/>
  </r>
  <r>
    <s v="Integrated AI"/>
    <x v="6"/>
    <x v="0"/>
    <s v="Compute"/>
    <s v="Other Compute Electronics"/>
    <s v="Semiconductor Revenue M$"/>
    <x v="2"/>
    <n v="0"/>
  </r>
  <r>
    <s v="Integrated AI"/>
    <x v="6"/>
    <x v="0"/>
    <s v="Compute"/>
    <s v="Other Compute Electronics"/>
    <s v="Semiconductor Revenue M$"/>
    <x v="3"/>
    <n v="0"/>
  </r>
  <r>
    <s v="Integrated AI"/>
    <x v="6"/>
    <x v="0"/>
    <s v="Compute"/>
    <s v="Other Compute Electronics"/>
    <s v="Semiconductor Revenue M$"/>
    <x v="4"/>
    <n v="0"/>
  </r>
  <r>
    <s v="Integrated AI"/>
    <x v="6"/>
    <x v="0"/>
    <s v="Compute"/>
    <s v="Other Compute Electronics"/>
    <s v="Semiconductor Revenue M$"/>
    <x v="5"/>
    <n v="0"/>
  </r>
  <r>
    <s v="Integrated AI"/>
    <x v="6"/>
    <x v="0"/>
    <s v="Compute"/>
    <s v="Other Compute Electronics"/>
    <s v="Semiconductor Revenue M$"/>
    <x v="6"/>
    <n v="0"/>
  </r>
  <r>
    <s v="Integrated AI"/>
    <x v="7"/>
    <x v="0"/>
    <s v="Compute"/>
    <s v="Other Compute Electronics"/>
    <s v="Semiconductor Revenue M$"/>
    <x v="0"/>
    <n v="1.8476275612710238"/>
  </r>
  <r>
    <s v="Integrated AI"/>
    <x v="7"/>
    <x v="0"/>
    <s v="Compute"/>
    <s v="Other Compute Electronics"/>
    <s v="Semiconductor Revenue M$"/>
    <x v="1"/>
    <n v="3.7876198610123497"/>
  </r>
  <r>
    <s v="Integrated AI"/>
    <x v="7"/>
    <x v="0"/>
    <s v="Compute"/>
    <s v="Other Compute Electronics"/>
    <s v="Semiconductor Revenue M$"/>
    <x v="2"/>
    <n v="7.1771344375482"/>
  </r>
  <r>
    <s v="Integrated AI"/>
    <x v="7"/>
    <x v="0"/>
    <s v="Compute"/>
    <s v="Other Compute Electronics"/>
    <s v="Semiconductor Revenue M$"/>
    <x v="3"/>
    <n v="13.375541239943873"/>
  </r>
  <r>
    <s v="Integrated AI"/>
    <x v="7"/>
    <x v="0"/>
    <s v="Compute"/>
    <s v="Other Compute Electronics"/>
    <s v="Semiconductor Revenue M$"/>
    <x v="4"/>
    <n v="20.030208462485756"/>
  </r>
  <r>
    <s v="Integrated AI"/>
    <x v="7"/>
    <x v="0"/>
    <s v="Compute"/>
    <s v="Other Compute Electronics"/>
    <s v="Semiconductor Revenue M$"/>
    <x v="5"/>
    <n v="32.040995952405133"/>
  </r>
  <r>
    <s v="Integrated AI"/>
    <x v="7"/>
    <x v="0"/>
    <s v="Compute"/>
    <s v="Other Compute Electronics"/>
    <s v="Semiconductor Revenue M$"/>
    <x v="6"/>
    <n v="49.874775409177204"/>
  </r>
  <r>
    <s v="Integrated AI"/>
    <x v="8"/>
    <x v="0"/>
    <s v="Compute"/>
    <s v="Other Compute Electronics"/>
    <s v="Semiconductor Revenue M$"/>
    <x v="0"/>
    <n v="4.4162049303827036E-4"/>
  </r>
  <r>
    <s v="Integrated AI"/>
    <x v="8"/>
    <x v="0"/>
    <s v="Compute"/>
    <s v="Other Compute Electronics"/>
    <s v="Semiconductor Revenue M$"/>
    <x v="1"/>
    <n v="1.1944271585433552E-2"/>
  </r>
  <r>
    <s v="Integrated AI"/>
    <x v="8"/>
    <x v="0"/>
    <s v="Compute"/>
    <s v="Other Compute Electronics"/>
    <s v="Semiconductor Revenue M$"/>
    <x v="2"/>
    <n v="0.17852098991055282"/>
  </r>
  <r>
    <s v="Integrated AI"/>
    <x v="8"/>
    <x v="0"/>
    <s v="Compute"/>
    <s v="Other Compute Electronics"/>
    <s v="Semiconductor Revenue M$"/>
    <x v="3"/>
    <n v="1.475190463619197"/>
  </r>
  <r>
    <s v="Integrated AI"/>
    <x v="8"/>
    <x v="0"/>
    <s v="Compute"/>
    <s v="Other Compute Electronics"/>
    <s v="Semiconductor Revenue M$"/>
    <x v="4"/>
    <n v="4.4732935092212767"/>
  </r>
  <r>
    <s v="Integrated AI"/>
    <x v="8"/>
    <x v="0"/>
    <s v="Compute"/>
    <s v="Other Compute Electronics"/>
    <s v="Semiconductor Revenue M$"/>
    <x v="5"/>
    <n v="8.1806369813171287"/>
  </r>
  <r>
    <s v="Integrated AI"/>
    <x v="8"/>
    <x v="0"/>
    <s v="Compute"/>
    <s v="Other Compute Electronics"/>
    <s v="Semiconductor Revenue M$"/>
    <x v="6"/>
    <n v="20.496415659891944"/>
  </r>
  <r>
    <s v="Discrete AI"/>
    <x v="0"/>
    <x v="0"/>
    <s v="Compute"/>
    <s v="Other Compute Electronics"/>
    <s v="Semiconductor Revenue M$"/>
    <x v="0"/>
    <n v="0"/>
  </r>
  <r>
    <s v="Discrete AI"/>
    <x v="0"/>
    <x v="0"/>
    <s v="Compute"/>
    <s v="Other Compute Electronics"/>
    <s v="Semiconductor Revenue M$"/>
    <x v="1"/>
    <n v="0"/>
  </r>
  <r>
    <s v="Discrete AI"/>
    <x v="0"/>
    <x v="0"/>
    <s v="Compute"/>
    <s v="Other Compute Electronics"/>
    <s v="Semiconductor Revenue M$"/>
    <x v="2"/>
    <n v="0"/>
  </r>
  <r>
    <s v="Discrete AI"/>
    <x v="0"/>
    <x v="0"/>
    <s v="Compute"/>
    <s v="Other Compute Electronics"/>
    <s v="Semiconductor Revenue M$"/>
    <x v="3"/>
    <n v="0"/>
  </r>
  <r>
    <s v="Discrete AI"/>
    <x v="0"/>
    <x v="0"/>
    <s v="Compute"/>
    <s v="Other Compute Electronics"/>
    <s v="Semiconductor Revenue M$"/>
    <x v="4"/>
    <n v="0"/>
  </r>
  <r>
    <s v="Discrete AI"/>
    <x v="0"/>
    <x v="0"/>
    <s v="Compute"/>
    <s v="Other Compute Electronics"/>
    <s v="Semiconductor Revenue M$"/>
    <x v="5"/>
    <n v="0"/>
  </r>
  <r>
    <s v="Discrete AI"/>
    <x v="0"/>
    <x v="0"/>
    <s v="Compute"/>
    <s v="Other Compute Electronics"/>
    <s v="Semiconductor Revenue M$"/>
    <x v="6"/>
    <n v="0"/>
  </r>
  <r>
    <s v="Discrete AI"/>
    <x v="1"/>
    <x v="0"/>
    <s v="Compute"/>
    <s v="Other Compute Electronics"/>
    <s v="Semiconductor Revenue M$"/>
    <x v="0"/>
    <n v="0"/>
  </r>
  <r>
    <s v="Discrete AI"/>
    <x v="1"/>
    <x v="0"/>
    <s v="Compute"/>
    <s v="Other Compute Electronics"/>
    <s v="Semiconductor Revenue M$"/>
    <x v="1"/>
    <n v="0"/>
  </r>
  <r>
    <s v="Discrete AI"/>
    <x v="1"/>
    <x v="0"/>
    <s v="Compute"/>
    <s v="Other Compute Electronics"/>
    <s v="Semiconductor Revenue M$"/>
    <x v="2"/>
    <n v="0"/>
  </r>
  <r>
    <s v="Discrete AI"/>
    <x v="1"/>
    <x v="0"/>
    <s v="Compute"/>
    <s v="Other Compute Electronics"/>
    <s v="Semiconductor Revenue M$"/>
    <x v="3"/>
    <n v="0"/>
  </r>
  <r>
    <s v="Discrete AI"/>
    <x v="1"/>
    <x v="0"/>
    <s v="Compute"/>
    <s v="Other Compute Electronics"/>
    <s v="Semiconductor Revenue M$"/>
    <x v="4"/>
    <n v="0"/>
  </r>
  <r>
    <s v="Discrete AI"/>
    <x v="1"/>
    <x v="0"/>
    <s v="Compute"/>
    <s v="Other Compute Electronics"/>
    <s v="Semiconductor Revenue M$"/>
    <x v="5"/>
    <n v="0"/>
  </r>
  <r>
    <s v="Discrete AI"/>
    <x v="1"/>
    <x v="0"/>
    <s v="Compute"/>
    <s v="Other Compute Electronics"/>
    <s v="Semiconductor Revenue M$"/>
    <x v="6"/>
    <n v="0"/>
  </r>
  <r>
    <s v="Discrete AI"/>
    <x v="2"/>
    <x v="0"/>
    <s v="Compute"/>
    <s v="Other Compute Electronics"/>
    <s v="Semiconductor Revenue M$"/>
    <x v="0"/>
    <n v="1.3451230097802429"/>
  </r>
  <r>
    <s v="Discrete AI"/>
    <x v="2"/>
    <x v="0"/>
    <s v="Compute"/>
    <s v="Other Compute Electronics"/>
    <s v="Semiconductor Revenue M$"/>
    <x v="1"/>
    <n v="5.3506416084188171"/>
  </r>
  <r>
    <s v="Discrete AI"/>
    <x v="2"/>
    <x v="0"/>
    <s v="Compute"/>
    <s v="Other Compute Electronics"/>
    <s v="Semiconductor Revenue M$"/>
    <x v="2"/>
    <n v="9.1878648776501777"/>
  </r>
  <r>
    <s v="Discrete AI"/>
    <x v="2"/>
    <x v="0"/>
    <s v="Compute"/>
    <s v="Other Compute Electronics"/>
    <s v="Semiconductor Revenue M$"/>
    <x v="3"/>
    <n v="19.048730709431894"/>
  </r>
  <r>
    <s v="Discrete AI"/>
    <x v="2"/>
    <x v="0"/>
    <s v="Compute"/>
    <s v="Other Compute Electronics"/>
    <s v="Semiconductor Revenue M$"/>
    <x v="4"/>
    <n v="28.697103456248012"/>
  </r>
  <r>
    <s v="Discrete AI"/>
    <x v="2"/>
    <x v="0"/>
    <s v="Compute"/>
    <s v="Other Compute Electronics"/>
    <s v="Semiconductor Revenue M$"/>
    <x v="5"/>
    <n v="38.108469900085034"/>
  </r>
  <r>
    <s v="Discrete AI"/>
    <x v="2"/>
    <x v="0"/>
    <s v="Compute"/>
    <s v="Other Compute Electronics"/>
    <s v="Semiconductor Revenue M$"/>
    <x v="6"/>
    <n v="48.482847103264703"/>
  </r>
  <r>
    <s v="Discrete AI"/>
    <x v="3"/>
    <x v="0"/>
    <s v="Compute"/>
    <s v="Other Compute Electronics"/>
    <s v="Semiconductor Revenue M$"/>
    <x v="0"/>
    <n v="0.61303623522728612"/>
  </r>
  <r>
    <s v="Discrete AI"/>
    <x v="3"/>
    <x v="0"/>
    <s v="Compute"/>
    <s v="Other Compute Electronics"/>
    <s v="Semiconductor Revenue M$"/>
    <x v="1"/>
    <n v="1.0866504863470536"/>
  </r>
  <r>
    <s v="Discrete AI"/>
    <x v="3"/>
    <x v="0"/>
    <s v="Compute"/>
    <s v="Other Compute Electronics"/>
    <s v="Semiconductor Revenue M$"/>
    <x v="2"/>
    <n v="1.7027102539035419"/>
  </r>
  <r>
    <s v="Discrete AI"/>
    <x v="3"/>
    <x v="0"/>
    <s v="Compute"/>
    <s v="Other Compute Electronics"/>
    <s v="Semiconductor Revenue M$"/>
    <x v="3"/>
    <n v="1.9119851169349593"/>
  </r>
  <r>
    <s v="Discrete AI"/>
    <x v="3"/>
    <x v="0"/>
    <s v="Compute"/>
    <s v="Other Compute Electronics"/>
    <s v="Semiconductor Revenue M$"/>
    <x v="4"/>
    <n v="2.0849513807098465"/>
  </r>
  <r>
    <s v="Discrete AI"/>
    <x v="3"/>
    <x v="0"/>
    <s v="Compute"/>
    <s v="Other Compute Electronics"/>
    <s v="Semiconductor Revenue M$"/>
    <x v="5"/>
    <n v="2.6712838934962537"/>
  </r>
  <r>
    <s v="Discrete AI"/>
    <x v="3"/>
    <x v="0"/>
    <s v="Compute"/>
    <s v="Other Compute Electronics"/>
    <s v="Semiconductor Revenue M$"/>
    <x v="6"/>
    <n v="2.7912602007980536"/>
  </r>
  <r>
    <s v="Discrete AI"/>
    <x v="4"/>
    <x v="0"/>
    <s v="Compute"/>
    <s v="Other Compute Electronics"/>
    <s v="Semiconductor Revenue M$"/>
    <x v="0"/>
    <n v="2.5413888214893703E-2"/>
  </r>
  <r>
    <s v="Discrete AI"/>
    <x v="4"/>
    <x v="0"/>
    <s v="Compute"/>
    <s v="Other Compute Electronics"/>
    <s v="Semiconductor Revenue M$"/>
    <x v="1"/>
    <n v="8.4121500420075546E-2"/>
  </r>
  <r>
    <s v="Discrete AI"/>
    <x v="4"/>
    <x v="0"/>
    <s v="Compute"/>
    <s v="Other Compute Electronics"/>
    <s v="Semiconductor Revenue M$"/>
    <x v="2"/>
    <n v="0.22702115247999746"/>
  </r>
  <r>
    <s v="Discrete AI"/>
    <x v="4"/>
    <x v="0"/>
    <s v="Compute"/>
    <s v="Other Compute Electronics"/>
    <s v="Semiconductor Revenue M$"/>
    <x v="3"/>
    <n v="0.53788281540185301"/>
  </r>
  <r>
    <s v="Discrete AI"/>
    <x v="4"/>
    <x v="0"/>
    <s v="Compute"/>
    <s v="Other Compute Electronics"/>
    <s v="Semiconductor Revenue M$"/>
    <x v="4"/>
    <n v="0.8414799139838135"/>
  </r>
  <r>
    <s v="Discrete AI"/>
    <x v="4"/>
    <x v="0"/>
    <s v="Compute"/>
    <s v="Other Compute Electronics"/>
    <s v="Semiconductor Revenue M$"/>
    <x v="5"/>
    <n v="1.3439346940415491"/>
  </r>
  <r>
    <s v="Discrete AI"/>
    <x v="4"/>
    <x v="0"/>
    <s v="Compute"/>
    <s v="Other Compute Electronics"/>
    <s v="Semiconductor Revenue M$"/>
    <x v="6"/>
    <n v="1.8096043541885554"/>
  </r>
  <r>
    <s v="Discrete AI"/>
    <x v="5"/>
    <x v="0"/>
    <s v="Compute"/>
    <s v="Other Compute Electronics"/>
    <s v="Semiconductor Revenue M$"/>
    <x v="0"/>
    <n v="0"/>
  </r>
  <r>
    <s v="Discrete AI"/>
    <x v="5"/>
    <x v="0"/>
    <s v="Compute"/>
    <s v="Other Compute Electronics"/>
    <s v="Semiconductor Revenue M$"/>
    <x v="1"/>
    <n v="0"/>
  </r>
  <r>
    <s v="Discrete AI"/>
    <x v="5"/>
    <x v="0"/>
    <s v="Compute"/>
    <s v="Other Compute Electronics"/>
    <s v="Semiconductor Revenue M$"/>
    <x v="2"/>
    <n v="0"/>
  </r>
  <r>
    <s v="Discrete AI"/>
    <x v="5"/>
    <x v="0"/>
    <s v="Compute"/>
    <s v="Other Compute Electronics"/>
    <s v="Semiconductor Revenue M$"/>
    <x v="3"/>
    <n v="0"/>
  </r>
  <r>
    <s v="Discrete AI"/>
    <x v="5"/>
    <x v="0"/>
    <s v="Compute"/>
    <s v="Other Compute Electronics"/>
    <s v="Semiconductor Revenue M$"/>
    <x v="4"/>
    <n v="0"/>
  </r>
  <r>
    <s v="Discrete AI"/>
    <x v="5"/>
    <x v="0"/>
    <s v="Compute"/>
    <s v="Other Compute Electronics"/>
    <s v="Semiconductor Revenue M$"/>
    <x v="5"/>
    <n v="0"/>
  </r>
  <r>
    <s v="Discrete AI"/>
    <x v="5"/>
    <x v="0"/>
    <s v="Compute"/>
    <s v="Other Compute Electronics"/>
    <s v="Semiconductor Revenue M$"/>
    <x v="6"/>
    <n v="0"/>
  </r>
  <r>
    <s v="Discrete AI"/>
    <x v="6"/>
    <x v="0"/>
    <s v="Compute"/>
    <s v="Other Compute Electronics"/>
    <s v="Semiconductor Revenue M$"/>
    <x v="0"/>
    <n v="0"/>
  </r>
  <r>
    <s v="Discrete AI"/>
    <x v="6"/>
    <x v="0"/>
    <s v="Compute"/>
    <s v="Other Compute Electronics"/>
    <s v="Semiconductor Revenue M$"/>
    <x v="1"/>
    <n v="0"/>
  </r>
  <r>
    <s v="Discrete AI"/>
    <x v="6"/>
    <x v="0"/>
    <s v="Compute"/>
    <s v="Other Compute Electronics"/>
    <s v="Semiconductor Revenue M$"/>
    <x v="2"/>
    <n v="0"/>
  </r>
  <r>
    <s v="Discrete AI"/>
    <x v="6"/>
    <x v="0"/>
    <s v="Compute"/>
    <s v="Other Compute Electronics"/>
    <s v="Semiconductor Revenue M$"/>
    <x v="3"/>
    <n v="0"/>
  </r>
  <r>
    <s v="Discrete AI"/>
    <x v="6"/>
    <x v="0"/>
    <s v="Compute"/>
    <s v="Other Compute Electronics"/>
    <s v="Semiconductor Revenue M$"/>
    <x v="4"/>
    <n v="0"/>
  </r>
  <r>
    <s v="Discrete AI"/>
    <x v="6"/>
    <x v="0"/>
    <s v="Compute"/>
    <s v="Other Compute Electronics"/>
    <s v="Semiconductor Revenue M$"/>
    <x v="5"/>
    <n v="0"/>
  </r>
  <r>
    <s v="Discrete AI"/>
    <x v="6"/>
    <x v="0"/>
    <s v="Compute"/>
    <s v="Other Compute Electronics"/>
    <s v="Semiconductor Revenue M$"/>
    <x v="6"/>
    <n v="0"/>
  </r>
  <r>
    <s v="Discrete AI"/>
    <x v="7"/>
    <x v="0"/>
    <s v="Compute"/>
    <s v="Other Compute Electronics"/>
    <s v="Semiconductor Revenue M$"/>
    <x v="0"/>
    <n v="0"/>
  </r>
  <r>
    <s v="Discrete AI"/>
    <x v="7"/>
    <x v="0"/>
    <s v="Compute"/>
    <s v="Other Compute Electronics"/>
    <s v="Semiconductor Revenue M$"/>
    <x v="1"/>
    <n v="0"/>
  </r>
  <r>
    <s v="Discrete AI"/>
    <x v="7"/>
    <x v="0"/>
    <s v="Compute"/>
    <s v="Other Compute Electronics"/>
    <s v="Semiconductor Revenue M$"/>
    <x v="2"/>
    <n v="0"/>
  </r>
  <r>
    <s v="Discrete AI"/>
    <x v="7"/>
    <x v="0"/>
    <s v="Compute"/>
    <s v="Other Compute Electronics"/>
    <s v="Semiconductor Revenue M$"/>
    <x v="3"/>
    <n v="0"/>
  </r>
  <r>
    <s v="Discrete AI"/>
    <x v="7"/>
    <x v="0"/>
    <s v="Compute"/>
    <s v="Other Compute Electronics"/>
    <s v="Semiconductor Revenue M$"/>
    <x v="4"/>
    <n v="0"/>
  </r>
  <r>
    <s v="Discrete AI"/>
    <x v="7"/>
    <x v="0"/>
    <s v="Compute"/>
    <s v="Other Compute Electronics"/>
    <s v="Semiconductor Revenue M$"/>
    <x v="5"/>
    <n v="0"/>
  </r>
  <r>
    <s v="Discrete AI"/>
    <x v="7"/>
    <x v="0"/>
    <s v="Compute"/>
    <s v="Other Compute Electronics"/>
    <s v="Semiconductor Revenue M$"/>
    <x v="6"/>
    <n v="0"/>
  </r>
  <r>
    <s v="Discrete AI"/>
    <x v="8"/>
    <x v="0"/>
    <s v="Compute"/>
    <s v="Other Compute Electronics"/>
    <s v="Semiconductor Revenue M$"/>
    <x v="0"/>
    <n v="0.42635147225248815"/>
  </r>
  <r>
    <s v="Discrete AI"/>
    <x v="8"/>
    <x v="0"/>
    <s v="Compute"/>
    <s v="Other Compute Electronics"/>
    <s v="Semiconductor Revenue M$"/>
    <x v="1"/>
    <n v="3.583102307077354"/>
  </r>
  <r>
    <s v="Discrete AI"/>
    <x v="8"/>
    <x v="0"/>
    <s v="Compute"/>
    <s v="Other Compute Electronics"/>
    <s v="Semiconductor Revenue M$"/>
    <x v="2"/>
    <n v="16.640631960641681"/>
  </r>
  <r>
    <s v="Discrete AI"/>
    <x v="8"/>
    <x v="0"/>
    <s v="Compute"/>
    <s v="Other Compute Electronics"/>
    <s v="Semiconductor Revenue M$"/>
    <x v="3"/>
    <n v="42.727709816837724"/>
  </r>
  <r>
    <s v="Discrete AI"/>
    <x v="8"/>
    <x v="0"/>
    <s v="Compute"/>
    <s v="Other Compute Electronics"/>
    <s v="Semiconductor Revenue M$"/>
    <x v="4"/>
    <n v="107.35904422131063"/>
  </r>
  <r>
    <s v="Discrete AI"/>
    <x v="8"/>
    <x v="0"/>
    <s v="Compute"/>
    <s v="Other Compute Electronics"/>
    <s v="Semiconductor Revenue M$"/>
    <x v="5"/>
    <n v="155.43210264502542"/>
  </r>
  <r>
    <s v="Discrete AI"/>
    <x v="8"/>
    <x v="0"/>
    <s v="Compute"/>
    <s v="Other Compute Electronics"/>
    <s v="Semiconductor Revenue M$"/>
    <x v="6"/>
    <n v="217.84797982913801"/>
  </r>
  <r>
    <s v="Integrated AI"/>
    <x v="0"/>
    <x v="4"/>
    <s v="Consumer Electronics"/>
    <s v="Hearable"/>
    <s v="Semiconductor Revenue M$"/>
    <x v="0"/>
    <n v="0"/>
  </r>
  <r>
    <s v="Integrated AI"/>
    <x v="0"/>
    <x v="4"/>
    <s v="Consumer Electronics"/>
    <s v="Hearable"/>
    <s v="Semiconductor Revenue M$"/>
    <x v="1"/>
    <n v="0"/>
  </r>
  <r>
    <s v="Integrated AI"/>
    <x v="0"/>
    <x v="4"/>
    <s v="Consumer Electronics"/>
    <s v="Hearable"/>
    <s v="Semiconductor Revenue M$"/>
    <x v="2"/>
    <n v="0"/>
  </r>
  <r>
    <s v="Integrated AI"/>
    <x v="0"/>
    <x v="4"/>
    <s v="Consumer Electronics"/>
    <s v="Hearable"/>
    <s v="Semiconductor Revenue M$"/>
    <x v="3"/>
    <n v="0"/>
  </r>
  <r>
    <s v="Integrated AI"/>
    <x v="0"/>
    <x v="4"/>
    <s v="Consumer Electronics"/>
    <s v="Hearable"/>
    <s v="Semiconductor Revenue M$"/>
    <x v="4"/>
    <n v="0"/>
  </r>
  <r>
    <s v="Integrated AI"/>
    <x v="0"/>
    <x v="4"/>
    <s v="Consumer Electronics"/>
    <s v="Hearable"/>
    <s v="Semiconductor Revenue M$"/>
    <x v="5"/>
    <n v="0"/>
  </r>
  <r>
    <s v="Integrated AI"/>
    <x v="0"/>
    <x v="4"/>
    <s v="Consumer Electronics"/>
    <s v="Hearable"/>
    <s v="Semiconductor Revenue M$"/>
    <x v="6"/>
    <n v="0"/>
  </r>
  <r>
    <s v="Integrated AI"/>
    <x v="1"/>
    <x v="4"/>
    <s v="Consumer Electronics"/>
    <s v="Hearable"/>
    <s v="Semiconductor Revenue M$"/>
    <x v="0"/>
    <n v="0"/>
  </r>
  <r>
    <s v="Integrated AI"/>
    <x v="1"/>
    <x v="4"/>
    <s v="Consumer Electronics"/>
    <s v="Hearable"/>
    <s v="Semiconductor Revenue M$"/>
    <x v="1"/>
    <n v="0"/>
  </r>
  <r>
    <s v="Integrated AI"/>
    <x v="1"/>
    <x v="4"/>
    <s v="Consumer Electronics"/>
    <s v="Hearable"/>
    <s v="Semiconductor Revenue M$"/>
    <x v="2"/>
    <n v="0"/>
  </r>
  <r>
    <s v="Integrated AI"/>
    <x v="1"/>
    <x v="4"/>
    <s v="Consumer Electronics"/>
    <s v="Hearable"/>
    <s v="Semiconductor Revenue M$"/>
    <x v="3"/>
    <n v="0"/>
  </r>
  <r>
    <s v="Integrated AI"/>
    <x v="1"/>
    <x v="4"/>
    <s v="Consumer Electronics"/>
    <s v="Hearable"/>
    <s v="Semiconductor Revenue M$"/>
    <x v="4"/>
    <n v="0"/>
  </r>
  <r>
    <s v="Integrated AI"/>
    <x v="1"/>
    <x v="4"/>
    <s v="Consumer Electronics"/>
    <s v="Hearable"/>
    <s v="Semiconductor Revenue M$"/>
    <x v="5"/>
    <n v="0"/>
  </r>
  <r>
    <s v="Integrated AI"/>
    <x v="1"/>
    <x v="4"/>
    <s v="Consumer Electronics"/>
    <s v="Hearable"/>
    <s v="Semiconductor Revenue M$"/>
    <x v="6"/>
    <n v="0"/>
  </r>
  <r>
    <s v="Integrated AI"/>
    <x v="2"/>
    <x v="4"/>
    <s v="Consumer Electronics"/>
    <s v="Hearable"/>
    <s v="Semiconductor Revenue M$"/>
    <x v="0"/>
    <n v="0"/>
  </r>
  <r>
    <s v="Integrated AI"/>
    <x v="2"/>
    <x v="4"/>
    <s v="Consumer Electronics"/>
    <s v="Hearable"/>
    <s v="Semiconductor Revenue M$"/>
    <x v="1"/>
    <n v="0"/>
  </r>
  <r>
    <s v="Integrated AI"/>
    <x v="2"/>
    <x v="4"/>
    <s v="Consumer Electronics"/>
    <s v="Hearable"/>
    <s v="Semiconductor Revenue M$"/>
    <x v="2"/>
    <n v="0"/>
  </r>
  <r>
    <s v="Integrated AI"/>
    <x v="2"/>
    <x v="4"/>
    <s v="Consumer Electronics"/>
    <s v="Hearable"/>
    <s v="Semiconductor Revenue M$"/>
    <x v="3"/>
    <n v="0"/>
  </r>
  <r>
    <s v="Integrated AI"/>
    <x v="2"/>
    <x v="4"/>
    <s v="Consumer Electronics"/>
    <s v="Hearable"/>
    <s v="Semiconductor Revenue M$"/>
    <x v="4"/>
    <n v="0"/>
  </r>
  <r>
    <s v="Integrated AI"/>
    <x v="2"/>
    <x v="4"/>
    <s v="Consumer Electronics"/>
    <s v="Hearable"/>
    <s v="Semiconductor Revenue M$"/>
    <x v="5"/>
    <n v="0"/>
  </r>
  <r>
    <s v="Integrated AI"/>
    <x v="2"/>
    <x v="4"/>
    <s v="Consumer Electronics"/>
    <s v="Hearable"/>
    <s v="Semiconductor Revenue M$"/>
    <x v="6"/>
    <n v="0"/>
  </r>
  <r>
    <s v="Integrated AI"/>
    <x v="3"/>
    <x v="4"/>
    <s v="Consumer Electronics"/>
    <s v="Hearable"/>
    <s v="Semiconductor Revenue M$"/>
    <x v="0"/>
    <n v="0"/>
  </r>
  <r>
    <s v="Integrated AI"/>
    <x v="3"/>
    <x v="4"/>
    <s v="Consumer Electronics"/>
    <s v="Hearable"/>
    <s v="Semiconductor Revenue M$"/>
    <x v="1"/>
    <n v="0"/>
  </r>
  <r>
    <s v="Integrated AI"/>
    <x v="3"/>
    <x v="4"/>
    <s v="Consumer Electronics"/>
    <s v="Hearable"/>
    <s v="Semiconductor Revenue M$"/>
    <x v="2"/>
    <n v="0"/>
  </r>
  <r>
    <s v="Integrated AI"/>
    <x v="3"/>
    <x v="4"/>
    <s v="Consumer Electronics"/>
    <s v="Hearable"/>
    <s v="Semiconductor Revenue M$"/>
    <x v="3"/>
    <n v="0"/>
  </r>
  <r>
    <s v="Integrated AI"/>
    <x v="3"/>
    <x v="4"/>
    <s v="Consumer Electronics"/>
    <s v="Hearable"/>
    <s v="Semiconductor Revenue M$"/>
    <x v="4"/>
    <n v="0"/>
  </r>
  <r>
    <s v="Integrated AI"/>
    <x v="3"/>
    <x v="4"/>
    <s v="Consumer Electronics"/>
    <s v="Hearable"/>
    <s v="Semiconductor Revenue M$"/>
    <x v="5"/>
    <n v="0"/>
  </r>
  <r>
    <s v="Integrated AI"/>
    <x v="3"/>
    <x v="4"/>
    <s v="Consumer Electronics"/>
    <s v="Hearable"/>
    <s v="Semiconductor Revenue M$"/>
    <x v="6"/>
    <n v="0"/>
  </r>
  <r>
    <s v="Integrated AI"/>
    <x v="4"/>
    <x v="4"/>
    <s v="Consumer Electronics"/>
    <s v="Hearable"/>
    <s v="Semiconductor Revenue M$"/>
    <x v="0"/>
    <n v="0"/>
  </r>
  <r>
    <s v="Integrated AI"/>
    <x v="4"/>
    <x v="4"/>
    <s v="Consumer Electronics"/>
    <s v="Hearable"/>
    <s v="Semiconductor Revenue M$"/>
    <x v="1"/>
    <n v="0"/>
  </r>
  <r>
    <s v="Integrated AI"/>
    <x v="4"/>
    <x v="4"/>
    <s v="Consumer Electronics"/>
    <s v="Hearable"/>
    <s v="Semiconductor Revenue M$"/>
    <x v="2"/>
    <n v="0"/>
  </r>
  <r>
    <s v="Integrated AI"/>
    <x v="4"/>
    <x v="4"/>
    <s v="Consumer Electronics"/>
    <s v="Hearable"/>
    <s v="Semiconductor Revenue M$"/>
    <x v="3"/>
    <n v="0"/>
  </r>
  <r>
    <s v="Integrated AI"/>
    <x v="4"/>
    <x v="4"/>
    <s v="Consumer Electronics"/>
    <s v="Hearable"/>
    <s v="Semiconductor Revenue M$"/>
    <x v="4"/>
    <n v="0"/>
  </r>
  <r>
    <s v="Integrated AI"/>
    <x v="4"/>
    <x v="4"/>
    <s v="Consumer Electronics"/>
    <s v="Hearable"/>
    <s v="Semiconductor Revenue M$"/>
    <x v="5"/>
    <n v="0"/>
  </r>
  <r>
    <s v="Integrated AI"/>
    <x v="4"/>
    <x v="4"/>
    <s v="Consumer Electronics"/>
    <s v="Hearable"/>
    <s v="Semiconductor Revenue M$"/>
    <x v="6"/>
    <n v="0"/>
  </r>
  <r>
    <s v="Integrated AI"/>
    <x v="5"/>
    <x v="4"/>
    <s v="Consumer Electronics"/>
    <s v="Hearable"/>
    <s v="Semiconductor Revenue M$"/>
    <x v="0"/>
    <n v="1.3592389992113355E-2"/>
  </r>
  <r>
    <s v="Integrated AI"/>
    <x v="5"/>
    <x v="4"/>
    <s v="Consumer Electronics"/>
    <s v="Hearable"/>
    <s v="Semiconductor Revenue M$"/>
    <x v="1"/>
    <n v="5.710108621612394E-2"/>
  </r>
  <r>
    <s v="Integrated AI"/>
    <x v="5"/>
    <x v="4"/>
    <s v="Consumer Electronics"/>
    <s v="Hearable"/>
    <s v="Semiconductor Revenue M$"/>
    <x v="2"/>
    <n v="0.19174637348038007"/>
  </r>
  <r>
    <s v="Integrated AI"/>
    <x v="5"/>
    <x v="4"/>
    <s v="Consumer Electronics"/>
    <s v="Hearable"/>
    <s v="Semiconductor Revenue M$"/>
    <x v="3"/>
    <n v="0.59006369487835331"/>
  </r>
  <r>
    <s v="Integrated AI"/>
    <x v="5"/>
    <x v="4"/>
    <s v="Consumer Electronics"/>
    <s v="Hearable"/>
    <s v="Semiconductor Revenue M$"/>
    <x v="4"/>
    <n v="1.6427531271261762"/>
  </r>
  <r>
    <s v="Integrated AI"/>
    <x v="5"/>
    <x v="4"/>
    <s v="Consumer Electronics"/>
    <s v="Hearable"/>
    <s v="Semiconductor Revenue M$"/>
    <x v="5"/>
    <n v="4.1090629912739622"/>
  </r>
  <r>
    <s v="Integrated AI"/>
    <x v="5"/>
    <x v="4"/>
    <s v="Consumer Electronics"/>
    <s v="Hearable"/>
    <s v="Semiconductor Revenue M$"/>
    <x v="6"/>
    <n v="8.7534746882327887"/>
  </r>
  <r>
    <s v="Integrated AI"/>
    <x v="6"/>
    <x v="4"/>
    <s v="Consumer Electronics"/>
    <s v="Hearable"/>
    <s v="Semiconductor Revenue M$"/>
    <x v="0"/>
    <n v="0"/>
  </r>
  <r>
    <s v="Integrated AI"/>
    <x v="6"/>
    <x v="4"/>
    <s v="Consumer Electronics"/>
    <s v="Hearable"/>
    <s v="Semiconductor Revenue M$"/>
    <x v="1"/>
    <n v="0"/>
  </r>
  <r>
    <s v="Integrated AI"/>
    <x v="6"/>
    <x v="4"/>
    <s v="Consumer Electronics"/>
    <s v="Hearable"/>
    <s v="Semiconductor Revenue M$"/>
    <x v="2"/>
    <n v="0"/>
  </r>
  <r>
    <s v="Integrated AI"/>
    <x v="6"/>
    <x v="4"/>
    <s v="Consumer Electronics"/>
    <s v="Hearable"/>
    <s v="Semiconductor Revenue M$"/>
    <x v="3"/>
    <n v="0"/>
  </r>
  <r>
    <s v="Integrated AI"/>
    <x v="6"/>
    <x v="4"/>
    <s v="Consumer Electronics"/>
    <s v="Hearable"/>
    <s v="Semiconductor Revenue M$"/>
    <x v="4"/>
    <n v="0"/>
  </r>
  <r>
    <s v="Integrated AI"/>
    <x v="6"/>
    <x v="4"/>
    <s v="Consumer Electronics"/>
    <s v="Hearable"/>
    <s v="Semiconductor Revenue M$"/>
    <x v="5"/>
    <n v="0"/>
  </r>
  <r>
    <s v="Integrated AI"/>
    <x v="6"/>
    <x v="4"/>
    <s v="Consumer Electronics"/>
    <s v="Hearable"/>
    <s v="Semiconductor Revenue M$"/>
    <x v="6"/>
    <n v="0"/>
  </r>
  <r>
    <s v="Integrated AI"/>
    <x v="7"/>
    <x v="4"/>
    <s v="Consumer Electronics"/>
    <s v="Hearable"/>
    <s v="Semiconductor Revenue M$"/>
    <x v="0"/>
    <n v="0.50238531353338134"/>
  </r>
  <r>
    <s v="Integrated AI"/>
    <x v="7"/>
    <x v="4"/>
    <s v="Consumer Electronics"/>
    <s v="Hearable"/>
    <s v="Semiconductor Revenue M$"/>
    <x v="1"/>
    <n v="3.1408338626484817"/>
  </r>
  <r>
    <s v="Integrated AI"/>
    <x v="7"/>
    <x v="4"/>
    <s v="Consumer Electronics"/>
    <s v="Hearable"/>
    <s v="Semiconductor Revenue M$"/>
    <x v="2"/>
    <n v="18.23422027334464"/>
  </r>
  <r>
    <s v="Integrated AI"/>
    <x v="7"/>
    <x v="4"/>
    <s v="Consumer Electronics"/>
    <s v="Hearable"/>
    <s v="Semiconductor Revenue M$"/>
    <x v="3"/>
    <n v="103.57483880189655"/>
  </r>
  <r>
    <s v="Integrated AI"/>
    <x v="7"/>
    <x v="4"/>
    <s v="Consumer Electronics"/>
    <s v="Hearable"/>
    <s v="Semiconductor Revenue M$"/>
    <x v="4"/>
    <n v="194.34737590667399"/>
  </r>
  <r>
    <s v="Integrated AI"/>
    <x v="7"/>
    <x v="4"/>
    <s v="Consumer Electronics"/>
    <s v="Hearable"/>
    <s v="Semiconductor Revenue M$"/>
    <x v="5"/>
    <n v="313.85096472053601"/>
  </r>
  <r>
    <s v="Integrated AI"/>
    <x v="7"/>
    <x v="4"/>
    <s v="Consumer Electronics"/>
    <s v="Hearable"/>
    <s v="Semiconductor Revenue M$"/>
    <x v="6"/>
    <n v="371.34595007066986"/>
  </r>
  <r>
    <s v="Integrated AI"/>
    <x v="8"/>
    <x v="4"/>
    <s v="Consumer Electronics"/>
    <s v="Hearable"/>
    <s v="Semiconductor Revenue M$"/>
    <x v="0"/>
    <n v="0.8253661970780416"/>
  </r>
  <r>
    <s v="Integrated AI"/>
    <x v="8"/>
    <x v="4"/>
    <s v="Consumer Electronics"/>
    <s v="Hearable"/>
    <s v="Semiconductor Revenue M$"/>
    <x v="1"/>
    <n v="1.9857121006498477"/>
  </r>
  <r>
    <s v="Integrated AI"/>
    <x v="8"/>
    <x v="4"/>
    <s v="Consumer Electronics"/>
    <s v="Hearable"/>
    <s v="Semiconductor Revenue M$"/>
    <x v="2"/>
    <n v="4.0902809516962169"/>
  </r>
  <r>
    <s v="Integrated AI"/>
    <x v="8"/>
    <x v="4"/>
    <s v="Consumer Electronics"/>
    <s v="Hearable"/>
    <s v="Semiconductor Revenue M$"/>
    <x v="3"/>
    <n v="8.3501538687224119"/>
  </r>
  <r>
    <s v="Integrated AI"/>
    <x v="8"/>
    <x v="4"/>
    <s v="Consumer Electronics"/>
    <s v="Hearable"/>
    <s v="Semiconductor Revenue M$"/>
    <x v="4"/>
    <n v="16.988849093419731"/>
  </r>
  <r>
    <s v="Integrated AI"/>
    <x v="8"/>
    <x v="4"/>
    <s v="Consumer Electronics"/>
    <s v="Hearable"/>
    <s v="Semiconductor Revenue M$"/>
    <x v="5"/>
    <n v="32.291143157151346"/>
  </r>
  <r>
    <s v="Integrated AI"/>
    <x v="8"/>
    <x v="4"/>
    <s v="Consumer Electronics"/>
    <s v="Hearable"/>
    <s v="Semiconductor Revenue M$"/>
    <x v="6"/>
    <n v="46.231353794802928"/>
  </r>
  <r>
    <s v="Discrete AI"/>
    <x v="0"/>
    <x v="4"/>
    <s v="Consumer Electronics"/>
    <s v="Hearable"/>
    <s v="Semiconductor Revenue M$"/>
    <x v="0"/>
    <n v="0"/>
  </r>
  <r>
    <s v="Discrete AI"/>
    <x v="0"/>
    <x v="4"/>
    <s v="Consumer Electronics"/>
    <s v="Hearable"/>
    <s v="Semiconductor Revenue M$"/>
    <x v="1"/>
    <n v="0"/>
  </r>
  <r>
    <s v="Discrete AI"/>
    <x v="0"/>
    <x v="4"/>
    <s v="Consumer Electronics"/>
    <s v="Hearable"/>
    <s v="Semiconductor Revenue M$"/>
    <x v="2"/>
    <n v="0"/>
  </r>
  <r>
    <s v="Discrete AI"/>
    <x v="0"/>
    <x v="4"/>
    <s v="Consumer Electronics"/>
    <s v="Hearable"/>
    <s v="Semiconductor Revenue M$"/>
    <x v="3"/>
    <n v="0"/>
  </r>
  <r>
    <s v="Discrete AI"/>
    <x v="0"/>
    <x v="4"/>
    <s v="Consumer Electronics"/>
    <s v="Hearable"/>
    <s v="Semiconductor Revenue M$"/>
    <x v="4"/>
    <n v="0"/>
  </r>
  <r>
    <s v="Discrete AI"/>
    <x v="0"/>
    <x v="4"/>
    <s v="Consumer Electronics"/>
    <s v="Hearable"/>
    <s v="Semiconductor Revenue M$"/>
    <x v="5"/>
    <n v="0"/>
  </r>
  <r>
    <s v="Discrete AI"/>
    <x v="0"/>
    <x v="4"/>
    <s v="Consumer Electronics"/>
    <s v="Hearable"/>
    <s v="Semiconductor Revenue M$"/>
    <x v="6"/>
    <n v="0"/>
  </r>
  <r>
    <s v="Discrete AI"/>
    <x v="1"/>
    <x v="4"/>
    <s v="Consumer Electronics"/>
    <s v="Hearable"/>
    <s v="Semiconductor Revenue M$"/>
    <x v="0"/>
    <n v="0"/>
  </r>
  <r>
    <s v="Discrete AI"/>
    <x v="1"/>
    <x v="4"/>
    <s v="Consumer Electronics"/>
    <s v="Hearable"/>
    <s v="Semiconductor Revenue M$"/>
    <x v="1"/>
    <n v="0"/>
  </r>
  <r>
    <s v="Discrete AI"/>
    <x v="1"/>
    <x v="4"/>
    <s v="Consumer Electronics"/>
    <s v="Hearable"/>
    <s v="Semiconductor Revenue M$"/>
    <x v="2"/>
    <n v="0"/>
  </r>
  <r>
    <s v="Discrete AI"/>
    <x v="1"/>
    <x v="4"/>
    <s v="Consumer Electronics"/>
    <s v="Hearable"/>
    <s v="Semiconductor Revenue M$"/>
    <x v="3"/>
    <n v="0"/>
  </r>
  <r>
    <s v="Discrete AI"/>
    <x v="1"/>
    <x v="4"/>
    <s v="Consumer Electronics"/>
    <s v="Hearable"/>
    <s v="Semiconductor Revenue M$"/>
    <x v="4"/>
    <n v="0"/>
  </r>
  <r>
    <s v="Discrete AI"/>
    <x v="1"/>
    <x v="4"/>
    <s v="Consumer Electronics"/>
    <s v="Hearable"/>
    <s v="Semiconductor Revenue M$"/>
    <x v="5"/>
    <n v="0"/>
  </r>
  <r>
    <s v="Discrete AI"/>
    <x v="1"/>
    <x v="4"/>
    <s v="Consumer Electronics"/>
    <s v="Hearable"/>
    <s v="Semiconductor Revenue M$"/>
    <x v="6"/>
    <n v="0"/>
  </r>
  <r>
    <s v="Discrete AI"/>
    <x v="2"/>
    <x v="4"/>
    <s v="Consumer Electronics"/>
    <s v="Hearable"/>
    <s v="Semiconductor Revenue M$"/>
    <x v="0"/>
    <n v="0"/>
  </r>
  <r>
    <s v="Discrete AI"/>
    <x v="2"/>
    <x v="4"/>
    <s v="Consumer Electronics"/>
    <s v="Hearable"/>
    <s v="Semiconductor Revenue M$"/>
    <x v="1"/>
    <n v="0"/>
  </r>
  <r>
    <s v="Discrete AI"/>
    <x v="2"/>
    <x v="4"/>
    <s v="Consumer Electronics"/>
    <s v="Hearable"/>
    <s v="Semiconductor Revenue M$"/>
    <x v="2"/>
    <n v="0"/>
  </r>
  <r>
    <s v="Discrete AI"/>
    <x v="2"/>
    <x v="4"/>
    <s v="Consumer Electronics"/>
    <s v="Hearable"/>
    <s v="Semiconductor Revenue M$"/>
    <x v="3"/>
    <n v="0"/>
  </r>
  <r>
    <s v="Discrete AI"/>
    <x v="2"/>
    <x v="4"/>
    <s v="Consumer Electronics"/>
    <s v="Hearable"/>
    <s v="Semiconductor Revenue M$"/>
    <x v="4"/>
    <n v="0"/>
  </r>
  <r>
    <s v="Discrete AI"/>
    <x v="2"/>
    <x v="4"/>
    <s v="Consumer Electronics"/>
    <s v="Hearable"/>
    <s v="Semiconductor Revenue M$"/>
    <x v="5"/>
    <n v="0"/>
  </r>
  <r>
    <s v="Discrete AI"/>
    <x v="2"/>
    <x v="4"/>
    <s v="Consumer Electronics"/>
    <s v="Hearable"/>
    <s v="Semiconductor Revenue M$"/>
    <x v="6"/>
    <n v="0"/>
  </r>
  <r>
    <s v="Discrete AI"/>
    <x v="3"/>
    <x v="4"/>
    <s v="Consumer Electronics"/>
    <s v="Hearable"/>
    <s v="Semiconductor Revenue M$"/>
    <x v="0"/>
    <n v="0"/>
  </r>
  <r>
    <s v="Discrete AI"/>
    <x v="3"/>
    <x v="4"/>
    <s v="Consumer Electronics"/>
    <s v="Hearable"/>
    <s v="Semiconductor Revenue M$"/>
    <x v="1"/>
    <n v="0"/>
  </r>
  <r>
    <s v="Discrete AI"/>
    <x v="3"/>
    <x v="4"/>
    <s v="Consumer Electronics"/>
    <s v="Hearable"/>
    <s v="Semiconductor Revenue M$"/>
    <x v="2"/>
    <n v="0"/>
  </r>
  <r>
    <s v="Discrete AI"/>
    <x v="3"/>
    <x v="4"/>
    <s v="Consumer Electronics"/>
    <s v="Hearable"/>
    <s v="Semiconductor Revenue M$"/>
    <x v="3"/>
    <n v="0"/>
  </r>
  <r>
    <s v="Discrete AI"/>
    <x v="3"/>
    <x v="4"/>
    <s v="Consumer Electronics"/>
    <s v="Hearable"/>
    <s v="Semiconductor Revenue M$"/>
    <x v="4"/>
    <n v="0"/>
  </r>
  <r>
    <s v="Discrete AI"/>
    <x v="3"/>
    <x v="4"/>
    <s v="Consumer Electronics"/>
    <s v="Hearable"/>
    <s v="Semiconductor Revenue M$"/>
    <x v="5"/>
    <n v="0"/>
  </r>
  <r>
    <s v="Discrete AI"/>
    <x v="3"/>
    <x v="4"/>
    <s v="Consumer Electronics"/>
    <s v="Hearable"/>
    <s v="Semiconductor Revenue M$"/>
    <x v="6"/>
    <n v="0"/>
  </r>
  <r>
    <s v="Discrete AI"/>
    <x v="4"/>
    <x v="4"/>
    <s v="Consumer Electronics"/>
    <s v="Hearable"/>
    <s v="Semiconductor Revenue M$"/>
    <x v="0"/>
    <n v="0"/>
  </r>
  <r>
    <s v="Discrete AI"/>
    <x v="4"/>
    <x v="4"/>
    <s v="Consumer Electronics"/>
    <s v="Hearable"/>
    <s v="Semiconductor Revenue M$"/>
    <x v="1"/>
    <n v="0"/>
  </r>
  <r>
    <s v="Discrete AI"/>
    <x v="4"/>
    <x v="4"/>
    <s v="Consumer Electronics"/>
    <s v="Hearable"/>
    <s v="Semiconductor Revenue M$"/>
    <x v="2"/>
    <n v="0"/>
  </r>
  <r>
    <s v="Discrete AI"/>
    <x v="4"/>
    <x v="4"/>
    <s v="Consumer Electronics"/>
    <s v="Hearable"/>
    <s v="Semiconductor Revenue M$"/>
    <x v="3"/>
    <n v="0"/>
  </r>
  <r>
    <s v="Discrete AI"/>
    <x v="4"/>
    <x v="4"/>
    <s v="Consumer Electronics"/>
    <s v="Hearable"/>
    <s v="Semiconductor Revenue M$"/>
    <x v="4"/>
    <n v="0"/>
  </r>
  <r>
    <s v="Discrete AI"/>
    <x v="4"/>
    <x v="4"/>
    <s v="Consumer Electronics"/>
    <s v="Hearable"/>
    <s v="Semiconductor Revenue M$"/>
    <x v="5"/>
    <n v="0"/>
  </r>
  <r>
    <s v="Discrete AI"/>
    <x v="4"/>
    <x v="4"/>
    <s v="Consumer Electronics"/>
    <s v="Hearable"/>
    <s v="Semiconductor Revenue M$"/>
    <x v="6"/>
    <n v="0"/>
  </r>
  <r>
    <s v="Discrete AI"/>
    <x v="5"/>
    <x v="4"/>
    <s v="Consumer Electronics"/>
    <s v="Hearable"/>
    <s v="Semiconductor Revenue M$"/>
    <x v="0"/>
    <n v="0"/>
  </r>
  <r>
    <s v="Discrete AI"/>
    <x v="5"/>
    <x v="4"/>
    <s v="Consumer Electronics"/>
    <s v="Hearable"/>
    <s v="Semiconductor Revenue M$"/>
    <x v="1"/>
    <n v="0"/>
  </r>
  <r>
    <s v="Discrete AI"/>
    <x v="5"/>
    <x v="4"/>
    <s v="Consumer Electronics"/>
    <s v="Hearable"/>
    <s v="Semiconductor Revenue M$"/>
    <x v="2"/>
    <n v="0"/>
  </r>
  <r>
    <s v="Discrete AI"/>
    <x v="5"/>
    <x v="4"/>
    <s v="Consumer Electronics"/>
    <s v="Hearable"/>
    <s v="Semiconductor Revenue M$"/>
    <x v="3"/>
    <n v="0"/>
  </r>
  <r>
    <s v="Discrete AI"/>
    <x v="5"/>
    <x v="4"/>
    <s v="Consumer Electronics"/>
    <s v="Hearable"/>
    <s v="Semiconductor Revenue M$"/>
    <x v="4"/>
    <n v="0"/>
  </r>
  <r>
    <s v="Discrete AI"/>
    <x v="5"/>
    <x v="4"/>
    <s v="Consumer Electronics"/>
    <s v="Hearable"/>
    <s v="Semiconductor Revenue M$"/>
    <x v="5"/>
    <n v="0"/>
  </r>
  <r>
    <s v="Discrete AI"/>
    <x v="5"/>
    <x v="4"/>
    <s v="Consumer Electronics"/>
    <s v="Hearable"/>
    <s v="Semiconductor Revenue M$"/>
    <x v="6"/>
    <n v="0"/>
  </r>
  <r>
    <s v="Discrete AI"/>
    <x v="6"/>
    <x v="4"/>
    <s v="Consumer Electronics"/>
    <s v="Hearable"/>
    <s v="Semiconductor Revenue M$"/>
    <x v="0"/>
    <n v="0"/>
  </r>
  <r>
    <s v="Discrete AI"/>
    <x v="6"/>
    <x v="4"/>
    <s v="Consumer Electronics"/>
    <s v="Hearable"/>
    <s v="Semiconductor Revenue M$"/>
    <x v="1"/>
    <n v="0"/>
  </r>
  <r>
    <s v="Discrete AI"/>
    <x v="6"/>
    <x v="4"/>
    <s v="Consumer Electronics"/>
    <s v="Hearable"/>
    <s v="Semiconductor Revenue M$"/>
    <x v="2"/>
    <n v="0"/>
  </r>
  <r>
    <s v="Discrete AI"/>
    <x v="6"/>
    <x v="4"/>
    <s v="Consumer Electronics"/>
    <s v="Hearable"/>
    <s v="Semiconductor Revenue M$"/>
    <x v="3"/>
    <n v="0"/>
  </r>
  <r>
    <s v="Discrete AI"/>
    <x v="6"/>
    <x v="4"/>
    <s v="Consumer Electronics"/>
    <s v="Hearable"/>
    <s v="Semiconductor Revenue M$"/>
    <x v="4"/>
    <n v="0"/>
  </r>
  <r>
    <s v="Discrete AI"/>
    <x v="6"/>
    <x v="4"/>
    <s v="Consumer Electronics"/>
    <s v="Hearable"/>
    <s v="Semiconductor Revenue M$"/>
    <x v="5"/>
    <n v="0"/>
  </r>
  <r>
    <s v="Discrete AI"/>
    <x v="6"/>
    <x v="4"/>
    <s v="Consumer Electronics"/>
    <s v="Hearable"/>
    <s v="Semiconductor Revenue M$"/>
    <x v="6"/>
    <n v="0"/>
  </r>
  <r>
    <s v="Discrete AI"/>
    <x v="7"/>
    <x v="4"/>
    <s v="Consumer Electronics"/>
    <s v="Hearable"/>
    <s v="Semiconductor Revenue M$"/>
    <x v="0"/>
    <n v="0"/>
  </r>
  <r>
    <s v="Discrete AI"/>
    <x v="7"/>
    <x v="4"/>
    <s v="Consumer Electronics"/>
    <s v="Hearable"/>
    <s v="Semiconductor Revenue M$"/>
    <x v="1"/>
    <n v="0"/>
  </r>
  <r>
    <s v="Discrete AI"/>
    <x v="7"/>
    <x v="4"/>
    <s v="Consumer Electronics"/>
    <s v="Hearable"/>
    <s v="Semiconductor Revenue M$"/>
    <x v="2"/>
    <n v="0"/>
  </r>
  <r>
    <s v="Discrete AI"/>
    <x v="7"/>
    <x v="4"/>
    <s v="Consumer Electronics"/>
    <s v="Hearable"/>
    <s v="Semiconductor Revenue M$"/>
    <x v="3"/>
    <n v="0"/>
  </r>
  <r>
    <s v="Discrete AI"/>
    <x v="7"/>
    <x v="4"/>
    <s v="Consumer Electronics"/>
    <s v="Hearable"/>
    <s v="Semiconductor Revenue M$"/>
    <x v="4"/>
    <n v="0"/>
  </r>
  <r>
    <s v="Discrete AI"/>
    <x v="7"/>
    <x v="4"/>
    <s v="Consumer Electronics"/>
    <s v="Hearable"/>
    <s v="Semiconductor Revenue M$"/>
    <x v="5"/>
    <n v="0"/>
  </r>
  <r>
    <s v="Discrete AI"/>
    <x v="7"/>
    <x v="4"/>
    <s v="Consumer Electronics"/>
    <s v="Hearable"/>
    <s v="Semiconductor Revenue M$"/>
    <x v="6"/>
    <n v="0"/>
  </r>
  <r>
    <s v="Discrete AI"/>
    <x v="8"/>
    <x v="4"/>
    <s v="Consumer Electronics"/>
    <s v="Hearable"/>
    <s v="Semiconductor Revenue M$"/>
    <x v="0"/>
    <n v="1.7902115681199184E-3"/>
  </r>
  <r>
    <s v="Discrete AI"/>
    <x v="8"/>
    <x v="4"/>
    <s v="Consumer Electronics"/>
    <s v="Hearable"/>
    <s v="Semiconductor Revenue M$"/>
    <x v="1"/>
    <n v="1.995815544642164E-3"/>
  </r>
  <r>
    <s v="Discrete AI"/>
    <x v="8"/>
    <x v="4"/>
    <s v="Consumer Electronics"/>
    <s v="Hearable"/>
    <s v="Semiconductor Revenue M$"/>
    <x v="2"/>
    <n v="1.9050382319863181E-3"/>
  </r>
  <r>
    <s v="Discrete AI"/>
    <x v="8"/>
    <x v="4"/>
    <s v="Consumer Electronics"/>
    <s v="Hearable"/>
    <s v="Semiconductor Revenue M$"/>
    <x v="3"/>
    <n v="1.8021522244527329E-3"/>
  </r>
  <r>
    <s v="Discrete AI"/>
    <x v="8"/>
    <x v="4"/>
    <s v="Consumer Electronics"/>
    <s v="Hearable"/>
    <s v="Semiconductor Revenue M$"/>
    <x v="4"/>
    <n v="1.6990548148232685E-3"/>
  </r>
  <r>
    <s v="Discrete AI"/>
    <x v="8"/>
    <x v="4"/>
    <s v="Consumer Electronics"/>
    <s v="Hearable"/>
    <s v="Semiconductor Revenue M$"/>
    <x v="5"/>
    <n v="3.2294372594407232E-3"/>
  </r>
  <r>
    <s v="Discrete AI"/>
    <x v="8"/>
    <x v="4"/>
    <s v="Consumer Electronics"/>
    <s v="Hearable"/>
    <s v="Semiconductor Revenue M$"/>
    <x v="6"/>
    <n v="-3.7404580810853883E-3"/>
  </r>
  <r>
    <s v="Integrated AI"/>
    <x v="7"/>
    <x v="4"/>
    <s v="Consumer Electronics"/>
    <s v="DVD Player/Recorder"/>
    <s v="Semiconductor Revenue M$"/>
    <x v="0"/>
    <n v="1.4582323031695901"/>
  </r>
  <r>
    <s v="Integrated AI"/>
    <x v="7"/>
    <x v="4"/>
    <s v="Consumer Electronics"/>
    <s v="DVD Player/Recorder"/>
    <s v="Semiconductor Revenue M$"/>
    <x v="1"/>
    <n v="2.9645077697368669"/>
  </r>
  <r>
    <s v="Integrated AI"/>
    <x v="7"/>
    <x v="4"/>
    <s v="Consumer Electronics"/>
    <s v="DVD Player/Recorder"/>
    <s v="Semiconductor Revenue M$"/>
    <x v="2"/>
    <n v="5.9571244688148424"/>
  </r>
  <r>
    <s v="Integrated AI"/>
    <x v="7"/>
    <x v="4"/>
    <s v="Consumer Electronics"/>
    <s v="DVD Player/Recorder"/>
    <s v="Semiconductor Revenue M$"/>
    <x v="3"/>
    <n v="6.2448643385008369"/>
  </r>
  <r>
    <s v="Integrated AI"/>
    <x v="7"/>
    <x v="4"/>
    <s v="Consumer Electronics"/>
    <s v="DVD Player/Recorder"/>
    <s v="Semiconductor Revenue M$"/>
    <x v="4"/>
    <n v="7.6902155454674448"/>
  </r>
  <r>
    <s v="Integrated AI"/>
    <x v="7"/>
    <x v="4"/>
    <s v="Consumer Electronics"/>
    <s v="DVD Player/Recorder"/>
    <s v="Semiconductor Revenue M$"/>
    <x v="5"/>
    <n v="8.2147560009523826"/>
  </r>
  <r>
    <s v="Integrated AI"/>
    <x v="7"/>
    <x v="4"/>
    <s v="Consumer Electronics"/>
    <s v="DVD Player/Recorder"/>
    <s v="Semiconductor Revenue M$"/>
    <x v="6"/>
    <n v="8.3137022437257695"/>
  </r>
  <r>
    <s v="Discrete AI"/>
    <x v="7"/>
    <x v="4"/>
    <s v="Consumer Electronics"/>
    <s v="DVD Player/Recorder"/>
    <s v="Semiconductor Revenue M$"/>
    <x v="0"/>
    <n v="0"/>
  </r>
  <r>
    <s v="Discrete AI"/>
    <x v="7"/>
    <x v="4"/>
    <s v="Consumer Electronics"/>
    <s v="DVD Player/Recorder"/>
    <s v="Semiconductor Revenue M$"/>
    <x v="0"/>
    <n v="0"/>
  </r>
  <r>
    <s v="Discrete AI"/>
    <x v="7"/>
    <x v="4"/>
    <s v="Consumer Electronics"/>
    <s v="DVD Player/Recorder"/>
    <s v="Semiconductor Revenue M$"/>
    <x v="1"/>
    <n v="0"/>
  </r>
  <r>
    <s v="Discrete AI"/>
    <x v="7"/>
    <x v="4"/>
    <s v="Consumer Electronics"/>
    <s v="DVD Player/Recorder"/>
    <s v="Semiconductor Revenue M$"/>
    <x v="2"/>
    <n v="0"/>
  </r>
  <r>
    <s v="Discrete AI"/>
    <x v="7"/>
    <x v="4"/>
    <s v="Consumer Electronics"/>
    <s v="DVD Player/Recorder"/>
    <s v="Semiconductor Revenue M$"/>
    <x v="3"/>
    <n v="0"/>
  </r>
  <r>
    <s v="Discrete AI"/>
    <x v="7"/>
    <x v="4"/>
    <s v="Consumer Electronics"/>
    <s v="DVD Player/Recorder"/>
    <s v="Semiconductor Revenue M$"/>
    <x v="4"/>
    <n v="0"/>
  </r>
  <r>
    <s v="Discrete AI"/>
    <x v="7"/>
    <x v="4"/>
    <s v="Consumer Electronics"/>
    <s v="DVD Player/Recorder"/>
    <s v="Semiconductor Revenue M$"/>
    <x v="5"/>
    <n v="0"/>
  </r>
  <r>
    <s v="Integrated AI"/>
    <x v="1"/>
    <x v="4"/>
    <s v="Consumer Electronics"/>
    <s v="DVD Player/Recorder"/>
    <s v="Semiconductor Revenue M$"/>
    <x v="0"/>
    <n v="2.5105901417384101E-4"/>
  </r>
  <r>
    <s v="Integrated AI"/>
    <x v="1"/>
    <x v="4"/>
    <s v="Consumer Electronics"/>
    <s v="DVD Player/Recorder"/>
    <s v="Semiconductor Revenue M$"/>
    <x v="0"/>
    <n v="2.5105901417384101E-4"/>
  </r>
  <r>
    <s v="Integrated AI"/>
    <x v="1"/>
    <x v="4"/>
    <s v="Consumer Electronics"/>
    <s v="DVD Player/Recorder"/>
    <s v="Semiconductor Revenue M$"/>
    <x v="1"/>
    <n v="1.1157045855060906E-3"/>
  </r>
  <r>
    <s v="Integrated AI"/>
    <x v="1"/>
    <x v="4"/>
    <s v="Consumer Electronics"/>
    <s v="DVD Player/Recorder"/>
    <s v="Semiconductor Revenue M$"/>
    <x v="2"/>
    <n v="4.8285996650387804E-3"/>
  </r>
  <r>
    <s v="Integrated AI"/>
    <x v="1"/>
    <x v="4"/>
    <s v="Consumer Electronics"/>
    <s v="DVD Player/Recorder"/>
    <s v="Semiconductor Revenue M$"/>
    <x v="3"/>
    <n v="2.1778103679124371E-2"/>
  </r>
  <r>
    <s v="Integrated AI"/>
    <x v="1"/>
    <x v="4"/>
    <s v="Consumer Electronics"/>
    <s v="DVD Player/Recorder"/>
    <s v="Semiconductor Revenue M$"/>
    <x v="4"/>
    <n v="9.6151912812240309E-2"/>
  </r>
  <r>
    <s v="Integrated AI"/>
    <x v="1"/>
    <x v="4"/>
    <s v="Consumer Electronics"/>
    <s v="DVD Player/Recorder"/>
    <s v="Semiconductor Revenue M$"/>
    <x v="5"/>
    <n v="0.13007017586698616"/>
  </r>
  <r>
    <s v="Discrete AI"/>
    <x v="1"/>
    <x v="4"/>
    <s v="Consumer Electronics"/>
    <s v="DVD Player/Recorder"/>
    <s v="Semiconductor Revenue M$"/>
    <x v="0"/>
    <n v="0"/>
  </r>
  <r>
    <s v="Discrete AI"/>
    <x v="1"/>
    <x v="4"/>
    <s v="Consumer Electronics"/>
    <s v="DVD Player/Recorder"/>
    <s v="Semiconductor Revenue M$"/>
    <x v="0"/>
    <n v="0"/>
  </r>
  <r>
    <s v="Discrete AI"/>
    <x v="1"/>
    <x v="4"/>
    <s v="Consumer Electronics"/>
    <s v="DVD Player/Recorder"/>
    <s v="Semiconductor Revenue M$"/>
    <x v="1"/>
    <n v="0"/>
  </r>
  <r>
    <s v="Discrete AI"/>
    <x v="1"/>
    <x v="4"/>
    <s v="Consumer Electronics"/>
    <s v="DVD Player/Recorder"/>
    <s v="Semiconductor Revenue M$"/>
    <x v="2"/>
    <n v="0"/>
  </r>
  <r>
    <s v="Discrete AI"/>
    <x v="1"/>
    <x v="4"/>
    <s v="Consumer Electronics"/>
    <s v="DVD Player/Recorder"/>
    <s v="Semiconductor Revenue M$"/>
    <x v="3"/>
    <n v="0"/>
  </r>
  <r>
    <s v="Discrete AI"/>
    <x v="1"/>
    <x v="4"/>
    <s v="Consumer Electronics"/>
    <s v="DVD Player/Recorder"/>
    <s v="Semiconductor Revenue M$"/>
    <x v="4"/>
    <n v="0"/>
  </r>
  <r>
    <s v="Discrete AI"/>
    <x v="1"/>
    <x v="4"/>
    <s v="Consumer Electronics"/>
    <s v="DVD Player/Recorder"/>
    <s v="Semiconductor Revenue M$"/>
    <x v="5"/>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23116F-1B59-4B95-BDBA-15BFFF04CFCB}" name="PivotTable2" cacheId="1" applyNumberFormats="0" applyBorderFormats="0" applyFontFormats="0" applyPatternFormats="0" applyAlignmentFormats="0" applyWidthHeightFormats="1" dataCaption="Values" updatedVersion="7" minRefreshableVersion="3" showDataTips="0" preserveFormatting="0" colGrandTotals="0" itemPrintTitles="1" createdVersion="6" indent="0" compact="0" compactData="0" gridDropZones="1" multipleFieldFilters="0" fieldListSortAscending="1">
  <location ref="A38:H49" firstHeaderRow="1" firstDataRow="2" firstDataCol="1"/>
  <pivotFields count="8">
    <pivotField compact="0" outline="0" showAll="0"/>
    <pivotField axis="axisRow" compact="0" outline="0" showAll="0" sortType="ascending">
      <items count="10">
        <item x="4"/>
        <item x="7"/>
        <item x="2"/>
        <item x="3"/>
        <item x="6"/>
        <item x="5"/>
        <item x="0"/>
        <item x="1"/>
        <item x="8"/>
        <item t="default"/>
      </items>
    </pivotField>
    <pivotField compact="0" outline="0" showAll="0"/>
    <pivotField compact="0" outline="0" showAll="0"/>
    <pivotField compact="0" outline="0" showAll="0"/>
    <pivotField compact="0" outline="0" showAll="0"/>
    <pivotField axis="axisCol" compact="0" outline="0" showAll="0" sortType="ascending">
      <items count="9">
        <item m="1" x="7"/>
        <item x="0"/>
        <item x="1"/>
        <item x="2"/>
        <item x="3"/>
        <item x="4"/>
        <item x="5"/>
        <item x="6"/>
        <item t="default"/>
      </items>
    </pivotField>
    <pivotField dataField="1" compact="0" outline="0" showAll="0"/>
  </pivotFields>
  <rowFields count="1">
    <field x="1"/>
  </rowFields>
  <rowItems count="10">
    <i>
      <x/>
    </i>
    <i>
      <x v="1"/>
    </i>
    <i>
      <x v="2"/>
    </i>
    <i>
      <x v="3"/>
    </i>
    <i>
      <x v="4"/>
    </i>
    <i>
      <x v="5"/>
    </i>
    <i>
      <x v="6"/>
    </i>
    <i>
      <x v="7"/>
    </i>
    <i>
      <x v="8"/>
    </i>
    <i t="grand">
      <x/>
    </i>
  </rowItems>
  <colFields count="1">
    <field x="6"/>
  </colFields>
  <colItems count="7">
    <i>
      <x v="1"/>
    </i>
    <i>
      <x v="2"/>
    </i>
    <i>
      <x v="3"/>
    </i>
    <i>
      <x v="4"/>
    </i>
    <i>
      <x v="5"/>
    </i>
    <i>
      <x v="6"/>
    </i>
    <i>
      <x v="7"/>
    </i>
  </colItems>
  <dataFields count="1">
    <dataField name="Sum of Value"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323817-5D7D-4A0E-A85D-33D0D04FF7EF}" name="PivotTable1" cacheId="1" applyNumberFormats="0" applyBorderFormats="0" applyFontFormats="0" applyPatternFormats="0" applyAlignmentFormats="0" applyWidthHeightFormats="1" dataCaption="Values" updatedVersion="7" minRefreshableVersion="3" showDataTips="0" preserveFormatting="0" colGrandTotals="0" itemPrintTitles="1" createdVersion="6" indent="0" compact="0" compactData="0" gridDropZones="1" multipleFieldFilters="0">
  <location ref="A11:H19" firstHeaderRow="1" firstDataRow="2" firstDataCol="1"/>
  <pivotFields count="8">
    <pivotField compact="0" outline="0" showAll="0"/>
    <pivotField compact="0" outline="0" showAll="0"/>
    <pivotField axis="axisRow" compact="0" outline="0" showAll="0" sortType="ascending">
      <items count="7">
        <item x="3"/>
        <item x="2"/>
        <item x="0"/>
        <item x="4"/>
        <item x="5"/>
        <item x="1"/>
        <item t="default"/>
      </items>
    </pivotField>
    <pivotField compact="0" outline="0" showAll="0"/>
    <pivotField compact="0" outline="0" showAll="0"/>
    <pivotField compact="0" outline="0" multipleItemSelectionAllowed="1" showAll="0"/>
    <pivotField axis="axisCol" compact="0" outline="0" showAll="0" sortType="ascending">
      <items count="9">
        <item m="1" x="7"/>
        <item x="0"/>
        <item x="1"/>
        <item x="2"/>
        <item x="3"/>
        <item x="4"/>
        <item x="5"/>
        <item x="6"/>
        <item t="default"/>
      </items>
    </pivotField>
    <pivotField dataField="1" compact="0" outline="0" showAll="0"/>
  </pivotFields>
  <rowFields count="1">
    <field x="2"/>
  </rowFields>
  <rowItems count="7">
    <i>
      <x/>
    </i>
    <i>
      <x v="1"/>
    </i>
    <i>
      <x v="2"/>
    </i>
    <i>
      <x v="3"/>
    </i>
    <i>
      <x v="4"/>
    </i>
    <i>
      <x v="5"/>
    </i>
    <i t="grand">
      <x/>
    </i>
  </rowItems>
  <colFields count="1">
    <field x="6"/>
  </colFields>
  <colItems count="7">
    <i>
      <x v="1"/>
    </i>
    <i>
      <x v="2"/>
    </i>
    <i>
      <x v="3"/>
    </i>
    <i>
      <x v="4"/>
    </i>
    <i>
      <x v="5"/>
    </i>
    <i>
      <x v="6"/>
    </i>
    <i>
      <x v="7"/>
    </i>
  </colItems>
  <dataFields count="1">
    <dataField name="Sum of Value"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532255-9A1E-460A-96D8-986D231289E8}" name="PivotTable5" cacheId="0" applyNumberFormats="0" applyBorderFormats="0" applyFontFormats="0" applyPatternFormats="0" applyAlignmentFormats="0" applyWidthHeightFormats="1" dataCaption="Values" updatedVersion="7" minRefreshableVersion="3" showDataTips="0" colGrandTotals="0" itemPrintTitles="1" createdVersion="6" indent="0" compact="0" compactData="0" gridDropZones="1" multipleFieldFilters="0">
  <location ref="A16:H27" firstHeaderRow="1" firstDataRow="2" firstDataCol="1" rowPageCount="5" colPageCount="1"/>
  <pivotFields count="8">
    <pivotField axis="axisPage" compact="0" outline="0" showAll="0">
      <items count="3">
        <item x="1"/>
        <item x="0"/>
        <item t="default"/>
      </items>
    </pivotField>
    <pivotField axis="axisRow" compact="0" outline="0" multipleItemSelectionAllowed="1" showAll="0" sortType="ascending">
      <items count="10">
        <item x="4"/>
        <item x="7"/>
        <item x="2"/>
        <item x="3"/>
        <item x="6"/>
        <item x="5"/>
        <item x="0"/>
        <item x="1"/>
        <item x="8"/>
        <item t="default"/>
      </items>
    </pivotField>
    <pivotField axis="axisPage" compact="0" outline="0" showAll="0">
      <items count="7">
        <item x="3"/>
        <item x="2"/>
        <item x="4"/>
        <item x="5"/>
        <item x="0"/>
        <item x="1"/>
        <item t="default"/>
      </items>
    </pivotField>
    <pivotField axis="axisPage" compact="0" outline="0" multipleItemSelectionAllowed="1" showAll="0" sortType="ascending">
      <items count="10">
        <item x="5"/>
        <item x="0"/>
        <item x="7"/>
        <item x="8"/>
        <item x="1"/>
        <item x="2"/>
        <item x="3"/>
        <item x="6"/>
        <item x="4"/>
        <item t="default"/>
      </items>
    </pivotField>
    <pivotField axis="axisPage" compact="0" outline="0" showAll="0" sortType="descending">
      <items count="88">
        <item x="18"/>
        <item x="39"/>
        <item x="30"/>
        <item x="65"/>
        <item x="73"/>
        <item x="51"/>
        <item x="44"/>
        <item x="75"/>
        <item x="52"/>
        <item x="27"/>
        <item x="66"/>
        <item x="33"/>
        <item x="67"/>
        <item x="74"/>
        <item x="2"/>
        <item x="45"/>
        <item x="46"/>
        <item x="49"/>
        <item x="47"/>
        <item x="48"/>
        <item x="50"/>
        <item x="35"/>
        <item x="86"/>
        <item x="76"/>
        <item x="38"/>
        <item x="40"/>
        <item x="68"/>
        <item x="0"/>
        <item x="36"/>
        <item x="12"/>
        <item x="1"/>
        <item x="22"/>
        <item x="61"/>
        <item x="85"/>
        <item x="69"/>
        <item x="70"/>
        <item x="78"/>
        <item x="83"/>
        <item x="31"/>
        <item x="10"/>
        <item x="41"/>
        <item x="37"/>
        <item x="84"/>
        <item x="64"/>
        <item x="20"/>
        <item x="82"/>
        <item x="80"/>
        <item x="25"/>
        <item x="24"/>
        <item x="43"/>
        <item x="34"/>
        <item x="54"/>
        <item x="71"/>
        <item x="29"/>
        <item x="11"/>
        <item x="72"/>
        <item x="16"/>
        <item x="15"/>
        <item x="14"/>
        <item x="42"/>
        <item x="17"/>
        <item x="55"/>
        <item x="62"/>
        <item x="23"/>
        <item x="19"/>
        <item x="77"/>
        <item x="63"/>
        <item x="21"/>
        <item x="53"/>
        <item x="79"/>
        <item x="81"/>
        <item x="57"/>
        <item x="56"/>
        <item x="6"/>
        <item x="8"/>
        <item x="3"/>
        <item x="7"/>
        <item x="9"/>
        <item x="5"/>
        <item x="4"/>
        <item x="13"/>
        <item x="28"/>
        <item x="26"/>
        <item x="58"/>
        <item x="59"/>
        <item x="32"/>
        <item x="60"/>
        <item t="default"/>
      </items>
      <autoSortScope>
        <pivotArea dataOnly="0" outline="0" fieldPosition="0">
          <references count="2">
            <reference field="4294967294" count="1" selected="0">
              <x v="0"/>
            </reference>
            <reference field="6" count="1" selected="0">
              <x v="6"/>
            </reference>
          </references>
        </pivotArea>
      </autoSortScope>
    </pivotField>
    <pivotField axis="axisPage" compact="0" outline="0" showAll="0">
      <items count="3">
        <item x="0"/>
        <item x="1"/>
        <item t="default"/>
      </items>
    </pivotField>
    <pivotField axis="axisCol" compact="0" outline="0" showAll="0" sortType="ascending">
      <items count="9">
        <item m="1" x="7"/>
        <item x="0"/>
        <item x="1"/>
        <item x="2"/>
        <item x="3"/>
        <item x="4"/>
        <item x="5"/>
        <item x="6"/>
        <item t="default"/>
      </items>
    </pivotField>
    <pivotField dataField="1" compact="0" outline="0" showAll="0"/>
  </pivotFields>
  <rowFields count="1">
    <field x="1"/>
  </rowFields>
  <rowItems count="10">
    <i>
      <x/>
    </i>
    <i>
      <x v="1"/>
    </i>
    <i>
      <x v="2"/>
    </i>
    <i>
      <x v="3"/>
    </i>
    <i>
      <x v="4"/>
    </i>
    <i>
      <x v="5"/>
    </i>
    <i>
      <x v="6"/>
    </i>
    <i>
      <x v="7"/>
    </i>
    <i>
      <x v="8"/>
    </i>
    <i t="grand">
      <x/>
    </i>
  </rowItems>
  <colFields count="1">
    <field x="6"/>
  </colFields>
  <colItems count="7">
    <i>
      <x v="1"/>
    </i>
    <i>
      <x v="2"/>
    </i>
    <i>
      <x v="3"/>
    </i>
    <i>
      <x v="4"/>
    </i>
    <i>
      <x v="5"/>
    </i>
    <i>
      <x v="6"/>
    </i>
    <i>
      <x v="7"/>
    </i>
  </colItems>
  <pageFields count="5">
    <pageField fld="5" item="0" hier="-1"/>
    <pageField fld="0" hier="-1"/>
    <pageField fld="2" hier="-1"/>
    <pageField fld="3" hier="-1"/>
    <pageField fld="4" hier="-1"/>
  </pageFields>
  <dataFields count="1">
    <dataField name="Sum of Value" fld="7" baseField="0" baseItem="0" numFmtId="3"/>
  </dataFields>
  <formats count="16">
    <format dxfId="15">
      <pivotArea type="all" dataOnly="0" outline="0" fieldPosition="0"/>
    </format>
    <format dxfId="14">
      <pivotArea outline="0" collapsedLevelsAreSubtotals="1" fieldPosition="0"/>
    </format>
    <format dxfId="13">
      <pivotArea type="origin" dataOnly="0" labelOnly="1" outline="0" fieldPosition="0"/>
    </format>
    <format dxfId="12">
      <pivotArea field="6" type="button" dataOnly="0" labelOnly="1" outline="0" axis="axisCol" fieldPosition="0"/>
    </format>
    <format dxfId="11">
      <pivotArea type="topRight" dataOnly="0" labelOnly="1" outline="0" fieldPosition="0"/>
    </format>
    <format dxfId="10">
      <pivotArea field="1" type="button" dataOnly="0" labelOnly="1" outline="0" axis="axisRow" fieldPosition="0"/>
    </format>
    <format dxfId="9">
      <pivotArea field="2" type="button" dataOnly="0" labelOnly="1" outline="0" axis="axisPage" fieldPosition="2"/>
    </format>
    <format dxfId="8">
      <pivotArea dataOnly="0" labelOnly="1" outline="0" fieldPosition="0">
        <references count="1">
          <reference field="1" count="0"/>
        </references>
      </pivotArea>
    </format>
    <format dxfId="7">
      <pivotArea dataOnly="0" labelOnly="1" outline="0" fieldPosition="0">
        <references count="1">
          <reference field="1" count="0" defaultSubtotal="1"/>
        </references>
      </pivotArea>
    </format>
    <format dxfId="6">
      <pivotArea dataOnly="0" labelOnly="1" grandRow="1" outline="0" fieldPosition="0"/>
    </format>
    <format dxfId="5">
      <pivotArea dataOnly="0" labelOnly="1" outline="0" fieldPosition="0">
        <references count="2">
          <reference field="1" count="1" selected="0">
            <x v="3"/>
          </reference>
          <reference field="2" count="0"/>
        </references>
      </pivotArea>
    </format>
    <format dxfId="4">
      <pivotArea dataOnly="0" labelOnly="1" outline="0" fieldPosition="0">
        <references count="1">
          <reference field="6" count="0"/>
        </references>
      </pivotArea>
    </format>
    <format dxfId="3">
      <pivotArea outline="0" fieldPosition="0">
        <references count="1">
          <reference field="2" count="0" selected="0" defaultSubtotal="1"/>
        </references>
      </pivotArea>
    </format>
    <format dxfId="2">
      <pivotArea outline="0" collapsedLevelsAreSubtotals="1" fieldPosition="0"/>
    </format>
    <format dxfId="1">
      <pivotArea outline="0" fieldPosition="0">
        <references count="3">
          <reference field="2" count="0" selected="0"/>
          <reference field="3" count="1" selected="0" defaultSubtotal="1">
            <x v="6"/>
          </reference>
          <reference field="6" count="1" selected="0">
            <x v="6"/>
          </reference>
        </references>
      </pivotArea>
    </format>
    <format dxfId="0">
      <pivotArea dataOnly="0" labelOnly="1" outline="0" fieldPosition="0">
        <references count="1">
          <reference field="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CFFDA-ED31-4B5F-9582-AA4C8DFDDA82}">
  <sheetPr codeName="Sheet1">
    <pageSetUpPr fitToPage="1"/>
  </sheetPr>
  <dimension ref="A1:V90"/>
  <sheetViews>
    <sheetView showGridLines="0" tabSelected="1" workbookViewId="0"/>
  </sheetViews>
  <sheetFormatPr defaultRowHeight="14.5" x14ac:dyDescent="0.35"/>
  <cols>
    <col min="1" max="1" width="25.7265625" customWidth="1"/>
    <col min="2" max="11" width="8.7265625" customWidth="1"/>
    <col min="12" max="12" width="4.36328125" customWidth="1"/>
  </cols>
  <sheetData>
    <row r="1" spans="1:6" ht="11.25" customHeight="1" x14ac:dyDescent="0.35">
      <c r="B1" s="4"/>
    </row>
    <row r="2" spans="1:6" ht="11.25" customHeight="1" x14ac:dyDescent="0.35">
      <c r="A2" s="5"/>
      <c r="B2" s="4"/>
    </row>
    <row r="3" spans="1:6" ht="11.25" customHeight="1" x14ac:dyDescent="0.35">
      <c r="A3" s="5"/>
      <c r="B3" s="6"/>
    </row>
    <row r="4" spans="1:6" ht="11.25" customHeight="1" x14ac:dyDescent="0.35"/>
    <row r="5" spans="1:6" ht="11.25" customHeight="1" x14ac:dyDescent="0.35"/>
    <row r="6" spans="1:6" ht="11.25" customHeight="1" x14ac:dyDescent="0.35"/>
    <row r="7" spans="1:6" ht="11.25" customHeight="1" x14ac:dyDescent="0.35"/>
    <row r="8" spans="1:6" ht="11.25" customHeight="1" x14ac:dyDescent="0.35"/>
    <row r="9" spans="1:6" ht="11.25" customHeight="1" x14ac:dyDescent="0.35"/>
    <row r="10" spans="1:6" ht="11.25" customHeight="1" x14ac:dyDescent="0.35"/>
    <row r="11" spans="1:6" ht="11.25" customHeight="1" x14ac:dyDescent="0.35">
      <c r="B11" s="7"/>
    </row>
    <row r="12" spans="1:6" ht="11.25" customHeight="1" x14ac:dyDescent="0.35">
      <c r="B12" s="8"/>
    </row>
    <row r="13" spans="1:6" ht="11.25" customHeight="1" x14ac:dyDescent="0.35">
      <c r="B13" s="4"/>
    </row>
    <row r="14" spans="1:6" ht="11.25" customHeight="1" x14ac:dyDescent="0.35">
      <c r="B14" s="4"/>
    </row>
    <row r="15" spans="1:6" ht="11.25" customHeight="1" x14ac:dyDescent="0.35">
      <c r="B15" s="4"/>
      <c r="C15" s="9"/>
      <c r="D15" s="9"/>
      <c r="E15" s="9"/>
      <c r="F15" s="9"/>
    </row>
    <row r="16" spans="1:6" ht="11.25" customHeight="1" x14ac:dyDescent="0.35">
      <c r="A16" s="10"/>
      <c r="B16" s="4"/>
      <c r="C16" s="9"/>
      <c r="D16" s="9"/>
      <c r="E16" s="9"/>
      <c r="F16" s="9"/>
    </row>
    <row r="17" spans="1:22" ht="11.25" customHeight="1" x14ac:dyDescent="0.35">
      <c r="A17" s="5"/>
    </row>
    <row r="18" spans="1:22" ht="11.25" customHeight="1" x14ac:dyDescent="0.35">
      <c r="A18" s="5"/>
    </row>
    <row r="19" spans="1:22" ht="11.25" customHeight="1" x14ac:dyDescent="0.35">
      <c r="A19" s="5"/>
    </row>
    <row r="20" spans="1:22" s="11" customFormat="1" ht="36.5" customHeight="1" x14ac:dyDescent="0.4">
      <c r="A20" s="152" t="str">
        <f>"Forecast: AI Semiconductors, Worldwide, " &amp; StartY &amp; "-" &amp; EndY</f>
        <v>Forecast: AI Semiconductors, Worldwide, 2020-2026</v>
      </c>
      <c r="B20" s="153"/>
      <c r="C20" s="153"/>
      <c r="D20" s="153"/>
      <c r="E20" s="153"/>
      <c r="F20" s="153"/>
      <c r="G20" s="153"/>
      <c r="H20" s="153"/>
      <c r="I20" s="153"/>
      <c r="J20" s="153"/>
      <c r="K20" s="153"/>
      <c r="L20" s="153"/>
      <c r="M20"/>
      <c r="N20"/>
      <c r="O20"/>
      <c r="P20"/>
      <c r="Q20"/>
      <c r="R20"/>
      <c r="S20"/>
      <c r="T20"/>
      <c r="U20"/>
      <c r="V20"/>
    </row>
    <row r="21" spans="1:22" s="11" customFormat="1" ht="18.75" customHeight="1" x14ac:dyDescent="0.4">
      <c r="A21" s="12"/>
      <c r="B21" s="13"/>
      <c r="C21" s="13"/>
      <c r="D21" s="13"/>
      <c r="E21" s="13"/>
      <c r="F21" s="13"/>
      <c r="G21" s="13"/>
      <c r="H21" s="13"/>
      <c r="I21" s="13"/>
      <c r="J21" s="13"/>
      <c r="K21" s="13"/>
      <c r="L21" s="13"/>
      <c r="M21"/>
      <c r="N21"/>
      <c r="O21"/>
      <c r="P21"/>
      <c r="Q21"/>
      <c r="R21"/>
      <c r="S21"/>
      <c r="T21"/>
      <c r="U21"/>
      <c r="V21"/>
    </row>
    <row r="22" spans="1:22" ht="12" customHeight="1" x14ac:dyDescent="0.35">
      <c r="A22" s="85"/>
    </row>
    <row r="24" spans="1:22" ht="12" customHeight="1" x14ac:dyDescent="0.35">
      <c r="A24" s="14"/>
    </row>
    <row r="25" spans="1:22" ht="12" customHeight="1" x14ac:dyDescent="0.35">
      <c r="B25" s="4"/>
    </row>
    <row r="26" spans="1:22" ht="12" customHeight="1" x14ac:dyDescent="0.35">
      <c r="B26" s="4"/>
    </row>
    <row r="27" spans="1:22" ht="12" customHeight="1" x14ac:dyDescent="0.35">
      <c r="B27" s="4"/>
    </row>
    <row r="28" spans="1:22" ht="12" customHeight="1" x14ac:dyDescent="0.35"/>
    <row r="29" spans="1:22" ht="12" customHeight="1" x14ac:dyDescent="0.35"/>
    <row r="30" spans="1:22" ht="12" customHeight="1" x14ac:dyDescent="0.35"/>
    <row r="31" spans="1:22" ht="12" customHeight="1" x14ac:dyDescent="0.35">
      <c r="B31" s="9" t="s">
        <v>71</v>
      </c>
    </row>
    <row r="32" spans="1:22" ht="12" customHeight="1" x14ac:dyDescent="0.35">
      <c r="A32" s="144">
        <v>1</v>
      </c>
      <c r="B32" s="154" t="s">
        <v>72</v>
      </c>
      <c r="C32" s="154"/>
      <c r="D32" s="154"/>
      <c r="E32" s="154"/>
      <c r="F32" s="154"/>
      <c r="G32" s="154"/>
      <c r="H32" s="154"/>
      <c r="I32" s="154"/>
      <c r="J32" s="154"/>
      <c r="K32" s="154"/>
      <c r="L32" s="154"/>
    </row>
    <row r="33" spans="1:12" ht="12" customHeight="1" x14ac:dyDescent="0.35">
      <c r="A33" s="144">
        <v>2</v>
      </c>
      <c r="B33" s="151" t="s">
        <v>261</v>
      </c>
      <c r="C33" s="151"/>
      <c r="D33" s="151"/>
      <c r="E33" s="151"/>
      <c r="F33" s="151"/>
      <c r="G33" s="151"/>
      <c r="H33" s="151"/>
      <c r="I33" s="151"/>
      <c r="J33" s="151"/>
      <c r="K33" s="151"/>
      <c r="L33" s="151"/>
    </row>
    <row r="34" spans="1:12" ht="12" customHeight="1" x14ac:dyDescent="0.35">
      <c r="A34" s="144">
        <v>3</v>
      </c>
      <c r="B34" s="151" t="s">
        <v>74</v>
      </c>
      <c r="C34" s="151"/>
      <c r="D34" s="151"/>
      <c r="E34" s="151"/>
      <c r="F34" s="151"/>
      <c r="G34" s="151"/>
      <c r="H34" s="151"/>
      <c r="I34" s="151"/>
      <c r="J34" s="151"/>
      <c r="K34" s="151"/>
      <c r="L34" s="151"/>
    </row>
    <row r="35" spans="1:12" ht="12" customHeight="1" x14ac:dyDescent="0.35">
      <c r="A35" s="144">
        <v>4</v>
      </c>
      <c r="B35" s="155" t="s">
        <v>266</v>
      </c>
      <c r="C35" s="155"/>
      <c r="D35" s="155"/>
      <c r="E35" s="155"/>
      <c r="F35" s="155"/>
      <c r="G35" s="155"/>
      <c r="H35" s="155"/>
      <c r="I35" s="155"/>
      <c r="J35" s="155"/>
      <c r="K35" s="155"/>
      <c r="L35" s="155"/>
    </row>
    <row r="36" spans="1:12" ht="12" customHeight="1" x14ac:dyDescent="0.35">
      <c r="A36" s="143"/>
      <c r="B36" s="151"/>
      <c r="C36" s="151"/>
      <c r="D36" s="151"/>
      <c r="E36" s="151"/>
      <c r="F36" s="151"/>
      <c r="G36" s="151"/>
      <c r="H36" s="151"/>
      <c r="I36" s="151"/>
      <c r="J36" s="151"/>
      <c r="K36" s="151"/>
      <c r="L36" s="151"/>
    </row>
    <row r="37" spans="1:12" ht="12" customHeight="1" x14ac:dyDescent="0.35">
      <c r="A37" s="143"/>
      <c r="B37" s="15"/>
      <c r="C37" s="4"/>
      <c r="D37" s="4"/>
      <c r="E37" s="4"/>
      <c r="F37" s="4"/>
      <c r="G37" s="4"/>
      <c r="H37" s="4"/>
      <c r="I37" s="4"/>
      <c r="J37" s="4"/>
      <c r="K37" s="4"/>
      <c r="L37" s="4"/>
    </row>
    <row r="38" spans="1:12" ht="12" customHeight="1" x14ac:dyDescent="0.35">
      <c r="A38" s="144"/>
      <c r="B38" s="16" t="s">
        <v>75</v>
      </c>
    </row>
    <row r="39" spans="1:12" ht="12" customHeight="1" x14ac:dyDescent="0.35">
      <c r="A39" s="17" t="s">
        <v>76</v>
      </c>
      <c r="B39" s="151" t="str">
        <f>"Semiconductor Revenue by Electronic Equipment Category, " &amp; StartY &amp; " - " &amp; EndY &amp; " ($M)"</f>
        <v>Semiconductor Revenue by Electronic Equipment Category, 2020 - 2026 ($M)</v>
      </c>
      <c r="C39" s="151"/>
      <c r="D39" s="151"/>
      <c r="E39" s="151"/>
      <c r="F39" s="151"/>
      <c r="G39" s="151"/>
      <c r="H39" s="151"/>
      <c r="I39" s="151"/>
      <c r="J39" s="151"/>
      <c r="K39" s="151"/>
      <c r="L39" s="151"/>
    </row>
    <row r="40" spans="1:12" ht="12" customHeight="1" x14ac:dyDescent="0.35">
      <c r="A40" s="17" t="s">
        <v>77</v>
      </c>
      <c r="B40" s="151" t="str">
        <f>"Semiconductor Revenue Growth by Electronic Equipment Category, " &amp; StartY &amp; " - " &amp; EndY &amp; " (%)"</f>
        <v>Semiconductor Revenue Growth by Electronic Equipment Category, 2020 - 2026 (%)</v>
      </c>
      <c r="C40" s="151"/>
      <c r="D40" s="151"/>
      <c r="E40" s="151"/>
      <c r="F40" s="151"/>
      <c r="G40" s="151"/>
      <c r="H40" s="151"/>
      <c r="I40" s="151"/>
      <c r="J40" s="151"/>
      <c r="K40" s="151"/>
      <c r="L40" s="151"/>
    </row>
    <row r="41" spans="1:12" ht="12" customHeight="1" x14ac:dyDescent="0.35">
      <c r="A41" s="145" t="s">
        <v>78</v>
      </c>
      <c r="B41" s="151" t="str">
        <f>"Semiconductor Revenue by Semiconductor Device Category, " &amp; StartY &amp; " - " &amp; EndY &amp; " ($M)"</f>
        <v>Semiconductor Revenue by Semiconductor Device Category, 2020 - 2026 ($M)</v>
      </c>
      <c r="C41" s="151"/>
      <c r="D41" s="151"/>
      <c r="E41" s="151"/>
      <c r="F41" s="151"/>
      <c r="G41" s="151"/>
      <c r="H41" s="151"/>
      <c r="I41" s="151"/>
      <c r="J41" s="151"/>
      <c r="K41" s="151"/>
      <c r="L41" s="151"/>
    </row>
    <row r="42" spans="1:12" ht="12" customHeight="1" x14ac:dyDescent="0.35">
      <c r="A42" s="145" t="s">
        <v>79</v>
      </c>
      <c r="B42" s="151" t="str">
        <f>"Semiconductor Revenue Growth by Semiconductor Device Category, " &amp; StartY &amp; " - " &amp; EndY &amp; " (%)"</f>
        <v>Semiconductor Revenue Growth by Semiconductor Device Category, 2020 - 2026 (%)</v>
      </c>
      <c r="C42" s="151"/>
      <c r="D42" s="151"/>
      <c r="E42" s="151"/>
      <c r="F42" s="151"/>
      <c r="G42" s="151"/>
      <c r="H42" s="151"/>
      <c r="I42" s="151"/>
      <c r="J42" s="151"/>
      <c r="K42" s="151"/>
      <c r="L42" s="151"/>
    </row>
    <row r="43" spans="1:12" ht="12" customHeight="1" x14ac:dyDescent="0.35">
      <c r="A43" s="17" t="s">
        <v>80</v>
      </c>
      <c r="B43" s="151" t="str">
        <f>'Aggregatable Pivot'!C4</f>
        <v>AI Semiconductor Forecast Worldwide Revenue — by Semiconductor Device, 2020 - 2026 ($M)</v>
      </c>
      <c r="C43" s="151"/>
      <c r="D43" s="151"/>
      <c r="E43" s="151"/>
      <c r="F43" s="151"/>
      <c r="G43" s="151"/>
      <c r="H43" s="151"/>
      <c r="I43" s="151"/>
      <c r="J43" s="151"/>
      <c r="K43" s="151"/>
      <c r="L43" s="151"/>
    </row>
    <row r="44" spans="1:12" ht="12" customHeight="1" x14ac:dyDescent="0.35">
      <c r="B44" s="15"/>
      <c r="C44" s="4"/>
      <c r="D44" s="4"/>
      <c r="E44" s="4"/>
      <c r="F44" s="4"/>
      <c r="G44" s="4"/>
      <c r="H44" s="4"/>
      <c r="I44" s="4"/>
      <c r="J44" s="4"/>
      <c r="K44" s="4"/>
      <c r="L44" s="4"/>
    </row>
    <row r="45" spans="1:12" ht="12" customHeight="1" x14ac:dyDescent="0.35">
      <c r="B45" s="15"/>
      <c r="C45" s="4"/>
      <c r="D45" s="4"/>
      <c r="E45" s="4"/>
      <c r="F45" s="4"/>
      <c r="G45" s="4"/>
      <c r="H45" s="4"/>
      <c r="I45" s="4"/>
      <c r="J45" s="4"/>
      <c r="K45" s="4"/>
      <c r="L45" s="4"/>
    </row>
    <row r="46" spans="1:12" ht="12" customHeight="1" x14ac:dyDescent="0.35">
      <c r="A46" s="5"/>
      <c r="B46" s="4"/>
    </row>
    <row r="47" spans="1:12" ht="12" customHeight="1" x14ac:dyDescent="0.35">
      <c r="B47" s="18"/>
    </row>
    <row r="48" spans="1:12" ht="19.5" customHeight="1" x14ac:dyDescent="0.4">
      <c r="A48" s="19" t="s">
        <v>82</v>
      </c>
    </row>
    <row r="49" spans="1:12" ht="12" customHeight="1" x14ac:dyDescent="0.35">
      <c r="A49" t="s">
        <v>83</v>
      </c>
      <c r="K49" s="20"/>
      <c r="L49" s="21" t="s">
        <v>84</v>
      </c>
    </row>
    <row r="50" spans="1:12" ht="12" customHeight="1" x14ac:dyDescent="0.35">
      <c r="A50" t="s">
        <v>85</v>
      </c>
      <c r="L50" s="22" t="s">
        <v>86</v>
      </c>
    </row>
    <row r="51" spans="1:12" ht="12" customHeight="1" x14ac:dyDescent="0.35">
      <c r="A51" s="23" t="s">
        <v>87</v>
      </c>
      <c r="L51" s="22" t="s">
        <v>88</v>
      </c>
    </row>
    <row r="52" spans="1:12" ht="12" customHeight="1" x14ac:dyDescent="0.35"/>
    <row r="53" spans="1:12" x14ac:dyDescent="0.35">
      <c r="B53" s="4"/>
    </row>
    <row r="54" spans="1:12" x14ac:dyDescent="0.35">
      <c r="B54" s="4"/>
    </row>
    <row r="56" spans="1:12" x14ac:dyDescent="0.35">
      <c r="B56" s="4"/>
    </row>
    <row r="57" spans="1:12" x14ac:dyDescent="0.35">
      <c r="B57" s="4"/>
    </row>
    <row r="58" spans="1:12" x14ac:dyDescent="0.35">
      <c r="B58" s="4"/>
    </row>
    <row r="88" spans="1:6" x14ac:dyDescent="0.35">
      <c r="B88" s="4"/>
      <c r="C88" s="9"/>
      <c r="D88" s="9"/>
      <c r="E88" s="9"/>
      <c r="F88" s="9"/>
    </row>
    <row r="89" spans="1:6" x14ac:dyDescent="0.35">
      <c r="A89" s="5"/>
      <c r="B89" s="4"/>
      <c r="C89" s="9"/>
      <c r="D89" s="9"/>
      <c r="E89" s="9"/>
      <c r="F89" s="9"/>
    </row>
    <row r="90" spans="1:6" x14ac:dyDescent="0.35">
      <c r="A90" s="5"/>
    </row>
  </sheetData>
  <mergeCells count="11">
    <mergeCell ref="A20:L20"/>
    <mergeCell ref="B32:L32"/>
    <mergeCell ref="B33:L33"/>
    <mergeCell ref="B34:L34"/>
    <mergeCell ref="B35:L35"/>
    <mergeCell ref="B43:L43"/>
    <mergeCell ref="B41:L41"/>
    <mergeCell ref="B42:L42"/>
    <mergeCell ref="B36:L36"/>
    <mergeCell ref="B39:L39"/>
    <mergeCell ref="B40:L40"/>
  </mergeCells>
  <hyperlinks>
    <hyperlink ref="B32:L32" location="'Summary Tables'!A1" display="Summary Tables Suitable for Printing" xr:uid="{7C710F3C-9938-4A44-AA2A-5893A53261AE}"/>
    <hyperlink ref="B33:L33" location="'Aggregatable Pivot'!A1" display="Pivot Table for Analysis — Semiconductor Device" xr:uid="{1E986264-9CB1-4344-ACBA-C18E3AA7AD1A}"/>
    <hyperlink ref="B39:L39" location="'Summary Tables'!A9" display="'Summary Tables'!A9" xr:uid="{AB01FBDB-D6BB-461D-BF7A-6AA88D33AECA}"/>
    <hyperlink ref="B40:L40" location="'Summary Tables'!A22" display="'Summary Tables'!A22" xr:uid="{4067179B-AD03-43B7-997A-D7A4D6E12357}"/>
    <hyperlink ref="B41:L41" location="'Summary Tables'!A36" display="'Summary Tables'!A36" xr:uid="{FEE43B51-835B-44F2-81F4-A1848EF4B21F}"/>
    <hyperlink ref="B42:L42" location="'Summary Tables'!A52" display="'Summary Tables'!A52" xr:uid="{2B19AF57-993A-42DA-9DCC-2D2945A2CA8E}"/>
    <hyperlink ref="B43:L43" location="'Aggregatable Pivot'!A6" display="'Aggregatable Pivot'!A6" xr:uid="{62F35B71-EFB1-40FF-800D-FBD06FC515A7}"/>
    <hyperlink ref="B34:L34" location="'Data Structure'!A1" display="Data Segmentation and Structure" xr:uid="{7E88A13B-E5DB-4D1E-92FD-F831A0E5E37D}"/>
    <hyperlink ref="B35:L35" location="Tips!A1" display="Tips for Using Pivot Tables" xr:uid="{F8310AC9-3EE5-48F4-BA67-F93E8E14E357}"/>
  </hyperlinks>
  <pageMargins left="0.70866141732283472" right="0.70866141732283472" top="0.74803149606299213" bottom="0.74803149606299213" header="0.31496062992125984" footer="0.31496062992125984"/>
  <pageSetup scale="71" orientation="portrait" r:id="rId1"/>
  <headerFooter>
    <oddFooter>&amp;L763796&amp;C© 2022 Gartner, Inc. and/or its Affiliates. All Rights Reserved.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D1EB-0C96-49C0-9E62-FBBABB3AF1F3}">
  <sheetPr codeName="Sheet2">
    <pageSetUpPr fitToPage="1"/>
  </sheetPr>
  <dimension ref="A1:M66"/>
  <sheetViews>
    <sheetView showGridLines="0" workbookViewId="0"/>
  </sheetViews>
  <sheetFormatPr defaultRowHeight="14.5" x14ac:dyDescent="0.35"/>
  <cols>
    <col min="1" max="1" width="48.6328125" customWidth="1"/>
    <col min="2" max="2" width="9.1796875" bestFit="1" customWidth="1"/>
    <col min="3" max="3" width="10.1796875" bestFit="1" customWidth="1"/>
    <col min="4" max="8" width="11.1796875" bestFit="1" customWidth="1"/>
    <col min="9" max="9" width="15.54296875" customWidth="1"/>
  </cols>
  <sheetData>
    <row r="1" spans="1:13" ht="20" x14ac:dyDescent="0.4">
      <c r="A1" s="24" t="s">
        <v>72</v>
      </c>
    </row>
    <row r="4" spans="1:13" x14ac:dyDescent="0.35">
      <c r="D4" s="146" t="s">
        <v>76</v>
      </c>
      <c r="E4" s="156" t="str">
        <f>Contents!B39</f>
        <v>Semiconductor Revenue by Electronic Equipment Category, 2020 - 2026 ($M)</v>
      </c>
      <c r="F4" s="156"/>
      <c r="G4" s="156"/>
      <c r="H4" s="156"/>
      <c r="I4" s="156"/>
      <c r="J4" s="156"/>
      <c r="K4" s="156"/>
      <c r="L4" s="156"/>
      <c r="M4" s="156"/>
    </row>
    <row r="5" spans="1:13" x14ac:dyDescent="0.35">
      <c r="D5" s="146" t="s">
        <v>77</v>
      </c>
      <c r="E5" s="156" t="str">
        <f>Contents!B40</f>
        <v>Semiconductor Revenue Growth by Electronic Equipment Category, 2020 - 2026 (%)</v>
      </c>
      <c r="F5" s="156"/>
      <c r="G5" s="156"/>
      <c r="H5" s="156"/>
      <c r="I5" s="156"/>
      <c r="J5" s="156"/>
      <c r="K5" s="156"/>
      <c r="L5" s="156"/>
      <c r="M5" s="156"/>
    </row>
    <row r="6" spans="1:13" x14ac:dyDescent="0.35">
      <c r="D6" s="146" t="s">
        <v>78</v>
      </c>
      <c r="E6" s="156" t="str">
        <f>Contents!B41</f>
        <v>Semiconductor Revenue by Semiconductor Device Category, 2020 - 2026 ($M)</v>
      </c>
      <c r="F6" s="156"/>
      <c r="G6" s="156"/>
      <c r="H6" s="156"/>
      <c r="I6" s="156"/>
      <c r="J6" s="156"/>
      <c r="K6" s="156"/>
      <c r="L6" s="156"/>
      <c r="M6" s="156"/>
    </row>
    <row r="7" spans="1:13" x14ac:dyDescent="0.35">
      <c r="D7" s="146" t="s">
        <v>79</v>
      </c>
      <c r="E7" s="156" t="str">
        <f>Contents!B42</f>
        <v>Semiconductor Revenue Growth by Semiconductor Device Category, 2020 - 2026 (%)</v>
      </c>
      <c r="F7" s="156"/>
      <c r="G7" s="156"/>
      <c r="H7" s="156"/>
      <c r="I7" s="156"/>
      <c r="J7" s="156"/>
      <c r="K7" s="156"/>
      <c r="L7" s="156"/>
      <c r="M7" s="156"/>
    </row>
    <row r="8" spans="1:13" x14ac:dyDescent="0.35">
      <c r="D8" s="33"/>
      <c r="E8" s="3"/>
    </row>
    <row r="9" spans="1:13" x14ac:dyDescent="0.35">
      <c r="A9" s="36" t="s">
        <v>252</v>
      </c>
      <c r="D9" s="6" t="s">
        <v>154</v>
      </c>
      <c r="F9" s="6" t="s">
        <v>155</v>
      </c>
    </row>
    <row r="10" spans="1:13" x14ac:dyDescent="0.35">
      <c r="A10" s="36" t="str">
        <f>E4</f>
        <v>Semiconductor Revenue by Electronic Equipment Category, 2020 - 2026 ($M)</v>
      </c>
    </row>
    <row r="11" spans="1:13" x14ac:dyDescent="0.35">
      <c r="A11" s="2" t="s">
        <v>69</v>
      </c>
      <c r="B11" s="2" t="s">
        <v>6</v>
      </c>
      <c r="I11" s="137" t="str">
        <f>"CAGR " &amp;StartY+1 &amp;"-"&amp;EndY</f>
        <v>CAGR 2021-2026</v>
      </c>
    </row>
    <row r="12" spans="1:13" x14ac:dyDescent="0.35">
      <c r="A12" s="2" t="s">
        <v>2</v>
      </c>
      <c r="B12" t="s">
        <v>12</v>
      </c>
      <c r="C12" t="s">
        <v>13</v>
      </c>
      <c r="D12" t="s">
        <v>14</v>
      </c>
      <c r="E12" t="s">
        <v>15</v>
      </c>
      <c r="F12" t="s">
        <v>16</v>
      </c>
      <c r="G12" t="s">
        <v>198</v>
      </c>
      <c r="H12" t="s">
        <v>270</v>
      </c>
      <c r="I12" s="138"/>
    </row>
    <row r="13" spans="1:13" x14ac:dyDescent="0.35">
      <c r="A13" t="s">
        <v>193</v>
      </c>
      <c r="B13" s="3">
        <v>1740.0265053296646</v>
      </c>
      <c r="C13" s="3">
        <v>2746.1956871372968</v>
      </c>
      <c r="D13" s="3">
        <v>3422.2477758561572</v>
      </c>
      <c r="E13" s="3">
        <v>4460.4175226599518</v>
      </c>
      <c r="F13" s="3">
        <v>6170.7185622400402</v>
      </c>
      <c r="G13" s="3">
        <v>7811.4784717594821</v>
      </c>
      <c r="H13" s="3">
        <v>9533.7788416730291</v>
      </c>
      <c r="I13" s="139">
        <f>(GETPIVOTDATA("Value",$A$11,"Application","Automotive Electronics","Period",PreYearNum+6&amp;" YR")/GETPIVOTDATA("Value",$A$11,"Application","Automotive Electronics","Period",PreYearNum+1&amp;" YR"))^(1/5)-1</f>
        <v>0.28264572643529284</v>
      </c>
    </row>
    <row r="14" spans="1:13" x14ac:dyDescent="0.35">
      <c r="A14" t="s">
        <v>194</v>
      </c>
      <c r="B14" s="3">
        <v>14993.53178917701</v>
      </c>
      <c r="C14" s="3">
        <v>21597.361817528992</v>
      </c>
      <c r="D14" s="3">
        <v>25629.84863126152</v>
      </c>
      <c r="E14" s="3">
        <v>28750.497788845245</v>
      </c>
      <c r="F14" s="3">
        <v>31490.782902502466</v>
      </c>
      <c r="G14" s="3">
        <v>31947.783172448413</v>
      </c>
      <c r="H14" s="3">
        <v>32644.884991283729</v>
      </c>
      <c r="I14" s="139">
        <f>(GETPIVOTDATA("Value",$A$11,"Application","Communications Electronics","Period","2026 YR")/GETPIVOTDATA("Value",$A$11,"Application","Communications Electronics","Period","2021 YR"))^(1/5)-1</f>
        <v>8.6132696652507779E-2</v>
      </c>
    </row>
    <row r="15" spans="1:13" x14ac:dyDescent="0.35">
      <c r="A15" t="s">
        <v>238</v>
      </c>
      <c r="B15" s="3">
        <v>5118.8524810707158</v>
      </c>
      <c r="C15" s="3">
        <v>9942.51023309841</v>
      </c>
      <c r="D15" s="3">
        <v>14123.840637719375</v>
      </c>
      <c r="E15" s="3">
        <v>19261.183597513773</v>
      </c>
      <c r="F15" s="3">
        <v>24747.111287408108</v>
      </c>
      <c r="G15" s="3">
        <v>30089.231699458313</v>
      </c>
      <c r="H15" s="3">
        <v>35353.173378395419</v>
      </c>
      <c r="I15" s="139">
        <f>(GETPIVOTDATA("Value",$A$11,"Application","Compute Electronics","Period","2026 YR")/GETPIVOTDATA("Value",$A$11,"Application","Compute Electronics","Period","2021 YR"))^(1/5)-1</f>
        <v>0.28880280103840628</v>
      </c>
    </row>
    <row r="16" spans="1:13" x14ac:dyDescent="0.35">
      <c r="A16" t="s">
        <v>195</v>
      </c>
      <c r="B16" s="3">
        <v>86.651389452103402</v>
      </c>
      <c r="C16" s="3">
        <v>262.49620342713024</v>
      </c>
      <c r="D16" s="3">
        <v>728.02473604718682</v>
      </c>
      <c r="E16" s="3">
        <v>1554.2704816089463</v>
      </c>
      <c r="F16" s="3">
        <v>2131.1405332929708</v>
      </c>
      <c r="G16" s="3">
        <v>2931.8924053834148</v>
      </c>
      <c r="H16" s="3">
        <v>3921.8130694542538</v>
      </c>
      <c r="I16" s="139">
        <f>(GETPIVOTDATA("Value",$A$11,"Application","Consumer Electronics","Period","2026 YR")/GETPIVOTDATA("Value",$A$11,"Application","Consumer Electronics","Period","2021 YR"))^(1/5)-1</f>
        <v>0.71740519634521283</v>
      </c>
    </row>
    <row r="17" spans="1:9" x14ac:dyDescent="0.35">
      <c r="A17" t="s">
        <v>196</v>
      </c>
      <c r="B17" s="3">
        <v>83.99529955419635</v>
      </c>
      <c r="C17" s="3">
        <v>221.29666902453533</v>
      </c>
      <c r="D17" s="3">
        <v>519.14566173937021</v>
      </c>
      <c r="E17" s="3">
        <v>1244.1106947241308</v>
      </c>
      <c r="F17" s="3">
        <v>2035.2640834932802</v>
      </c>
      <c r="G17" s="3">
        <v>3133.2214678649734</v>
      </c>
      <c r="H17" s="3">
        <v>4430.9679680908803</v>
      </c>
      <c r="I17" s="139">
        <f>(GETPIVOTDATA("Value",$A$11,"Application","Industrial Electronics","Period","2026 YR")/GETPIVOTDATA("Value",$A$11,"Application","Industrial Electronics","Period","2021 YR"))^(1/5)-1</f>
        <v>0.82097820032386015</v>
      </c>
    </row>
    <row r="18" spans="1:9" x14ac:dyDescent="0.35">
      <c r="A18" t="s">
        <v>239</v>
      </c>
      <c r="B18" s="3">
        <v>2.7201922127241627</v>
      </c>
      <c r="C18" s="3">
        <v>6.7420079072767471</v>
      </c>
      <c r="D18" s="3">
        <v>16.772389977891073</v>
      </c>
      <c r="E18" s="3">
        <v>43.63723514303588</v>
      </c>
      <c r="F18" s="3">
        <v>86.498287008072367</v>
      </c>
      <c r="G18" s="3">
        <v>129.62493881309001</v>
      </c>
      <c r="H18" s="3">
        <v>194.10357720658516</v>
      </c>
      <c r="I18" s="139">
        <f>(GETPIVOTDATA("Value",$A$11,"Application","Storage Electronics","Period","2026 YR")/GETPIVOTDATA("Value",$A$11,"Application","Storage Electronics","Period","2021 YR"))^(1/5)-1</f>
        <v>0.95816307275972701</v>
      </c>
    </row>
    <row r="19" spans="1:9" x14ac:dyDescent="0.35">
      <c r="A19" t="s">
        <v>68</v>
      </c>
      <c r="B19" s="3">
        <v>22025.777656796417</v>
      </c>
      <c r="C19" s="3">
        <v>34776.602618123645</v>
      </c>
      <c r="D19" s="3">
        <v>44439.879832601502</v>
      </c>
      <c r="E19" s="3">
        <v>55314.117320495076</v>
      </c>
      <c r="F19" s="3">
        <v>66661.515655944939</v>
      </c>
      <c r="G19" s="3">
        <v>76043.232155727703</v>
      </c>
      <c r="H19" s="3">
        <v>86078.72182610388</v>
      </c>
      <c r="I19" s="140">
        <f>(GETPIVOTDATA("Value",$A$11,"Period","2026 YR")/GETPIVOTDATA("Value",$A$11,"Period","2021 YR"))^(1/5)-1</f>
        <v>0.1987309854467787</v>
      </c>
    </row>
    <row r="20" spans="1:9" x14ac:dyDescent="0.35">
      <c r="A20" s="35" t="str">
        <f>Source</f>
        <v>Gartner (April 2022)</v>
      </c>
    </row>
    <row r="22" spans="1:9" x14ac:dyDescent="0.35">
      <c r="A22" s="36" t="s">
        <v>152</v>
      </c>
      <c r="D22" s="6" t="s">
        <v>154</v>
      </c>
      <c r="F22" s="6" t="s">
        <v>155</v>
      </c>
    </row>
    <row r="23" spans="1:9" x14ac:dyDescent="0.35">
      <c r="A23" s="37" t="str">
        <f>E5</f>
        <v>Semiconductor Revenue Growth by Electronic Equipment Category, 2020 - 2026 (%)</v>
      </c>
    </row>
    <row r="24" spans="1:9" x14ac:dyDescent="0.35">
      <c r="A24" s="87" t="s">
        <v>69</v>
      </c>
      <c r="B24" s="87" t="s">
        <v>6</v>
      </c>
      <c r="C24" s="87"/>
      <c r="D24" s="87"/>
      <c r="E24" s="87"/>
      <c r="F24" s="87"/>
      <c r="G24" s="87"/>
      <c r="H24" s="87"/>
    </row>
    <row r="25" spans="1:9" x14ac:dyDescent="0.35">
      <c r="A25" s="87" t="s">
        <v>2</v>
      </c>
      <c r="B25" s="87" t="str">
        <f>B$12</f>
        <v>2020 YR</v>
      </c>
      <c r="C25" s="87" t="str">
        <f t="shared" ref="C25:H25" si="0">C$12</f>
        <v>2021 YR</v>
      </c>
      <c r="D25" s="87" t="str">
        <f t="shared" si="0"/>
        <v>2022 YR</v>
      </c>
      <c r="E25" s="87" t="str">
        <f t="shared" si="0"/>
        <v>2023 YR</v>
      </c>
      <c r="F25" s="87" t="str">
        <f t="shared" si="0"/>
        <v>2024 YR</v>
      </c>
      <c r="G25" s="87" t="str">
        <f t="shared" si="0"/>
        <v>2025 YR</v>
      </c>
      <c r="H25" s="87" t="str">
        <f t="shared" si="0"/>
        <v>2026 YR</v>
      </c>
    </row>
    <row r="26" spans="1:9" x14ac:dyDescent="0.35">
      <c r="A26" s="26" t="str">
        <f t="shared" ref="A26:A31" si="1">A13</f>
        <v>Automotive Electronics</v>
      </c>
      <c r="B26" s="34" t="s">
        <v>70</v>
      </c>
      <c r="C26" s="27">
        <f t="shared" ref="C26:H30" si="2">IFERROR(C13/B13-1,"NM")</f>
        <v>0.57824934202195033</v>
      </c>
      <c r="D26" s="27">
        <f t="shared" si="2"/>
        <v>0.24617768205134505</v>
      </c>
      <c r="E26" s="27">
        <f t="shared" si="2"/>
        <v>0.30335902447743468</v>
      </c>
      <c r="F26" s="27">
        <f t="shared" si="2"/>
        <v>0.38343967372815757</v>
      </c>
      <c r="G26" s="27">
        <f t="shared" si="2"/>
        <v>0.26589446479695344</v>
      </c>
      <c r="H26" s="28">
        <f t="shared" si="2"/>
        <v>0.22048327677533885</v>
      </c>
      <c r="I26" s="2"/>
    </row>
    <row r="27" spans="1:9" x14ac:dyDescent="0.35">
      <c r="A27" s="26" t="str">
        <f t="shared" si="1"/>
        <v>Communications Electronics</v>
      </c>
      <c r="B27" s="34" t="s">
        <v>70</v>
      </c>
      <c r="C27" s="27">
        <f t="shared" si="2"/>
        <v>0.44044526141058493</v>
      </c>
      <c r="D27" s="27">
        <f t="shared" si="2"/>
        <v>0.18671200898526674</v>
      </c>
      <c r="E27" s="27">
        <f t="shared" si="2"/>
        <v>0.12175839204049654</v>
      </c>
      <c r="F27" s="27">
        <f t="shared" si="2"/>
        <v>9.5312614542639729E-2</v>
      </c>
      <c r="G27" s="27">
        <f t="shared" si="2"/>
        <v>1.4512191435851252E-2</v>
      </c>
      <c r="H27" s="28">
        <f t="shared" si="2"/>
        <v>2.1820037248671875E-2</v>
      </c>
    </row>
    <row r="28" spans="1:9" x14ac:dyDescent="0.35">
      <c r="A28" s="26" t="str">
        <f t="shared" si="1"/>
        <v>Compute Electronics</v>
      </c>
      <c r="B28" s="34" t="s">
        <v>70</v>
      </c>
      <c r="C28" s="27">
        <f t="shared" si="2"/>
        <v>0.94233185462276192</v>
      </c>
      <c r="D28" s="27">
        <f t="shared" si="2"/>
        <v>0.42055077707653776</v>
      </c>
      <c r="E28" s="27">
        <f t="shared" si="2"/>
        <v>0.36373555122637957</v>
      </c>
      <c r="F28" s="27">
        <f t="shared" si="2"/>
        <v>0.28481778713757011</v>
      </c>
      <c r="G28" s="27">
        <f t="shared" si="2"/>
        <v>0.2158684441997234</v>
      </c>
      <c r="H28" s="28">
        <f t="shared" si="2"/>
        <v>0.17494436985015716</v>
      </c>
    </row>
    <row r="29" spans="1:9" x14ac:dyDescent="0.35">
      <c r="A29" s="26" t="str">
        <f t="shared" si="1"/>
        <v>Consumer Electronics</v>
      </c>
      <c r="B29" s="34" t="s">
        <v>70</v>
      </c>
      <c r="C29" s="27">
        <f t="shared" si="2"/>
        <v>2.0293363451745359</v>
      </c>
      <c r="D29" s="27">
        <f t="shared" si="2"/>
        <v>1.7734676789307877</v>
      </c>
      <c r="E29" s="27">
        <f t="shared" si="2"/>
        <v>1.1349143849807413</v>
      </c>
      <c r="F29" s="27">
        <f t="shared" si="2"/>
        <v>0.37115164864152961</v>
      </c>
      <c r="G29" s="27">
        <f t="shared" si="2"/>
        <v>0.37573865241685755</v>
      </c>
      <c r="H29" s="28">
        <f t="shared" si="2"/>
        <v>0.3376388104328758</v>
      </c>
    </row>
    <row r="30" spans="1:9" x14ac:dyDescent="0.35">
      <c r="A30" s="26" t="str">
        <f t="shared" si="1"/>
        <v>Industrial Electronics</v>
      </c>
      <c r="B30" s="34" t="s">
        <v>70</v>
      </c>
      <c r="C30" s="27">
        <f t="shared" si="2"/>
        <v>1.6346315829464708</v>
      </c>
      <c r="D30" s="27">
        <f t="shared" si="2"/>
        <v>1.3459262357076516</v>
      </c>
      <c r="E30" s="27">
        <f t="shared" si="2"/>
        <v>1.3964578468320497</v>
      </c>
      <c r="F30" s="27">
        <f t="shared" si="2"/>
        <v>0.63591880700340719</v>
      </c>
      <c r="G30" s="27">
        <f t="shared" si="2"/>
        <v>0.53946679120243934</v>
      </c>
      <c r="H30" s="28">
        <f t="shared" si="2"/>
        <v>0.41418920224308686</v>
      </c>
    </row>
    <row r="31" spans="1:9" x14ac:dyDescent="0.35">
      <c r="A31" s="26" t="str">
        <f t="shared" si="1"/>
        <v>Storage Electronics</v>
      </c>
      <c r="B31" s="34" t="s">
        <v>70</v>
      </c>
      <c r="C31" s="27">
        <f t="shared" ref="C31" si="3">IFERROR(C18/B18-1,"NM")</f>
        <v>1.4785042305980642</v>
      </c>
      <c r="D31" s="27">
        <f t="shared" ref="D31" si="4">IFERROR(D18/C18-1,"NM")</f>
        <v>1.4877440383581262</v>
      </c>
      <c r="E31" s="27">
        <f t="shared" ref="E31" si="5">IFERROR(E18/D18-1,"NM")</f>
        <v>1.6017302960733293</v>
      </c>
      <c r="F31" s="27">
        <f t="shared" ref="F31" si="6">IFERROR(F18/E18-1,"NM")</f>
        <v>0.98221282179186686</v>
      </c>
      <c r="G31" s="27">
        <f t="shared" ref="G31" si="7">IFERROR(G18/F18-1,"NM")</f>
        <v>0.49858388295010858</v>
      </c>
      <c r="H31" s="28">
        <f t="shared" ref="H31" si="8">IFERROR(H18/G18-1,"NM")</f>
        <v>0.49742463899226053</v>
      </c>
    </row>
    <row r="32" spans="1:9" x14ac:dyDescent="0.35">
      <c r="A32" s="88" t="s">
        <v>68</v>
      </c>
      <c r="B32" s="88" t="s">
        <v>70</v>
      </c>
      <c r="C32" s="89">
        <f>IFERROR(C18/B18-1,"NM")</f>
        <v>1.4785042305980642</v>
      </c>
      <c r="D32" s="89">
        <f t="shared" ref="D32:H32" si="9">IFERROR(D18/C18-1,"NM")</f>
        <v>1.4877440383581262</v>
      </c>
      <c r="E32" s="89">
        <f t="shared" si="9"/>
        <v>1.6017302960733293</v>
      </c>
      <c r="F32" s="89">
        <f t="shared" si="9"/>
        <v>0.98221282179186686</v>
      </c>
      <c r="G32" s="89">
        <f t="shared" si="9"/>
        <v>0.49858388295010858</v>
      </c>
      <c r="H32" s="89">
        <f t="shared" si="9"/>
        <v>0.49742463899226053</v>
      </c>
    </row>
    <row r="33" spans="1:9" x14ac:dyDescent="0.35">
      <c r="A33" s="35" t="str">
        <f>Source</f>
        <v>Gartner (April 2022)</v>
      </c>
    </row>
    <row r="36" spans="1:9" x14ac:dyDescent="0.35">
      <c r="A36" s="36" t="s">
        <v>153</v>
      </c>
      <c r="D36" s="6" t="s">
        <v>154</v>
      </c>
      <c r="F36" s="6" t="s">
        <v>155</v>
      </c>
    </row>
    <row r="37" spans="1:9" x14ac:dyDescent="0.35">
      <c r="A37" s="37" t="str">
        <f>E6</f>
        <v>Semiconductor Revenue by Semiconductor Device Category, 2020 - 2026 ($M)</v>
      </c>
    </row>
    <row r="38" spans="1:9" x14ac:dyDescent="0.35">
      <c r="A38" s="2" t="s">
        <v>69</v>
      </c>
      <c r="B38" s="2" t="s">
        <v>6</v>
      </c>
      <c r="I38" s="137" t="str">
        <f>"CAGR " &amp;StartY+1 &amp;"-"&amp;EndY</f>
        <v>CAGR 2021-2026</v>
      </c>
    </row>
    <row r="39" spans="1:9" x14ac:dyDescent="0.35">
      <c r="A39" s="2" t="s">
        <v>1</v>
      </c>
      <c r="B39" t="s">
        <v>12</v>
      </c>
      <c r="C39" t="s">
        <v>13</v>
      </c>
      <c r="D39" t="s">
        <v>14</v>
      </c>
      <c r="E39" t="s">
        <v>15</v>
      </c>
      <c r="F39" t="s">
        <v>16</v>
      </c>
      <c r="G39" t="s">
        <v>198</v>
      </c>
      <c r="H39" t="s">
        <v>270</v>
      </c>
      <c r="I39" s="138"/>
    </row>
    <row r="40" spans="1:9" x14ac:dyDescent="0.35">
      <c r="A40" t="s">
        <v>202</v>
      </c>
      <c r="B40" s="3">
        <v>5.8297544290611949</v>
      </c>
      <c r="C40" s="3">
        <v>14.442090050988378</v>
      </c>
      <c r="D40" s="3">
        <v>32.420544579477131</v>
      </c>
      <c r="E40" s="3">
        <v>69.016058256063403</v>
      </c>
      <c r="F40" s="3">
        <v>101.67231121723833</v>
      </c>
      <c r="G40" s="3">
        <v>152.41311045755904</v>
      </c>
      <c r="H40" s="3">
        <v>216.20097947818357</v>
      </c>
      <c r="I40" s="139">
        <f>(GETPIVOTDATA("Value",$A$38,"Device","Digital Signal Processor","Period","2026 YR")/GETPIVOTDATA("Value",$A$38,"Device","Digital Signal Processor","Period","2021 YR"))^(1/5)-1</f>
        <v>0.71808846362548762</v>
      </c>
    </row>
    <row r="41" spans="1:9" x14ac:dyDescent="0.35">
      <c r="A41" t="s">
        <v>192</v>
      </c>
      <c r="B41" s="3">
        <v>10770.923517879337</v>
      </c>
      <c r="C41" s="3">
        <v>14439.525448945549</v>
      </c>
      <c r="D41" s="3">
        <v>15725.455968008146</v>
      </c>
      <c r="E41" s="3">
        <v>18422.729801827914</v>
      </c>
      <c r="F41" s="3">
        <v>18934.636519718282</v>
      </c>
      <c r="G41" s="3">
        <v>18366.386875172317</v>
      </c>
      <c r="H41" s="3">
        <v>19370.728707858867</v>
      </c>
      <c r="I41" s="139">
        <f>(GETPIVOTDATA("Value",$A$38,"Device","Discrete Application/Multimedia Processor","Period","2026 YR")/GETPIVOTDATA("Value",$A$38,"Device","Discrete Application/Multimedia Processor","Period","2021 YR"))^(1/5)-1</f>
        <v>6.0519376096710875E-2</v>
      </c>
    </row>
    <row r="42" spans="1:9" x14ac:dyDescent="0.35">
      <c r="A42" t="s">
        <v>201</v>
      </c>
      <c r="B42" s="3">
        <v>2608.8000774338179</v>
      </c>
      <c r="C42" s="3">
        <v>4786.091658851944</v>
      </c>
      <c r="D42" s="3">
        <v>5869.4580217657112</v>
      </c>
      <c r="E42" s="3">
        <v>7230.5015517756983</v>
      </c>
      <c r="F42" s="3">
        <v>8897.2188841458319</v>
      </c>
      <c r="G42" s="3">
        <v>10559.412284996453</v>
      </c>
      <c r="H42" s="3">
        <v>12165.693609700505</v>
      </c>
      <c r="I42" s="139">
        <f>(GETPIVOTDATA("Value",$A$38,"Device","Discrete Graphics Processing Unit","Period","2026 YR")/GETPIVOTDATA("Value",$A$38,"Device","Discrete Graphics Processing Unit","Period","2021 YR"))^(1/5)-1</f>
        <v>0.20512243806838826</v>
      </c>
    </row>
    <row r="43" spans="1:9" x14ac:dyDescent="0.35">
      <c r="A43" t="s">
        <v>67</v>
      </c>
      <c r="B43" s="3">
        <v>114.73293524211893</v>
      </c>
      <c r="C43" s="3">
        <v>240.57055060994858</v>
      </c>
      <c r="D43" s="3">
        <v>441.89163561302701</v>
      </c>
      <c r="E43" s="3">
        <v>911.90424896149352</v>
      </c>
      <c r="F43" s="3">
        <v>1438.8027455597398</v>
      </c>
      <c r="G43" s="3">
        <v>1869.658650411327</v>
      </c>
      <c r="H43" s="3">
        <v>2397.5089069858063</v>
      </c>
      <c r="I43" s="139">
        <f>(GETPIVOTDATA("Value",$A$38,"Device","FPGA","Period","2026 YR")/GETPIVOTDATA("Value",$A$38,"Device","FPGA","Period","2021 YR"))^(1/5)-1</f>
        <v>0.58381172384955993</v>
      </c>
    </row>
    <row r="44" spans="1:9" x14ac:dyDescent="0.35">
      <c r="A44" t="s">
        <v>191</v>
      </c>
      <c r="B44" s="3">
        <v>7001.9070151027763</v>
      </c>
      <c r="C44" s="3">
        <v>12370.574857967633</v>
      </c>
      <c r="D44" s="3">
        <v>17311.725800352531</v>
      </c>
      <c r="E44" s="3">
        <v>19806.129428013428</v>
      </c>
      <c r="F44" s="3">
        <v>24199.0283085544</v>
      </c>
      <c r="G44" s="3">
        <v>27589.284761681203</v>
      </c>
      <c r="H44" s="3">
        <v>29269.50637530681</v>
      </c>
      <c r="I44" s="139">
        <f>(GETPIVOTDATA("Value",$A$38,"Device","Integrated Baseband/Application Processor","Period","2026 YR")/GETPIVOTDATA("Value",$A$38,"Device","Integrated Baseband/Application Processor","Period","2021 YR"))^(1/5)-1</f>
        <v>0.18796898744204138</v>
      </c>
    </row>
    <row r="45" spans="1:9" x14ac:dyDescent="0.35">
      <c r="A45" t="s">
        <v>200</v>
      </c>
      <c r="B45" s="3">
        <v>18.981394233165553</v>
      </c>
      <c r="C45" s="3">
        <v>48.757412759842843</v>
      </c>
      <c r="D45" s="3">
        <v>105.88220461928948</v>
      </c>
      <c r="E45" s="3">
        <v>211.7750015520661</v>
      </c>
      <c r="F45" s="3">
        <v>286.35501301875127</v>
      </c>
      <c r="G45" s="3">
        <v>472.89640809294013</v>
      </c>
      <c r="H45" s="3">
        <v>755.09978906276115</v>
      </c>
      <c r="I45" s="139">
        <f>(GETPIVOTDATA("Value",$A$38,"Device","Microcontroller (8/16/32 bit)","Period","2026 YR")/GETPIVOTDATA("Value",$A$38,"Device","Microcontroller (8/16/32 bit)","Period","2021 YR"))^(1/5)-1</f>
        <v>0.72978743979873517</v>
      </c>
    </row>
    <row r="46" spans="1:9" x14ac:dyDescent="0.35">
      <c r="A46" t="s">
        <v>197</v>
      </c>
      <c r="B46" s="3">
        <v>1128.0468807145608</v>
      </c>
      <c r="C46" s="3">
        <v>2106.6765472165735</v>
      </c>
      <c r="D46" s="3">
        <v>3509.7233428358095</v>
      </c>
      <c r="E46" s="3">
        <v>5835.9877354063856</v>
      </c>
      <c r="F46" s="3">
        <v>7668.9545343027321</v>
      </c>
      <c r="G46" s="3">
        <v>9454.9023760488926</v>
      </c>
      <c r="H46" s="3">
        <v>11359.818546082308</v>
      </c>
      <c r="I46" s="139">
        <f>(GETPIVOTDATA("Value",$A$38,"Device","Microprocessor - Compute","Period","2026 YR")/GETPIVOTDATA("Value",$A$38,"Device","Microprocessor - Compute","Period","2021 YR"))^(1/5)-1</f>
        <v>0.40073089198940126</v>
      </c>
    </row>
    <row r="47" spans="1:9" x14ac:dyDescent="0.35">
      <c r="A47" t="s">
        <v>199</v>
      </c>
      <c r="B47" s="3">
        <v>39.729604727336472</v>
      </c>
      <c r="C47" s="3">
        <v>86.282898852570526</v>
      </c>
      <c r="D47" s="3">
        <v>155.62187283819551</v>
      </c>
      <c r="E47" s="3">
        <v>290.58521763412728</v>
      </c>
      <c r="F47" s="3">
        <v>474.55615562548678</v>
      </c>
      <c r="G47" s="3">
        <v>682.91279404506827</v>
      </c>
      <c r="H47" s="3">
        <v>881.30794084197646</v>
      </c>
      <c r="I47" s="139">
        <f>(GETPIVOTDATA("Value",$A$38,"Device","Microprocessor - Embedded","Period","2026 YR")/GETPIVOTDATA("Value",$A$38,"Device","Microprocessor - Embedded","Period","2021 YR"))^(1/5)-1</f>
        <v>0.59162441005663124</v>
      </c>
    </row>
    <row r="48" spans="1:9" x14ac:dyDescent="0.35">
      <c r="A48" t="s">
        <v>190</v>
      </c>
      <c r="B48" s="3">
        <v>336.82647703423777</v>
      </c>
      <c r="C48" s="3">
        <v>683.6811528685821</v>
      </c>
      <c r="D48" s="3">
        <v>1287.700441989314</v>
      </c>
      <c r="E48" s="3">
        <v>2535.4882770679337</v>
      </c>
      <c r="F48" s="3">
        <v>4660.2911838024711</v>
      </c>
      <c r="G48" s="3">
        <v>6895.3648948219161</v>
      </c>
      <c r="H48" s="3">
        <v>9662.8569707866809</v>
      </c>
      <c r="I48" s="139">
        <f>(GETPIVOTDATA("Value",$A$38,"Device","Other Application Specific","Period","2026 YR")/GETPIVOTDATA("Value",$A$38,"Device","Other Application Specific","Period","2021 YR"))^(1/5)-1</f>
        <v>0.69844070126854851</v>
      </c>
    </row>
    <row r="49" spans="1:9" x14ac:dyDescent="0.35">
      <c r="A49" t="s">
        <v>68</v>
      </c>
      <c r="B49" s="3">
        <v>22025.77765679641</v>
      </c>
      <c r="C49" s="3">
        <v>34776.60261812363</v>
      </c>
      <c r="D49" s="3">
        <v>44439.879832601502</v>
      </c>
      <c r="E49" s="3">
        <v>55314.117320495112</v>
      </c>
      <c r="F49" s="3">
        <v>66661.515655944924</v>
      </c>
      <c r="G49" s="3">
        <v>76043.232155727688</v>
      </c>
      <c r="H49" s="3">
        <v>86078.721826103909</v>
      </c>
      <c r="I49" s="140">
        <f>(GETPIVOTDATA("Value",$A$38,"Period","2026 YR")/GETPIVOTDATA("Value",$A$38,"Period","2021 YR"))^(1/5)-1</f>
        <v>0.1987309854467787</v>
      </c>
    </row>
    <row r="50" spans="1:9" x14ac:dyDescent="0.35">
      <c r="A50" s="35" t="str">
        <f>Source</f>
        <v>Gartner (April 2022)</v>
      </c>
    </row>
    <row r="51" spans="1:9" x14ac:dyDescent="0.35">
      <c r="A51" s="26"/>
      <c r="B51" s="79"/>
      <c r="C51" s="79"/>
      <c r="D51" s="79"/>
      <c r="E51" s="79"/>
      <c r="F51" s="79"/>
      <c r="G51" s="79"/>
      <c r="H51" s="79"/>
    </row>
    <row r="52" spans="1:9" x14ac:dyDescent="0.35">
      <c r="A52" s="82" t="s">
        <v>156</v>
      </c>
      <c r="B52" s="79"/>
      <c r="C52" s="79"/>
      <c r="D52" s="83" t="s">
        <v>154</v>
      </c>
      <c r="E52" s="79"/>
      <c r="F52" s="83" t="s">
        <v>155</v>
      </c>
      <c r="G52" s="79"/>
      <c r="H52" s="141"/>
    </row>
    <row r="53" spans="1:9" x14ac:dyDescent="0.35">
      <c r="A53" s="84" t="str">
        <f>E7</f>
        <v>Semiconductor Revenue Growth by Semiconductor Device Category, 2020 - 2026 (%)</v>
      </c>
      <c r="B53" s="80"/>
      <c r="C53" s="80"/>
      <c r="D53" s="80"/>
      <c r="E53" s="80"/>
      <c r="F53" s="80"/>
      <c r="G53" s="80"/>
      <c r="H53" s="81"/>
    </row>
    <row r="54" spans="1:9" x14ac:dyDescent="0.35">
      <c r="A54" s="88" t="s">
        <v>151</v>
      </c>
      <c r="B54" s="88" t="s">
        <v>6</v>
      </c>
      <c r="C54" s="88"/>
      <c r="D54" s="88"/>
      <c r="E54" s="88"/>
      <c r="F54" s="88"/>
      <c r="G54" s="88"/>
      <c r="H54" s="88"/>
    </row>
    <row r="55" spans="1:9" x14ac:dyDescent="0.35">
      <c r="A55" s="88" t="s">
        <v>1</v>
      </c>
      <c r="B55" s="88" t="str">
        <f t="shared" ref="B55:H55" si="10">B$12</f>
        <v>2020 YR</v>
      </c>
      <c r="C55" s="88" t="str">
        <f t="shared" si="10"/>
        <v>2021 YR</v>
      </c>
      <c r="D55" s="88" t="str">
        <f t="shared" si="10"/>
        <v>2022 YR</v>
      </c>
      <c r="E55" s="88" t="str">
        <f t="shared" si="10"/>
        <v>2023 YR</v>
      </c>
      <c r="F55" s="88" t="str">
        <f t="shared" si="10"/>
        <v>2024 YR</v>
      </c>
      <c r="G55" s="88" t="str">
        <f t="shared" si="10"/>
        <v>2025 YR</v>
      </c>
      <c r="H55" s="88" t="str">
        <f t="shared" si="10"/>
        <v>2026 YR</v>
      </c>
    </row>
    <row r="56" spans="1:9" x14ac:dyDescent="0.35">
      <c r="A56" t="s">
        <v>192</v>
      </c>
      <c r="B56" s="34" t="s">
        <v>70</v>
      </c>
      <c r="C56" s="27">
        <f t="shared" ref="C56:H64" si="11">IFERROR(C40/B40-1,"NM")</f>
        <v>1.4773067590968982</v>
      </c>
      <c r="D56" s="27">
        <f t="shared" si="11"/>
        <v>1.2448651452120223</v>
      </c>
      <c r="E56" s="27">
        <f t="shared" si="11"/>
        <v>1.1287754154429592</v>
      </c>
      <c r="F56" s="27">
        <f t="shared" si="11"/>
        <v>0.47316890860404826</v>
      </c>
      <c r="G56" s="27">
        <f t="shared" si="11"/>
        <v>0.49906212057976429</v>
      </c>
      <c r="H56" s="28">
        <f t="shared" si="11"/>
        <v>0.41851956717586236</v>
      </c>
    </row>
    <row r="57" spans="1:9" x14ac:dyDescent="0.35">
      <c r="A57" s="79" t="s">
        <v>202</v>
      </c>
      <c r="B57" s="34" t="s">
        <v>70</v>
      </c>
      <c r="C57" s="27">
        <f t="shared" si="11"/>
        <v>0.34060235642528403</v>
      </c>
      <c r="D57" s="27">
        <f t="shared" si="11"/>
        <v>8.9056286760206715E-2</v>
      </c>
      <c r="E57" s="27">
        <f t="shared" si="11"/>
        <v>0.17152277423987572</v>
      </c>
      <c r="F57" s="27">
        <f t="shared" si="11"/>
        <v>2.7786691950482556E-2</v>
      </c>
      <c r="G57" s="27">
        <f t="shared" si="11"/>
        <v>-3.001111977798987E-2</v>
      </c>
      <c r="H57" s="28">
        <f t="shared" si="11"/>
        <v>5.4683691436567816E-2</v>
      </c>
    </row>
    <row r="58" spans="1:9" x14ac:dyDescent="0.35">
      <c r="A58" s="26" t="s">
        <v>201</v>
      </c>
      <c r="B58" s="34" t="s">
        <v>70</v>
      </c>
      <c r="C58" s="27">
        <f t="shared" si="11"/>
        <v>0.83459503096912235</v>
      </c>
      <c r="D58" s="27">
        <f t="shared" si="11"/>
        <v>0.22635721171575685</v>
      </c>
      <c r="E58" s="27">
        <f t="shared" si="11"/>
        <v>0.23188572521735895</v>
      </c>
      <c r="F58" s="27">
        <f t="shared" si="11"/>
        <v>0.23051199428355207</v>
      </c>
      <c r="G58" s="27">
        <f t="shared" si="11"/>
        <v>0.18682168242623809</v>
      </c>
      <c r="H58" s="28">
        <f t="shared" si="11"/>
        <v>0.152118440056211</v>
      </c>
    </row>
    <row r="59" spans="1:9" x14ac:dyDescent="0.35">
      <c r="A59" s="26" t="s">
        <v>67</v>
      </c>
      <c r="B59" s="34" t="s">
        <v>70</v>
      </c>
      <c r="C59" s="27">
        <f t="shared" si="11"/>
        <v>1.0967872050190008</v>
      </c>
      <c r="D59" s="27">
        <f t="shared" si="11"/>
        <v>0.83684841927926712</v>
      </c>
      <c r="E59" s="27">
        <f t="shared" si="11"/>
        <v>1.0636377235256509</v>
      </c>
      <c r="F59" s="27">
        <f t="shared" si="11"/>
        <v>0.57780024295126986</v>
      </c>
      <c r="G59" s="27">
        <f t="shared" si="11"/>
        <v>0.29945446391539288</v>
      </c>
      <c r="H59" s="28">
        <f t="shared" si="11"/>
        <v>0.28232439994239145</v>
      </c>
    </row>
    <row r="60" spans="1:9" x14ac:dyDescent="0.35">
      <c r="A60" s="25" t="s">
        <v>191</v>
      </c>
      <c r="B60" s="34" t="s">
        <v>70</v>
      </c>
      <c r="C60" s="27">
        <f t="shared" si="11"/>
        <v>0.76674366444525743</v>
      </c>
      <c r="D60" s="27">
        <f t="shared" si="11"/>
        <v>0.39942775490359739</v>
      </c>
      <c r="E60" s="27">
        <f t="shared" si="11"/>
        <v>0.1440875194320661</v>
      </c>
      <c r="F60" s="27">
        <f t="shared" si="11"/>
        <v>0.2217949194216482</v>
      </c>
      <c r="G60" s="27">
        <f t="shared" si="11"/>
        <v>0.14009886718998299</v>
      </c>
      <c r="H60" s="28">
        <f t="shared" si="11"/>
        <v>6.0901238583729755E-2</v>
      </c>
    </row>
    <row r="61" spans="1:9" x14ac:dyDescent="0.35">
      <c r="A61" s="26" t="s">
        <v>200</v>
      </c>
      <c r="B61" s="34" t="s">
        <v>70</v>
      </c>
      <c r="C61" s="27">
        <f t="shared" si="11"/>
        <v>1.5686950158092525</v>
      </c>
      <c r="D61" s="27">
        <f t="shared" si="11"/>
        <v>1.1716124508250214</v>
      </c>
      <c r="E61" s="27">
        <f t="shared" si="11"/>
        <v>1.0001000386564032</v>
      </c>
      <c r="F61" s="27">
        <f t="shared" si="11"/>
        <v>0.35216626570699971</v>
      </c>
      <c r="G61" s="27">
        <f t="shared" si="11"/>
        <v>0.65143401230406828</v>
      </c>
      <c r="H61" s="28">
        <f t="shared" si="11"/>
        <v>0.59675517965524172</v>
      </c>
    </row>
    <row r="62" spans="1:9" x14ac:dyDescent="0.35">
      <c r="A62" s="79" t="s">
        <v>197</v>
      </c>
      <c r="B62" s="34" t="s">
        <v>70</v>
      </c>
      <c r="C62" s="27">
        <f t="shared" si="11"/>
        <v>0.86754343567893222</v>
      </c>
      <c r="D62" s="27">
        <f t="shared" si="11"/>
        <v>0.66600010213860239</v>
      </c>
      <c r="E62" s="27">
        <f t="shared" si="11"/>
        <v>0.66280563034093332</v>
      </c>
      <c r="F62" s="27">
        <f t="shared" si="11"/>
        <v>0.31407996075384292</v>
      </c>
      <c r="G62" s="27">
        <f t="shared" si="11"/>
        <v>0.23288022295056421</v>
      </c>
      <c r="H62" s="28">
        <f t="shared" si="11"/>
        <v>0.20147391207961474</v>
      </c>
    </row>
    <row r="63" spans="1:9" x14ac:dyDescent="0.35">
      <c r="A63" s="26" t="s">
        <v>199</v>
      </c>
      <c r="B63" s="34" t="s">
        <v>70</v>
      </c>
      <c r="C63" s="27">
        <f t="shared" si="11"/>
        <v>1.171753266732162</v>
      </c>
      <c r="D63" s="27">
        <f t="shared" si="11"/>
        <v>0.8036236022169676</v>
      </c>
      <c r="E63" s="27">
        <f t="shared" si="11"/>
        <v>0.86725177081152971</v>
      </c>
      <c r="F63" s="27">
        <f t="shared" si="11"/>
        <v>0.63310494418541041</v>
      </c>
      <c r="G63" s="27">
        <f t="shared" si="11"/>
        <v>0.43905581236209623</v>
      </c>
      <c r="H63" s="28">
        <f t="shared" si="11"/>
        <v>0.29051314974165687</v>
      </c>
    </row>
    <row r="64" spans="1:9" x14ac:dyDescent="0.35">
      <c r="A64" s="25" t="s">
        <v>190</v>
      </c>
      <c r="B64" s="34" t="s">
        <v>70</v>
      </c>
      <c r="C64" s="27">
        <f t="shared" si="11"/>
        <v>1.0297725965262736</v>
      </c>
      <c r="D64" s="27">
        <f t="shared" si="11"/>
        <v>0.88348097148267746</v>
      </c>
      <c r="E64" s="27">
        <f t="shared" si="11"/>
        <v>0.96900474240030943</v>
      </c>
      <c r="F64" s="27">
        <f t="shared" si="11"/>
        <v>0.8380251354156063</v>
      </c>
      <c r="G64" s="27">
        <f t="shared" si="11"/>
        <v>0.47959958355987986</v>
      </c>
      <c r="H64" s="28">
        <f t="shared" si="11"/>
        <v>0.40135542036985128</v>
      </c>
    </row>
    <row r="65" spans="1:8" x14ac:dyDescent="0.35">
      <c r="A65" s="88" t="s">
        <v>68</v>
      </c>
      <c r="B65" s="88" t="s">
        <v>70</v>
      </c>
      <c r="C65" s="89">
        <f t="shared" ref="C65:H65" si="12">IFERROR(C49/B49-1,"NM")</f>
        <v>0.57890464345955772</v>
      </c>
      <c r="D65" s="89">
        <f t="shared" si="12"/>
        <v>0.27786720055977843</v>
      </c>
      <c r="E65" s="89">
        <f t="shared" si="12"/>
        <v>0.24469547462448737</v>
      </c>
      <c r="F65" s="89">
        <f t="shared" si="12"/>
        <v>0.20514470600157897</v>
      </c>
      <c r="G65" s="89">
        <f t="shared" si="12"/>
        <v>0.14073662153443856</v>
      </c>
      <c r="H65" s="89">
        <f t="shared" si="12"/>
        <v>0.13197084587126318</v>
      </c>
    </row>
    <row r="66" spans="1:8" x14ac:dyDescent="0.35">
      <c r="A66" s="35" t="str">
        <f>Source</f>
        <v>Gartner (April 2022)</v>
      </c>
    </row>
  </sheetData>
  <mergeCells count="4">
    <mergeCell ref="E4:M4"/>
    <mergeCell ref="E5:M5"/>
    <mergeCell ref="E6:M6"/>
    <mergeCell ref="E7:M7"/>
  </mergeCells>
  <hyperlinks>
    <hyperlink ref="E4" location="'Summary Tables'!A14" display="'Summary Tables'!A14" xr:uid="{097BA27C-27CC-4B0C-81B6-78D5A2181B9B}"/>
    <hyperlink ref="E5:M5" location="'Summary Tables'!A22" display="'Summary Tables'!A22" xr:uid="{EC5CCA68-B9AA-4923-9A9D-BA65450A7C20}"/>
    <hyperlink ref="D22" location="Contents!A1" display="Front Page" xr:uid="{F5874700-24E2-4EE4-BF84-715311F120D7}"/>
    <hyperlink ref="D9" location="Contents!A1" display="Front Page" xr:uid="{EF08DC89-A214-4CA2-BCD5-A1AA2BFA35C7}"/>
    <hyperlink ref="D36" location="Contents!A1" display="Front Page" xr:uid="{C945E6F6-FC99-4378-9FC6-EEB0036CBDEF}"/>
    <hyperlink ref="D52" location="Contents!A1" display="Front Page" xr:uid="{10D0EA04-F9FC-4A4A-9936-2BA74FA40018}"/>
    <hyperlink ref="F52" location="'Summary Tables'!A1" display="Top" xr:uid="{A70EBECC-003E-4249-8861-8325F003145E}"/>
    <hyperlink ref="F36" location="'Summary Tables'!A1" display="Top" xr:uid="{18EEBE70-75B5-477C-BA0B-31A54392B628}"/>
    <hyperlink ref="F22" location="'Summary Tables'!A1" display="Top" xr:uid="{C67720BC-6AE5-4296-ADE5-618FDF83E46F}"/>
    <hyperlink ref="F9" location="'Summary Tables'!A1" display="Top" xr:uid="{31CD30FF-7703-4380-B31B-ADF144A6C981}"/>
    <hyperlink ref="E6:M6" location="'Summary Tables'!A36" display="'Summary Tables'!A36" xr:uid="{71163561-25D2-4A83-A815-D12B16E4BED2}"/>
    <hyperlink ref="E7:M7" location="'Summary Tables'!A52" display="'Summary Tables'!A52" xr:uid="{3A35DC27-1F25-41AD-B82C-A78043FED1D0}"/>
    <hyperlink ref="E4:M4" location="'Summary Tables'!A9" display="'Summary Tables'!A9" xr:uid="{A5BA5139-87C1-4E00-A8D5-5BF81865D821}"/>
  </hyperlinks>
  <pageMargins left="0.70866141732283472" right="0.70866141732283472" top="0.74803149606299213" bottom="0.74803149606299213" header="0.31496062992125984" footer="0.31496062992125984"/>
  <pageSetup scale="51" orientation="portrait" r:id="rId3"/>
  <headerFooter>
    <oddFooter>&amp;L763796&amp;C© 2022 Gartner, Inc. and/or its Affiliates. All Rights Reserved.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F2DEC-0585-49F3-B663-1D550B5D0249}">
  <sheetPr codeName="Sheet3">
    <pageSetUpPr fitToPage="1"/>
  </sheetPr>
  <dimension ref="A1:AA27"/>
  <sheetViews>
    <sheetView showGridLines="0" workbookViewId="0"/>
  </sheetViews>
  <sheetFormatPr defaultRowHeight="14.5" x14ac:dyDescent="0.35"/>
  <cols>
    <col min="1" max="1" width="36.7265625" customWidth="1"/>
    <col min="2" max="2" width="23.7265625" customWidth="1"/>
    <col min="3" max="8" width="10.90625" customWidth="1"/>
    <col min="9" max="9" width="8.90625" bestFit="1" customWidth="1"/>
  </cols>
  <sheetData>
    <row r="1" spans="1:27" ht="20" x14ac:dyDescent="0.4">
      <c r="A1" s="170" t="s">
        <v>261</v>
      </c>
    </row>
    <row r="4" spans="1:27" x14ac:dyDescent="0.35">
      <c r="B4" s="56" t="s">
        <v>158</v>
      </c>
      <c r="C4" s="150" t="str">
        <f>"AI Semiconductor Forecast Worldwide"&amp;IF(B10="Semiconductor Revenue M$"," Revenue — by Semiconductor Device, "," Units — by Semiconductor Device, ")&amp;StartY&amp;" - "&amp;EndY&amp;" "&amp;IF(B10="Semiconductor Revenue M$","($M)","(Thousands of Units)")</f>
        <v>AI Semiconductor Forecast Worldwide Revenue — by Semiconductor Device, 2020 - 2026 ($M)</v>
      </c>
      <c r="D4" s="56"/>
      <c r="F4" s="91"/>
      <c r="G4" s="91"/>
      <c r="H4" s="91"/>
      <c r="I4" s="91"/>
      <c r="J4" s="91"/>
      <c r="K4" s="91"/>
      <c r="L4" s="91"/>
      <c r="M4" s="91"/>
      <c r="N4" s="91"/>
    </row>
    <row r="6" spans="1:27" x14ac:dyDescent="0.35">
      <c r="A6" s="36" t="s">
        <v>158</v>
      </c>
    </row>
    <row r="7" spans="1:27" x14ac:dyDescent="0.35">
      <c r="A7" s="37" t="str">
        <f>C4</f>
        <v>AI Semiconductor Forecast Worldwide Revenue — by Semiconductor Device, 2020 - 2026 ($M)</v>
      </c>
    </row>
    <row r="8" spans="1:27" x14ac:dyDescent="0.35">
      <c r="A8" s="35" t="str">
        <f>Source</f>
        <v>Gartner (April 2022)</v>
      </c>
    </row>
    <row r="10" spans="1:27" x14ac:dyDescent="0.35">
      <c r="A10" s="45" t="s">
        <v>5</v>
      </c>
      <c r="B10" s="46" t="s">
        <v>10</v>
      </c>
    </row>
    <row r="11" spans="1:27" x14ac:dyDescent="0.35">
      <c r="A11" s="45" t="s">
        <v>0</v>
      </c>
      <c r="B11" s="46" t="s">
        <v>157</v>
      </c>
    </row>
    <row r="12" spans="1:27" x14ac:dyDescent="0.35">
      <c r="A12" s="52" t="s">
        <v>2</v>
      </c>
      <c r="B12" s="46" t="s">
        <v>157</v>
      </c>
      <c r="F12" s="6" t="s">
        <v>154</v>
      </c>
    </row>
    <row r="13" spans="1:27" x14ac:dyDescent="0.35">
      <c r="A13" s="45" t="s">
        <v>3</v>
      </c>
      <c r="B13" s="46" t="s">
        <v>157</v>
      </c>
    </row>
    <row r="14" spans="1:27" x14ac:dyDescent="0.35">
      <c r="A14" s="45" t="s">
        <v>4</v>
      </c>
      <c r="B14" s="46" t="s">
        <v>157</v>
      </c>
    </row>
    <row r="15" spans="1:27" x14ac:dyDescent="0.35">
      <c r="A15" s="55" t="str">
        <f>B14</f>
        <v>(All)</v>
      </c>
    </row>
    <row r="16" spans="1:27" x14ac:dyDescent="0.35">
      <c r="A16" s="52" t="s">
        <v>69</v>
      </c>
      <c r="B16" s="52" t="s">
        <v>6</v>
      </c>
      <c r="C16" s="53"/>
      <c r="D16" s="54"/>
      <c r="E16" s="54"/>
      <c r="F16" s="54"/>
      <c r="G16" s="54"/>
      <c r="H16" s="46"/>
      <c r="AA16" s="36"/>
    </row>
    <row r="17" spans="1:8" x14ac:dyDescent="0.35">
      <c r="A17" s="52" t="s">
        <v>1</v>
      </c>
      <c r="B17" s="147" t="s">
        <v>12</v>
      </c>
      <c r="C17" s="148" t="s">
        <v>13</v>
      </c>
      <c r="D17" s="148" t="s">
        <v>14</v>
      </c>
      <c r="E17" s="148" t="s">
        <v>15</v>
      </c>
      <c r="F17" s="148" t="s">
        <v>16</v>
      </c>
      <c r="G17" s="148" t="s">
        <v>198</v>
      </c>
      <c r="H17" s="149" t="s">
        <v>270</v>
      </c>
    </row>
    <row r="18" spans="1:8" x14ac:dyDescent="0.35">
      <c r="A18" s="134" t="s">
        <v>202</v>
      </c>
      <c r="B18" s="47">
        <v>5.8297544290611949</v>
      </c>
      <c r="C18" s="48">
        <v>14.442090050988378</v>
      </c>
      <c r="D18" s="48">
        <v>32.420544579477131</v>
      </c>
      <c r="E18" s="48">
        <v>69.016058256063403</v>
      </c>
      <c r="F18" s="48">
        <v>101.67231121723833</v>
      </c>
      <c r="G18" s="48">
        <v>152.41311045755904</v>
      </c>
      <c r="H18" s="49">
        <v>216.20097947818357</v>
      </c>
    </row>
    <row r="19" spans="1:8" x14ac:dyDescent="0.35">
      <c r="A19" s="135" t="s">
        <v>192</v>
      </c>
      <c r="B19" s="50">
        <v>10770.923517879337</v>
      </c>
      <c r="C19" s="40">
        <v>14439.525448945549</v>
      </c>
      <c r="D19" s="40">
        <v>15725.455968008146</v>
      </c>
      <c r="E19" s="40">
        <v>18422.729801827914</v>
      </c>
      <c r="F19" s="40">
        <v>18934.636519718282</v>
      </c>
      <c r="G19" s="40">
        <v>18366.386875172317</v>
      </c>
      <c r="H19" s="41">
        <v>19370.728707858867</v>
      </c>
    </row>
    <row r="20" spans="1:8" x14ac:dyDescent="0.35">
      <c r="A20" s="135" t="s">
        <v>201</v>
      </c>
      <c r="B20" s="50">
        <v>2608.8000774338179</v>
      </c>
      <c r="C20" s="40">
        <v>4786.091658851944</v>
      </c>
      <c r="D20" s="40">
        <v>5869.4580217657112</v>
      </c>
      <c r="E20" s="40">
        <v>7230.5015517756983</v>
      </c>
      <c r="F20" s="40">
        <v>8897.2188841458319</v>
      </c>
      <c r="G20" s="40">
        <v>10559.412284996453</v>
      </c>
      <c r="H20" s="41">
        <v>12165.693609700505</v>
      </c>
    </row>
    <row r="21" spans="1:8" x14ac:dyDescent="0.35">
      <c r="A21" s="135" t="s">
        <v>67</v>
      </c>
      <c r="B21" s="50">
        <v>114.73293524211893</v>
      </c>
      <c r="C21" s="40">
        <v>240.57055060994858</v>
      </c>
      <c r="D21" s="40">
        <v>441.89163561302701</v>
      </c>
      <c r="E21" s="40">
        <v>911.90424896149352</v>
      </c>
      <c r="F21" s="40">
        <v>1438.8027455597398</v>
      </c>
      <c r="G21" s="40">
        <v>1869.658650411327</v>
      </c>
      <c r="H21" s="41">
        <v>2397.5089069858063</v>
      </c>
    </row>
    <row r="22" spans="1:8" x14ac:dyDescent="0.35">
      <c r="A22" s="135" t="s">
        <v>191</v>
      </c>
      <c r="B22" s="50">
        <v>7001.9070151027763</v>
      </c>
      <c r="C22" s="40">
        <v>12370.574857967633</v>
      </c>
      <c r="D22" s="40">
        <v>17311.725800352531</v>
      </c>
      <c r="E22" s="40">
        <v>19806.129428013428</v>
      </c>
      <c r="F22" s="40">
        <v>24199.0283085544</v>
      </c>
      <c r="G22" s="40">
        <v>27589.284761681203</v>
      </c>
      <c r="H22" s="41">
        <v>29269.50637530681</v>
      </c>
    </row>
    <row r="23" spans="1:8" x14ac:dyDescent="0.35">
      <c r="A23" s="135" t="s">
        <v>200</v>
      </c>
      <c r="B23" s="50">
        <v>18.981394233165553</v>
      </c>
      <c r="C23" s="40">
        <v>48.757412759842843</v>
      </c>
      <c r="D23" s="40">
        <v>105.88220461928948</v>
      </c>
      <c r="E23" s="40">
        <v>211.7750015520661</v>
      </c>
      <c r="F23" s="40">
        <v>286.35501301875127</v>
      </c>
      <c r="G23" s="40">
        <v>472.89640809294013</v>
      </c>
      <c r="H23" s="41">
        <v>755.09978906276115</v>
      </c>
    </row>
    <row r="24" spans="1:8" x14ac:dyDescent="0.35">
      <c r="A24" s="135" t="s">
        <v>197</v>
      </c>
      <c r="B24" s="50">
        <v>1128.0468807145608</v>
      </c>
      <c r="C24" s="40">
        <v>2106.6765472165735</v>
      </c>
      <c r="D24" s="40">
        <v>3509.7233428358095</v>
      </c>
      <c r="E24" s="40">
        <v>5835.9877354063856</v>
      </c>
      <c r="F24" s="40">
        <v>7668.9545343027321</v>
      </c>
      <c r="G24" s="40">
        <v>9454.9023760488926</v>
      </c>
      <c r="H24" s="41">
        <v>11359.818546082308</v>
      </c>
    </row>
    <row r="25" spans="1:8" x14ac:dyDescent="0.35">
      <c r="A25" s="135" t="s">
        <v>199</v>
      </c>
      <c r="B25" s="50">
        <v>39.729604727336472</v>
      </c>
      <c r="C25" s="40">
        <v>86.282898852570526</v>
      </c>
      <c r="D25" s="40">
        <v>155.62187283819551</v>
      </c>
      <c r="E25" s="40">
        <v>290.58521763412728</v>
      </c>
      <c r="F25" s="40">
        <v>474.55615562548678</v>
      </c>
      <c r="G25" s="40">
        <v>682.91279404506827</v>
      </c>
      <c r="H25" s="41">
        <v>881.30794084197646</v>
      </c>
    </row>
    <row r="26" spans="1:8" x14ac:dyDescent="0.35">
      <c r="A26" s="136" t="s">
        <v>190</v>
      </c>
      <c r="B26" s="50">
        <v>336.82647703423777</v>
      </c>
      <c r="C26" s="40">
        <v>683.6811528685821</v>
      </c>
      <c r="D26" s="40">
        <v>1287.700441989314</v>
      </c>
      <c r="E26" s="40">
        <v>2535.4882770679337</v>
      </c>
      <c r="F26" s="40">
        <v>4660.2911838024711</v>
      </c>
      <c r="G26" s="40">
        <v>6895.3648948219161</v>
      </c>
      <c r="H26" s="41">
        <v>9662.8569707866809</v>
      </c>
    </row>
    <row r="27" spans="1:8" x14ac:dyDescent="0.35">
      <c r="A27" s="90" t="s">
        <v>68</v>
      </c>
      <c r="B27" s="51">
        <v>22025.77765679641</v>
      </c>
      <c r="C27" s="43">
        <v>34776.60261812363</v>
      </c>
      <c r="D27" s="43">
        <v>44439.879832601502</v>
      </c>
      <c r="E27" s="43">
        <v>55314.117320495112</v>
      </c>
      <c r="F27" s="43">
        <v>66661.515655944924</v>
      </c>
      <c r="G27" s="43">
        <v>76043.232155727688</v>
      </c>
      <c r="H27" s="44">
        <v>86078.721826103909</v>
      </c>
    </row>
  </sheetData>
  <hyperlinks>
    <hyperlink ref="F12" location="Contents!A1" display="Front Page" xr:uid="{8D229BBB-79CE-452D-A41C-B508055D6DED}"/>
    <hyperlink ref="C4" location="'Aggregatable Pivot'!A6" display="'Aggregatable Pivot'!A6" xr:uid="{2CD74E7E-2BF8-4227-B703-CB8133F005A1}"/>
  </hyperlinks>
  <pageMargins left="0.70866141732283472" right="0.70866141732283472" top="0.74803149606299213" bottom="0.74803149606299213" header="0.31496062992125984" footer="0.31496062992125984"/>
  <pageSetup scale="66" orientation="portrait" r:id="rId2"/>
  <headerFooter>
    <oddFooter>&amp;L763796&amp;C© 2022 Gartner, Inc. and/or its Affiliates.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AddGrowthRatesNolan">
                <anchor moveWithCells="1" sizeWithCells="1">
                  <from>
                    <xdr:col>3</xdr:col>
                    <xdr:colOff>0</xdr:colOff>
                    <xdr:row>9</xdr:row>
                    <xdr:rowOff>25400</xdr:rowOff>
                  </from>
                  <to>
                    <xdr:col>5</xdr:col>
                    <xdr:colOff>361950</xdr:colOff>
                    <xdr:row>10</xdr:row>
                    <xdr:rowOff>95250</xdr:rowOff>
                  </to>
                </anchor>
              </controlPr>
            </control>
          </mc:Choice>
        </mc:AlternateContent>
        <mc:AlternateContent xmlns:mc="http://schemas.openxmlformats.org/markup-compatibility/2006">
          <mc:Choice Requires="x14">
            <control shapeId="4098" r:id="rId6" name="Button 2">
              <controlPr defaultSize="0" print="0" autoFill="0" autoPict="0" macro="[0]!ClearAggPage">
                <anchor moveWithCells="1" sizeWithCells="1">
                  <from>
                    <xdr:col>6</xdr:col>
                    <xdr:colOff>361950</xdr:colOff>
                    <xdr:row>9</xdr:row>
                    <xdr:rowOff>12700</xdr:rowOff>
                  </from>
                  <to>
                    <xdr:col>9</xdr:col>
                    <xdr:colOff>95250</xdr:colOff>
                    <xdr:row>10</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A423F-E867-40E0-A80F-BCD0B7AB3E30}">
  <sheetPr codeName="Sheet4"/>
  <dimension ref="A1:K61"/>
  <sheetViews>
    <sheetView showGridLines="0" workbookViewId="0">
      <pane ySplit="10" topLeftCell="A35" activePane="bottomLeft" state="frozen"/>
      <selection pane="bottomLeft" activeCell="C3" sqref="C3"/>
    </sheetView>
  </sheetViews>
  <sheetFormatPr defaultRowHeight="14.5" x14ac:dyDescent="0.35"/>
  <cols>
    <col min="1" max="1" width="33.54296875" customWidth="1"/>
    <col min="2" max="8" width="11" customWidth="1"/>
  </cols>
  <sheetData>
    <row r="1" spans="1:11" ht="20" x14ac:dyDescent="0.4">
      <c r="A1" s="62" t="s">
        <v>73</v>
      </c>
      <c r="B1" s="63"/>
      <c r="C1" s="63"/>
      <c r="D1" s="63"/>
      <c r="E1" s="63"/>
      <c r="F1" s="63"/>
      <c r="G1" s="64"/>
      <c r="H1" s="65"/>
      <c r="I1" s="65"/>
      <c r="J1" s="65"/>
      <c r="K1" s="65"/>
    </row>
    <row r="2" spans="1:11" ht="20" x14ac:dyDescent="0.4">
      <c r="A2" s="62"/>
      <c r="B2" s="63"/>
      <c r="C2" s="63"/>
      <c r="D2" s="63"/>
      <c r="E2" s="63"/>
      <c r="F2" s="63"/>
      <c r="G2" s="64"/>
      <c r="H2" s="65"/>
      <c r="I2" s="65"/>
      <c r="J2" s="65"/>
      <c r="K2" s="65"/>
    </row>
    <row r="3" spans="1:11" x14ac:dyDescent="0.35">
      <c r="A3" s="65"/>
      <c r="B3" s="8" t="s">
        <v>75</v>
      </c>
      <c r="C3" s="66" t="s">
        <v>161</v>
      </c>
      <c r="D3" s="63"/>
      <c r="E3" s="63"/>
      <c r="F3" s="63"/>
      <c r="G3" s="64"/>
      <c r="H3" s="65"/>
      <c r="I3" s="65"/>
      <c r="J3" s="65"/>
      <c r="K3" s="65"/>
    </row>
    <row r="4" spans="1:11" x14ac:dyDescent="0.35">
      <c r="A4" s="17" t="s">
        <v>81</v>
      </c>
      <c r="B4" s="151" t="s">
        <v>251</v>
      </c>
      <c r="C4" s="151"/>
      <c r="D4" s="151"/>
      <c r="E4" s="151"/>
      <c r="F4" s="151"/>
      <c r="G4" s="151"/>
      <c r="H4" s="151"/>
      <c r="I4" s="151"/>
      <c r="J4" s="151"/>
      <c r="K4" s="151"/>
    </row>
    <row r="6" spans="1:11" ht="48" customHeight="1" x14ac:dyDescent="0.35">
      <c r="A6" s="157" t="s">
        <v>162</v>
      </c>
      <c r="B6" s="157"/>
      <c r="C6" s="157"/>
      <c r="D6" s="157"/>
      <c r="E6" s="157"/>
      <c r="F6" s="157"/>
      <c r="G6" s="157"/>
      <c r="H6" s="157"/>
      <c r="I6" s="157"/>
      <c r="J6" s="157"/>
      <c r="K6" s="67"/>
    </row>
    <row r="8" spans="1:11" x14ac:dyDescent="0.35">
      <c r="A8" s="58" t="s">
        <v>159</v>
      </c>
      <c r="B8" s="58"/>
      <c r="C8" s="59"/>
      <c r="D8" s="59"/>
      <c r="E8" s="60" t="s">
        <v>160</v>
      </c>
      <c r="F8" s="61" t="str">
        <f>ExVintage</f>
        <v>2019 Q4</v>
      </c>
    </row>
    <row r="9" spans="1:11" x14ac:dyDescent="0.35">
      <c r="A9" s="71" t="s">
        <v>92</v>
      </c>
      <c r="B9" s="38"/>
      <c r="C9" s="38"/>
      <c r="D9" s="38"/>
      <c r="E9" s="38"/>
      <c r="F9" s="38"/>
      <c r="G9" s="38"/>
      <c r="H9" s="39"/>
    </row>
    <row r="10" spans="1:11" x14ac:dyDescent="0.35">
      <c r="A10" s="72" t="s">
        <v>93</v>
      </c>
      <c r="B10" s="73" t="s">
        <v>7</v>
      </c>
      <c r="C10" s="73" t="s">
        <v>11</v>
      </c>
      <c r="D10" s="73" t="s">
        <v>12</v>
      </c>
      <c r="E10" s="73" t="s">
        <v>13</v>
      </c>
      <c r="F10" s="73" t="s">
        <v>14</v>
      </c>
      <c r="G10" s="73" t="s">
        <v>15</v>
      </c>
      <c r="H10" s="74" t="s">
        <v>16</v>
      </c>
    </row>
    <row r="11" spans="1:11" x14ac:dyDescent="0.35">
      <c r="A11" s="25" t="s">
        <v>95</v>
      </c>
      <c r="B11" s="57">
        <v>28.119833333332998</v>
      </c>
      <c r="C11" s="57">
        <v>49.454999999999998</v>
      </c>
      <c r="D11" s="57">
        <v>49.454999999999998</v>
      </c>
      <c r="E11" s="57">
        <v>49.454999999999998</v>
      </c>
      <c r="F11" s="57">
        <v>49.454999999999998</v>
      </c>
      <c r="G11" s="57">
        <v>49.454999999999998</v>
      </c>
      <c r="H11" s="68">
        <v>49.454999999999998</v>
      </c>
    </row>
    <row r="12" spans="1:11" x14ac:dyDescent="0.35">
      <c r="A12" s="25" t="s">
        <v>96</v>
      </c>
      <c r="B12" s="57">
        <v>1.3386947741899999</v>
      </c>
      <c r="C12" s="57">
        <v>1.44</v>
      </c>
      <c r="D12" s="57">
        <v>1.44</v>
      </c>
      <c r="E12" s="57">
        <v>1.44</v>
      </c>
      <c r="F12" s="57">
        <v>1.44</v>
      </c>
      <c r="G12" s="57">
        <v>1.44</v>
      </c>
      <c r="H12" s="68">
        <v>1.44</v>
      </c>
    </row>
    <row r="13" spans="1:11" x14ac:dyDescent="0.35">
      <c r="A13" s="25" t="s">
        <v>97</v>
      </c>
      <c r="B13" s="57"/>
      <c r="C13" s="57"/>
      <c r="D13" s="57"/>
      <c r="E13" s="57"/>
      <c r="F13" s="57"/>
      <c r="G13" s="57"/>
      <c r="H13" s="68"/>
    </row>
    <row r="14" spans="1:11" x14ac:dyDescent="0.35">
      <c r="A14" s="25" t="s">
        <v>98</v>
      </c>
      <c r="B14" s="57"/>
      <c r="C14" s="57"/>
      <c r="D14" s="57"/>
      <c r="E14" s="57"/>
      <c r="F14" s="57"/>
      <c r="G14" s="57"/>
      <c r="H14" s="68"/>
    </row>
    <row r="15" spans="1:11" x14ac:dyDescent="0.35">
      <c r="A15" s="25" t="s">
        <v>99</v>
      </c>
      <c r="B15" s="57">
        <v>3.6517355700360001</v>
      </c>
      <c r="C15" s="57">
        <v>3.9424999999999999</v>
      </c>
      <c r="D15" s="57">
        <v>3.9424999999999999</v>
      </c>
      <c r="E15" s="57">
        <v>3.9424999999999999</v>
      </c>
      <c r="F15" s="57">
        <v>3.9424999999999999</v>
      </c>
      <c r="G15" s="57">
        <v>3.9424999999999999</v>
      </c>
      <c r="H15" s="68">
        <v>3.9424999999999999</v>
      </c>
    </row>
    <row r="16" spans="1:11" x14ac:dyDescent="0.35">
      <c r="A16" s="25" t="s">
        <v>100</v>
      </c>
      <c r="B16" s="57">
        <v>0.74938111235399996</v>
      </c>
      <c r="C16" s="57">
        <v>0.78500000000000003</v>
      </c>
      <c r="D16" s="57">
        <v>0.78500000000000003</v>
      </c>
      <c r="E16" s="57">
        <v>0.78500000000000003</v>
      </c>
      <c r="F16" s="57">
        <v>0.78500000000000003</v>
      </c>
      <c r="G16" s="57">
        <v>0.78500000000000003</v>
      </c>
      <c r="H16" s="68">
        <v>0.78500000000000003</v>
      </c>
    </row>
    <row r="17" spans="1:8" x14ac:dyDescent="0.35">
      <c r="A17" s="25" t="s">
        <v>101</v>
      </c>
      <c r="B17" s="57"/>
      <c r="C17" s="57"/>
      <c r="D17" s="57"/>
      <c r="E17" s="57"/>
      <c r="F17" s="57"/>
      <c r="G17" s="57"/>
      <c r="H17" s="68"/>
    </row>
    <row r="18" spans="1:8" x14ac:dyDescent="0.35">
      <c r="A18" s="25" t="s">
        <v>102</v>
      </c>
      <c r="B18" s="57">
        <v>1.2958566689469999</v>
      </c>
      <c r="C18" s="57">
        <v>1.33</v>
      </c>
      <c r="D18" s="57">
        <v>1.33</v>
      </c>
      <c r="E18" s="57">
        <v>1.33</v>
      </c>
      <c r="F18" s="57">
        <v>1.33</v>
      </c>
      <c r="G18" s="57">
        <v>1.33</v>
      </c>
      <c r="H18" s="68">
        <v>1.33</v>
      </c>
    </row>
    <row r="19" spans="1:8" x14ac:dyDescent="0.35">
      <c r="A19" s="25" t="s">
        <v>103</v>
      </c>
      <c r="B19" s="57">
        <v>641.54583333333301</v>
      </c>
      <c r="C19" s="57">
        <v>707.86749999999995</v>
      </c>
      <c r="D19" s="57">
        <v>707.86749999999995</v>
      </c>
      <c r="E19" s="57">
        <v>707.86749999999995</v>
      </c>
      <c r="F19" s="57">
        <v>707.86749999999995</v>
      </c>
      <c r="G19" s="57">
        <v>707.86749999999995</v>
      </c>
      <c r="H19" s="68">
        <v>707.86749999999995</v>
      </c>
    </row>
    <row r="20" spans="1:8" x14ac:dyDescent="0.35">
      <c r="A20" s="25" t="s">
        <v>104</v>
      </c>
      <c r="B20" s="57">
        <v>6.6125837297989998</v>
      </c>
      <c r="C20" s="57">
        <v>6.9124999999999996</v>
      </c>
      <c r="D20" s="57">
        <v>6.9124999999999996</v>
      </c>
      <c r="E20" s="57">
        <v>6.9124999999999996</v>
      </c>
      <c r="F20" s="57">
        <v>6.9124999999999996</v>
      </c>
      <c r="G20" s="57">
        <v>6.9124999999999996</v>
      </c>
      <c r="H20" s="68">
        <v>6.9124999999999996</v>
      </c>
    </row>
    <row r="21" spans="1:8" x14ac:dyDescent="0.35">
      <c r="A21" s="25" t="s">
        <v>105</v>
      </c>
      <c r="B21" s="57">
        <v>2955.4583333333298</v>
      </c>
      <c r="C21" s="57">
        <v>3286.8674999999998</v>
      </c>
      <c r="D21" s="57">
        <v>3286.8674999999998</v>
      </c>
      <c r="E21" s="57">
        <v>3286.8674999999998</v>
      </c>
      <c r="F21" s="57">
        <v>3286.8674999999998</v>
      </c>
      <c r="G21" s="57">
        <v>3286.8674999999998</v>
      </c>
      <c r="H21" s="68">
        <v>3286.8674999999998</v>
      </c>
    </row>
    <row r="22" spans="1:8" x14ac:dyDescent="0.35">
      <c r="A22" s="25" t="s">
        <v>106</v>
      </c>
      <c r="B22" s="57">
        <v>21.726666666667001</v>
      </c>
      <c r="C22" s="57">
        <v>22.962499999999999</v>
      </c>
      <c r="D22" s="57">
        <v>22.962499999999999</v>
      </c>
      <c r="E22" s="57">
        <v>22.962499999999999</v>
      </c>
      <c r="F22" s="57">
        <v>22.962499999999999</v>
      </c>
      <c r="G22" s="57">
        <v>22.962499999999999</v>
      </c>
      <c r="H22" s="68">
        <v>22.962499999999999</v>
      </c>
    </row>
    <row r="23" spans="1:8" x14ac:dyDescent="0.35">
      <c r="A23" s="25" t="s">
        <v>107</v>
      </c>
      <c r="B23" s="57">
        <v>6.3149899444360003</v>
      </c>
      <c r="C23" s="57">
        <v>6.6725000000000003</v>
      </c>
      <c r="D23" s="57">
        <v>6.6725000000000003</v>
      </c>
      <c r="E23" s="57">
        <v>6.6725000000000003</v>
      </c>
      <c r="F23" s="57">
        <v>6.6725000000000003</v>
      </c>
      <c r="G23" s="57">
        <v>6.6725000000000003</v>
      </c>
      <c r="H23" s="68">
        <v>6.6725000000000003</v>
      </c>
    </row>
    <row r="24" spans="1:8" x14ac:dyDescent="0.35">
      <c r="A24" s="25" t="s">
        <v>108</v>
      </c>
      <c r="B24" s="57"/>
      <c r="C24" s="57"/>
      <c r="D24" s="57"/>
      <c r="E24" s="57"/>
      <c r="F24" s="57"/>
      <c r="G24" s="57"/>
      <c r="H24" s="68"/>
    </row>
    <row r="25" spans="1:8" x14ac:dyDescent="0.35">
      <c r="A25" s="25" t="s">
        <v>109</v>
      </c>
      <c r="B25" s="57"/>
      <c r="C25" s="57"/>
      <c r="D25" s="57"/>
      <c r="E25" s="57"/>
      <c r="F25" s="57"/>
      <c r="G25" s="57"/>
      <c r="H25" s="68"/>
    </row>
    <row r="26" spans="1:8" x14ac:dyDescent="0.35">
      <c r="A26" s="25" t="s">
        <v>110</v>
      </c>
      <c r="B26" s="57">
        <v>0.847146666667</v>
      </c>
      <c r="C26" s="57">
        <v>0.89500000000000002</v>
      </c>
      <c r="D26" s="57">
        <v>0.89500000000000002</v>
      </c>
      <c r="E26" s="57">
        <v>0.89500000000000002</v>
      </c>
      <c r="F26" s="57">
        <v>0.89500000000000002</v>
      </c>
      <c r="G26" s="57">
        <v>0.89500000000000002</v>
      </c>
      <c r="H26" s="68">
        <v>0.89500000000000002</v>
      </c>
    </row>
    <row r="27" spans="1:8" x14ac:dyDescent="0.35">
      <c r="A27" s="25" t="s">
        <v>111</v>
      </c>
      <c r="B27" s="57"/>
      <c r="C27" s="57"/>
      <c r="D27" s="57"/>
      <c r="E27" s="57"/>
      <c r="F27" s="57"/>
      <c r="G27" s="57"/>
      <c r="H27" s="68"/>
    </row>
    <row r="28" spans="1:8" x14ac:dyDescent="0.35">
      <c r="A28" s="25" t="s">
        <v>112</v>
      </c>
      <c r="B28" s="57"/>
      <c r="C28" s="57"/>
      <c r="D28" s="57"/>
      <c r="E28" s="57"/>
      <c r="F28" s="57"/>
      <c r="G28" s="57"/>
      <c r="H28" s="68"/>
    </row>
    <row r="29" spans="1:8" x14ac:dyDescent="0.35">
      <c r="A29" s="25" t="s">
        <v>113</v>
      </c>
      <c r="B29" s="57"/>
      <c r="C29" s="57"/>
      <c r="D29" s="57"/>
      <c r="E29" s="57"/>
      <c r="F29" s="57"/>
      <c r="G29" s="57"/>
      <c r="H29" s="68"/>
    </row>
    <row r="30" spans="1:8" x14ac:dyDescent="0.35">
      <c r="A30" s="25" t="s">
        <v>114</v>
      </c>
      <c r="B30" s="57">
        <v>7.8374577049329996</v>
      </c>
      <c r="C30" s="57">
        <v>7.8375000000000004</v>
      </c>
      <c r="D30" s="57">
        <v>7.8375000000000004</v>
      </c>
      <c r="E30" s="57">
        <v>7.8375000000000004</v>
      </c>
      <c r="F30" s="57">
        <v>7.8375000000000004</v>
      </c>
      <c r="G30" s="57">
        <v>7.8375000000000004</v>
      </c>
      <c r="H30" s="68">
        <v>7.8375000000000004</v>
      </c>
    </row>
    <row r="31" spans="1:8" x14ac:dyDescent="0.35">
      <c r="A31" s="25" t="s">
        <v>115</v>
      </c>
      <c r="B31" s="57"/>
      <c r="C31" s="57"/>
      <c r="D31" s="57"/>
      <c r="E31" s="57"/>
      <c r="F31" s="57"/>
      <c r="G31" s="57"/>
      <c r="H31" s="68"/>
    </row>
    <row r="32" spans="1:8" x14ac:dyDescent="0.35">
      <c r="A32" s="25" t="s">
        <v>116</v>
      </c>
      <c r="B32" s="57">
        <v>273.67166666666702</v>
      </c>
      <c r="C32" s="57">
        <v>290.92500000000001</v>
      </c>
      <c r="D32" s="57">
        <v>290.92500000000001</v>
      </c>
      <c r="E32" s="57">
        <v>290.92500000000001</v>
      </c>
      <c r="F32" s="57">
        <v>290.92500000000001</v>
      </c>
      <c r="G32" s="57">
        <v>290.92500000000001</v>
      </c>
      <c r="H32" s="68">
        <v>290.92500000000001</v>
      </c>
    </row>
    <row r="33" spans="1:8" x14ac:dyDescent="0.35">
      <c r="A33" s="25" t="s">
        <v>117</v>
      </c>
      <c r="B33" s="57">
        <v>68.407834595813995</v>
      </c>
      <c r="C33" s="57">
        <v>70.462500000000006</v>
      </c>
      <c r="D33" s="57">
        <v>70.462500000000006</v>
      </c>
      <c r="E33" s="57">
        <v>70.462500000000006</v>
      </c>
      <c r="F33" s="57">
        <v>70.462500000000006</v>
      </c>
      <c r="G33" s="57">
        <v>70.462500000000006</v>
      </c>
      <c r="H33" s="68">
        <v>70.462500000000006</v>
      </c>
    </row>
    <row r="34" spans="1:8" x14ac:dyDescent="0.35">
      <c r="A34" s="25" t="s">
        <v>118</v>
      </c>
      <c r="B34" s="57">
        <v>14230.916666666701</v>
      </c>
      <c r="C34" s="57">
        <v>14154.752500000001</v>
      </c>
      <c r="D34" s="57">
        <v>14154.752500000001</v>
      </c>
      <c r="E34" s="57">
        <v>14154.752500000001</v>
      </c>
      <c r="F34" s="57">
        <v>14154.752500000001</v>
      </c>
      <c r="G34" s="57">
        <v>14154.752500000001</v>
      </c>
      <c r="H34" s="68">
        <v>14154.752500000001</v>
      </c>
    </row>
    <row r="35" spans="1:8" x14ac:dyDescent="0.35">
      <c r="A35" s="25" t="s">
        <v>119</v>
      </c>
      <c r="B35" s="57">
        <v>3.5932499999999998</v>
      </c>
      <c r="C35" s="57">
        <v>3.5674999999999999</v>
      </c>
      <c r="D35" s="57">
        <v>3.5674999999999999</v>
      </c>
      <c r="E35" s="57">
        <v>3.5674999999999999</v>
      </c>
      <c r="F35" s="57">
        <v>3.5674999999999999</v>
      </c>
      <c r="G35" s="57">
        <v>3.5674999999999999</v>
      </c>
      <c r="H35" s="68">
        <v>3.5674999999999999</v>
      </c>
    </row>
    <row r="36" spans="1:8" x14ac:dyDescent="0.35">
      <c r="A36" s="25" t="s">
        <v>120</v>
      </c>
      <c r="B36" s="57">
        <v>110.422170530914</v>
      </c>
      <c r="C36" s="57">
        <v>109.015</v>
      </c>
      <c r="D36" s="57">
        <v>109.015</v>
      </c>
      <c r="E36" s="57">
        <v>109.015</v>
      </c>
      <c r="F36" s="57">
        <v>109.015</v>
      </c>
      <c r="G36" s="57">
        <v>109.015</v>
      </c>
      <c r="H36" s="68">
        <v>109.015</v>
      </c>
    </row>
    <row r="37" spans="1:8" x14ac:dyDescent="0.35">
      <c r="A37" s="25" t="s">
        <v>121</v>
      </c>
      <c r="B37" s="57"/>
      <c r="C37" s="57"/>
      <c r="D37" s="57"/>
      <c r="E37" s="57"/>
      <c r="F37" s="57"/>
      <c r="G37" s="57"/>
      <c r="H37" s="68"/>
    </row>
    <row r="38" spans="1:8" x14ac:dyDescent="0.35">
      <c r="A38" s="25" t="s">
        <v>122</v>
      </c>
      <c r="B38" s="57">
        <v>4.0322111501939997</v>
      </c>
      <c r="C38" s="57">
        <v>4.1449999999999996</v>
      </c>
      <c r="D38" s="57">
        <v>4.1449999999999996</v>
      </c>
      <c r="E38" s="57">
        <v>4.1449999999999996</v>
      </c>
      <c r="F38" s="57">
        <v>4.1449999999999996</v>
      </c>
      <c r="G38" s="57">
        <v>4.1449999999999996</v>
      </c>
      <c r="H38" s="68">
        <v>4.1449999999999996</v>
      </c>
    </row>
    <row r="39" spans="1:8" x14ac:dyDescent="0.35">
      <c r="A39" s="25" t="s">
        <v>123</v>
      </c>
      <c r="B39" s="57"/>
      <c r="C39" s="57"/>
      <c r="D39" s="57"/>
      <c r="E39" s="57"/>
      <c r="F39" s="57"/>
      <c r="G39" s="57"/>
      <c r="H39" s="68"/>
    </row>
    <row r="40" spans="1:8" x14ac:dyDescent="0.35">
      <c r="A40" s="25" t="s">
        <v>124</v>
      </c>
      <c r="B40" s="57">
        <v>19.222262115134999</v>
      </c>
      <c r="C40" s="57">
        <v>19.282499999999999</v>
      </c>
      <c r="D40" s="57">
        <v>19.282499999999999</v>
      </c>
      <c r="E40" s="57">
        <v>19.282499999999999</v>
      </c>
      <c r="F40" s="57">
        <v>19.282499999999999</v>
      </c>
      <c r="G40" s="57">
        <v>19.282499999999999</v>
      </c>
      <c r="H40" s="68">
        <v>19.282499999999999</v>
      </c>
    </row>
    <row r="41" spans="1:8" x14ac:dyDescent="0.35">
      <c r="A41" s="25" t="s">
        <v>125</v>
      </c>
      <c r="B41" s="57"/>
      <c r="C41" s="57"/>
      <c r="D41" s="57"/>
      <c r="E41" s="57"/>
      <c r="F41" s="57"/>
      <c r="G41" s="57"/>
      <c r="H41" s="68"/>
    </row>
    <row r="42" spans="1:8" x14ac:dyDescent="0.35">
      <c r="A42" s="25" t="s">
        <v>126</v>
      </c>
      <c r="B42" s="57">
        <v>1.445405402182</v>
      </c>
      <c r="C42" s="57">
        <v>1.52</v>
      </c>
      <c r="D42" s="57">
        <v>1.52</v>
      </c>
      <c r="E42" s="57">
        <v>1.52</v>
      </c>
      <c r="F42" s="57">
        <v>1.52</v>
      </c>
      <c r="G42" s="57">
        <v>1.52</v>
      </c>
      <c r="H42" s="68">
        <v>1.52</v>
      </c>
    </row>
    <row r="43" spans="1:8" x14ac:dyDescent="0.35">
      <c r="A43" s="25" t="s">
        <v>127</v>
      </c>
      <c r="B43" s="57">
        <v>8.1347101280480008</v>
      </c>
      <c r="C43" s="57">
        <v>8.8049999999999997</v>
      </c>
      <c r="D43" s="57">
        <v>8.8049999999999997</v>
      </c>
      <c r="E43" s="57">
        <v>8.8049999999999997</v>
      </c>
      <c r="F43" s="57">
        <v>8.8049999999999997</v>
      </c>
      <c r="G43" s="57">
        <v>8.8049999999999997</v>
      </c>
      <c r="H43" s="68">
        <v>8.8049999999999997</v>
      </c>
    </row>
    <row r="44" spans="1:8" x14ac:dyDescent="0.35">
      <c r="A44" s="25" t="s">
        <v>128</v>
      </c>
      <c r="B44" s="57"/>
      <c r="C44" s="57"/>
      <c r="D44" s="57"/>
      <c r="E44" s="57"/>
      <c r="F44" s="57"/>
      <c r="G44" s="57"/>
      <c r="H44" s="68"/>
    </row>
    <row r="45" spans="1:8" x14ac:dyDescent="0.35">
      <c r="A45" s="25" t="s">
        <v>129</v>
      </c>
      <c r="B45" s="57"/>
      <c r="C45" s="57"/>
      <c r="D45" s="57"/>
      <c r="E45" s="57"/>
      <c r="F45" s="57"/>
      <c r="G45" s="57"/>
      <c r="H45" s="68"/>
    </row>
    <row r="46" spans="1:8" x14ac:dyDescent="0.35">
      <c r="A46" s="25" t="s">
        <v>130</v>
      </c>
      <c r="B46" s="57">
        <v>3.6095999999999999</v>
      </c>
      <c r="C46" s="57">
        <v>3.8475000000000001</v>
      </c>
      <c r="D46" s="57">
        <v>3.8475000000000001</v>
      </c>
      <c r="E46" s="57">
        <v>3.8475000000000001</v>
      </c>
      <c r="F46" s="57">
        <v>3.8475000000000001</v>
      </c>
      <c r="G46" s="57">
        <v>3.8475000000000001</v>
      </c>
      <c r="H46" s="68">
        <v>3.8475000000000001</v>
      </c>
    </row>
    <row r="47" spans="1:8" x14ac:dyDescent="0.35">
      <c r="A47" s="25" t="s">
        <v>131</v>
      </c>
      <c r="B47" s="57"/>
      <c r="C47" s="57"/>
      <c r="D47" s="57"/>
      <c r="E47" s="57"/>
      <c r="F47" s="57"/>
      <c r="G47" s="57"/>
      <c r="H47" s="68"/>
    </row>
    <row r="48" spans="1:8" x14ac:dyDescent="0.35">
      <c r="A48" s="25" t="s">
        <v>132</v>
      </c>
      <c r="B48" s="57"/>
      <c r="C48" s="57"/>
      <c r="D48" s="57"/>
      <c r="E48" s="57"/>
      <c r="F48" s="57"/>
      <c r="G48" s="57"/>
      <c r="H48" s="68"/>
    </row>
    <row r="49" spans="1:8" x14ac:dyDescent="0.35">
      <c r="A49" s="25" t="s">
        <v>133</v>
      </c>
      <c r="B49" s="57">
        <v>62.785499999999999</v>
      </c>
      <c r="C49" s="57">
        <v>64.665000000000006</v>
      </c>
      <c r="D49" s="57">
        <v>64.665000000000006</v>
      </c>
      <c r="E49" s="57">
        <v>64.665000000000006</v>
      </c>
      <c r="F49" s="57">
        <v>64.665000000000006</v>
      </c>
      <c r="G49" s="57">
        <v>64.665000000000006</v>
      </c>
      <c r="H49" s="68">
        <v>64.665000000000006</v>
      </c>
    </row>
    <row r="50" spans="1:8" x14ac:dyDescent="0.35">
      <c r="A50" s="25" t="s">
        <v>134</v>
      </c>
      <c r="B50" s="57">
        <v>3.7506416666670002</v>
      </c>
      <c r="C50" s="57">
        <v>3.75</v>
      </c>
      <c r="D50" s="57">
        <v>3.75</v>
      </c>
      <c r="E50" s="57">
        <v>3.75</v>
      </c>
      <c r="F50" s="57">
        <v>3.75</v>
      </c>
      <c r="G50" s="57">
        <v>3.75</v>
      </c>
      <c r="H50" s="68">
        <v>3.75</v>
      </c>
    </row>
    <row r="51" spans="1:8" x14ac:dyDescent="0.35">
      <c r="A51" s="25" t="s">
        <v>135</v>
      </c>
      <c r="B51" s="57"/>
      <c r="C51" s="57"/>
      <c r="D51" s="57"/>
      <c r="E51" s="57"/>
      <c r="F51" s="57"/>
      <c r="G51" s="57"/>
      <c r="H51" s="68"/>
    </row>
    <row r="52" spans="1:8" x14ac:dyDescent="0.35">
      <c r="A52" s="25" t="s">
        <v>136</v>
      </c>
      <c r="B52" s="57">
        <v>1.3488756173200001</v>
      </c>
      <c r="C52" s="57">
        <v>1.3625</v>
      </c>
      <c r="D52" s="57">
        <v>1.3625</v>
      </c>
      <c r="E52" s="57">
        <v>1.3625</v>
      </c>
      <c r="F52" s="57">
        <v>1.3625</v>
      </c>
      <c r="G52" s="57">
        <v>1.3625</v>
      </c>
      <c r="H52" s="68">
        <v>1.3625</v>
      </c>
    </row>
    <row r="53" spans="1:8" x14ac:dyDescent="0.35">
      <c r="A53" s="25" t="s">
        <v>137</v>
      </c>
      <c r="B53" s="57"/>
      <c r="C53" s="57"/>
      <c r="D53" s="57"/>
      <c r="E53" s="57"/>
      <c r="F53" s="57"/>
      <c r="G53" s="57"/>
      <c r="H53" s="68"/>
    </row>
    <row r="54" spans="1:8" x14ac:dyDescent="0.35">
      <c r="A54" s="25" t="s">
        <v>138</v>
      </c>
      <c r="B54" s="57">
        <v>13.235374594893999</v>
      </c>
      <c r="C54" s="57">
        <v>14.4625</v>
      </c>
      <c r="D54" s="57">
        <v>14.4625</v>
      </c>
      <c r="E54" s="57">
        <v>14.4625</v>
      </c>
      <c r="F54" s="57">
        <v>14.4625</v>
      </c>
      <c r="G54" s="57">
        <v>14.4625</v>
      </c>
      <c r="H54" s="68">
        <v>14.4625</v>
      </c>
    </row>
    <row r="55" spans="1:8" x14ac:dyDescent="0.35">
      <c r="A55" s="25" t="s">
        <v>139</v>
      </c>
      <c r="B55" s="57">
        <v>1099.5857703372999</v>
      </c>
      <c r="C55" s="57">
        <v>1163.9124999999999</v>
      </c>
      <c r="D55" s="57">
        <v>1163.9124999999999</v>
      </c>
      <c r="E55" s="57">
        <v>1163.9124999999999</v>
      </c>
      <c r="F55" s="57">
        <v>1163.9124999999999</v>
      </c>
      <c r="G55" s="57">
        <v>1163.9124999999999</v>
      </c>
      <c r="H55" s="68">
        <v>1163.9124999999999</v>
      </c>
    </row>
    <row r="56" spans="1:8" x14ac:dyDescent="0.35">
      <c r="A56" s="25" t="s">
        <v>140</v>
      </c>
      <c r="B56" s="57">
        <v>8.6964427922590009</v>
      </c>
      <c r="C56" s="57">
        <v>9.4725000000000001</v>
      </c>
      <c r="D56" s="57">
        <v>9.4725000000000001</v>
      </c>
      <c r="E56" s="57">
        <v>9.4725000000000001</v>
      </c>
      <c r="F56" s="57">
        <v>9.4725000000000001</v>
      </c>
      <c r="G56" s="57">
        <v>9.4725000000000001</v>
      </c>
      <c r="H56" s="68">
        <v>9.4725000000000001</v>
      </c>
    </row>
    <row r="57" spans="1:8" x14ac:dyDescent="0.35">
      <c r="A57" s="25" t="s">
        <v>141</v>
      </c>
      <c r="B57" s="57">
        <v>0.97844904977900005</v>
      </c>
      <c r="C57" s="57">
        <v>0.99750000000000005</v>
      </c>
      <c r="D57" s="57">
        <v>0.99750000000000005</v>
      </c>
      <c r="E57" s="57">
        <v>0.99750000000000005</v>
      </c>
      <c r="F57" s="57">
        <v>0.99750000000000005</v>
      </c>
      <c r="G57" s="57">
        <v>0.99750000000000005</v>
      </c>
      <c r="H57" s="68">
        <v>0.99750000000000005</v>
      </c>
    </row>
    <row r="58" spans="1:8" x14ac:dyDescent="0.35">
      <c r="A58" s="25" t="s">
        <v>142</v>
      </c>
      <c r="B58" s="57">
        <v>30.135692288306998</v>
      </c>
      <c r="C58" s="57">
        <v>30.9375</v>
      </c>
      <c r="D58" s="57">
        <v>30.9375</v>
      </c>
      <c r="E58" s="57">
        <v>30.9375</v>
      </c>
      <c r="F58" s="57">
        <v>30.9375</v>
      </c>
      <c r="G58" s="57">
        <v>30.9375</v>
      </c>
      <c r="H58" s="68">
        <v>30.9375</v>
      </c>
    </row>
    <row r="59" spans="1:8" x14ac:dyDescent="0.35">
      <c r="A59" s="25" t="s">
        <v>143</v>
      </c>
      <c r="B59" s="57">
        <v>32.307939832149003</v>
      </c>
      <c r="C59" s="57">
        <v>31.047499999999999</v>
      </c>
      <c r="D59" s="57">
        <v>31.047499999999999</v>
      </c>
      <c r="E59" s="57">
        <v>31.047499999999999</v>
      </c>
      <c r="F59" s="57">
        <v>31.047499999999999</v>
      </c>
      <c r="G59" s="57">
        <v>31.047499999999999</v>
      </c>
      <c r="H59" s="68">
        <v>31.047499999999999</v>
      </c>
    </row>
    <row r="60" spans="1:8" x14ac:dyDescent="0.35">
      <c r="A60" s="25" t="s">
        <v>144</v>
      </c>
      <c r="B60" s="57">
        <v>4.841241666667</v>
      </c>
      <c r="C60" s="57">
        <v>5.6775000000000002</v>
      </c>
      <c r="D60" s="57">
        <v>5.6775000000000002</v>
      </c>
      <c r="E60" s="57">
        <v>5.6775000000000002</v>
      </c>
      <c r="F60" s="57">
        <v>5.6775000000000002</v>
      </c>
      <c r="G60" s="57">
        <v>5.6775000000000002</v>
      </c>
      <c r="H60" s="68">
        <v>5.6775000000000002</v>
      </c>
    </row>
    <row r="61" spans="1:8" x14ac:dyDescent="0.35">
      <c r="A61" s="42" t="s">
        <v>145</v>
      </c>
      <c r="B61" s="69">
        <v>1</v>
      </c>
      <c r="C61" s="69">
        <v>1</v>
      </c>
      <c r="D61" s="69">
        <v>1</v>
      </c>
      <c r="E61" s="69">
        <v>1</v>
      </c>
      <c r="F61" s="69">
        <v>1</v>
      </c>
      <c r="G61" s="69">
        <v>1</v>
      </c>
      <c r="H61" s="70">
        <v>1</v>
      </c>
    </row>
  </sheetData>
  <mergeCells count="2">
    <mergeCell ref="B4:K4"/>
    <mergeCell ref="A6:J6"/>
  </mergeCells>
  <hyperlinks>
    <hyperlink ref="B4" location="MarketData!$A$15:$G$43" display="MarketData!$A$15:$G$43" xr:uid="{271BCCDD-E13E-40B9-87D1-C45D98FE614B}"/>
    <hyperlink ref="B4:K4" location="Exchange_Rates!A9" display="Exchange_Rates!A9" xr:uid="{B91E05CC-1145-4824-B7A5-9455221F1853}"/>
    <hyperlink ref="C3" location="Contents!A1" display="(Front Page)" xr:uid="{50AA0D6E-BF8D-4CDD-961C-28065F15655E}"/>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A03D-50D4-4A98-8C07-96AF0543EEB2}">
  <sheetPr codeName="Sheet9">
    <pageSetUpPr fitToPage="1"/>
  </sheetPr>
  <dimension ref="A1:Q87"/>
  <sheetViews>
    <sheetView showGridLines="0" workbookViewId="0"/>
  </sheetViews>
  <sheetFormatPr defaultColWidth="9.1796875" defaultRowHeight="12" x14ac:dyDescent="0.3"/>
  <cols>
    <col min="1" max="1" width="28.90625" style="101" customWidth="1"/>
    <col min="2" max="2" width="31.81640625" style="101" bestFit="1" customWidth="1"/>
    <col min="3" max="3" width="6.81640625" style="101" customWidth="1"/>
    <col min="4" max="4" width="14.7265625" style="101" customWidth="1"/>
    <col min="5" max="5" width="26.08984375" style="101" bestFit="1" customWidth="1"/>
    <col min="6" max="6" width="7.6328125" style="101" customWidth="1"/>
    <col min="7" max="10" width="8.7265625" style="101" customWidth="1"/>
    <col min="11" max="11" width="18.08984375" style="101" customWidth="1"/>
    <col min="12" max="12" width="8.7265625" style="101" customWidth="1"/>
    <col min="13" max="16384" width="9.1796875" style="101"/>
  </cols>
  <sheetData>
    <row r="1" spans="1:14" s="94" customFormat="1" ht="21.5" thickTop="1" x14ac:dyDescent="0.5">
      <c r="A1" s="171" t="s">
        <v>74</v>
      </c>
      <c r="B1" s="92"/>
      <c r="C1" s="92"/>
      <c r="D1" s="92"/>
      <c r="E1" s="92"/>
      <c r="F1" s="92"/>
      <c r="G1" s="92"/>
      <c r="H1" s="92"/>
      <c r="I1" s="92"/>
      <c r="J1" s="92"/>
      <c r="K1" s="93"/>
    </row>
    <row r="2" spans="1:14" s="94" customFormat="1" ht="21" x14ac:dyDescent="0.5">
      <c r="A2" s="95"/>
      <c r="E2" s="96"/>
      <c r="K2" s="97"/>
    </row>
    <row r="3" spans="1:14" s="94" customFormat="1" ht="21" x14ac:dyDescent="0.5">
      <c r="A3" s="95"/>
      <c r="E3" s="96" t="s">
        <v>161</v>
      </c>
      <c r="K3" s="97"/>
    </row>
    <row r="4" spans="1:14" s="94" customFormat="1" ht="21" x14ac:dyDescent="0.5">
      <c r="A4" s="95"/>
      <c r="K4" s="97"/>
    </row>
    <row r="5" spans="1:14" s="94" customFormat="1" ht="21" x14ac:dyDescent="0.5">
      <c r="A5" s="95"/>
      <c r="K5" s="97"/>
    </row>
    <row r="6" spans="1:14" s="94" customFormat="1" ht="12" customHeight="1" x14ac:dyDescent="0.5">
      <c r="A6" s="98"/>
      <c r="B6" s="99"/>
      <c r="C6" s="99"/>
      <c r="D6" s="99"/>
      <c r="E6" s="99"/>
      <c r="F6" s="99"/>
      <c r="G6" s="99"/>
      <c r="H6" s="99"/>
      <c r="I6" s="99"/>
      <c r="J6" s="99"/>
      <c r="K6" s="100"/>
      <c r="L6" s="99"/>
      <c r="M6" s="99"/>
      <c r="N6" s="99"/>
    </row>
    <row r="7" spans="1:14" s="94" customFormat="1" ht="12" customHeight="1" x14ac:dyDescent="0.5">
      <c r="A7" s="98"/>
      <c r="B7" s="99"/>
      <c r="C7" s="99"/>
      <c r="D7" s="99"/>
      <c r="E7" s="99"/>
      <c r="F7" s="99"/>
      <c r="G7" s="99"/>
      <c r="H7" s="99"/>
      <c r="I7" s="99"/>
      <c r="J7" s="99"/>
      <c r="K7" s="100"/>
      <c r="L7" s="99"/>
      <c r="M7" s="99"/>
      <c r="N7" s="99"/>
    </row>
    <row r="8" spans="1:14" s="94" customFormat="1" ht="12" customHeight="1" x14ac:dyDescent="0.5">
      <c r="A8" s="98"/>
      <c r="B8" s="99"/>
      <c r="C8" s="99"/>
      <c r="D8" s="99"/>
      <c r="E8" s="99"/>
      <c r="F8" s="99"/>
      <c r="G8" s="99"/>
      <c r="H8" s="99"/>
      <c r="I8" s="99"/>
      <c r="J8" s="99"/>
      <c r="K8" s="100"/>
      <c r="L8" s="99"/>
      <c r="M8" s="99"/>
      <c r="N8" s="99"/>
    </row>
    <row r="9" spans="1:14" ht="12" customHeight="1" x14ac:dyDescent="0.35">
      <c r="A9" s="98"/>
      <c r="B9" s="99"/>
      <c r="C9" s="99"/>
      <c r="D9" s="99"/>
      <c r="E9" s="99"/>
      <c r="F9" s="99"/>
      <c r="G9" s="99"/>
      <c r="H9" s="99"/>
      <c r="I9" s="99"/>
      <c r="J9" s="99"/>
      <c r="K9" s="100"/>
      <c r="L9" s="99"/>
      <c r="M9" s="99"/>
      <c r="N9" s="99"/>
    </row>
    <row r="10" spans="1:14" ht="17.25" customHeight="1" thickBot="1" x14ac:dyDescent="0.4">
      <c r="A10" s="98"/>
      <c r="B10" s="99"/>
      <c r="C10" s="99"/>
      <c r="D10" s="99"/>
      <c r="E10" s="99"/>
      <c r="F10" s="99"/>
      <c r="G10" s="99"/>
      <c r="H10" s="99"/>
      <c r="I10" s="99"/>
      <c r="J10" s="99"/>
      <c r="K10" s="100"/>
      <c r="L10" s="99"/>
      <c r="M10" s="99"/>
      <c r="N10" s="99"/>
    </row>
    <row r="11" spans="1:14" ht="18" customHeight="1" thickTop="1" x14ac:dyDescent="0.5">
      <c r="A11" s="158" t="s">
        <v>267</v>
      </c>
      <c r="B11" s="159"/>
      <c r="C11" s="159"/>
      <c r="D11" s="159"/>
      <c r="E11" s="159"/>
      <c r="F11" s="159"/>
      <c r="G11" s="159"/>
      <c r="H11" s="159"/>
      <c r="I11" s="159"/>
      <c r="J11" s="159"/>
      <c r="K11" s="160"/>
      <c r="L11" s="99"/>
      <c r="M11" s="99"/>
      <c r="N11" s="99"/>
    </row>
    <row r="12" spans="1:14" ht="14.25" customHeight="1" x14ac:dyDescent="0.45">
      <c r="A12" s="102" t="s">
        <v>265</v>
      </c>
      <c r="B12" s="99"/>
      <c r="C12" s="99"/>
      <c r="D12" s="99"/>
      <c r="E12" s="99"/>
      <c r="F12" s="99"/>
      <c r="G12" s="99"/>
      <c r="H12" s="99"/>
      <c r="I12" s="103"/>
      <c r="J12" s="99"/>
      <c r="K12" s="100"/>
      <c r="L12" s="99"/>
      <c r="M12" s="99"/>
      <c r="N12" s="99"/>
    </row>
    <row r="13" spans="1:14" ht="12" customHeight="1" x14ac:dyDescent="0.35">
      <c r="A13" s="98" t="s">
        <v>256</v>
      </c>
      <c r="B13" s="99"/>
      <c r="C13" s="99"/>
      <c r="D13" s="99"/>
      <c r="E13" s="99"/>
      <c r="F13" s="99"/>
      <c r="G13" s="99"/>
      <c r="H13" s="99"/>
      <c r="I13" s="36"/>
      <c r="J13" s="99"/>
      <c r="K13" s="100"/>
      <c r="L13" s="99"/>
      <c r="M13" s="99"/>
      <c r="N13" s="99"/>
    </row>
    <row r="14" spans="1:14" ht="12" customHeight="1" x14ac:dyDescent="0.35">
      <c r="A14" s="98" t="s">
        <v>257</v>
      </c>
      <c r="B14" s="99"/>
      <c r="C14" s="99"/>
      <c r="D14" s="99"/>
      <c r="E14" s="99"/>
      <c r="F14" s="99"/>
      <c r="G14" s="99"/>
      <c r="H14" s="99"/>
      <c r="I14" s="99"/>
      <c r="J14" s="99"/>
      <c r="K14" s="100"/>
      <c r="L14" s="99"/>
      <c r="M14" s="99"/>
      <c r="N14" s="99"/>
    </row>
    <row r="15" spans="1:14" ht="12" customHeight="1" x14ac:dyDescent="0.35">
      <c r="A15" s="98"/>
      <c r="B15" s="99"/>
      <c r="C15" s="99"/>
      <c r="D15" s="99"/>
      <c r="E15" s="99"/>
      <c r="F15" s="99"/>
      <c r="G15" s="99"/>
      <c r="H15" s="99"/>
      <c r="I15" s="99"/>
      <c r="J15" s="99"/>
      <c r="K15" s="100"/>
      <c r="L15" s="99"/>
      <c r="M15" s="99"/>
      <c r="N15" s="99"/>
    </row>
    <row r="16" spans="1:14" ht="12" customHeight="1" x14ac:dyDescent="0.35">
      <c r="A16" s="98"/>
      <c r="B16" s="99"/>
      <c r="C16" s="99"/>
      <c r="D16" s="99"/>
      <c r="E16" s="99"/>
      <c r="F16" s="99"/>
      <c r="G16" s="99"/>
      <c r="H16" s="99"/>
      <c r="J16" s="99"/>
      <c r="K16" s="100"/>
      <c r="L16" s="99"/>
      <c r="M16" s="99"/>
      <c r="N16" s="99"/>
    </row>
    <row r="17" spans="1:15" ht="12" customHeight="1" x14ac:dyDescent="0.35">
      <c r="A17" s="98"/>
      <c r="B17" s="99"/>
      <c r="C17" s="99"/>
      <c r="D17" s="99"/>
      <c r="E17" s="99"/>
      <c r="F17" s="99"/>
      <c r="G17" s="99"/>
      <c r="H17" s="99"/>
      <c r="J17" s="99"/>
      <c r="K17" s="100"/>
      <c r="L17" s="99"/>
      <c r="M17" s="99"/>
      <c r="N17" s="99"/>
    </row>
    <row r="18" spans="1:15" ht="15.75" customHeight="1" x14ac:dyDescent="0.5">
      <c r="A18" s="161" t="s">
        <v>165</v>
      </c>
      <c r="B18" s="162"/>
      <c r="C18" s="162"/>
      <c r="D18" s="162"/>
      <c r="E18" s="162"/>
      <c r="F18" s="162"/>
      <c r="G18" s="162"/>
      <c r="H18" s="162"/>
      <c r="I18" s="162"/>
      <c r="J18" s="162"/>
      <c r="K18" s="163"/>
      <c r="L18" s="99"/>
      <c r="M18" s="99"/>
      <c r="N18" s="99"/>
    </row>
    <row r="19" spans="1:15" ht="12" customHeight="1" x14ac:dyDescent="0.35">
      <c r="A19" s="104"/>
      <c r="B19" s="99"/>
      <c r="C19" s="99"/>
      <c r="D19" s="99"/>
      <c r="E19" s="99"/>
      <c r="F19" s="99"/>
      <c r="G19" s="99"/>
      <c r="H19" s="99"/>
      <c r="I19" s="99"/>
      <c r="J19" s="99"/>
      <c r="K19" s="100"/>
      <c r="L19" s="99"/>
      <c r="M19" s="99"/>
      <c r="N19" s="99"/>
    </row>
    <row r="20" spans="1:15" ht="12" customHeight="1" x14ac:dyDescent="0.35">
      <c r="A20" s="98" t="s">
        <v>166</v>
      </c>
      <c r="B20" s="99"/>
      <c r="C20" s="99"/>
      <c r="D20" s="99"/>
      <c r="E20" s="99"/>
      <c r="F20" s="99"/>
      <c r="G20" s="99"/>
      <c r="H20" s="99"/>
      <c r="I20" s="99"/>
      <c r="J20" s="99"/>
      <c r="K20" s="100"/>
      <c r="L20" s="99"/>
      <c r="M20" s="99"/>
      <c r="N20" s="99"/>
    </row>
    <row r="21" spans="1:15" ht="12" customHeight="1" x14ac:dyDescent="0.35">
      <c r="A21" s="98" t="s">
        <v>167</v>
      </c>
      <c r="B21" s="99"/>
      <c r="C21" s="99"/>
      <c r="D21" s="99"/>
      <c r="E21" s="99"/>
      <c r="F21" s="99"/>
      <c r="G21" s="99"/>
      <c r="H21" s="99"/>
      <c r="I21" s="99"/>
      <c r="J21" s="99"/>
      <c r="K21" s="100"/>
      <c r="L21" s="99"/>
      <c r="M21" s="99"/>
      <c r="N21" s="99"/>
    </row>
    <row r="22" spans="1:15" ht="12" customHeight="1" x14ac:dyDescent="0.35">
      <c r="A22" s="98"/>
      <c r="B22" s="99"/>
      <c r="C22" s="99"/>
      <c r="D22" s="99"/>
      <c r="E22" s="99"/>
      <c r="F22" s="99"/>
      <c r="G22" s="99"/>
      <c r="H22" s="99"/>
      <c r="I22" s="99"/>
      <c r="J22" s="99"/>
      <c r="K22" s="100"/>
      <c r="L22" s="99"/>
      <c r="M22" s="99"/>
      <c r="N22" s="99"/>
    </row>
    <row r="23" spans="1:15" ht="14.5" x14ac:dyDescent="0.35">
      <c r="A23" s="104"/>
      <c r="B23" s="99"/>
      <c r="C23" s="99"/>
      <c r="D23" s="99"/>
      <c r="E23" s="99"/>
      <c r="F23" s="99"/>
      <c r="G23" s="99"/>
      <c r="H23" s="99"/>
      <c r="I23" s="99"/>
      <c r="J23" s="99"/>
      <c r="K23" s="100"/>
      <c r="L23" s="99"/>
      <c r="M23" s="99"/>
      <c r="N23" s="99"/>
    </row>
    <row r="24" spans="1:15" s="108" customFormat="1" ht="21" x14ac:dyDescent="0.5">
      <c r="A24" s="105" t="s">
        <v>258</v>
      </c>
      <c r="B24" s="106"/>
      <c r="C24" s="106"/>
      <c r="D24" s="106"/>
      <c r="E24" s="106"/>
      <c r="F24" s="106"/>
      <c r="G24" s="106"/>
      <c r="H24" s="106"/>
      <c r="I24" s="106"/>
      <c r="J24" s="106"/>
      <c r="K24" s="107"/>
      <c r="L24" s="106"/>
      <c r="M24" s="106"/>
      <c r="N24" s="106"/>
    </row>
    <row r="25" spans="1:15" ht="12" customHeight="1" thickBot="1" x14ac:dyDescent="0.4">
      <c r="A25" s="109"/>
      <c r="B25" s="110"/>
      <c r="C25" s="110"/>
      <c r="D25" s="110"/>
      <c r="E25" s="110"/>
      <c r="F25" s="110"/>
      <c r="G25" s="110"/>
      <c r="H25" s="110"/>
      <c r="I25" s="110"/>
      <c r="J25" s="110"/>
      <c r="K25" s="111"/>
      <c r="L25" s="99"/>
      <c r="M25" s="99"/>
      <c r="N25" s="99"/>
    </row>
    <row r="26" spans="1:15" ht="15" thickTop="1" x14ac:dyDescent="0.35">
      <c r="A26" s="98"/>
      <c r="B26" s="99"/>
      <c r="C26" s="99"/>
      <c r="D26" s="99"/>
      <c r="E26" s="99"/>
      <c r="F26" s="99"/>
      <c r="G26" s="99"/>
      <c r="H26" s="99"/>
      <c r="I26" s="99"/>
      <c r="J26" s="99"/>
      <c r="K26" s="100"/>
      <c r="L26" s="99"/>
      <c r="M26" s="99"/>
      <c r="N26" s="99"/>
    </row>
    <row r="27" spans="1:15" ht="21.5" thickBot="1" x14ac:dyDescent="0.55000000000000004">
      <c r="A27" s="164" t="s">
        <v>258</v>
      </c>
      <c r="B27" s="165"/>
      <c r="C27" s="165"/>
      <c r="D27" s="165"/>
      <c r="E27" s="165"/>
      <c r="F27" s="165"/>
      <c r="G27" s="165"/>
      <c r="H27" s="165"/>
      <c r="I27" s="165"/>
      <c r="J27" s="165"/>
      <c r="K27" s="166"/>
      <c r="L27" s="99"/>
      <c r="M27" s="99"/>
      <c r="N27" s="99"/>
    </row>
    <row r="28" spans="1:15" ht="15" customHeight="1" thickTop="1" x14ac:dyDescent="0.35">
      <c r="A28" s="167" t="s">
        <v>163</v>
      </c>
      <c r="B28" s="168"/>
      <c r="C28" s="168"/>
      <c r="D28" s="168"/>
      <c r="E28" s="168"/>
      <c r="F28" s="169" t="s">
        <v>207</v>
      </c>
      <c r="G28" s="168"/>
      <c r="H28" s="168"/>
      <c r="I28" s="168"/>
      <c r="J28" s="168"/>
      <c r="K28" s="112"/>
      <c r="L28" s="99"/>
      <c r="M28" s="99"/>
      <c r="N28" s="99"/>
    </row>
    <row r="29" spans="1:15" ht="12" customHeight="1" x14ac:dyDescent="0.35">
      <c r="A29" s="113"/>
      <c r="B29" s="99"/>
      <c r="C29" s="99"/>
      <c r="D29" s="99"/>
      <c r="E29" s="99"/>
      <c r="F29" s="114"/>
      <c r="H29" s="115"/>
      <c r="I29" s="99"/>
      <c r="J29" s="99"/>
      <c r="K29" s="116"/>
      <c r="L29" s="99"/>
      <c r="M29" s="99"/>
      <c r="N29" s="99"/>
    </row>
    <row r="30" spans="1:15" ht="12" customHeight="1" x14ac:dyDescent="0.35">
      <c r="A30" s="117" t="s">
        <v>259</v>
      </c>
      <c r="B30" s="35"/>
      <c r="C30" s="118"/>
      <c r="D30" s="35"/>
      <c r="E30" s="35"/>
      <c r="F30" s="114"/>
      <c r="G30" s="118" t="s">
        <v>202</v>
      </c>
      <c r="H30" s="115"/>
      <c r="I30" s="99"/>
      <c r="J30" s="99"/>
      <c r="K30" s="116"/>
      <c r="L30" s="99"/>
      <c r="M30" s="99"/>
      <c r="N30" s="99"/>
      <c r="O30" s="118"/>
    </row>
    <row r="31" spans="1:15" ht="12" customHeight="1" x14ac:dyDescent="0.35">
      <c r="A31" s="119" t="s">
        <v>193</v>
      </c>
      <c r="B31" s="35"/>
      <c r="C31" s="118"/>
      <c r="D31" s="120" t="s">
        <v>238</v>
      </c>
      <c r="E31" s="35"/>
      <c r="F31" s="114"/>
      <c r="G31" s="118" t="s">
        <v>192</v>
      </c>
      <c r="H31" s="118"/>
      <c r="I31" s="99"/>
      <c r="J31" s="99"/>
      <c r="K31" s="116"/>
      <c r="L31" s="99"/>
      <c r="M31" s="99"/>
      <c r="N31" s="99"/>
      <c r="O31" s="118"/>
    </row>
    <row r="32" spans="1:15" ht="12" customHeight="1" x14ac:dyDescent="0.35">
      <c r="A32" s="121"/>
      <c r="B32" s="122" t="s">
        <v>262</v>
      </c>
      <c r="C32" s="118"/>
      <c r="D32" s="123" t="s">
        <v>8</v>
      </c>
      <c r="E32" s="122" t="s">
        <v>9</v>
      </c>
      <c r="F32" s="114"/>
      <c r="G32" s="118" t="s">
        <v>203</v>
      </c>
      <c r="H32" s="118"/>
      <c r="I32" s="99"/>
      <c r="J32" s="99"/>
      <c r="K32" s="116"/>
      <c r="L32" s="99"/>
      <c r="M32" s="99"/>
      <c r="N32" s="99"/>
    </row>
    <row r="33" spans="1:17" ht="12" customHeight="1" x14ac:dyDescent="0.35">
      <c r="A33" s="121"/>
      <c r="B33" s="122" t="s">
        <v>245</v>
      </c>
      <c r="C33" s="118"/>
      <c r="D33" s="123"/>
      <c r="E33" s="122" t="s">
        <v>217</v>
      </c>
      <c r="F33" s="114"/>
      <c r="G33" s="118" t="s">
        <v>67</v>
      </c>
      <c r="H33" s="118"/>
      <c r="I33" s="99"/>
      <c r="J33" s="99"/>
      <c r="K33" s="116"/>
      <c r="L33" s="99"/>
      <c r="M33" s="99"/>
      <c r="N33" s="99"/>
    </row>
    <row r="34" spans="1:17" ht="12" customHeight="1" x14ac:dyDescent="0.35">
      <c r="A34" s="121"/>
      <c r="B34" s="122" t="s">
        <v>263</v>
      </c>
      <c r="C34" s="118"/>
      <c r="D34" s="123"/>
      <c r="E34" s="122" t="s">
        <v>19</v>
      </c>
      <c r="F34" s="114"/>
      <c r="G34" s="118" t="s">
        <v>191</v>
      </c>
      <c r="H34" s="118"/>
      <c r="I34" s="99"/>
      <c r="J34" s="99"/>
      <c r="K34" s="116"/>
      <c r="L34" s="99"/>
      <c r="M34" s="99"/>
      <c r="N34" s="99"/>
    </row>
    <row r="35" spans="1:17" ht="12" customHeight="1" x14ac:dyDescent="0.35">
      <c r="A35" s="121"/>
      <c r="B35" s="35" t="s">
        <v>58</v>
      </c>
      <c r="C35" s="118"/>
      <c r="D35" s="123"/>
      <c r="E35" s="122" t="s">
        <v>23</v>
      </c>
      <c r="F35" s="114"/>
      <c r="G35" s="118" t="s">
        <v>204</v>
      </c>
      <c r="H35" s="124"/>
      <c r="I35" s="99"/>
      <c r="J35" s="99"/>
      <c r="K35" s="116"/>
      <c r="L35" s="99"/>
      <c r="M35" s="99"/>
      <c r="N35" s="99"/>
    </row>
    <row r="36" spans="1:17" ht="12" customHeight="1" x14ac:dyDescent="0.35">
      <c r="A36" s="121"/>
      <c r="B36" s="122" t="s">
        <v>246</v>
      </c>
      <c r="C36" s="118"/>
      <c r="D36" s="123"/>
      <c r="E36" s="122" t="s">
        <v>218</v>
      </c>
      <c r="F36" s="114"/>
      <c r="G36" s="118" t="s">
        <v>205</v>
      </c>
      <c r="H36" s="118"/>
      <c r="I36" s="99"/>
      <c r="J36" s="99"/>
      <c r="K36" s="116"/>
      <c r="L36" s="99"/>
      <c r="M36" s="99"/>
      <c r="N36" s="99"/>
    </row>
    <row r="37" spans="1:17" ht="12" customHeight="1" x14ac:dyDescent="0.35">
      <c r="A37" s="121"/>
      <c r="B37" s="122" t="s">
        <v>51</v>
      </c>
      <c r="C37" s="118"/>
      <c r="E37" s="101" t="s">
        <v>244</v>
      </c>
      <c r="F37" s="114"/>
      <c r="G37" s="118" t="s">
        <v>206</v>
      </c>
      <c r="H37" s="118"/>
      <c r="I37" s="99"/>
      <c r="J37" s="99"/>
      <c r="K37" s="116"/>
      <c r="L37" s="99"/>
      <c r="M37" s="99"/>
      <c r="N37" s="99"/>
    </row>
    <row r="38" spans="1:17" ht="12" customHeight="1" x14ac:dyDescent="0.35">
      <c r="A38" s="121"/>
      <c r="B38" s="122" t="s">
        <v>52</v>
      </c>
      <c r="C38" s="118"/>
      <c r="D38" s="123" t="s">
        <v>17</v>
      </c>
      <c r="E38" s="122" t="s">
        <v>208</v>
      </c>
      <c r="F38" s="114"/>
      <c r="G38" s="118" t="s">
        <v>190</v>
      </c>
      <c r="H38" s="118"/>
      <c r="I38" s="99"/>
      <c r="J38" s="99"/>
      <c r="K38" s="116"/>
      <c r="L38" s="99"/>
      <c r="M38" s="99"/>
      <c r="N38" s="99"/>
      <c r="P38" s="36"/>
      <c r="Q38" s="99"/>
    </row>
    <row r="39" spans="1:17" ht="12" customHeight="1" x14ac:dyDescent="0.35">
      <c r="A39" s="121"/>
      <c r="B39" s="122" t="s">
        <v>53</v>
      </c>
      <c r="C39" s="118"/>
      <c r="D39" s="123"/>
      <c r="E39" s="122" t="s">
        <v>18</v>
      </c>
      <c r="F39" s="114"/>
      <c r="G39" s="99"/>
      <c r="H39" s="118"/>
      <c r="I39" s="99"/>
      <c r="J39" s="99"/>
      <c r="K39" s="116"/>
      <c r="L39" s="99"/>
      <c r="M39" s="99"/>
      <c r="N39" s="99"/>
      <c r="P39" s="36"/>
      <c r="Q39" s="99"/>
    </row>
    <row r="40" spans="1:17" ht="12" customHeight="1" x14ac:dyDescent="0.35">
      <c r="A40" s="121"/>
      <c r="B40" s="122" t="s">
        <v>54</v>
      </c>
      <c r="C40" s="118"/>
      <c r="D40" s="123"/>
      <c r="E40" s="122" t="s">
        <v>209</v>
      </c>
      <c r="F40" s="114"/>
      <c r="G40" s="99"/>
      <c r="H40" s="118"/>
      <c r="I40" s="99"/>
      <c r="J40" s="99"/>
      <c r="K40" s="116"/>
      <c r="L40" s="99"/>
      <c r="M40" s="99"/>
      <c r="N40" s="99"/>
      <c r="P40" s="36"/>
      <c r="Q40" s="99"/>
    </row>
    <row r="41" spans="1:17" ht="12" customHeight="1" x14ac:dyDescent="0.35">
      <c r="A41" s="121"/>
      <c r="B41" s="122" t="s">
        <v>55</v>
      </c>
      <c r="C41" s="118"/>
      <c r="D41" s="123"/>
      <c r="E41" s="122" t="s">
        <v>210</v>
      </c>
      <c r="F41" s="114"/>
      <c r="G41" s="99"/>
      <c r="H41" s="118"/>
      <c r="I41" s="99"/>
      <c r="J41" s="99"/>
      <c r="K41" s="116"/>
      <c r="L41" s="99"/>
      <c r="M41" s="99"/>
      <c r="N41" s="99"/>
      <c r="P41" s="36"/>
      <c r="Q41" s="99"/>
    </row>
    <row r="42" spans="1:17" ht="12" customHeight="1" x14ac:dyDescent="0.35">
      <c r="A42" s="121"/>
      <c r="B42" s="122" t="s">
        <v>56</v>
      </c>
      <c r="C42" s="118"/>
      <c r="D42" s="123"/>
      <c r="E42" s="122" t="s">
        <v>212</v>
      </c>
      <c r="F42" s="114"/>
      <c r="G42" s="99"/>
      <c r="H42" s="118"/>
      <c r="I42" s="99"/>
      <c r="J42" s="99"/>
      <c r="K42" s="116"/>
      <c r="L42" s="99"/>
      <c r="M42" s="99"/>
      <c r="N42" s="99"/>
      <c r="P42" s="36"/>
      <c r="Q42" s="99"/>
    </row>
    <row r="43" spans="1:17" ht="12" customHeight="1" x14ac:dyDescent="0.35">
      <c r="A43" s="121"/>
      <c r="B43" s="122" t="s">
        <v>57</v>
      </c>
      <c r="C43" s="118"/>
      <c r="D43" s="123"/>
      <c r="E43" s="122" t="s">
        <v>214</v>
      </c>
      <c r="F43" s="114"/>
      <c r="G43" s="99"/>
      <c r="H43" s="118"/>
      <c r="I43" s="99"/>
      <c r="J43" s="99"/>
      <c r="K43" s="116"/>
      <c r="L43" s="99"/>
      <c r="M43" s="99"/>
      <c r="N43" s="99"/>
      <c r="P43" s="36"/>
      <c r="Q43" s="99"/>
    </row>
    <row r="44" spans="1:17" ht="12" customHeight="1" x14ac:dyDescent="0.35">
      <c r="A44" s="117" t="s">
        <v>194</v>
      </c>
      <c r="B44" s="35"/>
      <c r="C44" s="118"/>
      <c r="D44" s="123"/>
      <c r="E44" s="122" t="s">
        <v>211</v>
      </c>
      <c r="F44" s="114"/>
      <c r="G44" s="99"/>
      <c r="H44" s="118"/>
      <c r="I44" s="99"/>
      <c r="J44" s="99"/>
      <c r="K44" s="116"/>
      <c r="L44" s="99"/>
      <c r="M44" s="99"/>
      <c r="N44" s="99"/>
      <c r="P44" s="36"/>
      <c r="Q44" s="99"/>
    </row>
    <row r="45" spans="1:17" ht="12" customHeight="1" x14ac:dyDescent="0.35">
      <c r="A45" s="125" t="s">
        <v>241</v>
      </c>
      <c r="B45" s="122" t="s">
        <v>36</v>
      </c>
      <c r="C45" s="118"/>
      <c r="D45" s="123"/>
      <c r="E45" s="122" t="s">
        <v>213</v>
      </c>
      <c r="F45" s="114"/>
      <c r="G45" s="99"/>
      <c r="H45" s="118"/>
      <c r="I45" s="99"/>
      <c r="J45" s="99"/>
      <c r="K45" s="116"/>
      <c r="L45" s="99"/>
      <c r="M45" s="99"/>
      <c r="N45" s="99"/>
      <c r="P45" s="36"/>
      <c r="Q45" s="36"/>
    </row>
    <row r="46" spans="1:17" ht="12" customHeight="1" x14ac:dyDescent="0.35">
      <c r="A46" s="125"/>
      <c r="B46" s="122" t="s">
        <v>37</v>
      </c>
      <c r="C46" s="118"/>
      <c r="D46" s="123"/>
      <c r="E46" s="122" t="s">
        <v>215</v>
      </c>
      <c r="F46" s="114"/>
      <c r="G46" s="99"/>
      <c r="H46" s="124"/>
      <c r="I46" s="99"/>
      <c r="J46" s="99"/>
      <c r="K46" s="116"/>
      <c r="L46" s="99"/>
      <c r="M46" s="99"/>
      <c r="N46" s="99"/>
      <c r="P46" s="36"/>
      <c r="Q46" s="99"/>
    </row>
    <row r="47" spans="1:17" ht="12" customHeight="1" x14ac:dyDescent="0.35">
      <c r="A47" s="125"/>
      <c r="B47" s="122" t="s">
        <v>230</v>
      </c>
      <c r="C47" s="118"/>
      <c r="D47" s="123"/>
      <c r="E47" s="122" t="s">
        <v>216</v>
      </c>
      <c r="F47" s="114"/>
      <c r="G47" s="99"/>
      <c r="H47" s="118"/>
      <c r="I47" s="99"/>
      <c r="J47" s="99"/>
      <c r="K47" s="116"/>
      <c r="L47" s="99"/>
      <c r="M47" s="99"/>
      <c r="N47" s="99"/>
      <c r="P47" s="36"/>
      <c r="Q47" s="99"/>
    </row>
    <row r="48" spans="1:17" ht="12" customHeight="1" x14ac:dyDescent="0.35">
      <c r="A48" s="125"/>
      <c r="B48" s="122" t="s">
        <v>34</v>
      </c>
      <c r="C48" s="118"/>
      <c r="D48" s="123" t="s">
        <v>242</v>
      </c>
      <c r="E48" s="122" t="s">
        <v>243</v>
      </c>
      <c r="F48" s="114"/>
      <c r="G48" s="99"/>
      <c r="H48" s="118"/>
      <c r="I48" s="99"/>
      <c r="J48" s="99"/>
      <c r="K48" s="116"/>
      <c r="L48" s="99"/>
      <c r="M48" s="99"/>
      <c r="N48" s="99"/>
      <c r="P48" s="36"/>
      <c r="Q48" s="99"/>
    </row>
    <row r="49" spans="1:17" ht="14.5" x14ac:dyDescent="0.35">
      <c r="A49" s="125"/>
      <c r="B49" s="122" t="s">
        <v>38</v>
      </c>
      <c r="C49" s="118"/>
      <c r="D49" s="123"/>
      <c r="E49" s="122" t="s">
        <v>22</v>
      </c>
      <c r="F49" s="114"/>
      <c r="G49" s="99"/>
      <c r="H49" s="118"/>
      <c r="I49" s="99"/>
      <c r="J49" s="99"/>
      <c r="K49" s="116"/>
      <c r="L49" s="99"/>
      <c r="M49" s="99"/>
      <c r="N49" s="99"/>
      <c r="P49" s="36"/>
      <c r="Q49" s="99"/>
    </row>
    <row r="50" spans="1:17" ht="14.5" x14ac:dyDescent="0.35">
      <c r="A50" s="125"/>
      <c r="B50" s="122" t="s">
        <v>33</v>
      </c>
      <c r="C50" s="118"/>
      <c r="D50" s="123"/>
      <c r="E50" s="122" t="s">
        <v>21</v>
      </c>
      <c r="F50" s="114"/>
      <c r="G50" s="99"/>
      <c r="H50" s="124"/>
      <c r="I50" s="99"/>
      <c r="J50" s="99"/>
      <c r="K50" s="116"/>
      <c r="L50" s="99"/>
      <c r="M50" s="99"/>
      <c r="N50" s="99"/>
      <c r="P50" s="36"/>
      <c r="Q50" s="99"/>
    </row>
    <row r="51" spans="1:17" ht="14.5" x14ac:dyDescent="0.35">
      <c r="A51" s="125"/>
      <c r="B51" s="122" t="s">
        <v>32</v>
      </c>
      <c r="C51" s="118"/>
      <c r="D51" s="123"/>
      <c r="E51" s="122" t="s">
        <v>20</v>
      </c>
      <c r="F51" s="114"/>
      <c r="G51" s="99"/>
      <c r="H51" s="118"/>
      <c r="I51" s="99"/>
      <c r="J51" s="99"/>
      <c r="K51" s="116"/>
      <c r="L51" s="99"/>
      <c r="M51" s="99"/>
      <c r="N51" s="99"/>
      <c r="P51" s="36"/>
      <c r="Q51" s="99"/>
    </row>
    <row r="52" spans="1:17" ht="14.5" x14ac:dyDescent="0.35">
      <c r="A52" s="125"/>
      <c r="B52" s="122" t="s">
        <v>31</v>
      </c>
      <c r="C52" s="118"/>
      <c r="D52" s="123"/>
      <c r="E52" s="122"/>
      <c r="F52" s="114"/>
      <c r="G52" s="99"/>
      <c r="H52" s="118"/>
      <c r="I52" s="99"/>
      <c r="J52" s="99"/>
      <c r="K52" s="116"/>
      <c r="L52" s="99"/>
      <c r="M52" s="99"/>
      <c r="N52" s="99"/>
      <c r="P52" s="36"/>
      <c r="Q52" s="99"/>
    </row>
    <row r="53" spans="1:17" ht="14.5" x14ac:dyDescent="0.35">
      <c r="A53" s="125"/>
      <c r="B53" s="122" t="s">
        <v>35</v>
      </c>
      <c r="C53" s="118"/>
      <c r="D53" s="36" t="s">
        <v>239</v>
      </c>
      <c r="E53" s="122"/>
      <c r="F53" s="114"/>
      <c r="G53" s="99"/>
      <c r="H53" s="118"/>
      <c r="I53" s="99"/>
      <c r="J53" s="99"/>
      <c r="K53" s="116"/>
      <c r="L53" s="99"/>
      <c r="M53" s="99"/>
      <c r="N53" s="99"/>
      <c r="P53" s="36"/>
      <c r="Q53" s="99"/>
    </row>
    <row r="54" spans="1:17" ht="14.5" x14ac:dyDescent="0.35">
      <c r="A54" s="125" t="s">
        <v>240</v>
      </c>
      <c r="B54" s="122" t="s">
        <v>228</v>
      </c>
      <c r="C54" s="118"/>
      <c r="D54" s="36"/>
      <c r="E54" s="122" t="s">
        <v>222</v>
      </c>
      <c r="F54" s="114"/>
      <c r="G54" s="99"/>
      <c r="H54" s="124"/>
      <c r="I54" s="99"/>
      <c r="J54" s="99"/>
      <c r="K54" s="116"/>
      <c r="L54" s="99"/>
      <c r="M54" s="99"/>
      <c r="N54" s="99"/>
      <c r="P54" s="36"/>
      <c r="Q54" s="99"/>
    </row>
    <row r="55" spans="1:17" ht="14.5" x14ac:dyDescent="0.35">
      <c r="A55" s="125"/>
      <c r="B55" s="122" t="s">
        <v>223</v>
      </c>
      <c r="C55" s="118"/>
      <c r="D55" s="118"/>
      <c r="E55" s="122" t="s">
        <v>221</v>
      </c>
      <c r="F55" s="114"/>
      <c r="G55" s="99"/>
      <c r="H55" s="118"/>
      <c r="I55" s="99"/>
      <c r="J55" s="99"/>
      <c r="K55" s="116"/>
      <c r="L55" s="99"/>
      <c r="M55" s="99"/>
      <c r="N55" s="99"/>
      <c r="P55" s="36"/>
      <c r="Q55" s="99"/>
    </row>
    <row r="56" spans="1:17" ht="14.5" x14ac:dyDescent="0.35">
      <c r="A56" s="125"/>
      <c r="B56" s="122" t="s">
        <v>28</v>
      </c>
      <c r="C56" s="118"/>
      <c r="D56" s="123"/>
      <c r="E56" s="122" t="s">
        <v>25</v>
      </c>
      <c r="F56" s="114"/>
      <c r="G56" s="99"/>
      <c r="H56" s="118"/>
      <c r="I56" s="99"/>
      <c r="J56" s="99"/>
      <c r="K56" s="116"/>
      <c r="L56" s="99"/>
      <c r="M56" s="99"/>
      <c r="N56" s="99"/>
      <c r="P56" s="36"/>
      <c r="Q56" s="36"/>
    </row>
    <row r="57" spans="1:17" ht="14.5" x14ac:dyDescent="0.35">
      <c r="A57" s="125"/>
      <c r="B57" s="122" t="s">
        <v>229</v>
      </c>
      <c r="C57" s="118"/>
      <c r="D57" s="123"/>
      <c r="E57" s="122" t="s">
        <v>24</v>
      </c>
      <c r="F57" s="114"/>
      <c r="G57" s="99"/>
      <c r="H57" s="118"/>
      <c r="I57" s="99"/>
      <c r="J57" s="99"/>
      <c r="K57" s="116"/>
      <c r="L57" s="99"/>
      <c r="M57" s="99"/>
      <c r="N57" s="99"/>
      <c r="P57" s="36"/>
      <c r="Q57" s="99"/>
    </row>
    <row r="58" spans="1:17" ht="14.5" x14ac:dyDescent="0.35">
      <c r="A58" s="125"/>
      <c r="B58" s="122" t="s">
        <v>224</v>
      </c>
      <c r="C58" s="124"/>
      <c r="D58" s="123"/>
      <c r="E58" s="122" t="s">
        <v>220</v>
      </c>
      <c r="F58" s="114"/>
      <c r="G58" s="99"/>
      <c r="H58" s="115"/>
      <c r="I58" s="99"/>
      <c r="J58" s="99"/>
      <c r="K58" s="116"/>
      <c r="L58" s="99"/>
      <c r="M58" s="99"/>
      <c r="N58" s="99"/>
      <c r="P58" s="36"/>
      <c r="Q58" s="99"/>
    </row>
    <row r="59" spans="1:17" ht="14.5" x14ac:dyDescent="0.35">
      <c r="A59" s="125"/>
      <c r="B59" s="122" t="s">
        <v>29</v>
      </c>
      <c r="C59" s="118"/>
      <c r="D59" s="123"/>
      <c r="E59" s="122" t="s">
        <v>26</v>
      </c>
      <c r="F59" s="114"/>
      <c r="G59" s="99"/>
      <c r="H59" s="118"/>
      <c r="I59" s="99"/>
      <c r="J59" s="99"/>
      <c r="K59" s="116"/>
      <c r="L59" s="99"/>
      <c r="M59" s="99"/>
      <c r="N59" s="99"/>
      <c r="P59" s="36"/>
      <c r="Q59" s="99"/>
    </row>
    <row r="60" spans="1:17" ht="14.5" x14ac:dyDescent="0.35">
      <c r="A60" s="125"/>
      <c r="B60" s="122" t="s">
        <v>231</v>
      </c>
      <c r="C60" s="118"/>
      <c r="D60" s="123"/>
      <c r="E60" s="122" t="s">
        <v>219</v>
      </c>
      <c r="F60" s="114"/>
      <c r="G60" s="99"/>
      <c r="H60" s="118"/>
      <c r="I60" s="99"/>
      <c r="J60" s="99"/>
      <c r="K60" s="116"/>
      <c r="L60" s="99"/>
      <c r="M60" s="99"/>
      <c r="N60" s="99"/>
      <c r="P60" s="36"/>
      <c r="Q60" s="99"/>
    </row>
    <row r="61" spans="1:17" ht="14.5" x14ac:dyDescent="0.35">
      <c r="A61" s="125"/>
      <c r="B61" s="122" t="s">
        <v>27</v>
      </c>
      <c r="C61" s="118"/>
      <c r="D61" s="123"/>
      <c r="F61" s="114"/>
      <c r="G61" s="99"/>
      <c r="H61" s="118"/>
      <c r="I61" s="99"/>
      <c r="J61" s="99"/>
      <c r="K61" s="116"/>
      <c r="L61" s="99"/>
      <c r="M61" s="99"/>
      <c r="N61" s="99"/>
      <c r="P61" s="36"/>
      <c r="Q61" s="36"/>
    </row>
    <row r="62" spans="1:17" ht="14.5" x14ac:dyDescent="0.35">
      <c r="A62" s="125"/>
      <c r="B62" s="122" t="s">
        <v>30</v>
      </c>
      <c r="C62" s="118"/>
      <c r="D62" s="36" t="s">
        <v>196</v>
      </c>
      <c r="E62" s="122"/>
      <c r="F62" s="114"/>
      <c r="G62" s="99"/>
      <c r="H62" s="118"/>
      <c r="I62" s="99"/>
      <c r="J62" s="99"/>
      <c r="K62" s="116"/>
      <c r="L62" s="99"/>
      <c r="M62" s="99"/>
      <c r="N62" s="99"/>
    </row>
    <row r="63" spans="1:17" ht="14.5" x14ac:dyDescent="0.35">
      <c r="A63" s="125"/>
      <c r="B63" s="122"/>
      <c r="C63" s="118"/>
      <c r="D63" s="36"/>
      <c r="E63" s="122" t="s">
        <v>247</v>
      </c>
      <c r="F63" s="114"/>
      <c r="G63" s="99"/>
      <c r="H63" s="118"/>
      <c r="I63" s="99"/>
      <c r="J63" s="99"/>
      <c r="K63" s="116"/>
      <c r="L63" s="99"/>
      <c r="M63" s="99"/>
      <c r="N63" s="99"/>
    </row>
    <row r="64" spans="1:17" ht="14.5" x14ac:dyDescent="0.35">
      <c r="A64" s="117" t="s">
        <v>164</v>
      </c>
      <c r="B64" s="122"/>
      <c r="C64" s="118"/>
      <c r="D64" s="123"/>
      <c r="E64" s="122" t="s">
        <v>248</v>
      </c>
      <c r="F64" s="114"/>
      <c r="G64" s="99"/>
      <c r="H64" s="118"/>
      <c r="I64" s="99"/>
      <c r="J64" s="99"/>
      <c r="K64" s="116"/>
      <c r="L64" s="99"/>
      <c r="M64" s="99"/>
      <c r="N64" s="99"/>
    </row>
    <row r="65" spans="1:14" ht="14.5" x14ac:dyDescent="0.35">
      <c r="A65" s="125"/>
      <c r="B65" s="122" t="s">
        <v>39</v>
      </c>
      <c r="C65" s="118"/>
      <c r="D65" s="123"/>
      <c r="E65" s="122" t="s">
        <v>60</v>
      </c>
      <c r="F65" s="114"/>
      <c r="G65" s="99"/>
      <c r="H65" s="124"/>
      <c r="I65" s="99"/>
      <c r="J65" s="99"/>
      <c r="K65" s="116"/>
      <c r="L65" s="99"/>
      <c r="M65" s="99"/>
      <c r="N65" s="99"/>
    </row>
    <row r="66" spans="1:14" ht="14.5" x14ac:dyDescent="0.35">
      <c r="A66" s="125"/>
      <c r="B66" s="122" t="s">
        <v>40</v>
      </c>
      <c r="C66" s="118"/>
      <c r="D66" s="123"/>
      <c r="E66" s="122" t="s">
        <v>63</v>
      </c>
      <c r="F66" s="114"/>
      <c r="G66" s="99"/>
      <c r="H66" s="118"/>
      <c r="I66" s="99"/>
      <c r="J66" s="99"/>
      <c r="K66" s="116"/>
      <c r="L66" s="99"/>
      <c r="M66" s="99"/>
      <c r="N66" s="99"/>
    </row>
    <row r="67" spans="1:14" ht="14.5" x14ac:dyDescent="0.35">
      <c r="A67" s="125"/>
      <c r="B67" s="122" t="s">
        <v>232</v>
      </c>
      <c r="C67" s="118"/>
      <c r="D67" s="123"/>
      <c r="E67" s="122" t="s">
        <v>61</v>
      </c>
      <c r="F67" s="114"/>
      <c r="G67" s="99"/>
      <c r="H67" s="118"/>
      <c r="I67" s="99"/>
      <c r="J67" s="99"/>
      <c r="K67" s="116"/>
      <c r="L67" s="99"/>
      <c r="M67" s="99"/>
      <c r="N67" s="99"/>
    </row>
    <row r="68" spans="1:14" ht="14.5" x14ac:dyDescent="0.35">
      <c r="A68" s="125"/>
      <c r="B68" s="122" t="s">
        <v>233</v>
      </c>
      <c r="C68" s="118"/>
      <c r="D68" s="123"/>
      <c r="E68" s="122" t="s">
        <v>62</v>
      </c>
      <c r="F68" s="114"/>
      <c r="G68" s="99"/>
      <c r="H68" s="118"/>
      <c r="I68" s="99"/>
      <c r="J68" s="99"/>
      <c r="K68" s="116"/>
      <c r="L68" s="99"/>
      <c r="M68" s="99"/>
      <c r="N68" s="99"/>
    </row>
    <row r="69" spans="1:14" ht="14.5" x14ac:dyDescent="0.35">
      <c r="A69" s="125"/>
      <c r="B69" s="122" t="s">
        <v>234</v>
      </c>
      <c r="C69" s="118"/>
      <c r="D69" s="123"/>
      <c r="E69" s="122" t="s">
        <v>65</v>
      </c>
      <c r="F69" s="114"/>
      <c r="G69" s="99"/>
      <c r="H69" s="118"/>
      <c r="I69" s="99"/>
      <c r="J69" s="99"/>
      <c r="K69" s="116"/>
      <c r="L69" s="99"/>
      <c r="M69" s="99"/>
      <c r="N69" s="99"/>
    </row>
    <row r="70" spans="1:14" ht="14.5" x14ac:dyDescent="0.35">
      <c r="A70" s="125"/>
      <c r="B70" s="122" t="s">
        <v>235</v>
      </c>
      <c r="C70" s="118"/>
      <c r="D70" s="123"/>
      <c r="E70" s="122" t="s">
        <v>64</v>
      </c>
      <c r="F70" s="114"/>
      <c r="G70" s="99"/>
      <c r="H70" s="118"/>
      <c r="I70" s="99"/>
      <c r="J70" s="99"/>
      <c r="K70" s="116"/>
      <c r="L70" s="99"/>
      <c r="M70" s="99"/>
      <c r="N70" s="99"/>
    </row>
    <row r="71" spans="1:14" ht="14.5" x14ac:dyDescent="0.35">
      <c r="A71" s="125"/>
      <c r="B71" s="122" t="s">
        <v>41</v>
      </c>
      <c r="C71" s="118"/>
      <c r="D71" s="123"/>
      <c r="E71" s="122" t="s">
        <v>59</v>
      </c>
      <c r="F71" s="114"/>
      <c r="G71" s="99"/>
      <c r="H71" s="124"/>
      <c r="I71" s="99"/>
      <c r="J71" s="99"/>
      <c r="K71" s="116"/>
      <c r="L71" s="99"/>
      <c r="M71" s="99"/>
      <c r="N71" s="99"/>
    </row>
    <row r="72" spans="1:14" ht="14.5" x14ac:dyDescent="0.35">
      <c r="A72" s="125"/>
      <c r="B72" s="122" t="s">
        <v>260</v>
      </c>
      <c r="C72" s="118"/>
      <c r="D72" s="123"/>
      <c r="E72" s="118" t="s">
        <v>249</v>
      </c>
      <c r="F72" s="114"/>
      <c r="G72" s="99"/>
      <c r="H72" s="118"/>
      <c r="I72" s="99"/>
      <c r="J72" s="99"/>
      <c r="K72" s="116"/>
      <c r="L72" s="99"/>
      <c r="M72" s="99"/>
      <c r="N72" s="99"/>
    </row>
    <row r="73" spans="1:14" ht="14.5" x14ac:dyDescent="0.35">
      <c r="A73" s="125"/>
      <c r="B73" s="122" t="s">
        <v>48</v>
      </c>
      <c r="C73" s="118"/>
      <c r="D73" s="123"/>
      <c r="E73" s="118" t="s">
        <v>227</v>
      </c>
      <c r="F73" s="114"/>
      <c r="G73" s="99"/>
      <c r="H73" s="118"/>
      <c r="I73" s="99"/>
      <c r="J73" s="99"/>
      <c r="K73" s="116"/>
      <c r="L73" s="99"/>
      <c r="M73" s="99"/>
      <c r="N73" s="99"/>
    </row>
    <row r="74" spans="1:14" ht="14.5" x14ac:dyDescent="0.35">
      <c r="A74" s="125"/>
      <c r="B74" s="122" t="s">
        <v>250</v>
      </c>
      <c r="C74" s="118"/>
      <c r="D74" s="118"/>
      <c r="E74" s="118" t="s">
        <v>66</v>
      </c>
      <c r="F74" s="114"/>
      <c r="G74" s="99"/>
      <c r="H74" s="118"/>
      <c r="I74" s="99"/>
      <c r="J74" s="99"/>
      <c r="K74" s="116"/>
      <c r="L74" s="99"/>
      <c r="M74" s="99"/>
      <c r="N74" s="99"/>
    </row>
    <row r="75" spans="1:14" ht="14.5" x14ac:dyDescent="0.35">
      <c r="A75" s="125"/>
      <c r="B75" s="122" t="s">
        <v>42</v>
      </c>
      <c r="C75" s="124"/>
      <c r="D75" s="118"/>
      <c r="E75" s="118"/>
      <c r="F75" s="114"/>
      <c r="G75" s="99"/>
      <c r="H75" s="118"/>
      <c r="I75" s="99"/>
      <c r="J75" s="99"/>
      <c r="K75" s="116"/>
      <c r="L75" s="99"/>
    </row>
    <row r="76" spans="1:14" ht="14.5" x14ac:dyDescent="0.35">
      <c r="A76" s="125"/>
      <c r="B76" s="122" t="s">
        <v>225</v>
      </c>
      <c r="C76" s="118"/>
      <c r="D76" s="118"/>
      <c r="E76" s="118"/>
      <c r="F76" s="114"/>
      <c r="G76" s="99"/>
      <c r="H76" s="118"/>
      <c r="I76" s="99"/>
      <c r="J76" s="99"/>
      <c r="K76" s="116"/>
      <c r="L76" s="99"/>
    </row>
    <row r="77" spans="1:14" ht="14.5" x14ac:dyDescent="0.35">
      <c r="A77" s="125"/>
      <c r="B77" s="122" t="s">
        <v>49</v>
      </c>
      <c r="C77" s="118"/>
      <c r="D77" s="118"/>
      <c r="E77" s="118"/>
      <c r="F77" s="114"/>
      <c r="G77" s="99"/>
      <c r="H77" s="118"/>
      <c r="I77" s="99"/>
      <c r="J77" s="99"/>
      <c r="K77" s="116"/>
      <c r="L77" s="99"/>
    </row>
    <row r="78" spans="1:14" ht="14.5" x14ac:dyDescent="0.35">
      <c r="A78" s="125"/>
      <c r="B78" s="122" t="s">
        <v>50</v>
      </c>
      <c r="C78" s="124"/>
      <c r="D78" s="118"/>
      <c r="E78" s="118"/>
      <c r="F78" s="114"/>
      <c r="G78" s="99"/>
      <c r="H78" s="126"/>
      <c r="I78" s="99"/>
      <c r="J78" s="99"/>
      <c r="K78" s="116"/>
      <c r="L78" s="99"/>
      <c r="M78" s="99"/>
    </row>
    <row r="79" spans="1:14" ht="14.5" x14ac:dyDescent="0.35">
      <c r="A79" s="125"/>
      <c r="B79" s="122" t="s">
        <v>44</v>
      </c>
      <c r="C79" s="124"/>
      <c r="D79" s="118"/>
      <c r="E79" s="118"/>
      <c r="F79" s="114"/>
      <c r="G79" s="99"/>
      <c r="H79" s="126"/>
      <c r="I79" s="99"/>
      <c r="J79" s="99"/>
      <c r="K79" s="116"/>
      <c r="L79" s="99"/>
      <c r="M79" s="99"/>
      <c r="N79" s="99"/>
    </row>
    <row r="80" spans="1:14" ht="14.5" x14ac:dyDescent="0.35">
      <c r="A80" s="125"/>
      <c r="B80" s="122" t="s">
        <v>43</v>
      </c>
      <c r="C80" s="118"/>
      <c r="D80" s="118"/>
      <c r="E80" s="118"/>
      <c r="F80" s="114"/>
      <c r="G80" s="99"/>
      <c r="H80" s="118"/>
      <c r="I80" s="99"/>
      <c r="J80" s="99"/>
      <c r="K80" s="116"/>
      <c r="L80" s="99"/>
      <c r="M80" s="99"/>
      <c r="N80" s="99"/>
    </row>
    <row r="81" spans="1:14" ht="14.5" x14ac:dyDescent="0.35">
      <c r="A81" s="125"/>
      <c r="B81" s="122" t="s">
        <v>45</v>
      </c>
      <c r="C81" s="124"/>
      <c r="D81" s="118"/>
      <c r="E81" s="118"/>
      <c r="F81" s="114"/>
      <c r="G81" s="99"/>
      <c r="H81" s="118"/>
      <c r="I81" s="99"/>
      <c r="J81" s="99"/>
      <c r="K81" s="116"/>
      <c r="L81" s="99"/>
      <c r="M81" s="99"/>
      <c r="N81" s="99"/>
    </row>
    <row r="82" spans="1:14" ht="14.5" x14ac:dyDescent="0.35">
      <c r="A82" s="125"/>
      <c r="B82" s="122" t="s">
        <v>46</v>
      </c>
      <c r="C82" s="118"/>
      <c r="D82" s="118"/>
      <c r="E82" s="35"/>
      <c r="F82" s="114"/>
      <c r="G82" s="99"/>
      <c r="H82" s="118"/>
      <c r="I82" s="99"/>
      <c r="J82" s="99"/>
      <c r="K82" s="116"/>
      <c r="L82" s="99"/>
      <c r="M82" s="99"/>
      <c r="N82" s="99"/>
    </row>
    <row r="83" spans="1:14" ht="14.5" x14ac:dyDescent="0.35">
      <c r="A83" s="125"/>
      <c r="B83" s="122" t="s">
        <v>47</v>
      </c>
      <c r="C83" s="118"/>
      <c r="D83" s="118"/>
      <c r="E83" s="35"/>
      <c r="F83" s="114"/>
      <c r="G83" s="99"/>
      <c r="H83" s="118"/>
      <c r="I83" s="99"/>
      <c r="J83" s="99"/>
      <c r="K83" s="116"/>
      <c r="L83" s="99"/>
      <c r="M83" s="99"/>
      <c r="N83" s="99"/>
    </row>
    <row r="84" spans="1:14" ht="14.5" x14ac:dyDescent="0.35">
      <c r="A84" s="125"/>
      <c r="B84" s="122" t="s">
        <v>226</v>
      </c>
      <c r="C84" s="118"/>
      <c r="D84" s="35"/>
      <c r="E84" s="35"/>
      <c r="F84" s="114"/>
      <c r="G84" s="99"/>
      <c r="H84" s="118"/>
      <c r="I84" s="99"/>
      <c r="J84" s="99"/>
      <c r="K84" s="116"/>
      <c r="L84" s="99"/>
      <c r="M84" s="99"/>
      <c r="N84" s="99"/>
    </row>
    <row r="85" spans="1:14" ht="14.5" x14ac:dyDescent="0.35">
      <c r="A85" s="125"/>
      <c r="B85" s="122"/>
      <c r="C85" s="118"/>
      <c r="D85" s="35"/>
      <c r="E85" s="35"/>
      <c r="F85" s="114"/>
      <c r="K85" s="127"/>
      <c r="L85" s="99"/>
      <c r="M85" s="99"/>
      <c r="N85" s="99"/>
    </row>
    <row r="86" spans="1:14" ht="13.5" thickBot="1" x14ac:dyDescent="0.35">
      <c r="A86" s="128"/>
      <c r="B86" s="129"/>
      <c r="C86" s="129"/>
      <c r="D86" s="130"/>
      <c r="E86" s="131"/>
      <c r="F86" s="132"/>
      <c r="G86" s="129"/>
      <c r="H86" s="129"/>
      <c r="I86" s="129"/>
      <c r="J86" s="129"/>
      <c r="K86" s="133"/>
    </row>
    <row r="87" spans="1:14" ht="15" thickTop="1" x14ac:dyDescent="0.35">
      <c r="E87" s="99"/>
    </row>
  </sheetData>
  <sortState xmlns:xlrd2="http://schemas.microsoft.com/office/spreadsheetml/2017/richdata2" ref="B32:B41">
    <sortCondition ref="B32"/>
  </sortState>
  <mergeCells count="5">
    <mergeCell ref="A11:K11"/>
    <mergeCell ref="A18:K18"/>
    <mergeCell ref="A27:K27"/>
    <mergeCell ref="A28:E28"/>
    <mergeCell ref="F28:J28"/>
  </mergeCells>
  <hyperlinks>
    <hyperlink ref="E3" location="Contents!A1" display="(Front Page)" xr:uid="{C5E25FED-15C2-4983-9AE0-EC9994B92833}"/>
    <hyperlink ref="A24" location="'Data Structure'!A28" display="AI Semiconductor Forecast Data Segmentation" xr:uid="{C5F5333F-1CAC-490C-96C5-A6256ECEE553}"/>
  </hyperlinks>
  <pageMargins left="0.70866141732283472" right="0.70866141732283472" top="0.74803149606299213" bottom="0.74803149606299213" header="0.31496062992125984" footer="0.31496062992125984"/>
  <pageSetup scale="53" orientation="portrait" r:id="rId1"/>
  <headerFooter>
    <oddFooter>&amp;L763796&amp;C© 2022 Gartner, Inc. and/or its Affiliates. All Rights Reserved.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DC6B4-AB61-454F-8806-ECC1218680B4}">
  <sheetPr codeName="Sheet8">
    <pageSetUpPr fitToPage="1"/>
  </sheetPr>
  <dimension ref="A1:L53"/>
  <sheetViews>
    <sheetView showGridLines="0" workbookViewId="0"/>
  </sheetViews>
  <sheetFormatPr defaultColWidth="9.1796875" defaultRowHeight="14.5" x14ac:dyDescent="0.35"/>
  <cols>
    <col min="1" max="1" width="15.81640625" style="1" customWidth="1"/>
    <col min="2" max="6" width="9.1796875" style="1"/>
    <col min="7" max="7" width="14.36328125" style="1" customWidth="1"/>
    <col min="8" max="8" width="11.36328125" style="1" customWidth="1"/>
    <col min="9" max="13" width="9.1796875" style="1"/>
    <col min="14" max="14" width="15.36328125" style="1" customWidth="1"/>
    <col min="15" max="16384" width="9.1796875" style="1"/>
  </cols>
  <sheetData>
    <row r="1" spans="1:4" ht="20" x14ac:dyDescent="0.4">
      <c r="A1" s="62" t="s">
        <v>266</v>
      </c>
    </row>
    <row r="3" spans="1:4" s="75" customFormat="1" ht="12" customHeight="1" x14ac:dyDescent="0.4"/>
    <row r="4" spans="1:4" s="75" customFormat="1" ht="12" customHeight="1" x14ac:dyDescent="0.4">
      <c r="A4" s="66"/>
      <c r="D4" s="66" t="s">
        <v>161</v>
      </c>
    </row>
    <row r="5" spans="1:4" x14ac:dyDescent="0.35">
      <c r="A5" s="76" t="s">
        <v>168</v>
      </c>
    </row>
    <row r="6" spans="1:4" x14ac:dyDescent="0.35">
      <c r="A6" s="1" t="s">
        <v>169</v>
      </c>
    </row>
    <row r="7" spans="1:4" x14ac:dyDescent="0.35">
      <c r="A7" s="77" t="s">
        <v>170</v>
      </c>
    </row>
    <row r="8" spans="1:4" x14ac:dyDescent="0.35">
      <c r="A8" s="77"/>
    </row>
    <row r="9" spans="1:4" x14ac:dyDescent="0.35">
      <c r="A9" s="77" t="s">
        <v>171</v>
      </c>
    </row>
    <row r="10" spans="1:4" x14ac:dyDescent="0.35">
      <c r="A10" s="77" t="s">
        <v>172</v>
      </c>
    </row>
    <row r="11" spans="1:4" x14ac:dyDescent="0.35">
      <c r="A11" s="77"/>
    </row>
    <row r="12" spans="1:4" x14ac:dyDescent="0.35">
      <c r="A12" s="77"/>
    </row>
    <row r="13" spans="1:4" x14ac:dyDescent="0.35">
      <c r="A13" s="76" t="s">
        <v>173</v>
      </c>
    </row>
    <row r="14" spans="1:4" x14ac:dyDescent="0.35">
      <c r="A14" s="77" t="s">
        <v>174</v>
      </c>
    </row>
    <row r="15" spans="1:4" x14ac:dyDescent="0.35">
      <c r="A15" s="77" t="s">
        <v>175</v>
      </c>
    </row>
    <row r="16" spans="1:4" x14ac:dyDescent="0.35">
      <c r="A16" s="77" t="s">
        <v>176</v>
      </c>
    </row>
    <row r="17" spans="1:1" x14ac:dyDescent="0.35">
      <c r="A17" s="77"/>
    </row>
    <row r="18" spans="1:1" x14ac:dyDescent="0.35">
      <c r="A18" s="77"/>
    </row>
    <row r="19" spans="1:1" x14ac:dyDescent="0.35">
      <c r="A19" s="76" t="s">
        <v>177</v>
      </c>
    </row>
    <row r="20" spans="1:1" x14ac:dyDescent="0.35">
      <c r="A20" s="77" t="s">
        <v>178</v>
      </c>
    </row>
    <row r="21" spans="1:1" x14ac:dyDescent="0.35">
      <c r="A21" s="77" t="s">
        <v>179</v>
      </c>
    </row>
    <row r="30" spans="1:1" x14ac:dyDescent="0.35">
      <c r="A30" s="76" t="s">
        <v>180</v>
      </c>
    </row>
    <row r="31" spans="1:1" x14ac:dyDescent="0.35">
      <c r="A31" s="77" t="s">
        <v>181</v>
      </c>
    </row>
    <row r="32" spans="1:1" x14ac:dyDescent="0.35">
      <c r="A32" s="77" t="s">
        <v>182</v>
      </c>
    </row>
    <row r="33" spans="1:12" x14ac:dyDescent="0.35">
      <c r="A33" s="1" t="s">
        <v>183</v>
      </c>
    </row>
    <row r="35" spans="1:12" x14ac:dyDescent="0.35">
      <c r="L35" s="76"/>
    </row>
    <row r="52" spans="1:7" x14ac:dyDescent="0.35">
      <c r="A52" s="77"/>
      <c r="B52" s="78"/>
      <c r="C52" s="78"/>
      <c r="D52" s="78"/>
      <c r="E52" s="78"/>
      <c r="F52" s="78"/>
      <c r="G52" s="78"/>
    </row>
    <row r="53" spans="1:7" x14ac:dyDescent="0.35">
      <c r="A53" s="77"/>
      <c r="B53" s="78"/>
      <c r="C53" s="78"/>
      <c r="D53" s="78"/>
      <c r="E53" s="78"/>
      <c r="F53" s="78"/>
      <c r="G53" s="78"/>
    </row>
  </sheetData>
  <hyperlinks>
    <hyperlink ref="D4" location="Contents!A1" display="(Front Page)" xr:uid="{609451CC-7669-4239-8EA4-558EA018E910}"/>
    <hyperlink ref="E3" location="'Contents'!$A$1" display="'Contents'!$A$1" xr:uid="{8BD80634-5F6C-4AA8-8C70-0BA8A11F8CC0}"/>
  </hyperlinks>
  <pageMargins left="0.70866141732283472" right="0.70866141732283472" top="0.74803149606299213" bottom="0.74803149606299213" header="0.31496062992125984" footer="0.31496062992125984"/>
  <pageSetup scale="60" orientation="portrait" r:id="rId1"/>
  <headerFooter>
    <oddFooter>&amp;L763796&amp;C© 2022 Gartner, Inc. and/or its Affiliates. All Rights Reserved.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3B296-2C93-4561-9A41-BDEDE37C0B3D}">
  <sheetPr codeName="Sheet5"/>
  <dimension ref="A1:FK10"/>
  <sheetViews>
    <sheetView workbookViewId="0">
      <selection activeCell="F13" sqref="F13"/>
    </sheetView>
  </sheetViews>
  <sheetFormatPr defaultRowHeight="14.5" x14ac:dyDescent="0.35"/>
  <cols>
    <col min="6" max="6" width="16.81640625" bestFit="1" customWidth="1"/>
    <col min="7" max="167" width="11.26953125" bestFit="1" customWidth="1"/>
  </cols>
  <sheetData>
    <row r="1" spans="1:167" x14ac:dyDescent="0.35">
      <c r="A1" t="s">
        <v>146</v>
      </c>
      <c r="B1" t="str">
        <f>B10 &amp; " YR"</f>
        <v>2020 YR</v>
      </c>
      <c r="D1" t="s">
        <v>89</v>
      </c>
      <c r="F1" t="s">
        <v>148</v>
      </c>
      <c r="H1" s="33" t="s">
        <v>150</v>
      </c>
      <c r="I1" t="s">
        <v>145</v>
      </c>
      <c r="O1">
        <v>3</v>
      </c>
      <c r="P1" t="s">
        <v>187</v>
      </c>
      <c r="S1" t="s">
        <v>255</v>
      </c>
      <c r="ES1" s="30">
        <v>1</v>
      </c>
      <c r="ET1" s="31" t="s">
        <v>184</v>
      </c>
    </row>
    <row r="2" spans="1:167" x14ac:dyDescent="0.35">
      <c r="A2" t="s">
        <v>147</v>
      </c>
      <c r="B2" t="str">
        <f>LEFT(StartYear,4)+6 &amp; " YR"</f>
        <v>2026 YR</v>
      </c>
      <c r="D2" t="s">
        <v>268</v>
      </c>
      <c r="F2" t="s">
        <v>94</v>
      </c>
      <c r="H2" s="33" t="s">
        <v>6</v>
      </c>
      <c r="I2" t="s">
        <v>94</v>
      </c>
      <c r="ES2" s="30">
        <v>2</v>
      </c>
      <c r="ET2" s="31" t="s">
        <v>185</v>
      </c>
    </row>
    <row r="3" spans="1:167" x14ac:dyDescent="0.35">
      <c r="F3" s="32" t="s">
        <v>271</v>
      </c>
      <c r="H3" s="33" t="s">
        <v>149</v>
      </c>
      <c r="I3">
        <v>1</v>
      </c>
      <c r="O3">
        <v>2</v>
      </c>
      <c r="P3" t="s">
        <v>186</v>
      </c>
      <c r="U3" t="s">
        <v>185</v>
      </c>
      <c r="ES3" s="30">
        <v>3</v>
      </c>
      <c r="ET3" s="31" t="s">
        <v>186</v>
      </c>
    </row>
    <row r="4" spans="1:167" x14ac:dyDescent="0.35">
      <c r="A4" t="s">
        <v>236</v>
      </c>
      <c r="B4" t="str">
        <f>LEFT(StartYear,4)</f>
        <v>2020</v>
      </c>
      <c r="ES4" s="30">
        <v>4</v>
      </c>
      <c r="ET4" s="31" t="s">
        <v>187</v>
      </c>
    </row>
    <row r="5" spans="1:167" x14ac:dyDescent="0.35">
      <c r="A5" t="s">
        <v>237</v>
      </c>
      <c r="B5" t="str">
        <f>LEFT(EndYear,4)</f>
        <v>2026</v>
      </c>
      <c r="F5" s="29" t="s">
        <v>264</v>
      </c>
      <c r="G5" s="29"/>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v>5</v>
      </c>
      <c r="ET5" s="31" t="s">
        <v>188</v>
      </c>
      <c r="EU5" s="30"/>
      <c r="EV5" s="30"/>
      <c r="EW5" s="30"/>
      <c r="EX5" s="30"/>
      <c r="EY5" s="30"/>
      <c r="EZ5" s="30"/>
      <c r="FA5" s="30"/>
      <c r="FB5" s="30"/>
      <c r="FC5" s="30"/>
      <c r="FD5" s="30"/>
      <c r="FE5" s="30">
        <v>5</v>
      </c>
      <c r="FF5" s="31" t="s">
        <v>90</v>
      </c>
      <c r="FG5" s="30"/>
      <c r="FH5" s="30"/>
      <c r="FI5" s="30"/>
      <c r="FJ5" s="30"/>
      <c r="FK5" s="30"/>
    </row>
    <row r="6" spans="1:167" x14ac:dyDescent="0.35">
      <c r="F6" s="142" t="s">
        <v>269</v>
      </c>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v>6</v>
      </c>
      <c r="ET6" s="31" t="s">
        <v>189</v>
      </c>
      <c r="EU6" s="30"/>
      <c r="EV6" s="30"/>
      <c r="EW6" s="30"/>
      <c r="EX6" s="30"/>
      <c r="EY6" s="30"/>
      <c r="EZ6" s="30"/>
      <c r="FA6" s="30"/>
      <c r="FB6" s="30"/>
      <c r="FC6" s="30"/>
      <c r="FD6" s="30"/>
      <c r="FE6" s="30">
        <v>6</v>
      </c>
      <c r="FF6" s="31" t="s">
        <v>91</v>
      </c>
      <c r="FG6" s="30"/>
      <c r="FH6" s="30"/>
      <c r="FI6" s="30"/>
      <c r="FJ6" s="30"/>
      <c r="FK6" s="30"/>
    </row>
    <row r="7" spans="1:167" x14ac:dyDescent="0.35">
      <c r="A7" t="s">
        <v>253</v>
      </c>
      <c r="B7" t="str">
        <f>B4</f>
        <v>2020</v>
      </c>
    </row>
    <row r="8" spans="1:167" x14ac:dyDescent="0.35">
      <c r="A8" t="s">
        <v>254</v>
      </c>
      <c r="B8" t="str">
        <f>B5</f>
        <v>2026</v>
      </c>
    </row>
    <row r="10" spans="1:167" x14ac:dyDescent="0.35">
      <c r="B10" s="86">
        <v>2020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Contents</vt:lpstr>
      <vt:lpstr>Summary Tables</vt:lpstr>
      <vt:lpstr>Aggregatable Pivot</vt:lpstr>
      <vt:lpstr>Exchange Rates</vt:lpstr>
      <vt:lpstr>Data Structure</vt:lpstr>
      <vt:lpstr>Tips</vt:lpstr>
      <vt:lpstr>Currency</vt:lpstr>
      <vt:lpstr>_2025__YR</vt:lpstr>
      <vt:lpstr>ClearGrowth</vt:lpstr>
      <vt:lpstr>ColLetter</vt:lpstr>
      <vt:lpstr>ColLetter2</vt:lpstr>
      <vt:lpstr>ColLkupNum</vt:lpstr>
      <vt:lpstr>ColLkupNum2</vt:lpstr>
      <vt:lpstr>ColumnLookup</vt:lpstr>
      <vt:lpstr>Doc_ID</vt:lpstr>
      <vt:lpstr>EndY</vt:lpstr>
      <vt:lpstr>EndYear</vt:lpstr>
      <vt:lpstr>ExVintage</vt:lpstr>
      <vt:lpstr>PreYearNum</vt:lpstr>
      <vt:lpstr>Contents!Print_Area</vt:lpstr>
      <vt:lpstr>'Summary Tables'!Print_Area</vt:lpstr>
      <vt:lpstr>Source</vt:lpstr>
      <vt:lpstr>StartY</vt:lpstr>
      <vt:lpstr>StartYear</vt:lpstr>
      <vt:lpstr>Vintage</vt:lpstr>
    </vt:vector>
  </TitlesOfParts>
  <Company>Gartner,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Singh,Digvijay</cp:lastModifiedBy>
  <cp:lastPrinted>2022-04-14T07:55:19Z</cp:lastPrinted>
  <dcterms:created xsi:type="dcterms:W3CDTF">2020-01-15T17:20:13Z</dcterms:created>
  <dcterms:modified xsi:type="dcterms:W3CDTF">2022-04-29T08:52:23Z</dcterms:modified>
</cp:coreProperties>
</file>